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44000" yWindow="0" windowWidth="30720" windowHeight="23260" tabRatio="770" firstSheet="8" activeTab="8"/>
  </bookViews>
  <sheets>
    <sheet name="Compare dom5 Loop" sheetId="27" r:id="rId1"/>
    <sheet name="Data dom5 Loop" sheetId="26" r:id="rId2"/>
    <sheet name="SatUnsatData Full dom5" sheetId="19" r:id="rId3"/>
    <sheet name="Compare dom4 Loop " sheetId="25" r:id="rId4"/>
    <sheet name="Data dom4 Loop" sheetId="24" r:id="rId5"/>
    <sheet name="Compare dom9 Loop" sheetId="23" r:id="rId6"/>
    <sheet name="summary" sheetId="18" r:id="rId7"/>
    <sheet name="Compare dom9" sheetId="14" r:id="rId8"/>
    <sheet name="cleanedData" sheetId="4" r:id="rId9"/>
    <sheet name="Prelim data" sheetId="3" r:id="rId10"/>
    <sheet name="SatUnsatData dom9 Loop" sheetId="22" r:id="rId11"/>
    <sheet name="SatUnsatData Full dom9" sheetId="10" r:id="rId12"/>
    <sheet name="Compare dom5" sheetId="21" r:id="rId13"/>
    <sheet name="Time Data Full dom5" sheetId="20" r:id="rId14"/>
    <sheet name="Compare dom4" sheetId="17" r:id="rId15"/>
    <sheet name="SatUnsatData Full dom4" sheetId="16" r:id="rId16"/>
    <sheet name="Time Data Full dom4" sheetId="15" r:id="rId17"/>
    <sheet name="Time Data Full dom9" sheetId="9" r:id="rId18"/>
    <sheet name="Compare old" sheetId="11" r:id="rId19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06" i="3" l="1"/>
  <c r="S72" i="4"/>
  <c r="G72" i="4"/>
  <c r="G71" i="4"/>
  <c r="S71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2" i="4"/>
  <c r="G70" i="4"/>
  <c r="Q70" i="4"/>
  <c r="H70" i="4"/>
  <c r="I298" i="26"/>
  <c r="L312" i="27"/>
  <c r="K312" i="27"/>
  <c r="J312" i="27"/>
  <c r="I312" i="27"/>
  <c r="H312" i="27"/>
  <c r="G312" i="27"/>
  <c r="C312" i="27"/>
  <c r="L311" i="27"/>
  <c r="K311" i="27"/>
  <c r="J311" i="27"/>
  <c r="I311" i="27"/>
  <c r="H311" i="27"/>
  <c r="G311" i="27"/>
  <c r="C311" i="27"/>
  <c r="L310" i="27"/>
  <c r="K310" i="27"/>
  <c r="J310" i="27"/>
  <c r="I310" i="27"/>
  <c r="H310" i="27"/>
  <c r="G310" i="27"/>
  <c r="C310" i="27"/>
  <c r="L309" i="27"/>
  <c r="K309" i="27"/>
  <c r="J309" i="27"/>
  <c r="I309" i="27"/>
  <c r="H309" i="27"/>
  <c r="G309" i="27"/>
  <c r="C309" i="27"/>
  <c r="L308" i="27"/>
  <c r="K308" i="27"/>
  <c r="J308" i="27"/>
  <c r="I308" i="27"/>
  <c r="H308" i="27"/>
  <c r="G308" i="27"/>
  <c r="C308" i="27"/>
  <c r="L307" i="27"/>
  <c r="K307" i="27"/>
  <c r="J307" i="27"/>
  <c r="I307" i="27"/>
  <c r="H307" i="27"/>
  <c r="G307" i="27"/>
  <c r="C307" i="27"/>
  <c r="L306" i="27"/>
  <c r="K306" i="27"/>
  <c r="J306" i="27"/>
  <c r="I306" i="27"/>
  <c r="H306" i="27"/>
  <c r="G306" i="27"/>
  <c r="C306" i="27"/>
  <c r="L305" i="27"/>
  <c r="K305" i="27"/>
  <c r="J305" i="27"/>
  <c r="I305" i="27"/>
  <c r="H305" i="27"/>
  <c r="G305" i="27"/>
  <c r="C305" i="27"/>
  <c r="L304" i="27"/>
  <c r="K304" i="27"/>
  <c r="J304" i="27"/>
  <c r="I304" i="27"/>
  <c r="H304" i="27"/>
  <c r="G304" i="27"/>
  <c r="C304" i="27"/>
  <c r="L303" i="27"/>
  <c r="K303" i="27"/>
  <c r="J303" i="27"/>
  <c r="I303" i="27"/>
  <c r="H303" i="27"/>
  <c r="G303" i="27"/>
  <c r="C303" i="27"/>
  <c r="L302" i="27"/>
  <c r="K302" i="27"/>
  <c r="J302" i="27"/>
  <c r="I302" i="27"/>
  <c r="H302" i="27"/>
  <c r="G302" i="27"/>
  <c r="C302" i="27"/>
  <c r="L301" i="27"/>
  <c r="K301" i="27"/>
  <c r="J301" i="27"/>
  <c r="I301" i="27"/>
  <c r="H301" i="27"/>
  <c r="G301" i="27"/>
  <c r="C301" i="27"/>
  <c r="L300" i="27"/>
  <c r="K300" i="27"/>
  <c r="J300" i="27"/>
  <c r="I300" i="27"/>
  <c r="H300" i="27"/>
  <c r="G300" i="27"/>
  <c r="C300" i="27"/>
  <c r="L299" i="27"/>
  <c r="K299" i="27"/>
  <c r="J299" i="27"/>
  <c r="I299" i="27"/>
  <c r="H299" i="27"/>
  <c r="G299" i="27"/>
  <c r="C299" i="27"/>
  <c r="L298" i="27"/>
  <c r="K298" i="27"/>
  <c r="J298" i="27"/>
  <c r="I298" i="27"/>
  <c r="H298" i="27"/>
  <c r="G298" i="27"/>
  <c r="C298" i="27"/>
  <c r="L297" i="27"/>
  <c r="K297" i="27"/>
  <c r="J297" i="27"/>
  <c r="I297" i="27"/>
  <c r="H297" i="27"/>
  <c r="G297" i="27"/>
  <c r="C297" i="27"/>
  <c r="L296" i="27"/>
  <c r="K296" i="27"/>
  <c r="J296" i="27"/>
  <c r="I296" i="27"/>
  <c r="H296" i="27"/>
  <c r="G296" i="27"/>
  <c r="C296" i="27"/>
  <c r="L295" i="27"/>
  <c r="K295" i="27"/>
  <c r="J295" i="27"/>
  <c r="I295" i="27"/>
  <c r="H295" i="27"/>
  <c r="G295" i="27"/>
  <c r="C295" i="27"/>
  <c r="L294" i="27"/>
  <c r="K294" i="27"/>
  <c r="J294" i="27"/>
  <c r="I294" i="27"/>
  <c r="H294" i="27"/>
  <c r="G294" i="27"/>
  <c r="C294" i="27"/>
  <c r="L293" i="27"/>
  <c r="K293" i="27"/>
  <c r="J293" i="27"/>
  <c r="I293" i="27"/>
  <c r="H293" i="27"/>
  <c r="G293" i="27"/>
  <c r="C293" i="27"/>
  <c r="L292" i="27"/>
  <c r="K292" i="27"/>
  <c r="J292" i="27"/>
  <c r="I292" i="27"/>
  <c r="H292" i="27"/>
  <c r="G292" i="27"/>
  <c r="C292" i="27"/>
  <c r="L291" i="27"/>
  <c r="K291" i="27"/>
  <c r="J291" i="27"/>
  <c r="I291" i="27"/>
  <c r="H291" i="27"/>
  <c r="G291" i="27"/>
  <c r="C291" i="27"/>
  <c r="L290" i="27"/>
  <c r="K290" i="27"/>
  <c r="J290" i="27"/>
  <c r="I290" i="27"/>
  <c r="H290" i="27"/>
  <c r="G290" i="27"/>
  <c r="C290" i="27"/>
  <c r="L289" i="27"/>
  <c r="K289" i="27"/>
  <c r="J289" i="27"/>
  <c r="I289" i="27"/>
  <c r="H289" i="27"/>
  <c r="G289" i="27"/>
  <c r="C289" i="27"/>
  <c r="L288" i="27"/>
  <c r="K288" i="27"/>
  <c r="J288" i="27"/>
  <c r="I288" i="27"/>
  <c r="H288" i="27"/>
  <c r="G288" i="27"/>
  <c r="C288" i="27"/>
  <c r="L287" i="27"/>
  <c r="K287" i="27"/>
  <c r="J287" i="27"/>
  <c r="I287" i="27"/>
  <c r="H287" i="27"/>
  <c r="G287" i="27"/>
  <c r="C287" i="27"/>
  <c r="L286" i="27"/>
  <c r="K286" i="27"/>
  <c r="J286" i="27"/>
  <c r="I286" i="27"/>
  <c r="H286" i="27"/>
  <c r="G286" i="27"/>
  <c r="C286" i="27"/>
  <c r="L285" i="27"/>
  <c r="K285" i="27"/>
  <c r="J285" i="27"/>
  <c r="I285" i="27"/>
  <c r="H285" i="27"/>
  <c r="G285" i="27"/>
  <c r="C285" i="27"/>
  <c r="L284" i="27"/>
  <c r="K284" i="27"/>
  <c r="J284" i="27"/>
  <c r="I284" i="27"/>
  <c r="H284" i="27"/>
  <c r="G284" i="27"/>
  <c r="C284" i="27"/>
  <c r="L283" i="27"/>
  <c r="K283" i="27"/>
  <c r="J283" i="27"/>
  <c r="I283" i="27"/>
  <c r="H283" i="27"/>
  <c r="G283" i="27"/>
  <c r="C283" i="27"/>
  <c r="L282" i="27"/>
  <c r="K282" i="27"/>
  <c r="J282" i="27"/>
  <c r="I282" i="27"/>
  <c r="H282" i="27"/>
  <c r="G282" i="27"/>
  <c r="C282" i="27"/>
  <c r="L281" i="27"/>
  <c r="K281" i="27"/>
  <c r="J281" i="27"/>
  <c r="I281" i="27"/>
  <c r="H281" i="27"/>
  <c r="G281" i="27"/>
  <c r="C281" i="27"/>
  <c r="L280" i="27"/>
  <c r="K280" i="27"/>
  <c r="J280" i="27"/>
  <c r="I280" i="27"/>
  <c r="H280" i="27"/>
  <c r="G280" i="27"/>
  <c r="C280" i="27"/>
  <c r="L279" i="27"/>
  <c r="K279" i="27"/>
  <c r="J279" i="27"/>
  <c r="I279" i="27"/>
  <c r="H279" i="27"/>
  <c r="G279" i="27"/>
  <c r="C279" i="27"/>
  <c r="L278" i="27"/>
  <c r="K278" i="27"/>
  <c r="J278" i="27"/>
  <c r="I278" i="27"/>
  <c r="H278" i="27"/>
  <c r="G278" i="27"/>
  <c r="C278" i="27"/>
  <c r="L277" i="27"/>
  <c r="K277" i="27"/>
  <c r="J277" i="27"/>
  <c r="I277" i="27"/>
  <c r="H277" i="27"/>
  <c r="G277" i="27"/>
  <c r="C277" i="27"/>
  <c r="L276" i="27"/>
  <c r="K276" i="27"/>
  <c r="J276" i="27"/>
  <c r="I276" i="27"/>
  <c r="H276" i="27"/>
  <c r="G276" i="27"/>
  <c r="C276" i="27"/>
  <c r="L275" i="27"/>
  <c r="K275" i="27"/>
  <c r="J275" i="27"/>
  <c r="I275" i="27"/>
  <c r="H275" i="27"/>
  <c r="G275" i="27"/>
  <c r="C275" i="27"/>
  <c r="L274" i="27"/>
  <c r="K274" i="27"/>
  <c r="J274" i="27"/>
  <c r="I274" i="27"/>
  <c r="H274" i="27"/>
  <c r="G274" i="27"/>
  <c r="C274" i="27"/>
  <c r="L273" i="27"/>
  <c r="K273" i="27"/>
  <c r="J273" i="27"/>
  <c r="I273" i="27"/>
  <c r="H273" i="27"/>
  <c r="G273" i="27"/>
  <c r="C273" i="27"/>
  <c r="L272" i="27"/>
  <c r="K272" i="27"/>
  <c r="J272" i="27"/>
  <c r="I272" i="27"/>
  <c r="H272" i="27"/>
  <c r="G272" i="27"/>
  <c r="C272" i="27"/>
  <c r="L271" i="27"/>
  <c r="K271" i="27"/>
  <c r="J271" i="27"/>
  <c r="I271" i="27"/>
  <c r="H271" i="27"/>
  <c r="G271" i="27"/>
  <c r="C271" i="27"/>
  <c r="L270" i="27"/>
  <c r="K270" i="27"/>
  <c r="J270" i="27"/>
  <c r="I270" i="27"/>
  <c r="H270" i="27"/>
  <c r="G270" i="27"/>
  <c r="C270" i="27"/>
  <c r="L269" i="27"/>
  <c r="K269" i="27"/>
  <c r="J269" i="27"/>
  <c r="I269" i="27"/>
  <c r="H269" i="27"/>
  <c r="G269" i="27"/>
  <c r="C269" i="27"/>
  <c r="L268" i="27"/>
  <c r="K268" i="27"/>
  <c r="J268" i="27"/>
  <c r="I268" i="27"/>
  <c r="H268" i="27"/>
  <c r="G268" i="27"/>
  <c r="C268" i="27"/>
  <c r="L267" i="27"/>
  <c r="K267" i="27"/>
  <c r="J267" i="27"/>
  <c r="I267" i="27"/>
  <c r="H267" i="27"/>
  <c r="G267" i="27"/>
  <c r="C267" i="27"/>
  <c r="L266" i="27"/>
  <c r="K266" i="27"/>
  <c r="J266" i="27"/>
  <c r="I266" i="27"/>
  <c r="H266" i="27"/>
  <c r="G266" i="27"/>
  <c r="C266" i="27"/>
  <c r="L265" i="27"/>
  <c r="K265" i="27"/>
  <c r="J265" i="27"/>
  <c r="I265" i="27"/>
  <c r="H265" i="27"/>
  <c r="G265" i="27"/>
  <c r="C265" i="27"/>
  <c r="L264" i="27"/>
  <c r="K264" i="27"/>
  <c r="J264" i="27"/>
  <c r="I264" i="27"/>
  <c r="H264" i="27"/>
  <c r="G264" i="27"/>
  <c r="C264" i="27"/>
  <c r="L263" i="27"/>
  <c r="K263" i="27"/>
  <c r="J263" i="27"/>
  <c r="I263" i="27"/>
  <c r="H263" i="27"/>
  <c r="G263" i="27"/>
  <c r="C263" i="27"/>
  <c r="L262" i="27"/>
  <c r="K262" i="27"/>
  <c r="J262" i="27"/>
  <c r="I262" i="27"/>
  <c r="H262" i="27"/>
  <c r="G262" i="27"/>
  <c r="C262" i="27"/>
  <c r="L261" i="27"/>
  <c r="K261" i="27"/>
  <c r="J261" i="27"/>
  <c r="I261" i="27"/>
  <c r="H261" i="27"/>
  <c r="G261" i="27"/>
  <c r="C261" i="27"/>
  <c r="L260" i="27"/>
  <c r="K260" i="27"/>
  <c r="J260" i="27"/>
  <c r="I260" i="27"/>
  <c r="H260" i="27"/>
  <c r="G260" i="27"/>
  <c r="C260" i="27"/>
  <c r="L259" i="27"/>
  <c r="K259" i="27"/>
  <c r="J259" i="27"/>
  <c r="I259" i="27"/>
  <c r="H259" i="27"/>
  <c r="G259" i="27"/>
  <c r="C259" i="27"/>
  <c r="L258" i="27"/>
  <c r="K258" i="27"/>
  <c r="J258" i="27"/>
  <c r="I258" i="27"/>
  <c r="H258" i="27"/>
  <c r="G258" i="27"/>
  <c r="C258" i="27"/>
  <c r="L257" i="27"/>
  <c r="K257" i="27"/>
  <c r="J257" i="27"/>
  <c r="I257" i="27"/>
  <c r="H257" i="27"/>
  <c r="G257" i="27"/>
  <c r="C257" i="27"/>
  <c r="L256" i="27"/>
  <c r="K256" i="27"/>
  <c r="J256" i="27"/>
  <c r="I256" i="27"/>
  <c r="H256" i="27"/>
  <c r="G256" i="27"/>
  <c r="C256" i="27"/>
  <c r="L255" i="27"/>
  <c r="K255" i="27"/>
  <c r="J255" i="27"/>
  <c r="I255" i="27"/>
  <c r="H255" i="27"/>
  <c r="G255" i="27"/>
  <c r="C255" i="27"/>
  <c r="L254" i="27"/>
  <c r="K254" i="27"/>
  <c r="J254" i="27"/>
  <c r="I254" i="27"/>
  <c r="H254" i="27"/>
  <c r="G254" i="27"/>
  <c r="C254" i="27"/>
  <c r="L253" i="27"/>
  <c r="K253" i="27"/>
  <c r="J253" i="27"/>
  <c r="I253" i="27"/>
  <c r="H253" i="27"/>
  <c r="G253" i="27"/>
  <c r="C253" i="27"/>
  <c r="L252" i="27"/>
  <c r="K252" i="27"/>
  <c r="J252" i="27"/>
  <c r="I252" i="27"/>
  <c r="H252" i="27"/>
  <c r="G252" i="27"/>
  <c r="C252" i="27"/>
  <c r="L251" i="27"/>
  <c r="K251" i="27"/>
  <c r="J251" i="27"/>
  <c r="I251" i="27"/>
  <c r="H251" i="27"/>
  <c r="G251" i="27"/>
  <c r="C251" i="27"/>
  <c r="L250" i="27"/>
  <c r="K250" i="27"/>
  <c r="J250" i="27"/>
  <c r="I250" i="27"/>
  <c r="H250" i="27"/>
  <c r="G250" i="27"/>
  <c r="C250" i="27"/>
  <c r="L249" i="27"/>
  <c r="K249" i="27"/>
  <c r="J249" i="27"/>
  <c r="I249" i="27"/>
  <c r="H249" i="27"/>
  <c r="G249" i="27"/>
  <c r="C249" i="27"/>
  <c r="L248" i="27"/>
  <c r="K248" i="27"/>
  <c r="J248" i="27"/>
  <c r="I248" i="27"/>
  <c r="H248" i="27"/>
  <c r="G248" i="27"/>
  <c r="C248" i="27"/>
  <c r="L247" i="27"/>
  <c r="K247" i="27"/>
  <c r="J247" i="27"/>
  <c r="I247" i="27"/>
  <c r="H247" i="27"/>
  <c r="G247" i="27"/>
  <c r="C247" i="27"/>
  <c r="L246" i="27"/>
  <c r="K246" i="27"/>
  <c r="J246" i="27"/>
  <c r="I246" i="27"/>
  <c r="H246" i="27"/>
  <c r="G246" i="27"/>
  <c r="C246" i="27"/>
  <c r="L245" i="27"/>
  <c r="K245" i="27"/>
  <c r="J245" i="27"/>
  <c r="I245" i="27"/>
  <c r="H245" i="27"/>
  <c r="G245" i="27"/>
  <c r="C245" i="27"/>
  <c r="L244" i="27"/>
  <c r="K244" i="27"/>
  <c r="J244" i="27"/>
  <c r="I244" i="27"/>
  <c r="H244" i="27"/>
  <c r="G244" i="27"/>
  <c r="C244" i="27"/>
  <c r="L243" i="27"/>
  <c r="K243" i="27"/>
  <c r="J243" i="27"/>
  <c r="I243" i="27"/>
  <c r="H243" i="27"/>
  <c r="G243" i="27"/>
  <c r="C243" i="27"/>
  <c r="L242" i="27"/>
  <c r="K242" i="27"/>
  <c r="J242" i="27"/>
  <c r="I242" i="27"/>
  <c r="H242" i="27"/>
  <c r="G242" i="27"/>
  <c r="C242" i="27"/>
  <c r="L241" i="27"/>
  <c r="K241" i="27"/>
  <c r="J241" i="27"/>
  <c r="I241" i="27"/>
  <c r="H241" i="27"/>
  <c r="G241" i="27"/>
  <c r="C241" i="27"/>
  <c r="L240" i="27"/>
  <c r="K240" i="27"/>
  <c r="J240" i="27"/>
  <c r="I240" i="27"/>
  <c r="H240" i="27"/>
  <c r="G240" i="27"/>
  <c r="C240" i="27"/>
  <c r="L239" i="27"/>
  <c r="K239" i="27"/>
  <c r="J239" i="27"/>
  <c r="I239" i="27"/>
  <c r="H239" i="27"/>
  <c r="G239" i="27"/>
  <c r="C239" i="27"/>
  <c r="L238" i="27"/>
  <c r="K238" i="27"/>
  <c r="J238" i="27"/>
  <c r="I238" i="27"/>
  <c r="H238" i="27"/>
  <c r="G238" i="27"/>
  <c r="C238" i="27"/>
  <c r="L237" i="27"/>
  <c r="K237" i="27"/>
  <c r="J237" i="27"/>
  <c r="I237" i="27"/>
  <c r="H237" i="27"/>
  <c r="G237" i="27"/>
  <c r="C237" i="27"/>
  <c r="L236" i="27"/>
  <c r="K236" i="27"/>
  <c r="J236" i="27"/>
  <c r="I236" i="27"/>
  <c r="H236" i="27"/>
  <c r="G236" i="27"/>
  <c r="C236" i="27"/>
  <c r="L235" i="27"/>
  <c r="K235" i="27"/>
  <c r="J235" i="27"/>
  <c r="I235" i="27"/>
  <c r="H235" i="27"/>
  <c r="G235" i="27"/>
  <c r="C235" i="27"/>
  <c r="L234" i="27"/>
  <c r="K234" i="27"/>
  <c r="J234" i="27"/>
  <c r="I234" i="27"/>
  <c r="H234" i="27"/>
  <c r="G234" i="27"/>
  <c r="C234" i="27"/>
  <c r="L233" i="27"/>
  <c r="K233" i="27"/>
  <c r="J233" i="27"/>
  <c r="I233" i="27"/>
  <c r="H233" i="27"/>
  <c r="G233" i="27"/>
  <c r="C233" i="27"/>
  <c r="L232" i="27"/>
  <c r="K232" i="27"/>
  <c r="J232" i="27"/>
  <c r="I232" i="27"/>
  <c r="H232" i="27"/>
  <c r="G232" i="27"/>
  <c r="C232" i="27"/>
  <c r="L231" i="27"/>
  <c r="K231" i="27"/>
  <c r="J231" i="27"/>
  <c r="I231" i="27"/>
  <c r="H231" i="27"/>
  <c r="G231" i="27"/>
  <c r="C231" i="27"/>
  <c r="L230" i="27"/>
  <c r="K230" i="27"/>
  <c r="J230" i="27"/>
  <c r="I230" i="27"/>
  <c r="H230" i="27"/>
  <c r="G230" i="27"/>
  <c r="C230" i="27"/>
  <c r="L229" i="27"/>
  <c r="K229" i="27"/>
  <c r="J229" i="27"/>
  <c r="I229" i="27"/>
  <c r="H229" i="27"/>
  <c r="G229" i="27"/>
  <c r="C229" i="27"/>
  <c r="L228" i="27"/>
  <c r="K228" i="27"/>
  <c r="J228" i="27"/>
  <c r="I228" i="27"/>
  <c r="H228" i="27"/>
  <c r="G228" i="27"/>
  <c r="C228" i="27"/>
  <c r="L227" i="27"/>
  <c r="K227" i="27"/>
  <c r="J227" i="27"/>
  <c r="I227" i="27"/>
  <c r="H227" i="27"/>
  <c r="G227" i="27"/>
  <c r="C227" i="27"/>
  <c r="L226" i="27"/>
  <c r="K226" i="27"/>
  <c r="J226" i="27"/>
  <c r="I226" i="27"/>
  <c r="H226" i="27"/>
  <c r="G226" i="27"/>
  <c r="C226" i="27"/>
  <c r="L225" i="27"/>
  <c r="K225" i="27"/>
  <c r="J225" i="27"/>
  <c r="I225" i="27"/>
  <c r="H225" i="27"/>
  <c r="G225" i="27"/>
  <c r="C225" i="27"/>
  <c r="L224" i="27"/>
  <c r="K224" i="27"/>
  <c r="J224" i="27"/>
  <c r="I224" i="27"/>
  <c r="H224" i="27"/>
  <c r="G224" i="27"/>
  <c r="C224" i="27"/>
  <c r="L223" i="27"/>
  <c r="K223" i="27"/>
  <c r="J223" i="27"/>
  <c r="I223" i="27"/>
  <c r="H223" i="27"/>
  <c r="G223" i="27"/>
  <c r="C223" i="27"/>
  <c r="L222" i="27"/>
  <c r="K222" i="27"/>
  <c r="J222" i="27"/>
  <c r="I222" i="27"/>
  <c r="H222" i="27"/>
  <c r="G222" i="27"/>
  <c r="C222" i="27"/>
  <c r="L221" i="27"/>
  <c r="K221" i="27"/>
  <c r="J221" i="27"/>
  <c r="I221" i="27"/>
  <c r="H221" i="27"/>
  <c r="G221" i="27"/>
  <c r="C221" i="27"/>
  <c r="L220" i="27"/>
  <c r="K220" i="27"/>
  <c r="J220" i="27"/>
  <c r="I220" i="27"/>
  <c r="H220" i="27"/>
  <c r="G220" i="27"/>
  <c r="C220" i="27"/>
  <c r="L219" i="27"/>
  <c r="K219" i="27"/>
  <c r="J219" i="27"/>
  <c r="I219" i="27"/>
  <c r="H219" i="27"/>
  <c r="G219" i="27"/>
  <c r="C219" i="27"/>
  <c r="L218" i="27"/>
  <c r="K218" i="27"/>
  <c r="J218" i="27"/>
  <c r="I218" i="27"/>
  <c r="H218" i="27"/>
  <c r="G218" i="27"/>
  <c r="C218" i="27"/>
  <c r="L217" i="27"/>
  <c r="K217" i="27"/>
  <c r="J217" i="27"/>
  <c r="I217" i="27"/>
  <c r="H217" i="27"/>
  <c r="G217" i="27"/>
  <c r="C217" i="27"/>
  <c r="L216" i="27"/>
  <c r="K216" i="27"/>
  <c r="J216" i="27"/>
  <c r="I216" i="27"/>
  <c r="H216" i="27"/>
  <c r="G216" i="27"/>
  <c r="C216" i="27"/>
  <c r="L215" i="27"/>
  <c r="K215" i="27"/>
  <c r="J215" i="27"/>
  <c r="I215" i="27"/>
  <c r="H215" i="27"/>
  <c r="G215" i="27"/>
  <c r="C215" i="27"/>
  <c r="L214" i="27"/>
  <c r="K214" i="27"/>
  <c r="J214" i="27"/>
  <c r="I214" i="27"/>
  <c r="H214" i="27"/>
  <c r="G214" i="27"/>
  <c r="C214" i="27"/>
  <c r="L213" i="27"/>
  <c r="K213" i="27"/>
  <c r="J213" i="27"/>
  <c r="I213" i="27"/>
  <c r="H213" i="27"/>
  <c r="G213" i="27"/>
  <c r="C213" i="27"/>
  <c r="L212" i="27"/>
  <c r="K212" i="27"/>
  <c r="J212" i="27"/>
  <c r="I212" i="27"/>
  <c r="H212" i="27"/>
  <c r="G212" i="27"/>
  <c r="C212" i="27"/>
  <c r="L211" i="27"/>
  <c r="K211" i="27"/>
  <c r="J211" i="27"/>
  <c r="I211" i="27"/>
  <c r="H211" i="27"/>
  <c r="G211" i="27"/>
  <c r="C211" i="27"/>
  <c r="L210" i="27"/>
  <c r="K210" i="27"/>
  <c r="J210" i="27"/>
  <c r="I210" i="27"/>
  <c r="H210" i="27"/>
  <c r="G210" i="27"/>
  <c r="C210" i="27"/>
  <c r="L209" i="27"/>
  <c r="K209" i="27"/>
  <c r="J209" i="27"/>
  <c r="I209" i="27"/>
  <c r="H209" i="27"/>
  <c r="G209" i="27"/>
  <c r="C209" i="27"/>
  <c r="L208" i="27"/>
  <c r="K208" i="27"/>
  <c r="J208" i="27"/>
  <c r="I208" i="27"/>
  <c r="H208" i="27"/>
  <c r="G208" i="27"/>
  <c r="C208" i="27"/>
  <c r="L207" i="27"/>
  <c r="K207" i="27"/>
  <c r="J207" i="27"/>
  <c r="I207" i="27"/>
  <c r="H207" i="27"/>
  <c r="G207" i="27"/>
  <c r="C207" i="27"/>
  <c r="L206" i="27"/>
  <c r="K206" i="27"/>
  <c r="J206" i="27"/>
  <c r="I206" i="27"/>
  <c r="H206" i="27"/>
  <c r="G206" i="27"/>
  <c r="C206" i="27"/>
  <c r="L205" i="27"/>
  <c r="K205" i="27"/>
  <c r="J205" i="27"/>
  <c r="I205" i="27"/>
  <c r="H205" i="27"/>
  <c r="G205" i="27"/>
  <c r="C205" i="27"/>
  <c r="L204" i="27"/>
  <c r="K204" i="27"/>
  <c r="J204" i="27"/>
  <c r="I204" i="27"/>
  <c r="H204" i="27"/>
  <c r="G204" i="27"/>
  <c r="C204" i="27"/>
  <c r="L203" i="27"/>
  <c r="K203" i="27"/>
  <c r="J203" i="27"/>
  <c r="I203" i="27"/>
  <c r="H203" i="27"/>
  <c r="G203" i="27"/>
  <c r="C203" i="27"/>
  <c r="L202" i="27"/>
  <c r="K202" i="27"/>
  <c r="J202" i="27"/>
  <c r="I202" i="27"/>
  <c r="H202" i="27"/>
  <c r="G202" i="27"/>
  <c r="C202" i="27"/>
  <c r="L201" i="27"/>
  <c r="K201" i="27"/>
  <c r="J201" i="27"/>
  <c r="I201" i="27"/>
  <c r="H201" i="27"/>
  <c r="G201" i="27"/>
  <c r="C201" i="27"/>
  <c r="L200" i="27"/>
  <c r="K200" i="27"/>
  <c r="J200" i="27"/>
  <c r="I200" i="27"/>
  <c r="H200" i="27"/>
  <c r="G200" i="27"/>
  <c r="C200" i="27"/>
  <c r="L199" i="27"/>
  <c r="K199" i="27"/>
  <c r="J199" i="27"/>
  <c r="I199" i="27"/>
  <c r="H199" i="27"/>
  <c r="G199" i="27"/>
  <c r="C199" i="27"/>
  <c r="L198" i="27"/>
  <c r="K198" i="27"/>
  <c r="J198" i="27"/>
  <c r="I198" i="27"/>
  <c r="H198" i="27"/>
  <c r="G198" i="27"/>
  <c r="C198" i="27"/>
  <c r="L197" i="27"/>
  <c r="K197" i="27"/>
  <c r="J197" i="27"/>
  <c r="I197" i="27"/>
  <c r="H197" i="27"/>
  <c r="G197" i="27"/>
  <c r="C197" i="27"/>
  <c r="L196" i="27"/>
  <c r="K196" i="27"/>
  <c r="J196" i="27"/>
  <c r="I196" i="27"/>
  <c r="H196" i="27"/>
  <c r="G196" i="27"/>
  <c r="C196" i="27"/>
  <c r="L195" i="27"/>
  <c r="K195" i="27"/>
  <c r="J195" i="27"/>
  <c r="I195" i="27"/>
  <c r="H195" i="27"/>
  <c r="G195" i="27"/>
  <c r="C195" i="27"/>
  <c r="L194" i="27"/>
  <c r="K194" i="27"/>
  <c r="J194" i="27"/>
  <c r="I194" i="27"/>
  <c r="H194" i="27"/>
  <c r="G194" i="27"/>
  <c r="C194" i="27"/>
  <c r="L193" i="27"/>
  <c r="K193" i="27"/>
  <c r="J193" i="27"/>
  <c r="I193" i="27"/>
  <c r="H193" i="27"/>
  <c r="G193" i="27"/>
  <c r="C193" i="27"/>
  <c r="L192" i="27"/>
  <c r="K192" i="27"/>
  <c r="J192" i="27"/>
  <c r="I192" i="27"/>
  <c r="H192" i="27"/>
  <c r="G192" i="27"/>
  <c r="C192" i="27"/>
  <c r="L191" i="27"/>
  <c r="K191" i="27"/>
  <c r="J191" i="27"/>
  <c r="I191" i="27"/>
  <c r="H191" i="27"/>
  <c r="G191" i="27"/>
  <c r="C191" i="27"/>
  <c r="L190" i="27"/>
  <c r="K190" i="27"/>
  <c r="J190" i="27"/>
  <c r="I190" i="27"/>
  <c r="H190" i="27"/>
  <c r="G190" i="27"/>
  <c r="C190" i="27"/>
  <c r="L189" i="27"/>
  <c r="K189" i="27"/>
  <c r="J189" i="27"/>
  <c r="I189" i="27"/>
  <c r="H189" i="27"/>
  <c r="G189" i="27"/>
  <c r="C189" i="27"/>
  <c r="L188" i="27"/>
  <c r="K188" i="27"/>
  <c r="J188" i="27"/>
  <c r="I188" i="27"/>
  <c r="H188" i="27"/>
  <c r="G188" i="27"/>
  <c r="C188" i="27"/>
  <c r="L187" i="27"/>
  <c r="K187" i="27"/>
  <c r="J187" i="27"/>
  <c r="I187" i="27"/>
  <c r="H187" i="27"/>
  <c r="G187" i="27"/>
  <c r="C187" i="27"/>
  <c r="L186" i="27"/>
  <c r="K186" i="27"/>
  <c r="J186" i="27"/>
  <c r="I186" i="27"/>
  <c r="H186" i="27"/>
  <c r="G186" i="27"/>
  <c r="C186" i="27"/>
  <c r="L185" i="27"/>
  <c r="K185" i="27"/>
  <c r="J185" i="27"/>
  <c r="I185" i="27"/>
  <c r="H185" i="27"/>
  <c r="G185" i="27"/>
  <c r="C185" i="27"/>
  <c r="L184" i="27"/>
  <c r="K184" i="27"/>
  <c r="J184" i="27"/>
  <c r="I184" i="27"/>
  <c r="H184" i="27"/>
  <c r="G184" i="27"/>
  <c r="C184" i="27"/>
  <c r="L183" i="27"/>
  <c r="K183" i="27"/>
  <c r="J183" i="27"/>
  <c r="I183" i="27"/>
  <c r="H183" i="27"/>
  <c r="G183" i="27"/>
  <c r="C183" i="27"/>
  <c r="L182" i="27"/>
  <c r="K182" i="27"/>
  <c r="J182" i="27"/>
  <c r="I182" i="27"/>
  <c r="H182" i="27"/>
  <c r="G182" i="27"/>
  <c r="C182" i="27"/>
  <c r="L181" i="27"/>
  <c r="K181" i="27"/>
  <c r="J181" i="27"/>
  <c r="I181" i="27"/>
  <c r="H181" i="27"/>
  <c r="G181" i="27"/>
  <c r="C181" i="27"/>
  <c r="L180" i="27"/>
  <c r="K180" i="27"/>
  <c r="J180" i="27"/>
  <c r="I180" i="27"/>
  <c r="H180" i="27"/>
  <c r="G180" i="27"/>
  <c r="C180" i="27"/>
  <c r="L179" i="27"/>
  <c r="K179" i="27"/>
  <c r="J179" i="27"/>
  <c r="I179" i="27"/>
  <c r="H179" i="27"/>
  <c r="G179" i="27"/>
  <c r="C179" i="27"/>
  <c r="L178" i="27"/>
  <c r="K178" i="27"/>
  <c r="J178" i="27"/>
  <c r="I178" i="27"/>
  <c r="H178" i="27"/>
  <c r="G178" i="27"/>
  <c r="C178" i="27"/>
  <c r="L177" i="27"/>
  <c r="K177" i="27"/>
  <c r="J177" i="27"/>
  <c r="I177" i="27"/>
  <c r="H177" i="27"/>
  <c r="G177" i="27"/>
  <c r="C177" i="27"/>
  <c r="L176" i="27"/>
  <c r="K176" i="27"/>
  <c r="J176" i="27"/>
  <c r="I176" i="27"/>
  <c r="H176" i="27"/>
  <c r="G176" i="27"/>
  <c r="C176" i="27"/>
  <c r="L175" i="27"/>
  <c r="K175" i="27"/>
  <c r="J175" i="27"/>
  <c r="I175" i="27"/>
  <c r="H175" i="27"/>
  <c r="G175" i="27"/>
  <c r="C175" i="27"/>
  <c r="L174" i="27"/>
  <c r="K174" i="27"/>
  <c r="J174" i="27"/>
  <c r="I174" i="27"/>
  <c r="H174" i="27"/>
  <c r="G174" i="27"/>
  <c r="C174" i="27"/>
  <c r="L173" i="27"/>
  <c r="K173" i="27"/>
  <c r="J173" i="27"/>
  <c r="I173" i="27"/>
  <c r="H173" i="27"/>
  <c r="G173" i="27"/>
  <c r="C173" i="27"/>
  <c r="L172" i="27"/>
  <c r="K172" i="27"/>
  <c r="J172" i="27"/>
  <c r="I172" i="27"/>
  <c r="H172" i="27"/>
  <c r="G172" i="27"/>
  <c r="C172" i="27"/>
  <c r="L171" i="27"/>
  <c r="K171" i="27"/>
  <c r="J171" i="27"/>
  <c r="I171" i="27"/>
  <c r="H171" i="27"/>
  <c r="G171" i="27"/>
  <c r="C171" i="27"/>
  <c r="L170" i="27"/>
  <c r="K170" i="27"/>
  <c r="J170" i="27"/>
  <c r="I170" i="27"/>
  <c r="H170" i="27"/>
  <c r="G170" i="27"/>
  <c r="C170" i="27"/>
  <c r="L169" i="27"/>
  <c r="K169" i="27"/>
  <c r="J169" i="27"/>
  <c r="I169" i="27"/>
  <c r="H169" i="27"/>
  <c r="G169" i="27"/>
  <c r="C169" i="27"/>
  <c r="L168" i="27"/>
  <c r="K168" i="27"/>
  <c r="J168" i="27"/>
  <c r="I168" i="27"/>
  <c r="H168" i="27"/>
  <c r="G168" i="27"/>
  <c r="C168" i="27"/>
  <c r="L167" i="27"/>
  <c r="K167" i="27"/>
  <c r="J167" i="27"/>
  <c r="I167" i="27"/>
  <c r="H167" i="27"/>
  <c r="G167" i="27"/>
  <c r="C167" i="27"/>
  <c r="L166" i="27"/>
  <c r="K166" i="27"/>
  <c r="J166" i="27"/>
  <c r="I166" i="27"/>
  <c r="H166" i="27"/>
  <c r="G166" i="27"/>
  <c r="C166" i="27"/>
  <c r="L165" i="27"/>
  <c r="K165" i="27"/>
  <c r="J165" i="27"/>
  <c r="I165" i="27"/>
  <c r="H165" i="27"/>
  <c r="G165" i="27"/>
  <c r="C165" i="27"/>
  <c r="L164" i="27"/>
  <c r="K164" i="27"/>
  <c r="J164" i="27"/>
  <c r="I164" i="27"/>
  <c r="H164" i="27"/>
  <c r="G164" i="27"/>
  <c r="C164" i="27"/>
  <c r="L163" i="27"/>
  <c r="K163" i="27"/>
  <c r="J163" i="27"/>
  <c r="I163" i="27"/>
  <c r="H163" i="27"/>
  <c r="G163" i="27"/>
  <c r="C163" i="27"/>
  <c r="L162" i="27"/>
  <c r="K162" i="27"/>
  <c r="J162" i="27"/>
  <c r="I162" i="27"/>
  <c r="H162" i="27"/>
  <c r="G162" i="27"/>
  <c r="C162" i="27"/>
  <c r="L161" i="27"/>
  <c r="K161" i="27"/>
  <c r="J161" i="27"/>
  <c r="I161" i="27"/>
  <c r="H161" i="27"/>
  <c r="G161" i="27"/>
  <c r="C161" i="27"/>
  <c r="L160" i="27"/>
  <c r="K160" i="27"/>
  <c r="J160" i="27"/>
  <c r="I160" i="27"/>
  <c r="H160" i="27"/>
  <c r="G160" i="27"/>
  <c r="C160" i="27"/>
  <c r="L159" i="27"/>
  <c r="K159" i="27"/>
  <c r="J159" i="27"/>
  <c r="I159" i="27"/>
  <c r="H159" i="27"/>
  <c r="G159" i="27"/>
  <c r="C159" i="27"/>
  <c r="L158" i="27"/>
  <c r="K158" i="27"/>
  <c r="J158" i="27"/>
  <c r="I158" i="27"/>
  <c r="H158" i="27"/>
  <c r="G158" i="27"/>
  <c r="C158" i="27"/>
  <c r="L157" i="27"/>
  <c r="K157" i="27"/>
  <c r="J157" i="27"/>
  <c r="I157" i="27"/>
  <c r="H157" i="27"/>
  <c r="G157" i="27"/>
  <c r="C157" i="27"/>
  <c r="L156" i="27"/>
  <c r="K156" i="27"/>
  <c r="J156" i="27"/>
  <c r="I156" i="27"/>
  <c r="H156" i="27"/>
  <c r="G156" i="27"/>
  <c r="C156" i="27"/>
  <c r="L155" i="27"/>
  <c r="K155" i="27"/>
  <c r="J155" i="27"/>
  <c r="I155" i="27"/>
  <c r="H155" i="27"/>
  <c r="G155" i="27"/>
  <c r="C155" i="27"/>
  <c r="L154" i="27"/>
  <c r="K154" i="27"/>
  <c r="J154" i="27"/>
  <c r="I154" i="27"/>
  <c r="H154" i="27"/>
  <c r="G154" i="27"/>
  <c r="C154" i="27"/>
  <c r="L153" i="27"/>
  <c r="K153" i="27"/>
  <c r="J153" i="27"/>
  <c r="I153" i="27"/>
  <c r="H153" i="27"/>
  <c r="G153" i="27"/>
  <c r="C153" i="27"/>
  <c r="L152" i="27"/>
  <c r="K152" i="27"/>
  <c r="J152" i="27"/>
  <c r="I152" i="27"/>
  <c r="H152" i="27"/>
  <c r="G152" i="27"/>
  <c r="C152" i="27"/>
  <c r="L151" i="27"/>
  <c r="K151" i="27"/>
  <c r="J151" i="27"/>
  <c r="I151" i="27"/>
  <c r="H151" i="27"/>
  <c r="G151" i="27"/>
  <c r="C151" i="27"/>
  <c r="L150" i="27"/>
  <c r="K150" i="27"/>
  <c r="J150" i="27"/>
  <c r="I150" i="27"/>
  <c r="H150" i="27"/>
  <c r="G150" i="27"/>
  <c r="C150" i="27"/>
  <c r="L149" i="27"/>
  <c r="K149" i="27"/>
  <c r="J149" i="27"/>
  <c r="I149" i="27"/>
  <c r="H149" i="27"/>
  <c r="G149" i="27"/>
  <c r="C149" i="27"/>
  <c r="L148" i="27"/>
  <c r="K148" i="27"/>
  <c r="J148" i="27"/>
  <c r="I148" i="27"/>
  <c r="H148" i="27"/>
  <c r="G148" i="27"/>
  <c r="C148" i="27"/>
  <c r="L147" i="27"/>
  <c r="K147" i="27"/>
  <c r="J147" i="27"/>
  <c r="I147" i="27"/>
  <c r="H147" i="27"/>
  <c r="G147" i="27"/>
  <c r="C147" i="27"/>
  <c r="L146" i="27"/>
  <c r="K146" i="27"/>
  <c r="J146" i="27"/>
  <c r="I146" i="27"/>
  <c r="H146" i="27"/>
  <c r="G146" i="27"/>
  <c r="C146" i="27"/>
  <c r="L145" i="27"/>
  <c r="K145" i="27"/>
  <c r="J145" i="27"/>
  <c r="I145" i="27"/>
  <c r="H145" i="27"/>
  <c r="G145" i="27"/>
  <c r="C145" i="27"/>
  <c r="L144" i="27"/>
  <c r="K144" i="27"/>
  <c r="J144" i="27"/>
  <c r="I144" i="27"/>
  <c r="H144" i="27"/>
  <c r="G144" i="27"/>
  <c r="C144" i="27"/>
  <c r="L143" i="27"/>
  <c r="K143" i="27"/>
  <c r="J143" i="27"/>
  <c r="I143" i="27"/>
  <c r="H143" i="27"/>
  <c r="G143" i="27"/>
  <c r="C143" i="27"/>
  <c r="L142" i="27"/>
  <c r="K142" i="27"/>
  <c r="J142" i="27"/>
  <c r="I142" i="27"/>
  <c r="H142" i="27"/>
  <c r="G142" i="27"/>
  <c r="C142" i="27"/>
  <c r="L141" i="27"/>
  <c r="K141" i="27"/>
  <c r="J141" i="27"/>
  <c r="I141" i="27"/>
  <c r="H141" i="27"/>
  <c r="G141" i="27"/>
  <c r="C141" i="27"/>
  <c r="L140" i="27"/>
  <c r="K140" i="27"/>
  <c r="J140" i="27"/>
  <c r="I140" i="27"/>
  <c r="H140" i="27"/>
  <c r="G140" i="27"/>
  <c r="C140" i="27"/>
  <c r="L139" i="27"/>
  <c r="K139" i="27"/>
  <c r="J139" i="27"/>
  <c r="I139" i="27"/>
  <c r="H139" i="27"/>
  <c r="G139" i="27"/>
  <c r="C139" i="27"/>
  <c r="L138" i="27"/>
  <c r="K138" i="27"/>
  <c r="J138" i="27"/>
  <c r="I138" i="27"/>
  <c r="H138" i="27"/>
  <c r="G138" i="27"/>
  <c r="C138" i="27"/>
  <c r="L137" i="27"/>
  <c r="K137" i="27"/>
  <c r="J137" i="27"/>
  <c r="I137" i="27"/>
  <c r="H137" i="27"/>
  <c r="G137" i="27"/>
  <c r="C137" i="27"/>
  <c r="L136" i="27"/>
  <c r="K136" i="27"/>
  <c r="J136" i="27"/>
  <c r="I136" i="27"/>
  <c r="H136" i="27"/>
  <c r="G136" i="27"/>
  <c r="C136" i="27"/>
  <c r="L135" i="27"/>
  <c r="K135" i="27"/>
  <c r="J135" i="27"/>
  <c r="I135" i="27"/>
  <c r="H135" i="27"/>
  <c r="G135" i="27"/>
  <c r="C135" i="27"/>
  <c r="L134" i="27"/>
  <c r="K134" i="27"/>
  <c r="J134" i="27"/>
  <c r="I134" i="27"/>
  <c r="H134" i="27"/>
  <c r="G134" i="27"/>
  <c r="C134" i="27"/>
  <c r="L133" i="27"/>
  <c r="K133" i="27"/>
  <c r="J133" i="27"/>
  <c r="I133" i="27"/>
  <c r="H133" i="27"/>
  <c r="G133" i="27"/>
  <c r="C133" i="27"/>
  <c r="L132" i="27"/>
  <c r="K132" i="27"/>
  <c r="J132" i="27"/>
  <c r="I132" i="27"/>
  <c r="H132" i="27"/>
  <c r="G132" i="27"/>
  <c r="C132" i="27"/>
  <c r="L131" i="27"/>
  <c r="K131" i="27"/>
  <c r="J131" i="27"/>
  <c r="I131" i="27"/>
  <c r="H131" i="27"/>
  <c r="G131" i="27"/>
  <c r="C131" i="27"/>
  <c r="L130" i="27"/>
  <c r="K130" i="27"/>
  <c r="J130" i="27"/>
  <c r="I130" i="27"/>
  <c r="H130" i="27"/>
  <c r="G130" i="27"/>
  <c r="C130" i="27"/>
  <c r="L129" i="27"/>
  <c r="K129" i="27"/>
  <c r="J129" i="27"/>
  <c r="I129" i="27"/>
  <c r="H129" i="27"/>
  <c r="G129" i="27"/>
  <c r="C129" i="27"/>
  <c r="L128" i="27"/>
  <c r="K128" i="27"/>
  <c r="J128" i="27"/>
  <c r="I128" i="27"/>
  <c r="H128" i="27"/>
  <c r="G128" i="27"/>
  <c r="C128" i="27"/>
  <c r="L127" i="27"/>
  <c r="K127" i="27"/>
  <c r="J127" i="27"/>
  <c r="I127" i="27"/>
  <c r="H127" i="27"/>
  <c r="G127" i="27"/>
  <c r="C127" i="27"/>
  <c r="L126" i="27"/>
  <c r="K126" i="27"/>
  <c r="J126" i="27"/>
  <c r="I126" i="27"/>
  <c r="H126" i="27"/>
  <c r="G126" i="27"/>
  <c r="C126" i="27"/>
  <c r="L125" i="27"/>
  <c r="K125" i="27"/>
  <c r="J125" i="27"/>
  <c r="I125" i="27"/>
  <c r="H125" i="27"/>
  <c r="G125" i="27"/>
  <c r="C125" i="27"/>
  <c r="L124" i="27"/>
  <c r="K124" i="27"/>
  <c r="J124" i="27"/>
  <c r="I124" i="27"/>
  <c r="H124" i="27"/>
  <c r="G124" i="27"/>
  <c r="C124" i="27"/>
  <c r="L123" i="27"/>
  <c r="K123" i="27"/>
  <c r="J123" i="27"/>
  <c r="I123" i="27"/>
  <c r="H123" i="27"/>
  <c r="G123" i="27"/>
  <c r="C123" i="27"/>
  <c r="L122" i="27"/>
  <c r="K122" i="27"/>
  <c r="J122" i="27"/>
  <c r="I122" i="27"/>
  <c r="H122" i="27"/>
  <c r="G122" i="27"/>
  <c r="C122" i="27"/>
  <c r="L121" i="27"/>
  <c r="K121" i="27"/>
  <c r="J121" i="27"/>
  <c r="I121" i="27"/>
  <c r="H121" i="27"/>
  <c r="G121" i="27"/>
  <c r="C121" i="27"/>
  <c r="L120" i="27"/>
  <c r="K120" i="27"/>
  <c r="J120" i="27"/>
  <c r="I120" i="27"/>
  <c r="H120" i="27"/>
  <c r="G120" i="27"/>
  <c r="C120" i="27"/>
  <c r="L119" i="27"/>
  <c r="K119" i="27"/>
  <c r="J119" i="27"/>
  <c r="I119" i="27"/>
  <c r="H119" i="27"/>
  <c r="G119" i="27"/>
  <c r="C119" i="27"/>
  <c r="L118" i="27"/>
  <c r="K118" i="27"/>
  <c r="J118" i="27"/>
  <c r="I118" i="27"/>
  <c r="H118" i="27"/>
  <c r="G118" i="27"/>
  <c r="C118" i="27"/>
  <c r="L117" i="27"/>
  <c r="K117" i="27"/>
  <c r="J117" i="27"/>
  <c r="I117" i="27"/>
  <c r="H117" i="27"/>
  <c r="G117" i="27"/>
  <c r="C117" i="27"/>
  <c r="L116" i="27"/>
  <c r="K116" i="27"/>
  <c r="J116" i="27"/>
  <c r="I116" i="27"/>
  <c r="H116" i="27"/>
  <c r="G116" i="27"/>
  <c r="C116" i="27"/>
  <c r="L115" i="27"/>
  <c r="K115" i="27"/>
  <c r="J115" i="27"/>
  <c r="I115" i="27"/>
  <c r="H115" i="27"/>
  <c r="G115" i="27"/>
  <c r="C115" i="27"/>
  <c r="L114" i="27"/>
  <c r="K114" i="27"/>
  <c r="J114" i="27"/>
  <c r="I114" i="27"/>
  <c r="H114" i="27"/>
  <c r="G114" i="27"/>
  <c r="C114" i="27"/>
  <c r="L113" i="27"/>
  <c r="K113" i="27"/>
  <c r="J113" i="27"/>
  <c r="I113" i="27"/>
  <c r="H113" i="27"/>
  <c r="G113" i="27"/>
  <c r="C113" i="27"/>
  <c r="L112" i="27"/>
  <c r="K112" i="27"/>
  <c r="J112" i="27"/>
  <c r="I112" i="27"/>
  <c r="H112" i="27"/>
  <c r="G112" i="27"/>
  <c r="C112" i="27"/>
  <c r="L111" i="27"/>
  <c r="K111" i="27"/>
  <c r="J111" i="27"/>
  <c r="I111" i="27"/>
  <c r="H111" i="27"/>
  <c r="G111" i="27"/>
  <c r="C111" i="27"/>
  <c r="L110" i="27"/>
  <c r="K110" i="27"/>
  <c r="J110" i="27"/>
  <c r="I110" i="27"/>
  <c r="H110" i="27"/>
  <c r="G110" i="27"/>
  <c r="C110" i="27"/>
  <c r="L109" i="27"/>
  <c r="K109" i="27"/>
  <c r="J109" i="27"/>
  <c r="I109" i="27"/>
  <c r="H109" i="27"/>
  <c r="G109" i="27"/>
  <c r="C109" i="27"/>
  <c r="L108" i="27"/>
  <c r="K108" i="27"/>
  <c r="J108" i="27"/>
  <c r="I108" i="27"/>
  <c r="H108" i="27"/>
  <c r="G108" i="27"/>
  <c r="C108" i="27"/>
  <c r="L107" i="27"/>
  <c r="K107" i="27"/>
  <c r="J107" i="27"/>
  <c r="I107" i="27"/>
  <c r="H107" i="27"/>
  <c r="G107" i="27"/>
  <c r="C107" i="27"/>
  <c r="L106" i="27"/>
  <c r="K106" i="27"/>
  <c r="J106" i="27"/>
  <c r="I106" i="27"/>
  <c r="H106" i="27"/>
  <c r="G106" i="27"/>
  <c r="C106" i="27"/>
  <c r="L105" i="27"/>
  <c r="K105" i="27"/>
  <c r="J105" i="27"/>
  <c r="I105" i="27"/>
  <c r="H105" i="27"/>
  <c r="G105" i="27"/>
  <c r="C105" i="27"/>
  <c r="L104" i="27"/>
  <c r="K104" i="27"/>
  <c r="J104" i="27"/>
  <c r="I104" i="27"/>
  <c r="H104" i="27"/>
  <c r="G104" i="27"/>
  <c r="C104" i="27"/>
  <c r="L103" i="27"/>
  <c r="K103" i="27"/>
  <c r="J103" i="27"/>
  <c r="I103" i="27"/>
  <c r="H103" i="27"/>
  <c r="G103" i="27"/>
  <c r="C103" i="27"/>
  <c r="L102" i="27"/>
  <c r="K102" i="27"/>
  <c r="J102" i="27"/>
  <c r="I102" i="27"/>
  <c r="H102" i="27"/>
  <c r="G102" i="27"/>
  <c r="C102" i="27"/>
  <c r="L101" i="27"/>
  <c r="K101" i="27"/>
  <c r="J101" i="27"/>
  <c r="I101" i="27"/>
  <c r="H101" i="27"/>
  <c r="G101" i="27"/>
  <c r="C101" i="27"/>
  <c r="L100" i="27"/>
  <c r="K100" i="27"/>
  <c r="J100" i="27"/>
  <c r="I100" i="27"/>
  <c r="H100" i="27"/>
  <c r="G100" i="27"/>
  <c r="C100" i="27"/>
  <c r="L99" i="27"/>
  <c r="K99" i="27"/>
  <c r="J99" i="27"/>
  <c r="I99" i="27"/>
  <c r="H99" i="27"/>
  <c r="G99" i="27"/>
  <c r="C99" i="27"/>
  <c r="L98" i="27"/>
  <c r="K98" i="27"/>
  <c r="J98" i="27"/>
  <c r="I98" i="27"/>
  <c r="H98" i="27"/>
  <c r="G98" i="27"/>
  <c r="C98" i="27"/>
  <c r="L97" i="27"/>
  <c r="K97" i="27"/>
  <c r="J97" i="27"/>
  <c r="I97" i="27"/>
  <c r="H97" i="27"/>
  <c r="G97" i="27"/>
  <c r="C97" i="27"/>
  <c r="L96" i="27"/>
  <c r="K96" i="27"/>
  <c r="J96" i="27"/>
  <c r="I96" i="27"/>
  <c r="H96" i="27"/>
  <c r="G96" i="27"/>
  <c r="C96" i="27"/>
  <c r="L95" i="27"/>
  <c r="K95" i="27"/>
  <c r="J95" i="27"/>
  <c r="I95" i="27"/>
  <c r="H95" i="27"/>
  <c r="G95" i="27"/>
  <c r="C95" i="27"/>
  <c r="L94" i="27"/>
  <c r="K94" i="27"/>
  <c r="J94" i="27"/>
  <c r="I94" i="27"/>
  <c r="H94" i="27"/>
  <c r="G94" i="27"/>
  <c r="C94" i="27"/>
  <c r="L93" i="27"/>
  <c r="K93" i="27"/>
  <c r="J93" i="27"/>
  <c r="I93" i="27"/>
  <c r="H93" i="27"/>
  <c r="G93" i="27"/>
  <c r="C93" i="27"/>
  <c r="L92" i="27"/>
  <c r="K92" i="27"/>
  <c r="J92" i="27"/>
  <c r="I92" i="27"/>
  <c r="H92" i="27"/>
  <c r="G92" i="27"/>
  <c r="C92" i="27"/>
  <c r="L91" i="27"/>
  <c r="K91" i="27"/>
  <c r="J91" i="27"/>
  <c r="I91" i="27"/>
  <c r="H91" i="27"/>
  <c r="G91" i="27"/>
  <c r="C91" i="27"/>
  <c r="L90" i="27"/>
  <c r="K90" i="27"/>
  <c r="J90" i="27"/>
  <c r="I90" i="27"/>
  <c r="H90" i="27"/>
  <c r="G90" i="27"/>
  <c r="C90" i="27"/>
  <c r="L89" i="27"/>
  <c r="K89" i="27"/>
  <c r="J89" i="27"/>
  <c r="I89" i="27"/>
  <c r="H89" i="27"/>
  <c r="G89" i="27"/>
  <c r="C89" i="27"/>
  <c r="L88" i="27"/>
  <c r="K88" i="27"/>
  <c r="J88" i="27"/>
  <c r="I88" i="27"/>
  <c r="H88" i="27"/>
  <c r="G88" i="27"/>
  <c r="C88" i="27"/>
  <c r="L87" i="27"/>
  <c r="K87" i="27"/>
  <c r="J87" i="27"/>
  <c r="I87" i="27"/>
  <c r="H87" i="27"/>
  <c r="G87" i="27"/>
  <c r="C87" i="27"/>
  <c r="L86" i="27"/>
  <c r="K86" i="27"/>
  <c r="J86" i="27"/>
  <c r="I86" i="27"/>
  <c r="H86" i="27"/>
  <c r="G86" i="27"/>
  <c r="C86" i="27"/>
  <c r="L85" i="27"/>
  <c r="K85" i="27"/>
  <c r="J85" i="27"/>
  <c r="I85" i="27"/>
  <c r="H85" i="27"/>
  <c r="G85" i="27"/>
  <c r="C85" i="27"/>
  <c r="L84" i="27"/>
  <c r="K84" i="27"/>
  <c r="J84" i="27"/>
  <c r="I84" i="27"/>
  <c r="H84" i="27"/>
  <c r="G84" i="27"/>
  <c r="C84" i="27"/>
  <c r="L83" i="27"/>
  <c r="K83" i="27"/>
  <c r="J83" i="27"/>
  <c r="I83" i="27"/>
  <c r="H83" i="27"/>
  <c r="G83" i="27"/>
  <c r="C83" i="27"/>
  <c r="L82" i="27"/>
  <c r="K82" i="27"/>
  <c r="J82" i="27"/>
  <c r="I82" i="27"/>
  <c r="H82" i="27"/>
  <c r="G82" i="27"/>
  <c r="C82" i="27"/>
  <c r="L81" i="27"/>
  <c r="K81" i="27"/>
  <c r="J81" i="27"/>
  <c r="I81" i="27"/>
  <c r="H81" i="27"/>
  <c r="G81" i="27"/>
  <c r="C81" i="27"/>
  <c r="L80" i="27"/>
  <c r="K80" i="27"/>
  <c r="J80" i="27"/>
  <c r="I80" i="27"/>
  <c r="H80" i="27"/>
  <c r="G80" i="27"/>
  <c r="C80" i="27"/>
  <c r="L79" i="27"/>
  <c r="K79" i="27"/>
  <c r="J79" i="27"/>
  <c r="I79" i="27"/>
  <c r="H79" i="27"/>
  <c r="G79" i="27"/>
  <c r="C79" i="27"/>
  <c r="L78" i="27"/>
  <c r="K78" i="27"/>
  <c r="J78" i="27"/>
  <c r="I78" i="27"/>
  <c r="H78" i="27"/>
  <c r="G78" i="27"/>
  <c r="C78" i="27"/>
  <c r="L77" i="27"/>
  <c r="K77" i="27"/>
  <c r="J77" i="27"/>
  <c r="I77" i="27"/>
  <c r="H77" i="27"/>
  <c r="G77" i="27"/>
  <c r="C77" i="27"/>
  <c r="L76" i="27"/>
  <c r="K76" i="27"/>
  <c r="J76" i="27"/>
  <c r="I76" i="27"/>
  <c r="H76" i="27"/>
  <c r="G76" i="27"/>
  <c r="C76" i="27"/>
  <c r="L75" i="27"/>
  <c r="K75" i="27"/>
  <c r="J75" i="27"/>
  <c r="I75" i="27"/>
  <c r="H75" i="27"/>
  <c r="G75" i="27"/>
  <c r="C75" i="27"/>
  <c r="L74" i="27"/>
  <c r="K74" i="27"/>
  <c r="J74" i="27"/>
  <c r="I74" i="27"/>
  <c r="H74" i="27"/>
  <c r="G74" i="27"/>
  <c r="C74" i="27"/>
  <c r="L73" i="27"/>
  <c r="K73" i="27"/>
  <c r="J73" i="27"/>
  <c r="I73" i="27"/>
  <c r="H73" i="27"/>
  <c r="G73" i="27"/>
  <c r="C73" i="27"/>
  <c r="L72" i="27"/>
  <c r="K72" i="27"/>
  <c r="J72" i="27"/>
  <c r="I72" i="27"/>
  <c r="H72" i="27"/>
  <c r="G72" i="27"/>
  <c r="C72" i="27"/>
  <c r="L71" i="27"/>
  <c r="K71" i="27"/>
  <c r="J71" i="27"/>
  <c r="I71" i="27"/>
  <c r="H71" i="27"/>
  <c r="G71" i="27"/>
  <c r="C71" i="27"/>
  <c r="L70" i="27"/>
  <c r="K70" i="27"/>
  <c r="J70" i="27"/>
  <c r="I70" i="27"/>
  <c r="H70" i="27"/>
  <c r="G70" i="27"/>
  <c r="C70" i="27"/>
  <c r="L69" i="27"/>
  <c r="K69" i="27"/>
  <c r="J69" i="27"/>
  <c r="I69" i="27"/>
  <c r="H69" i="27"/>
  <c r="G69" i="27"/>
  <c r="C69" i="27"/>
  <c r="L68" i="27"/>
  <c r="K68" i="27"/>
  <c r="J68" i="27"/>
  <c r="I68" i="27"/>
  <c r="H68" i="27"/>
  <c r="G68" i="27"/>
  <c r="C68" i="27"/>
  <c r="L67" i="27"/>
  <c r="K67" i="27"/>
  <c r="J67" i="27"/>
  <c r="I67" i="27"/>
  <c r="H67" i="27"/>
  <c r="G67" i="27"/>
  <c r="C67" i="27"/>
  <c r="L66" i="27"/>
  <c r="K66" i="27"/>
  <c r="J66" i="27"/>
  <c r="I66" i="27"/>
  <c r="H66" i="27"/>
  <c r="G66" i="27"/>
  <c r="C66" i="27"/>
  <c r="L65" i="27"/>
  <c r="K65" i="27"/>
  <c r="J65" i="27"/>
  <c r="I65" i="27"/>
  <c r="H65" i="27"/>
  <c r="G65" i="27"/>
  <c r="C65" i="27"/>
  <c r="L64" i="27"/>
  <c r="K64" i="27"/>
  <c r="J64" i="27"/>
  <c r="I64" i="27"/>
  <c r="H64" i="27"/>
  <c r="G64" i="27"/>
  <c r="C64" i="27"/>
  <c r="L63" i="27"/>
  <c r="K63" i="27"/>
  <c r="J63" i="27"/>
  <c r="I63" i="27"/>
  <c r="H63" i="27"/>
  <c r="G63" i="27"/>
  <c r="C63" i="27"/>
  <c r="L62" i="27"/>
  <c r="K62" i="27"/>
  <c r="J62" i="27"/>
  <c r="I62" i="27"/>
  <c r="H62" i="27"/>
  <c r="G62" i="27"/>
  <c r="C62" i="27"/>
  <c r="L61" i="27"/>
  <c r="K61" i="27"/>
  <c r="J61" i="27"/>
  <c r="I61" i="27"/>
  <c r="H61" i="27"/>
  <c r="G61" i="27"/>
  <c r="C61" i="27"/>
  <c r="L60" i="27"/>
  <c r="K60" i="27"/>
  <c r="J60" i="27"/>
  <c r="I60" i="27"/>
  <c r="H60" i="27"/>
  <c r="G60" i="27"/>
  <c r="C60" i="27"/>
  <c r="L59" i="27"/>
  <c r="K59" i="27"/>
  <c r="J59" i="27"/>
  <c r="I59" i="27"/>
  <c r="H59" i="27"/>
  <c r="G59" i="27"/>
  <c r="C59" i="27"/>
  <c r="L58" i="27"/>
  <c r="K58" i="27"/>
  <c r="J58" i="27"/>
  <c r="I58" i="27"/>
  <c r="H58" i="27"/>
  <c r="G58" i="27"/>
  <c r="C58" i="27"/>
  <c r="L57" i="27"/>
  <c r="K57" i="27"/>
  <c r="J57" i="27"/>
  <c r="I57" i="27"/>
  <c r="H57" i="27"/>
  <c r="G57" i="27"/>
  <c r="C57" i="27"/>
  <c r="L56" i="27"/>
  <c r="K56" i="27"/>
  <c r="J56" i="27"/>
  <c r="I56" i="27"/>
  <c r="H56" i="27"/>
  <c r="G56" i="27"/>
  <c r="C56" i="27"/>
  <c r="L55" i="27"/>
  <c r="K55" i="27"/>
  <c r="J55" i="27"/>
  <c r="I55" i="27"/>
  <c r="H55" i="27"/>
  <c r="G55" i="27"/>
  <c r="C55" i="27"/>
  <c r="L54" i="27"/>
  <c r="K54" i="27"/>
  <c r="J54" i="27"/>
  <c r="I54" i="27"/>
  <c r="H54" i="27"/>
  <c r="G54" i="27"/>
  <c r="C54" i="27"/>
  <c r="L53" i="27"/>
  <c r="K53" i="27"/>
  <c r="J53" i="27"/>
  <c r="I53" i="27"/>
  <c r="H53" i="27"/>
  <c r="G53" i="27"/>
  <c r="C53" i="27"/>
  <c r="L52" i="27"/>
  <c r="K52" i="27"/>
  <c r="J52" i="27"/>
  <c r="I52" i="27"/>
  <c r="H52" i="27"/>
  <c r="G52" i="27"/>
  <c r="C52" i="27"/>
  <c r="L51" i="27"/>
  <c r="K51" i="27"/>
  <c r="J51" i="27"/>
  <c r="I51" i="27"/>
  <c r="H51" i="27"/>
  <c r="G51" i="27"/>
  <c r="C51" i="27"/>
  <c r="L50" i="27"/>
  <c r="K50" i="27"/>
  <c r="J50" i="27"/>
  <c r="I50" i="27"/>
  <c r="H50" i="27"/>
  <c r="G50" i="27"/>
  <c r="C50" i="27"/>
  <c r="L49" i="27"/>
  <c r="K49" i="27"/>
  <c r="J49" i="27"/>
  <c r="I49" i="27"/>
  <c r="H49" i="27"/>
  <c r="G49" i="27"/>
  <c r="C49" i="27"/>
  <c r="L48" i="27"/>
  <c r="K48" i="27"/>
  <c r="J48" i="27"/>
  <c r="I48" i="27"/>
  <c r="H48" i="27"/>
  <c r="G48" i="27"/>
  <c r="C48" i="27"/>
  <c r="L47" i="27"/>
  <c r="K47" i="27"/>
  <c r="J47" i="27"/>
  <c r="I47" i="27"/>
  <c r="H47" i="27"/>
  <c r="G47" i="27"/>
  <c r="C47" i="27"/>
  <c r="L46" i="27"/>
  <c r="K46" i="27"/>
  <c r="J46" i="27"/>
  <c r="I46" i="27"/>
  <c r="H46" i="27"/>
  <c r="G46" i="27"/>
  <c r="C46" i="27"/>
  <c r="L45" i="27"/>
  <c r="K45" i="27"/>
  <c r="J45" i="27"/>
  <c r="I45" i="27"/>
  <c r="H45" i="27"/>
  <c r="G45" i="27"/>
  <c r="C45" i="27"/>
  <c r="L44" i="27"/>
  <c r="K44" i="27"/>
  <c r="J44" i="27"/>
  <c r="I44" i="27"/>
  <c r="H44" i="27"/>
  <c r="G44" i="27"/>
  <c r="C44" i="27"/>
  <c r="L43" i="27"/>
  <c r="K43" i="27"/>
  <c r="J43" i="27"/>
  <c r="I43" i="27"/>
  <c r="H43" i="27"/>
  <c r="G43" i="27"/>
  <c r="C43" i="27"/>
  <c r="L42" i="27"/>
  <c r="K42" i="27"/>
  <c r="J42" i="27"/>
  <c r="I42" i="27"/>
  <c r="H42" i="27"/>
  <c r="G42" i="27"/>
  <c r="C42" i="27"/>
  <c r="L41" i="27"/>
  <c r="K41" i="27"/>
  <c r="J41" i="27"/>
  <c r="I41" i="27"/>
  <c r="H41" i="27"/>
  <c r="G41" i="27"/>
  <c r="C41" i="27"/>
  <c r="L40" i="27"/>
  <c r="K40" i="27"/>
  <c r="J40" i="27"/>
  <c r="I40" i="27"/>
  <c r="H40" i="27"/>
  <c r="G40" i="27"/>
  <c r="C40" i="27"/>
  <c r="L39" i="27"/>
  <c r="K39" i="27"/>
  <c r="J39" i="27"/>
  <c r="I39" i="27"/>
  <c r="H39" i="27"/>
  <c r="G39" i="27"/>
  <c r="C39" i="27"/>
  <c r="L38" i="27"/>
  <c r="K38" i="27"/>
  <c r="J38" i="27"/>
  <c r="I38" i="27"/>
  <c r="H38" i="27"/>
  <c r="G38" i="27"/>
  <c r="C38" i="27"/>
  <c r="L37" i="27"/>
  <c r="K37" i="27"/>
  <c r="J37" i="27"/>
  <c r="I37" i="27"/>
  <c r="H37" i="27"/>
  <c r="G37" i="27"/>
  <c r="C37" i="27"/>
  <c r="L36" i="27"/>
  <c r="K36" i="27"/>
  <c r="J36" i="27"/>
  <c r="I36" i="27"/>
  <c r="H36" i="27"/>
  <c r="G36" i="27"/>
  <c r="C36" i="27"/>
  <c r="L35" i="27"/>
  <c r="K35" i="27"/>
  <c r="J35" i="27"/>
  <c r="I35" i="27"/>
  <c r="H35" i="27"/>
  <c r="G35" i="27"/>
  <c r="C35" i="27"/>
  <c r="L34" i="27"/>
  <c r="K34" i="27"/>
  <c r="J34" i="27"/>
  <c r="I34" i="27"/>
  <c r="H34" i="27"/>
  <c r="G34" i="27"/>
  <c r="C34" i="27"/>
  <c r="L33" i="27"/>
  <c r="K33" i="27"/>
  <c r="J33" i="27"/>
  <c r="I33" i="27"/>
  <c r="H33" i="27"/>
  <c r="G33" i="27"/>
  <c r="C33" i="27"/>
  <c r="L32" i="27"/>
  <c r="K32" i="27"/>
  <c r="J32" i="27"/>
  <c r="I32" i="27"/>
  <c r="H32" i="27"/>
  <c r="G32" i="27"/>
  <c r="C32" i="27"/>
  <c r="L31" i="27"/>
  <c r="K31" i="27"/>
  <c r="J31" i="27"/>
  <c r="I31" i="27"/>
  <c r="H31" i="27"/>
  <c r="G31" i="27"/>
  <c r="C31" i="27"/>
  <c r="L30" i="27"/>
  <c r="K30" i="27"/>
  <c r="J30" i="27"/>
  <c r="I30" i="27"/>
  <c r="H30" i="27"/>
  <c r="G30" i="27"/>
  <c r="C30" i="27"/>
  <c r="L29" i="27"/>
  <c r="K29" i="27"/>
  <c r="J29" i="27"/>
  <c r="I29" i="27"/>
  <c r="H29" i="27"/>
  <c r="G29" i="27"/>
  <c r="C29" i="27"/>
  <c r="L28" i="27"/>
  <c r="K28" i="27"/>
  <c r="J28" i="27"/>
  <c r="I28" i="27"/>
  <c r="H28" i="27"/>
  <c r="G28" i="27"/>
  <c r="C28" i="27"/>
  <c r="L27" i="27"/>
  <c r="K27" i="27"/>
  <c r="J27" i="27"/>
  <c r="I27" i="27"/>
  <c r="H27" i="27"/>
  <c r="G27" i="27"/>
  <c r="C27" i="27"/>
  <c r="L26" i="27"/>
  <c r="K26" i="27"/>
  <c r="J26" i="27"/>
  <c r="I26" i="27"/>
  <c r="H26" i="27"/>
  <c r="G26" i="27"/>
  <c r="C26" i="27"/>
  <c r="L25" i="27"/>
  <c r="K25" i="27"/>
  <c r="J25" i="27"/>
  <c r="I25" i="27"/>
  <c r="H25" i="27"/>
  <c r="G25" i="27"/>
  <c r="C25" i="27"/>
  <c r="L24" i="27"/>
  <c r="K24" i="27"/>
  <c r="J24" i="27"/>
  <c r="I24" i="27"/>
  <c r="H24" i="27"/>
  <c r="G24" i="27"/>
  <c r="C24" i="27"/>
  <c r="L23" i="27"/>
  <c r="K23" i="27"/>
  <c r="J23" i="27"/>
  <c r="I23" i="27"/>
  <c r="H23" i="27"/>
  <c r="G23" i="27"/>
  <c r="C23" i="27"/>
  <c r="L22" i="27"/>
  <c r="K22" i="27"/>
  <c r="J22" i="27"/>
  <c r="I22" i="27"/>
  <c r="H22" i="27"/>
  <c r="G22" i="27"/>
  <c r="C22" i="27"/>
  <c r="L21" i="27"/>
  <c r="K21" i="27"/>
  <c r="J21" i="27"/>
  <c r="I21" i="27"/>
  <c r="H21" i="27"/>
  <c r="G21" i="27"/>
  <c r="C21" i="27"/>
  <c r="L20" i="27"/>
  <c r="K20" i="27"/>
  <c r="J20" i="27"/>
  <c r="I20" i="27"/>
  <c r="H20" i="27"/>
  <c r="G20" i="27"/>
  <c r="C20" i="27"/>
  <c r="L19" i="27"/>
  <c r="K19" i="27"/>
  <c r="J19" i="27"/>
  <c r="I19" i="27"/>
  <c r="H19" i="27"/>
  <c r="G19" i="27"/>
  <c r="C19" i="27"/>
  <c r="L18" i="27"/>
  <c r="K18" i="27"/>
  <c r="J18" i="27"/>
  <c r="I18" i="27"/>
  <c r="H18" i="27"/>
  <c r="G18" i="27"/>
  <c r="C18" i="27"/>
  <c r="L17" i="27"/>
  <c r="K17" i="27"/>
  <c r="J17" i="27"/>
  <c r="I17" i="27"/>
  <c r="H17" i="27"/>
  <c r="G17" i="27"/>
  <c r="C17" i="27"/>
  <c r="L16" i="27"/>
  <c r="K16" i="27"/>
  <c r="J16" i="27"/>
  <c r="I16" i="27"/>
  <c r="H16" i="27"/>
  <c r="G16" i="27"/>
  <c r="C16" i="27"/>
  <c r="L15" i="27"/>
  <c r="K15" i="27"/>
  <c r="J15" i="27"/>
  <c r="I15" i="27"/>
  <c r="H15" i="27"/>
  <c r="G15" i="27"/>
  <c r="C15" i="27"/>
  <c r="L14" i="27"/>
  <c r="K14" i="27"/>
  <c r="J14" i="27"/>
  <c r="I14" i="27"/>
  <c r="H14" i="27"/>
  <c r="G14" i="27"/>
  <c r="C14" i="27"/>
  <c r="L13" i="27"/>
  <c r="K13" i="27"/>
  <c r="J13" i="27"/>
  <c r="I13" i="27"/>
  <c r="H13" i="27"/>
  <c r="G13" i="27"/>
  <c r="C13" i="27"/>
  <c r="L12" i="27"/>
  <c r="K12" i="27"/>
  <c r="J12" i="27"/>
  <c r="I12" i="27"/>
  <c r="H12" i="27"/>
  <c r="G12" i="27"/>
  <c r="C12" i="27"/>
  <c r="L11" i="27"/>
  <c r="K11" i="27"/>
  <c r="J11" i="27"/>
  <c r="I11" i="27"/>
  <c r="H11" i="27"/>
  <c r="G11" i="27"/>
  <c r="C11" i="27"/>
  <c r="L10" i="27"/>
  <c r="K10" i="27"/>
  <c r="J10" i="27"/>
  <c r="I10" i="27"/>
  <c r="H10" i="27"/>
  <c r="G10" i="27"/>
  <c r="C10" i="27"/>
  <c r="L9" i="27"/>
  <c r="K9" i="27"/>
  <c r="J9" i="27"/>
  <c r="I9" i="27"/>
  <c r="H9" i="27"/>
  <c r="G9" i="27"/>
  <c r="C9" i="27"/>
  <c r="C2" i="27"/>
  <c r="C3" i="27"/>
  <c r="C4" i="27"/>
  <c r="C5" i="27"/>
  <c r="G2" i="27"/>
  <c r="H2" i="27"/>
  <c r="I2" i="27"/>
  <c r="J2" i="27"/>
  <c r="K2" i="27"/>
  <c r="L2" i="27"/>
  <c r="G3" i="27"/>
  <c r="H3" i="27"/>
  <c r="I3" i="27"/>
  <c r="J3" i="27"/>
  <c r="K3" i="27"/>
  <c r="L3" i="27"/>
  <c r="G4" i="27"/>
  <c r="H4" i="27"/>
  <c r="I4" i="27"/>
  <c r="J4" i="27"/>
  <c r="K4" i="27"/>
  <c r="L4" i="27"/>
  <c r="G5" i="27"/>
  <c r="H5" i="27"/>
  <c r="I5" i="27"/>
  <c r="J5" i="27"/>
  <c r="K5" i="27"/>
  <c r="L5" i="27"/>
  <c r="C6" i="27"/>
  <c r="G6" i="27"/>
  <c r="H6" i="27"/>
  <c r="I6" i="27"/>
  <c r="J6" i="27"/>
  <c r="K6" i="27"/>
  <c r="L6" i="27"/>
  <c r="C7" i="27"/>
  <c r="G7" i="27"/>
  <c r="H7" i="27"/>
  <c r="I7" i="27"/>
  <c r="J7" i="27"/>
  <c r="K7" i="27"/>
  <c r="L7" i="27"/>
  <c r="C8" i="27"/>
  <c r="G8" i="27"/>
  <c r="H8" i="27"/>
  <c r="I8" i="27"/>
  <c r="J8" i="27"/>
  <c r="K8" i="27"/>
  <c r="L8" i="27"/>
  <c r="AX3" i="27"/>
  <c r="AX4" i="27"/>
  <c r="AX5" i="27"/>
  <c r="AX6" i="27"/>
  <c r="AX7" i="27"/>
  <c r="AX8" i="27"/>
  <c r="AW3" i="27"/>
  <c r="AW4" i="27"/>
  <c r="AW5" i="27"/>
  <c r="AW6" i="27"/>
  <c r="AW7" i="27"/>
  <c r="AW8" i="27"/>
  <c r="AV3" i="27"/>
  <c r="AV4" i="27"/>
  <c r="AV5" i="27"/>
  <c r="AV6" i="27"/>
  <c r="AV7" i="27"/>
  <c r="AV8" i="27"/>
  <c r="AU3" i="27"/>
  <c r="AU4" i="27"/>
  <c r="AU5" i="27"/>
  <c r="AU6" i="27"/>
  <c r="AU7" i="27"/>
  <c r="AU8" i="27"/>
  <c r="AT3" i="27"/>
  <c r="AT4" i="27"/>
  <c r="AT5" i="27"/>
  <c r="AT6" i="27"/>
  <c r="AT7" i="27"/>
  <c r="AT8" i="27"/>
  <c r="AS3" i="27"/>
  <c r="AS4" i="27"/>
  <c r="AS5" i="27"/>
  <c r="AS6" i="27"/>
  <c r="AS7" i="27"/>
  <c r="AS8" i="27"/>
  <c r="AR3" i="27"/>
  <c r="AR4" i="27"/>
  <c r="AR5" i="27"/>
  <c r="AR6" i="27"/>
  <c r="AR7" i="27"/>
  <c r="AR8" i="27"/>
  <c r="AQ3" i="27"/>
  <c r="AQ4" i="27"/>
  <c r="AQ5" i="27"/>
  <c r="AQ6" i="27"/>
  <c r="AQ7" i="27"/>
  <c r="AQ8" i="27"/>
  <c r="AP3" i="27"/>
  <c r="AP4" i="27"/>
  <c r="AP5" i="27"/>
  <c r="AP6" i="27"/>
  <c r="AP7" i="27"/>
  <c r="AP8" i="27"/>
  <c r="AO3" i="27"/>
  <c r="AO4" i="27"/>
  <c r="AO5" i="27"/>
  <c r="AO6" i="27"/>
  <c r="AO7" i="27"/>
  <c r="AO8" i="27"/>
  <c r="AN3" i="27"/>
  <c r="AN4" i="27"/>
  <c r="AN5" i="27"/>
  <c r="AN6" i="27"/>
  <c r="AN7" i="27"/>
  <c r="AN8" i="27"/>
  <c r="AM3" i="27"/>
  <c r="AM4" i="27"/>
  <c r="AM5" i="27"/>
  <c r="AM6" i="27"/>
  <c r="AM7" i="27"/>
  <c r="AM8" i="27"/>
  <c r="AL3" i="27"/>
  <c r="AL4" i="27"/>
  <c r="AL5" i="27"/>
  <c r="AL6" i="27"/>
  <c r="AL7" i="27"/>
  <c r="AL8" i="27"/>
  <c r="AK3" i="27"/>
  <c r="AK4" i="27"/>
  <c r="AK5" i="27"/>
  <c r="AK6" i="27"/>
  <c r="AK7" i="27"/>
  <c r="AK8" i="27"/>
  <c r="AJ3" i="27"/>
  <c r="AJ4" i="27"/>
  <c r="AJ5" i="27"/>
  <c r="AJ6" i="27"/>
  <c r="AJ7" i="27"/>
  <c r="AJ8" i="27"/>
  <c r="AI3" i="27"/>
  <c r="AI4" i="27"/>
  <c r="AI5" i="27"/>
  <c r="AI6" i="27"/>
  <c r="AI7" i="27"/>
  <c r="AI8" i="27"/>
  <c r="AH3" i="27"/>
  <c r="AH4" i="27"/>
  <c r="AH5" i="27"/>
  <c r="AH6" i="27"/>
  <c r="AH7" i="27"/>
  <c r="AH8" i="27"/>
  <c r="AG3" i="27"/>
  <c r="AG4" i="27"/>
  <c r="AG5" i="27"/>
  <c r="AG6" i="27"/>
  <c r="AG7" i="27"/>
  <c r="AG8" i="27"/>
  <c r="AF3" i="27"/>
  <c r="AF4" i="27"/>
  <c r="AF5" i="27"/>
  <c r="AF6" i="27"/>
  <c r="AF7" i="27"/>
  <c r="AF8" i="27"/>
  <c r="AE3" i="27"/>
  <c r="AE4" i="27"/>
  <c r="AE5" i="27"/>
  <c r="AE6" i="27"/>
  <c r="AE7" i="27"/>
  <c r="AE8" i="27"/>
  <c r="AD3" i="27"/>
  <c r="AD4" i="27"/>
  <c r="AD5" i="27"/>
  <c r="AD6" i="27"/>
  <c r="AD7" i="27"/>
  <c r="AD8" i="27"/>
  <c r="AC3" i="27"/>
  <c r="AC4" i="27"/>
  <c r="AC5" i="27"/>
  <c r="AC6" i="27"/>
  <c r="AC7" i="27"/>
  <c r="AC8" i="27"/>
  <c r="AB3" i="27"/>
  <c r="AB4" i="27"/>
  <c r="AB5" i="27"/>
  <c r="AB6" i="27"/>
  <c r="AB7" i="27"/>
  <c r="AB8" i="27"/>
  <c r="AA3" i="27"/>
  <c r="AA4" i="27"/>
  <c r="AA5" i="27"/>
  <c r="AA6" i="27"/>
  <c r="AA7" i="27"/>
  <c r="AA8" i="27"/>
  <c r="Z3" i="27"/>
  <c r="Z4" i="27"/>
  <c r="Z5" i="27"/>
  <c r="Z6" i="27"/>
  <c r="Z7" i="27"/>
  <c r="Z8" i="27"/>
  <c r="Y3" i="27"/>
  <c r="Y4" i="27"/>
  <c r="Y5" i="27"/>
  <c r="Y6" i="27"/>
  <c r="Y7" i="27"/>
  <c r="Y8" i="27"/>
  <c r="X3" i="27"/>
  <c r="X4" i="27"/>
  <c r="X5" i="27"/>
  <c r="X6" i="27"/>
  <c r="X7" i="27"/>
  <c r="X8" i="27"/>
  <c r="V8" i="27"/>
  <c r="U8" i="27"/>
  <c r="T8" i="27"/>
  <c r="S8" i="27"/>
  <c r="R8" i="27"/>
  <c r="Q8" i="27"/>
  <c r="N8" i="27"/>
  <c r="V7" i="27"/>
  <c r="U7" i="27"/>
  <c r="T7" i="27"/>
  <c r="S7" i="27"/>
  <c r="R7" i="27"/>
  <c r="Q7" i="27"/>
  <c r="O7" i="27"/>
  <c r="N7" i="27"/>
  <c r="V6" i="27"/>
  <c r="U6" i="27"/>
  <c r="T6" i="27"/>
  <c r="S6" i="27"/>
  <c r="R6" i="27"/>
  <c r="Q6" i="27"/>
  <c r="O6" i="27"/>
  <c r="N6" i="27"/>
  <c r="M6" i="27"/>
  <c r="V5" i="27"/>
  <c r="U5" i="27"/>
  <c r="T5" i="27"/>
  <c r="S5" i="27"/>
  <c r="R5" i="27"/>
  <c r="Q5" i="27"/>
  <c r="O5" i="27"/>
  <c r="N5" i="27"/>
  <c r="M5" i="27"/>
  <c r="V4" i="27"/>
  <c r="U4" i="27"/>
  <c r="T4" i="27"/>
  <c r="S4" i="27"/>
  <c r="R4" i="27"/>
  <c r="Q4" i="27"/>
  <c r="O4" i="27"/>
  <c r="N4" i="27"/>
  <c r="V3" i="27"/>
  <c r="U3" i="27"/>
  <c r="T3" i="27"/>
  <c r="S3" i="27"/>
  <c r="R3" i="27"/>
  <c r="Q3" i="27"/>
  <c r="O3" i="27"/>
  <c r="N3" i="27"/>
  <c r="W2" i="27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2" i="26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R312" i="26"/>
  <c r="R311" i="26"/>
  <c r="R310" i="26"/>
  <c r="R309" i="26"/>
  <c r="R308" i="26"/>
  <c r="R307" i="26"/>
  <c r="R306" i="26"/>
  <c r="R305" i="26"/>
  <c r="R304" i="26"/>
  <c r="R303" i="26"/>
  <c r="R302" i="26"/>
  <c r="R301" i="26"/>
  <c r="R300" i="26"/>
  <c r="R299" i="26"/>
  <c r="R298" i="26"/>
  <c r="R297" i="26"/>
  <c r="R296" i="26"/>
  <c r="R295" i="26"/>
  <c r="R294" i="26"/>
  <c r="R293" i="26"/>
  <c r="R292" i="26"/>
  <c r="R291" i="26"/>
  <c r="R290" i="26"/>
  <c r="R289" i="26"/>
  <c r="R288" i="26"/>
  <c r="R287" i="26"/>
  <c r="R286" i="26"/>
  <c r="R285" i="26"/>
  <c r="R284" i="26"/>
  <c r="R283" i="26"/>
  <c r="R282" i="26"/>
  <c r="R281" i="26"/>
  <c r="R280" i="26"/>
  <c r="R279" i="26"/>
  <c r="R278" i="26"/>
  <c r="R277" i="26"/>
  <c r="R276" i="26"/>
  <c r="R275" i="26"/>
  <c r="R274" i="26"/>
  <c r="R273" i="26"/>
  <c r="R272" i="26"/>
  <c r="R271" i="26"/>
  <c r="R270" i="26"/>
  <c r="R269" i="26"/>
  <c r="R268" i="26"/>
  <c r="R267" i="26"/>
  <c r="R266" i="26"/>
  <c r="R265" i="26"/>
  <c r="R264" i="26"/>
  <c r="R263" i="26"/>
  <c r="R262" i="26"/>
  <c r="R261" i="26"/>
  <c r="R260" i="26"/>
  <c r="R259" i="26"/>
  <c r="R258" i="26"/>
  <c r="R257" i="26"/>
  <c r="R256" i="26"/>
  <c r="R255" i="26"/>
  <c r="R254" i="26"/>
  <c r="R253" i="26"/>
  <c r="R252" i="26"/>
  <c r="R251" i="26"/>
  <c r="R250" i="26"/>
  <c r="R249" i="26"/>
  <c r="R248" i="26"/>
  <c r="R247" i="26"/>
  <c r="R246" i="26"/>
  <c r="R245" i="26"/>
  <c r="R244" i="26"/>
  <c r="R243" i="26"/>
  <c r="R242" i="26"/>
  <c r="R241" i="26"/>
  <c r="R240" i="26"/>
  <c r="R239" i="26"/>
  <c r="R238" i="26"/>
  <c r="R237" i="26"/>
  <c r="R236" i="26"/>
  <c r="R235" i="26"/>
  <c r="R234" i="26"/>
  <c r="R233" i="26"/>
  <c r="R232" i="26"/>
  <c r="R231" i="26"/>
  <c r="R230" i="26"/>
  <c r="R229" i="26"/>
  <c r="R228" i="26"/>
  <c r="R227" i="26"/>
  <c r="R226" i="26"/>
  <c r="R225" i="26"/>
  <c r="R224" i="26"/>
  <c r="R223" i="26"/>
  <c r="R222" i="26"/>
  <c r="R221" i="26"/>
  <c r="R220" i="26"/>
  <c r="R219" i="26"/>
  <c r="R218" i="26"/>
  <c r="R217" i="26"/>
  <c r="R216" i="26"/>
  <c r="R215" i="26"/>
  <c r="R214" i="26"/>
  <c r="R213" i="26"/>
  <c r="R212" i="26"/>
  <c r="R211" i="26"/>
  <c r="R210" i="26"/>
  <c r="R209" i="26"/>
  <c r="R208" i="26"/>
  <c r="R207" i="26"/>
  <c r="R206" i="26"/>
  <c r="R205" i="26"/>
  <c r="R204" i="26"/>
  <c r="R203" i="26"/>
  <c r="R202" i="26"/>
  <c r="R201" i="26"/>
  <c r="R200" i="26"/>
  <c r="R199" i="26"/>
  <c r="R198" i="26"/>
  <c r="R197" i="26"/>
  <c r="R196" i="26"/>
  <c r="R195" i="26"/>
  <c r="R194" i="26"/>
  <c r="R193" i="26"/>
  <c r="R192" i="26"/>
  <c r="R191" i="26"/>
  <c r="R190" i="26"/>
  <c r="R189" i="26"/>
  <c r="R188" i="26"/>
  <c r="R187" i="26"/>
  <c r="R186" i="26"/>
  <c r="R185" i="26"/>
  <c r="R184" i="26"/>
  <c r="R183" i="26"/>
  <c r="R182" i="26"/>
  <c r="R181" i="26"/>
  <c r="R180" i="26"/>
  <c r="R179" i="26"/>
  <c r="R178" i="26"/>
  <c r="R177" i="26"/>
  <c r="R176" i="26"/>
  <c r="R175" i="26"/>
  <c r="R174" i="26"/>
  <c r="R173" i="26"/>
  <c r="R172" i="26"/>
  <c r="R171" i="26"/>
  <c r="R170" i="26"/>
  <c r="R169" i="26"/>
  <c r="R168" i="26"/>
  <c r="R167" i="26"/>
  <c r="R166" i="26"/>
  <c r="R165" i="26"/>
  <c r="R164" i="26"/>
  <c r="R163" i="26"/>
  <c r="R162" i="26"/>
  <c r="R161" i="26"/>
  <c r="R160" i="26"/>
  <c r="R159" i="26"/>
  <c r="R158" i="26"/>
  <c r="R157" i="26"/>
  <c r="R156" i="26"/>
  <c r="R155" i="26"/>
  <c r="R154" i="26"/>
  <c r="R153" i="26"/>
  <c r="R152" i="26"/>
  <c r="R151" i="26"/>
  <c r="R150" i="26"/>
  <c r="R149" i="26"/>
  <c r="R148" i="26"/>
  <c r="R147" i="26"/>
  <c r="R146" i="26"/>
  <c r="R145" i="26"/>
  <c r="R144" i="26"/>
  <c r="R143" i="26"/>
  <c r="R142" i="26"/>
  <c r="R141" i="26"/>
  <c r="R140" i="26"/>
  <c r="R139" i="26"/>
  <c r="R138" i="26"/>
  <c r="R137" i="26"/>
  <c r="R136" i="26"/>
  <c r="R135" i="26"/>
  <c r="R134" i="26"/>
  <c r="R133" i="26"/>
  <c r="R132" i="26"/>
  <c r="R131" i="26"/>
  <c r="R130" i="26"/>
  <c r="R129" i="26"/>
  <c r="R128" i="26"/>
  <c r="R127" i="26"/>
  <c r="R126" i="26"/>
  <c r="R125" i="26"/>
  <c r="R124" i="26"/>
  <c r="R123" i="26"/>
  <c r="R122" i="26"/>
  <c r="R121" i="26"/>
  <c r="R120" i="26"/>
  <c r="R119" i="26"/>
  <c r="R118" i="26"/>
  <c r="R117" i="26"/>
  <c r="R116" i="26"/>
  <c r="R115" i="26"/>
  <c r="R114" i="26"/>
  <c r="R113" i="26"/>
  <c r="R112" i="26"/>
  <c r="R111" i="26"/>
  <c r="R110" i="26"/>
  <c r="R109" i="26"/>
  <c r="R108" i="26"/>
  <c r="R107" i="26"/>
  <c r="R106" i="26"/>
  <c r="R105" i="26"/>
  <c r="R104" i="26"/>
  <c r="R103" i="26"/>
  <c r="R102" i="26"/>
  <c r="R101" i="26"/>
  <c r="R100" i="26"/>
  <c r="R99" i="26"/>
  <c r="R98" i="26"/>
  <c r="R97" i="26"/>
  <c r="R96" i="26"/>
  <c r="R95" i="26"/>
  <c r="R94" i="26"/>
  <c r="R93" i="26"/>
  <c r="R92" i="26"/>
  <c r="R91" i="26"/>
  <c r="R90" i="26"/>
  <c r="R89" i="26"/>
  <c r="R88" i="26"/>
  <c r="R87" i="26"/>
  <c r="R86" i="26"/>
  <c r="R85" i="26"/>
  <c r="R84" i="26"/>
  <c r="R83" i="26"/>
  <c r="R82" i="26"/>
  <c r="R81" i="26"/>
  <c r="R80" i="26"/>
  <c r="R79" i="26"/>
  <c r="R78" i="26"/>
  <c r="R77" i="26"/>
  <c r="R76" i="26"/>
  <c r="R75" i="26"/>
  <c r="R74" i="26"/>
  <c r="R73" i="26"/>
  <c r="R72" i="26"/>
  <c r="R71" i="26"/>
  <c r="R70" i="26"/>
  <c r="R69" i="26"/>
  <c r="R68" i="26"/>
  <c r="R67" i="26"/>
  <c r="R66" i="26"/>
  <c r="R65" i="26"/>
  <c r="R64" i="26"/>
  <c r="R63" i="26"/>
  <c r="R62" i="26"/>
  <c r="R61" i="26"/>
  <c r="R60" i="26"/>
  <c r="R59" i="26"/>
  <c r="R58" i="26"/>
  <c r="R57" i="26"/>
  <c r="R56" i="26"/>
  <c r="R55" i="26"/>
  <c r="R54" i="26"/>
  <c r="R53" i="26"/>
  <c r="R52" i="26"/>
  <c r="R51" i="26"/>
  <c r="R50" i="26"/>
  <c r="R49" i="26"/>
  <c r="R48" i="26"/>
  <c r="R47" i="26"/>
  <c r="R46" i="26"/>
  <c r="R45" i="26"/>
  <c r="R44" i="26"/>
  <c r="R43" i="26"/>
  <c r="R42" i="26"/>
  <c r="R41" i="26"/>
  <c r="R40" i="26"/>
  <c r="R39" i="26"/>
  <c r="R38" i="26"/>
  <c r="R37" i="26"/>
  <c r="R36" i="26"/>
  <c r="R35" i="26"/>
  <c r="R34" i="26"/>
  <c r="R33" i="26"/>
  <c r="R32" i="26"/>
  <c r="R31" i="26"/>
  <c r="R30" i="26"/>
  <c r="R29" i="26"/>
  <c r="R28" i="26"/>
  <c r="R27" i="26"/>
  <c r="R26" i="26"/>
  <c r="R25" i="26"/>
  <c r="R24" i="26"/>
  <c r="R23" i="26"/>
  <c r="R22" i="26"/>
  <c r="R21" i="26"/>
  <c r="R20" i="26"/>
  <c r="R19" i="26"/>
  <c r="R18" i="26"/>
  <c r="R17" i="26"/>
  <c r="R16" i="26"/>
  <c r="R15" i="26"/>
  <c r="R14" i="26"/>
  <c r="R13" i="26"/>
  <c r="R12" i="26"/>
  <c r="R11" i="26"/>
  <c r="R10" i="26"/>
  <c r="R9" i="26"/>
  <c r="R8" i="26"/>
  <c r="R7" i="26"/>
  <c r="R6" i="26"/>
  <c r="R5" i="26"/>
  <c r="R4" i="26"/>
  <c r="R3" i="26"/>
  <c r="R2" i="26"/>
  <c r="Q18" i="18"/>
  <c r="Q19" i="18"/>
  <c r="Q20" i="18"/>
  <c r="Q21" i="18"/>
  <c r="Q22" i="18"/>
  <c r="Q17" i="18"/>
  <c r="L312" i="25"/>
  <c r="K312" i="25"/>
  <c r="J312" i="25"/>
  <c r="I312" i="25"/>
  <c r="H312" i="25"/>
  <c r="G312" i="25"/>
  <c r="C312" i="25"/>
  <c r="L311" i="25"/>
  <c r="K311" i="25"/>
  <c r="J311" i="25"/>
  <c r="I311" i="25"/>
  <c r="H311" i="25"/>
  <c r="G311" i="25"/>
  <c r="C311" i="25"/>
  <c r="L310" i="25"/>
  <c r="K310" i="25"/>
  <c r="J310" i="25"/>
  <c r="I310" i="25"/>
  <c r="H310" i="25"/>
  <c r="G310" i="25"/>
  <c r="C310" i="25"/>
  <c r="L309" i="25"/>
  <c r="K309" i="25"/>
  <c r="J309" i="25"/>
  <c r="I309" i="25"/>
  <c r="H309" i="25"/>
  <c r="G309" i="25"/>
  <c r="C309" i="25"/>
  <c r="L308" i="25"/>
  <c r="K308" i="25"/>
  <c r="J308" i="25"/>
  <c r="I308" i="25"/>
  <c r="H308" i="25"/>
  <c r="G308" i="25"/>
  <c r="C308" i="25"/>
  <c r="L307" i="25"/>
  <c r="K307" i="25"/>
  <c r="J307" i="25"/>
  <c r="I307" i="25"/>
  <c r="H307" i="25"/>
  <c r="G307" i="25"/>
  <c r="C307" i="25"/>
  <c r="L306" i="25"/>
  <c r="K306" i="25"/>
  <c r="J306" i="25"/>
  <c r="I306" i="25"/>
  <c r="H306" i="25"/>
  <c r="G306" i="25"/>
  <c r="C306" i="25"/>
  <c r="L305" i="25"/>
  <c r="K305" i="25"/>
  <c r="J305" i="25"/>
  <c r="I305" i="25"/>
  <c r="H305" i="25"/>
  <c r="G305" i="25"/>
  <c r="C305" i="25"/>
  <c r="L304" i="25"/>
  <c r="K304" i="25"/>
  <c r="J304" i="25"/>
  <c r="I304" i="25"/>
  <c r="H304" i="25"/>
  <c r="G304" i="25"/>
  <c r="C304" i="25"/>
  <c r="L303" i="25"/>
  <c r="K303" i="25"/>
  <c r="J303" i="25"/>
  <c r="I303" i="25"/>
  <c r="H303" i="25"/>
  <c r="G303" i="25"/>
  <c r="C303" i="25"/>
  <c r="L302" i="25"/>
  <c r="K302" i="25"/>
  <c r="J302" i="25"/>
  <c r="I302" i="25"/>
  <c r="H302" i="25"/>
  <c r="G302" i="25"/>
  <c r="C302" i="25"/>
  <c r="L301" i="25"/>
  <c r="K301" i="25"/>
  <c r="J301" i="25"/>
  <c r="I301" i="25"/>
  <c r="H301" i="25"/>
  <c r="G301" i="25"/>
  <c r="C301" i="25"/>
  <c r="L300" i="25"/>
  <c r="K300" i="25"/>
  <c r="J300" i="25"/>
  <c r="I300" i="25"/>
  <c r="H300" i="25"/>
  <c r="G300" i="25"/>
  <c r="C300" i="25"/>
  <c r="L299" i="25"/>
  <c r="K299" i="25"/>
  <c r="J299" i="25"/>
  <c r="I299" i="25"/>
  <c r="H299" i="25"/>
  <c r="G299" i="25"/>
  <c r="C299" i="25"/>
  <c r="L298" i="25"/>
  <c r="K298" i="25"/>
  <c r="J298" i="25"/>
  <c r="I298" i="25"/>
  <c r="H298" i="25"/>
  <c r="G298" i="25"/>
  <c r="C298" i="25"/>
  <c r="L297" i="25"/>
  <c r="K297" i="25"/>
  <c r="J297" i="25"/>
  <c r="I297" i="25"/>
  <c r="H297" i="25"/>
  <c r="G297" i="25"/>
  <c r="C297" i="25"/>
  <c r="L296" i="25"/>
  <c r="K296" i="25"/>
  <c r="J296" i="25"/>
  <c r="I296" i="25"/>
  <c r="H296" i="25"/>
  <c r="G296" i="25"/>
  <c r="C296" i="25"/>
  <c r="L295" i="25"/>
  <c r="K295" i="25"/>
  <c r="J295" i="25"/>
  <c r="I295" i="25"/>
  <c r="H295" i="25"/>
  <c r="G295" i="25"/>
  <c r="C295" i="25"/>
  <c r="L294" i="25"/>
  <c r="K294" i="25"/>
  <c r="J294" i="25"/>
  <c r="I294" i="25"/>
  <c r="H294" i="25"/>
  <c r="G294" i="25"/>
  <c r="C294" i="25"/>
  <c r="L293" i="25"/>
  <c r="K293" i="25"/>
  <c r="J293" i="25"/>
  <c r="I293" i="25"/>
  <c r="H293" i="25"/>
  <c r="G293" i="25"/>
  <c r="C293" i="25"/>
  <c r="L292" i="25"/>
  <c r="K292" i="25"/>
  <c r="J292" i="25"/>
  <c r="I292" i="25"/>
  <c r="H292" i="25"/>
  <c r="G292" i="25"/>
  <c r="C292" i="25"/>
  <c r="L291" i="25"/>
  <c r="K291" i="25"/>
  <c r="J291" i="25"/>
  <c r="I291" i="25"/>
  <c r="H291" i="25"/>
  <c r="G291" i="25"/>
  <c r="C291" i="25"/>
  <c r="L290" i="25"/>
  <c r="K290" i="25"/>
  <c r="J290" i="25"/>
  <c r="I290" i="25"/>
  <c r="H290" i="25"/>
  <c r="G290" i="25"/>
  <c r="C290" i="25"/>
  <c r="L289" i="25"/>
  <c r="K289" i="25"/>
  <c r="J289" i="25"/>
  <c r="I289" i="25"/>
  <c r="H289" i="25"/>
  <c r="G289" i="25"/>
  <c r="C289" i="25"/>
  <c r="L288" i="25"/>
  <c r="K288" i="25"/>
  <c r="J288" i="25"/>
  <c r="I288" i="25"/>
  <c r="H288" i="25"/>
  <c r="G288" i="25"/>
  <c r="C288" i="25"/>
  <c r="L287" i="25"/>
  <c r="K287" i="25"/>
  <c r="J287" i="25"/>
  <c r="I287" i="25"/>
  <c r="H287" i="25"/>
  <c r="G287" i="25"/>
  <c r="C287" i="25"/>
  <c r="L286" i="25"/>
  <c r="K286" i="25"/>
  <c r="J286" i="25"/>
  <c r="I286" i="25"/>
  <c r="H286" i="25"/>
  <c r="G286" i="25"/>
  <c r="C286" i="25"/>
  <c r="L285" i="25"/>
  <c r="K285" i="25"/>
  <c r="J285" i="25"/>
  <c r="I285" i="25"/>
  <c r="H285" i="25"/>
  <c r="G285" i="25"/>
  <c r="C285" i="25"/>
  <c r="L284" i="25"/>
  <c r="K284" i="25"/>
  <c r="J284" i="25"/>
  <c r="I284" i="25"/>
  <c r="H284" i="25"/>
  <c r="G284" i="25"/>
  <c r="C284" i="25"/>
  <c r="L283" i="25"/>
  <c r="K283" i="25"/>
  <c r="J283" i="25"/>
  <c r="I283" i="25"/>
  <c r="H283" i="25"/>
  <c r="G283" i="25"/>
  <c r="C283" i="25"/>
  <c r="L282" i="25"/>
  <c r="K282" i="25"/>
  <c r="J282" i="25"/>
  <c r="I282" i="25"/>
  <c r="H282" i="25"/>
  <c r="G282" i="25"/>
  <c r="C282" i="25"/>
  <c r="L281" i="25"/>
  <c r="K281" i="25"/>
  <c r="J281" i="25"/>
  <c r="I281" i="25"/>
  <c r="H281" i="25"/>
  <c r="G281" i="25"/>
  <c r="C281" i="25"/>
  <c r="L280" i="25"/>
  <c r="K280" i="25"/>
  <c r="J280" i="25"/>
  <c r="I280" i="25"/>
  <c r="H280" i="25"/>
  <c r="G280" i="25"/>
  <c r="C280" i="25"/>
  <c r="L279" i="25"/>
  <c r="K279" i="25"/>
  <c r="J279" i="25"/>
  <c r="I279" i="25"/>
  <c r="H279" i="25"/>
  <c r="G279" i="25"/>
  <c r="C279" i="25"/>
  <c r="L278" i="25"/>
  <c r="K278" i="25"/>
  <c r="J278" i="25"/>
  <c r="I278" i="25"/>
  <c r="H278" i="25"/>
  <c r="G278" i="25"/>
  <c r="C278" i="25"/>
  <c r="L277" i="25"/>
  <c r="K277" i="25"/>
  <c r="J277" i="25"/>
  <c r="I277" i="25"/>
  <c r="H277" i="25"/>
  <c r="G277" i="25"/>
  <c r="C277" i="25"/>
  <c r="L276" i="25"/>
  <c r="K276" i="25"/>
  <c r="J276" i="25"/>
  <c r="I276" i="25"/>
  <c r="H276" i="25"/>
  <c r="G276" i="25"/>
  <c r="C276" i="25"/>
  <c r="L275" i="25"/>
  <c r="K275" i="25"/>
  <c r="J275" i="25"/>
  <c r="I275" i="25"/>
  <c r="H275" i="25"/>
  <c r="G275" i="25"/>
  <c r="C275" i="25"/>
  <c r="L274" i="25"/>
  <c r="K274" i="25"/>
  <c r="J274" i="25"/>
  <c r="I274" i="25"/>
  <c r="H274" i="25"/>
  <c r="G274" i="25"/>
  <c r="C274" i="25"/>
  <c r="L273" i="25"/>
  <c r="K273" i="25"/>
  <c r="J273" i="25"/>
  <c r="I273" i="25"/>
  <c r="H273" i="25"/>
  <c r="G273" i="25"/>
  <c r="C273" i="25"/>
  <c r="L272" i="25"/>
  <c r="K272" i="25"/>
  <c r="J272" i="25"/>
  <c r="I272" i="25"/>
  <c r="H272" i="25"/>
  <c r="G272" i="25"/>
  <c r="C272" i="25"/>
  <c r="L271" i="25"/>
  <c r="K271" i="25"/>
  <c r="J271" i="25"/>
  <c r="I271" i="25"/>
  <c r="H271" i="25"/>
  <c r="G271" i="25"/>
  <c r="C271" i="25"/>
  <c r="L270" i="25"/>
  <c r="K270" i="25"/>
  <c r="J270" i="25"/>
  <c r="I270" i="25"/>
  <c r="H270" i="25"/>
  <c r="G270" i="25"/>
  <c r="C270" i="25"/>
  <c r="L269" i="25"/>
  <c r="K269" i="25"/>
  <c r="J269" i="25"/>
  <c r="I269" i="25"/>
  <c r="H269" i="25"/>
  <c r="G269" i="25"/>
  <c r="C269" i="25"/>
  <c r="L268" i="25"/>
  <c r="K268" i="25"/>
  <c r="J268" i="25"/>
  <c r="I268" i="25"/>
  <c r="H268" i="25"/>
  <c r="G268" i="25"/>
  <c r="C268" i="25"/>
  <c r="L267" i="25"/>
  <c r="K267" i="25"/>
  <c r="J267" i="25"/>
  <c r="I267" i="25"/>
  <c r="H267" i="25"/>
  <c r="G267" i="25"/>
  <c r="C267" i="25"/>
  <c r="L266" i="25"/>
  <c r="K266" i="25"/>
  <c r="J266" i="25"/>
  <c r="I266" i="25"/>
  <c r="H266" i="25"/>
  <c r="G266" i="25"/>
  <c r="C266" i="25"/>
  <c r="L265" i="25"/>
  <c r="K265" i="25"/>
  <c r="J265" i="25"/>
  <c r="I265" i="25"/>
  <c r="H265" i="25"/>
  <c r="G265" i="25"/>
  <c r="C265" i="25"/>
  <c r="L264" i="25"/>
  <c r="K264" i="25"/>
  <c r="J264" i="25"/>
  <c r="I264" i="25"/>
  <c r="H264" i="25"/>
  <c r="G264" i="25"/>
  <c r="C264" i="25"/>
  <c r="L263" i="25"/>
  <c r="K263" i="25"/>
  <c r="J263" i="25"/>
  <c r="I263" i="25"/>
  <c r="H263" i="25"/>
  <c r="G263" i="25"/>
  <c r="C263" i="25"/>
  <c r="L262" i="25"/>
  <c r="K262" i="25"/>
  <c r="J262" i="25"/>
  <c r="I262" i="25"/>
  <c r="H262" i="25"/>
  <c r="G262" i="25"/>
  <c r="C262" i="25"/>
  <c r="L261" i="25"/>
  <c r="K261" i="25"/>
  <c r="J261" i="25"/>
  <c r="I261" i="25"/>
  <c r="H261" i="25"/>
  <c r="G261" i="25"/>
  <c r="C261" i="25"/>
  <c r="L260" i="25"/>
  <c r="K260" i="25"/>
  <c r="J260" i="25"/>
  <c r="I260" i="25"/>
  <c r="H260" i="25"/>
  <c r="G260" i="25"/>
  <c r="C260" i="25"/>
  <c r="L259" i="25"/>
  <c r="K259" i="25"/>
  <c r="J259" i="25"/>
  <c r="I259" i="25"/>
  <c r="H259" i="25"/>
  <c r="G259" i="25"/>
  <c r="C259" i="25"/>
  <c r="L258" i="25"/>
  <c r="K258" i="25"/>
  <c r="J258" i="25"/>
  <c r="I258" i="25"/>
  <c r="H258" i="25"/>
  <c r="G258" i="25"/>
  <c r="C258" i="25"/>
  <c r="L257" i="25"/>
  <c r="K257" i="25"/>
  <c r="J257" i="25"/>
  <c r="I257" i="25"/>
  <c r="H257" i="25"/>
  <c r="G257" i="25"/>
  <c r="C257" i="25"/>
  <c r="L256" i="25"/>
  <c r="K256" i="25"/>
  <c r="J256" i="25"/>
  <c r="I256" i="25"/>
  <c r="H256" i="25"/>
  <c r="G256" i="25"/>
  <c r="C256" i="25"/>
  <c r="L255" i="25"/>
  <c r="K255" i="25"/>
  <c r="J255" i="25"/>
  <c r="I255" i="25"/>
  <c r="H255" i="25"/>
  <c r="G255" i="25"/>
  <c r="C255" i="25"/>
  <c r="L254" i="25"/>
  <c r="K254" i="25"/>
  <c r="J254" i="25"/>
  <c r="I254" i="25"/>
  <c r="H254" i="25"/>
  <c r="G254" i="25"/>
  <c r="C254" i="25"/>
  <c r="L253" i="25"/>
  <c r="K253" i="25"/>
  <c r="J253" i="25"/>
  <c r="I253" i="25"/>
  <c r="H253" i="25"/>
  <c r="G253" i="25"/>
  <c r="C253" i="25"/>
  <c r="L252" i="25"/>
  <c r="K252" i="25"/>
  <c r="J252" i="25"/>
  <c r="I252" i="25"/>
  <c r="H252" i="25"/>
  <c r="G252" i="25"/>
  <c r="C252" i="25"/>
  <c r="L251" i="25"/>
  <c r="K251" i="25"/>
  <c r="J251" i="25"/>
  <c r="I251" i="25"/>
  <c r="H251" i="25"/>
  <c r="G251" i="25"/>
  <c r="C251" i="25"/>
  <c r="L250" i="25"/>
  <c r="K250" i="25"/>
  <c r="J250" i="25"/>
  <c r="I250" i="25"/>
  <c r="H250" i="25"/>
  <c r="G250" i="25"/>
  <c r="C250" i="25"/>
  <c r="L249" i="25"/>
  <c r="K249" i="25"/>
  <c r="J249" i="25"/>
  <c r="I249" i="25"/>
  <c r="H249" i="25"/>
  <c r="G249" i="25"/>
  <c r="C249" i="25"/>
  <c r="L248" i="25"/>
  <c r="K248" i="25"/>
  <c r="J248" i="25"/>
  <c r="I248" i="25"/>
  <c r="H248" i="25"/>
  <c r="G248" i="25"/>
  <c r="C248" i="25"/>
  <c r="L247" i="25"/>
  <c r="K247" i="25"/>
  <c r="J247" i="25"/>
  <c r="I247" i="25"/>
  <c r="H247" i="25"/>
  <c r="G247" i="25"/>
  <c r="C247" i="25"/>
  <c r="L246" i="25"/>
  <c r="K246" i="25"/>
  <c r="J246" i="25"/>
  <c r="I246" i="25"/>
  <c r="H246" i="25"/>
  <c r="G246" i="25"/>
  <c r="C246" i="25"/>
  <c r="L245" i="25"/>
  <c r="K245" i="25"/>
  <c r="J245" i="25"/>
  <c r="I245" i="25"/>
  <c r="H245" i="25"/>
  <c r="G245" i="25"/>
  <c r="C245" i="25"/>
  <c r="L244" i="25"/>
  <c r="K244" i="25"/>
  <c r="J244" i="25"/>
  <c r="I244" i="25"/>
  <c r="H244" i="25"/>
  <c r="G244" i="25"/>
  <c r="C244" i="25"/>
  <c r="L243" i="25"/>
  <c r="K243" i="25"/>
  <c r="J243" i="25"/>
  <c r="I243" i="25"/>
  <c r="H243" i="25"/>
  <c r="G243" i="25"/>
  <c r="C243" i="25"/>
  <c r="L242" i="25"/>
  <c r="K242" i="25"/>
  <c r="J242" i="25"/>
  <c r="I242" i="25"/>
  <c r="H242" i="25"/>
  <c r="G242" i="25"/>
  <c r="C242" i="25"/>
  <c r="L241" i="25"/>
  <c r="K241" i="25"/>
  <c r="J241" i="25"/>
  <c r="I241" i="25"/>
  <c r="H241" i="25"/>
  <c r="G241" i="25"/>
  <c r="C241" i="25"/>
  <c r="L240" i="25"/>
  <c r="K240" i="25"/>
  <c r="J240" i="25"/>
  <c r="I240" i="25"/>
  <c r="H240" i="25"/>
  <c r="G240" i="25"/>
  <c r="C240" i="25"/>
  <c r="L239" i="25"/>
  <c r="K239" i="25"/>
  <c r="J239" i="25"/>
  <c r="I239" i="25"/>
  <c r="H239" i="25"/>
  <c r="G239" i="25"/>
  <c r="C239" i="25"/>
  <c r="L238" i="25"/>
  <c r="K238" i="25"/>
  <c r="J238" i="25"/>
  <c r="I238" i="25"/>
  <c r="H238" i="25"/>
  <c r="G238" i="25"/>
  <c r="C238" i="25"/>
  <c r="L237" i="25"/>
  <c r="K237" i="25"/>
  <c r="J237" i="25"/>
  <c r="I237" i="25"/>
  <c r="H237" i="25"/>
  <c r="G237" i="25"/>
  <c r="C237" i="25"/>
  <c r="L236" i="25"/>
  <c r="K236" i="25"/>
  <c r="J236" i="25"/>
  <c r="I236" i="25"/>
  <c r="H236" i="25"/>
  <c r="G236" i="25"/>
  <c r="C236" i="25"/>
  <c r="L235" i="25"/>
  <c r="K235" i="25"/>
  <c r="J235" i="25"/>
  <c r="I235" i="25"/>
  <c r="H235" i="25"/>
  <c r="G235" i="25"/>
  <c r="C235" i="25"/>
  <c r="L234" i="25"/>
  <c r="K234" i="25"/>
  <c r="J234" i="25"/>
  <c r="I234" i="25"/>
  <c r="H234" i="25"/>
  <c r="G234" i="25"/>
  <c r="C234" i="25"/>
  <c r="L233" i="25"/>
  <c r="K233" i="25"/>
  <c r="J233" i="25"/>
  <c r="I233" i="25"/>
  <c r="H233" i="25"/>
  <c r="G233" i="25"/>
  <c r="C233" i="25"/>
  <c r="L232" i="25"/>
  <c r="K232" i="25"/>
  <c r="J232" i="25"/>
  <c r="I232" i="25"/>
  <c r="H232" i="25"/>
  <c r="G232" i="25"/>
  <c r="C232" i="25"/>
  <c r="L231" i="25"/>
  <c r="K231" i="25"/>
  <c r="J231" i="25"/>
  <c r="I231" i="25"/>
  <c r="H231" i="25"/>
  <c r="G231" i="25"/>
  <c r="C231" i="25"/>
  <c r="L230" i="25"/>
  <c r="K230" i="25"/>
  <c r="J230" i="25"/>
  <c r="I230" i="25"/>
  <c r="H230" i="25"/>
  <c r="G230" i="25"/>
  <c r="C230" i="25"/>
  <c r="L229" i="25"/>
  <c r="K229" i="25"/>
  <c r="J229" i="25"/>
  <c r="I229" i="25"/>
  <c r="H229" i="25"/>
  <c r="G229" i="25"/>
  <c r="C229" i="25"/>
  <c r="L228" i="25"/>
  <c r="K228" i="25"/>
  <c r="J228" i="25"/>
  <c r="I228" i="25"/>
  <c r="H228" i="25"/>
  <c r="G228" i="25"/>
  <c r="C228" i="25"/>
  <c r="L227" i="25"/>
  <c r="K227" i="25"/>
  <c r="J227" i="25"/>
  <c r="I227" i="25"/>
  <c r="H227" i="25"/>
  <c r="G227" i="25"/>
  <c r="C227" i="25"/>
  <c r="L226" i="25"/>
  <c r="K226" i="25"/>
  <c r="J226" i="25"/>
  <c r="I226" i="25"/>
  <c r="H226" i="25"/>
  <c r="G226" i="25"/>
  <c r="C226" i="25"/>
  <c r="L225" i="25"/>
  <c r="K225" i="25"/>
  <c r="J225" i="25"/>
  <c r="I225" i="25"/>
  <c r="H225" i="25"/>
  <c r="G225" i="25"/>
  <c r="C225" i="25"/>
  <c r="L224" i="25"/>
  <c r="K224" i="25"/>
  <c r="J224" i="25"/>
  <c r="I224" i="25"/>
  <c r="H224" i="25"/>
  <c r="G224" i="25"/>
  <c r="C224" i="25"/>
  <c r="L223" i="25"/>
  <c r="K223" i="25"/>
  <c r="J223" i="25"/>
  <c r="I223" i="25"/>
  <c r="H223" i="25"/>
  <c r="G223" i="25"/>
  <c r="C223" i="25"/>
  <c r="L222" i="25"/>
  <c r="K222" i="25"/>
  <c r="J222" i="25"/>
  <c r="I222" i="25"/>
  <c r="H222" i="25"/>
  <c r="G222" i="25"/>
  <c r="C222" i="25"/>
  <c r="L221" i="25"/>
  <c r="K221" i="25"/>
  <c r="J221" i="25"/>
  <c r="I221" i="25"/>
  <c r="H221" i="25"/>
  <c r="G221" i="25"/>
  <c r="C221" i="25"/>
  <c r="L220" i="25"/>
  <c r="K220" i="25"/>
  <c r="J220" i="25"/>
  <c r="I220" i="25"/>
  <c r="H220" i="25"/>
  <c r="G220" i="25"/>
  <c r="C220" i="25"/>
  <c r="L219" i="25"/>
  <c r="K219" i="25"/>
  <c r="J219" i="25"/>
  <c r="I219" i="25"/>
  <c r="H219" i="25"/>
  <c r="G219" i="25"/>
  <c r="C219" i="25"/>
  <c r="L218" i="25"/>
  <c r="K218" i="25"/>
  <c r="J218" i="25"/>
  <c r="I218" i="25"/>
  <c r="H218" i="25"/>
  <c r="G218" i="25"/>
  <c r="C218" i="25"/>
  <c r="L217" i="25"/>
  <c r="K217" i="25"/>
  <c r="J217" i="25"/>
  <c r="I217" i="25"/>
  <c r="H217" i="25"/>
  <c r="G217" i="25"/>
  <c r="C217" i="25"/>
  <c r="L216" i="25"/>
  <c r="K216" i="25"/>
  <c r="J216" i="25"/>
  <c r="I216" i="25"/>
  <c r="H216" i="25"/>
  <c r="G216" i="25"/>
  <c r="C216" i="25"/>
  <c r="L215" i="25"/>
  <c r="K215" i="25"/>
  <c r="J215" i="25"/>
  <c r="I215" i="25"/>
  <c r="H215" i="25"/>
  <c r="G215" i="25"/>
  <c r="C215" i="25"/>
  <c r="L214" i="25"/>
  <c r="K214" i="25"/>
  <c r="J214" i="25"/>
  <c r="I214" i="25"/>
  <c r="H214" i="25"/>
  <c r="G214" i="25"/>
  <c r="C214" i="25"/>
  <c r="L213" i="25"/>
  <c r="K213" i="25"/>
  <c r="J213" i="25"/>
  <c r="I213" i="25"/>
  <c r="H213" i="25"/>
  <c r="G213" i="25"/>
  <c r="C213" i="25"/>
  <c r="L212" i="25"/>
  <c r="K212" i="25"/>
  <c r="J212" i="25"/>
  <c r="I212" i="25"/>
  <c r="H212" i="25"/>
  <c r="G212" i="25"/>
  <c r="C212" i="25"/>
  <c r="L211" i="25"/>
  <c r="K211" i="25"/>
  <c r="J211" i="25"/>
  <c r="I211" i="25"/>
  <c r="H211" i="25"/>
  <c r="G211" i="25"/>
  <c r="C211" i="25"/>
  <c r="L210" i="25"/>
  <c r="K210" i="25"/>
  <c r="J210" i="25"/>
  <c r="I210" i="25"/>
  <c r="H210" i="25"/>
  <c r="G210" i="25"/>
  <c r="C210" i="25"/>
  <c r="L209" i="25"/>
  <c r="K209" i="25"/>
  <c r="J209" i="25"/>
  <c r="I209" i="25"/>
  <c r="H209" i="25"/>
  <c r="G209" i="25"/>
  <c r="C209" i="25"/>
  <c r="L208" i="25"/>
  <c r="K208" i="25"/>
  <c r="J208" i="25"/>
  <c r="I208" i="25"/>
  <c r="H208" i="25"/>
  <c r="G208" i="25"/>
  <c r="C208" i="25"/>
  <c r="L207" i="25"/>
  <c r="K207" i="25"/>
  <c r="J207" i="25"/>
  <c r="I207" i="25"/>
  <c r="H207" i="25"/>
  <c r="G207" i="25"/>
  <c r="C207" i="25"/>
  <c r="L206" i="25"/>
  <c r="K206" i="25"/>
  <c r="J206" i="25"/>
  <c r="I206" i="25"/>
  <c r="H206" i="25"/>
  <c r="G206" i="25"/>
  <c r="C206" i="25"/>
  <c r="L205" i="25"/>
  <c r="K205" i="25"/>
  <c r="J205" i="25"/>
  <c r="I205" i="25"/>
  <c r="H205" i="25"/>
  <c r="G205" i="25"/>
  <c r="C205" i="25"/>
  <c r="L204" i="25"/>
  <c r="K204" i="25"/>
  <c r="J204" i="25"/>
  <c r="I204" i="25"/>
  <c r="H204" i="25"/>
  <c r="G204" i="25"/>
  <c r="C204" i="25"/>
  <c r="L203" i="25"/>
  <c r="K203" i="25"/>
  <c r="J203" i="25"/>
  <c r="I203" i="25"/>
  <c r="H203" i="25"/>
  <c r="G203" i="25"/>
  <c r="C203" i="25"/>
  <c r="L202" i="25"/>
  <c r="K202" i="25"/>
  <c r="J202" i="25"/>
  <c r="I202" i="25"/>
  <c r="H202" i="25"/>
  <c r="G202" i="25"/>
  <c r="C202" i="25"/>
  <c r="L201" i="25"/>
  <c r="K201" i="25"/>
  <c r="J201" i="25"/>
  <c r="I201" i="25"/>
  <c r="H201" i="25"/>
  <c r="G201" i="25"/>
  <c r="C201" i="25"/>
  <c r="L200" i="25"/>
  <c r="K200" i="25"/>
  <c r="J200" i="25"/>
  <c r="I200" i="25"/>
  <c r="H200" i="25"/>
  <c r="G200" i="25"/>
  <c r="C200" i="25"/>
  <c r="L199" i="25"/>
  <c r="K199" i="25"/>
  <c r="J199" i="25"/>
  <c r="I199" i="25"/>
  <c r="H199" i="25"/>
  <c r="G199" i="25"/>
  <c r="C199" i="25"/>
  <c r="L198" i="25"/>
  <c r="K198" i="25"/>
  <c r="J198" i="25"/>
  <c r="I198" i="25"/>
  <c r="H198" i="25"/>
  <c r="G198" i="25"/>
  <c r="C198" i="25"/>
  <c r="L197" i="25"/>
  <c r="K197" i="25"/>
  <c r="J197" i="25"/>
  <c r="I197" i="25"/>
  <c r="H197" i="25"/>
  <c r="G197" i="25"/>
  <c r="C197" i="25"/>
  <c r="L196" i="25"/>
  <c r="K196" i="25"/>
  <c r="J196" i="25"/>
  <c r="I196" i="25"/>
  <c r="H196" i="25"/>
  <c r="G196" i="25"/>
  <c r="C196" i="25"/>
  <c r="L195" i="25"/>
  <c r="K195" i="25"/>
  <c r="J195" i="25"/>
  <c r="I195" i="25"/>
  <c r="H195" i="25"/>
  <c r="G195" i="25"/>
  <c r="C195" i="25"/>
  <c r="L194" i="25"/>
  <c r="K194" i="25"/>
  <c r="J194" i="25"/>
  <c r="I194" i="25"/>
  <c r="H194" i="25"/>
  <c r="G194" i="25"/>
  <c r="C194" i="25"/>
  <c r="L193" i="25"/>
  <c r="K193" i="25"/>
  <c r="J193" i="25"/>
  <c r="I193" i="25"/>
  <c r="H193" i="25"/>
  <c r="G193" i="25"/>
  <c r="C193" i="25"/>
  <c r="L192" i="25"/>
  <c r="K192" i="25"/>
  <c r="J192" i="25"/>
  <c r="I192" i="25"/>
  <c r="H192" i="25"/>
  <c r="G192" i="25"/>
  <c r="C192" i="25"/>
  <c r="L191" i="25"/>
  <c r="K191" i="25"/>
  <c r="J191" i="25"/>
  <c r="I191" i="25"/>
  <c r="H191" i="25"/>
  <c r="G191" i="25"/>
  <c r="C191" i="25"/>
  <c r="L190" i="25"/>
  <c r="K190" i="25"/>
  <c r="J190" i="25"/>
  <c r="I190" i="25"/>
  <c r="H190" i="25"/>
  <c r="G190" i="25"/>
  <c r="C190" i="25"/>
  <c r="L189" i="25"/>
  <c r="K189" i="25"/>
  <c r="J189" i="25"/>
  <c r="I189" i="25"/>
  <c r="H189" i="25"/>
  <c r="G189" i="25"/>
  <c r="C189" i="25"/>
  <c r="L188" i="25"/>
  <c r="K188" i="25"/>
  <c r="J188" i="25"/>
  <c r="I188" i="25"/>
  <c r="H188" i="25"/>
  <c r="G188" i="25"/>
  <c r="C188" i="25"/>
  <c r="L187" i="25"/>
  <c r="K187" i="25"/>
  <c r="J187" i="25"/>
  <c r="I187" i="25"/>
  <c r="H187" i="25"/>
  <c r="G187" i="25"/>
  <c r="C187" i="25"/>
  <c r="L186" i="25"/>
  <c r="K186" i="25"/>
  <c r="J186" i="25"/>
  <c r="I186" i="25"/>
  <c r="H186" i="25"/>
  <c r="G186" i="25"/>
  <c r="C186" i="25"/>
  <c r="L185" i="25"/>
  <c r="K185" i="25"/>
  <c r="J185" i="25"/>
  <c r="I185" i="25"/>
  <c r="H185" i="25"/>
  <c r="G185" i="25"/>
  <c r="C185" i="25"/>
  <c r="L184" i="25"/>
  <c r="K184" i="25"/>
  <c r="J184" i="25"/>
  <c r="I184" i="25"/>
  <c r="H184" i="25"/>
  <c r="G184" i="25"/>
  <c r="C184" i="25"/>
  <c r="L183" i="25"/>
  <c r="K183" i="25"/>
  <c r="J183" i="25"/>
  <c r="I183" i="25"/>
  <c r="H183" i="25"/>
  <c r="G183" i="25"/>
  <c r="C183" i="25"/>
  <c r="L182" i="25"/>
  <c r="K182" i="25"/>
  <c r="J182" i="25"/>
  <c r="I182" i="25"/>
  <c r="H182" i="25"/>
  <c r="G182" i="25"/>
  <c r="C182" i="25"/>
  <c r="L181" i="25"/>
  <c r="K181" i="25"/>
  <c r="J181" i="25"/>
  <c r="I181" i="25"/>
  <c r="H181" i="25"/>
  <c r="G181" i="25"/>
  <c r="C181" i="25"/>
  <c r="L180" i="25"/>
  <c r="K180" i="25"/>
  <c r="J180" i="25"/>
  <c r="I180" i="25"/>
  <c r="H180" i="25"/>
  <c r="G180" i="25"/>
  <c r="C180" i="25"/>
  <c r="L179" i="25"/>
  <c r="K179" i="25"/>
  <c r="J179" i="25"/>
  <c r="I179" i="25"/>
  <c r="H179" i="25"/>
  <c r="G179" i="25"/>
  <c r="C179" i="25"/>
  <c r="L178" i="25"/>
  <c r="K178" i="25"/>
  <c r="J178" i="25"/>
  <c r="I178" i="25"/>
  <c r="H178" i="25"/>
  <c r="G178" i="25"/>
  <c r="C178" i="25"/>
  <c r="L177" i="25"/>
  <c r="K177" i="25"/>
  <c r="J177" i="25"/>
  <c r="I177" i="25"/>
  <c r="H177" i="25"/>
  <c r="G177" i="25"/>
  <c r="C177" i="25"/>
  <c r="L176" i="25"/>
  <c r="K176" i="25"/>
  <c r="J176" i="25"/>
  <c r="I176" i="25"/>
  <c r="H176" i="25"/>
  <c r="G176" i="25"/>
  <c r="C176" i="25"/>
  <c r="L175" i="25"/>
  <c r="K175" i="25"/>
  <c r="J175" i="25"/>
  <c r="I175" i="25"/>
  <c r="H175" i="25"/>
  <c r="G175" i="25"/>
  <c r="C175" i="25"/>
  <c r="L174" i="25"/>
  <c r="K174" i="25"/>
  <c r="J174" i="25"/>
  <c r="I174" i="25"/>
  <c r="H174" i="25"/>
  <c r="G174" i="25"/>
  <c r="C174" i="25"/>
  <c r="L173" i="25"/>
  <c r="K173" i="25"/>
  <c r="J173" i="25"/>
  <c r="I173" i="25"/>
  <c r="H173" i="25"/>
  <c r="G173" i="25"/>
  <c r="C173" i="25"/>
  <c r="L172" i="25"/>
  <c r="K172" i="25"/>
  <c r="J172" i="25"/>
  <c r="I172" i="25"/>
  <c r="H172" i="25"/>
  <c r="G172" i="25"/>
  <c r="C172" i="25"/>
  <c r="L171" i="25"/>
  <c r="K171" i="25"/>
  <c r="J171" i="25"/>
  <c r="I171" i="25"/>
  <c r="H171" i="25"/>
  <c r="G171" i="25"/>
  <c r="C171" i="25"/>
  <c r="L170" i="25"/>
  <c r="K170" i="25"/>
  <c r="J170" i="25"/>
  <c r="I170" i="25"/>
  <c r="H170" i="25"/>
  <c r="G170" i="25"/>
  <c r="C170" i="25"/>
  <c r="L169" i="25"/>
  <c r="K169" i="25"/>
  <c r="J169" i="25"/>
  <c r="I169" i="25"/>
  <c r="H169" i="25"/>
  <c r="G169" i="25"/>
  <c r="C169" i="25"/>
  <c r="L168" i="25"/>
  <c r="K168" i="25"/>
  <c r="J168" i="25"/>
  <c r="I168" i="25"/>
  <c r="H168" i="25"/>
  <c r="G168" i="25"/>
  <c r="C168" i="25"/>
  <c r="L167" i="25"/>
  <c r="K167" i="25"/>
  <c r="J167" i="25"/>
  <c r="I167" i="25"/>
  <c r="H167" i="25"/>
  <c r="G167" i="25"/>
  <c r="C167" i="25"/>
  <c r="L166" i="25"/>
  <c r="K166" i="25"/>
  <c r="J166" i="25"/>
  <c r="I166" i="25"/>
  <c r="H166" i="25"/>
  <c r="G166" i="25"/>
  <c r="C166" i="25"/>
  <c r="L165" i="25"/>
  <c r="K165" i="25"/>
  <c r="J165" i="25"/>
  <c r="I165" i="25"/>
  <c r="H165" i="25"/>
  <c r="G165" i="25"/>
  <c r="C165" i="25"/>
  <c r="L164" i="25"/>
  <c r="K164" i="25"/>
  <c r="J164" i="25"/>
  <c r="I164" i="25"/>
  <c r="H164" i="25"/>
  <c r="G164" i="25"/>
  <c r="C164" i="25"/>
  <c r="L163" i="25"/>
  <c r="K163" i="25"/>
  <c r="J163" i="25"/>
  <c r="I163" i="25"/>
  <c r="H163" i="25"/>
  <c r="G163" i="25"/>
  <c r="C163" i="25"/>
  <c r="L162" i="25"/>
  <c r="K162" i="25"/>
  <c r="J162" i="25"/>
  <c r="I162" i="25"/>
  <c r="H162" i="25"/>
  <c r="G162" i="25"/>
  <c r="C162" i="25"/>
  <c r="L161" i="25"/>
  <c r="K161" i="25"/>
  <c r="J161" i="25"/>
  <c r="I161" i="25"/>
  <c r="H161" i="25"/>
  <c r="G161" i="25"/>
  <c r="C161" i="25"/>
  <c r="L160" i="25"/>
  <c r="K160" i="25"/>
  <c r="J160" i="25"/>
  <c r="I160" i="25"/>
  <c r="H160" i="25"/>
  <c r="G160" i="25"/>
  <c r="C160" i="25"/>
  <c r="L159" i="25"/>
  <c r="K159" i="25"/>
  <c r="J159" i="25"/>
  <c r="I159" i="25"/>
  <c r="H159" i="25"/>
  <c r="G159" i="25"/>
  <c r="C159" i="25"/>
  <c r="L158" i="25"/>
  <c r="K158" i="25"/>
  <c r="J158" i="25"/>
  <c r="I158" i="25"/>
  <c r="H158" i="25"/>
  <c r="G158" i="25"/>
  <c r="C158" i="25"/>
  <c r="L157" i="25"/>
  <c r="K157" i="25"/>
  <c r="J157" i="25"/>
  <c r="I157" i="25"/>
  <c r="H157" i="25"/>
  <c r="G157" i="25"/>
  <c r="C157" i="25"/>
  <c r="L156" i="25"/>
  <c r="K156" i="25"/>
  <c r="J156" i="25"/>
  <c r="I156" i="25"/>
  <c r="H156" i="25"/>
  <c r="G156" i="25"/>
  <c r="C156" i="25"/>
  <c r="L155" i="25"/>
  <c r="K155" i="25"/>
  <c r="J155" i="25"/>
  <c r="I155" i="25"/>
  <c r="H155" i="25"/>
  <c r="G155" i="25"/>
  <c r="C155" i="25"/>
  <c r="L154" i="25"/>
  <c r="K154" i="25"/>
  <c r="J154" i="25"/>
  <c r="I154" i="25"/>
  <c r="H154" i="25"/>
  <c r="G154" i="25"/>
  <c r="C154" i="25"/>
  <c r="L153" i="25"/>
  <c r="K153" i="25"/>
  <c r="J153" i="25"/>
  <c r="I153" i="25"/>
  <c r="H153" i="25"/>
  <c r="G153" i="25"/>
  <c r="C153" i="25"/>
  <c r="L152" i="25"/>
  <c r="K152" i="25"/>
  <c r="J152" i="25"/>
  <c r="I152" i="25"/>
  <c r="H152" i="25"/>
  <c r="G152" i="25"/>
  <c r="C152" i="25"/>
  <c r="L151" i="25"/>
  <c r="K151" i="25"/>
  <c r="J151" i="25"/>
  <c r="I151" i="25"/>
  <c r="H151" i="25"/>
  <c r="G151" i="25"/>
  <c r="C151" i="25"/>
  <c r="L150" i="25"/>
  <c r="K150" i="25"/>
  <c r="J150" i="25"/>
  <c r="I150" i="25"/>
  <c r="H150" i="25"/>
  <c r="G150" i="25"/>
  <c r="C150" i="25"/>
  <c r="L149" i="25"/>
  <c r="K149" i="25"/>
  <c r="J149" i="25"/>
  <c r="I149" i="25"/>
  <c r="H149" i="25"/>
  <c r="G149" i="25"/>
  <c r="C149" i="25"/>
  <c r="L148" i="25"/>
  <c r="K148" i="25"/>
  <c r="J148" i="25"/>
  <c r="I148" i="25"/>
  <c r="H148" i="25"/>
  <c r="G148" i="25"/>
  <c r="C148" i="25"/>
  <c r="L147" i="25"/>
  <c r="K147" i="25"/>
  <c r="J147" i="25"/>
  <c r="I147" i="25"/>
  <c r="H147" i="25"/>
  <c r="G147" i="25"/>
  <c r="C147" i="25"/>
  <c r="L146" i="25"/>
  <c r="K146" i="25"/>
  <c r="J146" i="25"/>
  <c r="I146" i="25"/>
  <c r="H146" i="25"/>
  <c r="G146" i="25"/>
  <c r="C146" i="25"/>
  <c r="L145" i="25"/>
  <c r="K145" i="25"/>
  <c r="J145" i="25"/>
  <c r="I145" i="25"/>
  <c r="H145" i="25"/>
  <c r="G145" i="25"/>
  <c r="C145" i="25"/>
  <c r="L144" i="25"/>
  <c r="K144" i="25"/>
  <c r="J144" i="25"/>
  <c r="I144" i="25"/>
  <c r="H144" i="25"/>
  <c r="G144" i="25"/>
  <c r="C144" i="25"/>
  <c r="L143" i="25"/>
  <c r="K143" i="25"/>
  <c r="J143" i="25"/>
  <c r="I143" i="25"/>
  <c r="H143" i="25"/>
  <c r="G143" i="25"/>
  <c r="C143" i="25"/>
  <c r="L142" i="25"/>
  <c r="K142" i="25"/>
  <c r="J142" i="25"/>
  <c r="I142" i="25"/>
  <c r="H142" i="25"/>
  <c r="G142" i="25"/>
  <c r="C142" i="25"/>
  <c r="L141" i="25"/>
  <c r="K141" i="25"/>
  <c r="J141" i="25"/>
  <c r="I141" i="25"/>
  <c r="H141" i="25"/>
  <c r="G141" i="25"/>
  <c r="C141" i="25"/>
  <c r="L140" i="25"/>
  <c r="K140" i="25"/>
  <c r="J140" i="25"/>
  <c r="I140" i="25"/>
  <c r="H140" i="25"/>
  <c r="G140" i="25"/>
  <c r="C140" i="25"/>
  <c r="L139" i="25"/>
  <c r="K139" i="25"/>
  <c r="J139" i="25"/>
  <c r="I139" i="25"/>
  <c r="H139" i="25"/>
  <c r="G139" i="25"/>
  <c r="C139" i="25"/>
  <c r="L138" i="25"/>
  <c r="K138" i="25"/>
  <c r="J138" i="25"/>
  <c r="I138" i="25"/>
  <c r="H138" i="25"/>
  <c r="G138" i="25"/>
  <c r="C138" i="25"/>
  <c r="L137" i="25"/>
  <c r="K137" i="25"/>
  <c r="J137" i="25"/>
  <c r="I137" i="25"/>
  <c r="H137" i="25"/>
  <c r="G137" i="25"/>
  <c r="C137" i="25"/>
  <c r="L136" i="25"/>
  <c r="K136" i="25"/>
  <c r="J136" i="25"/>
  <c r="I136" i="25"/>
  <c r="H136" i="25"/>
  <c r="G136" i="25"/>
  <c r="C136" i="25"/>
  <c r="L135" i="25"/>
  <c r="K135" i="25"/>
  <c r="J135" i="25"/>
  <c r="I135" i="25"/>
  <c r="H135" i="25"/>
  <c r="G135" i="25"/>
  <c r="C135" i="25"/>
  <c r="L134" i="25"/>
  <c r="K134" i="25"/>
  <c r="J134" i="25"/>
  <c r="I134" i="25"/>
  <c r="H134" i="25"/>
  <c r="G134" i="25"/>
  <c r="C134" i="25"/>
  <c r="L133" i="25"/>
  <c r="K133" i="25"/>
  <c r="J133" i="25"/>
  <c r="I133" i="25"/>
  <c r="H133" i="25"/>
  <c r="G133" i="25"/>
  <c r="C133" i="25"/>
  <c r="L132" i="25"/>
  <c r="K132" i="25"/>
  <c r="J132" i="25"/>
  <c r="I132" i="25"/>
  <c r="H132" i="25"/>
  <c r="G132" i="25"/>
  <c r="C132" i="25"/>
  <c r="L131" i="25"/>
  <c r="K131" i="25"/>
  <c r="J131" i="25"/>
  <c r="I131" i="25"/>
  <c r="H131" i="25"/>
  <c r="G131" i="25"/>
  <c r="C131" i="25"/>
  <c r="L130" i="25"/>
  <c r="K130" i="25"/>
  <c r="J130" i="25"/>
  <c r="I130" i="25"/>
  <c r="H130" i="25"/>
  <c r="G130" i="25"/>
  <c r="C130" i="25"/>
  <c r="L129" i="25"/>
  <c r="K129" i="25"/>
  <c r="J129" i="25"/>
  <c r="I129" i="25"/>
  <c r="H129" i="25"/>
  <c r="G129" i="25"/>
  <c r="C129" i="25"/>
  <c r="L128" i="25"/>
  <c r="K128" i="25"/>
  <c r="J128" i="25"/>
  <c r="I128" i="25"/>
  <c r="H128" i="25"/>
  <c r="G128" i="25"/>
  <c r="C128" i="25"/>
  <c r="L127" i="25"/>
  <c r="K127" i="25"/>
  <c r="J127" i="25"/>
  <c r="I127" i="25"/>
  <c r="H127" i="25"/>
  <c r="G127" i="25"/>
  <c r="C127" i="25"/>
  <c r="L126" i="25"/>
  <c r="K126" i="25"/>
  <c r="J126" i="25"/>
  <c r="I126" i="25"/>
  <c r="H126" i="25"/>
  <c r="G126" i="25"/>
  <c r="C126" i="25"/>
  <c r="L125" i="25"/>
  <c r="K125" i="25"/>
  <c r="J125" i="25"/>
  <c r="I125" i="25"/>
  <c r="H125" i="25"/>
  <c r="G125" i="25"/>
  <c r="C125" i="25"/>
  <c r="L124" i="25"/>
  <c r="K124" i="25"/>
  <c r="J124" i="25"/>
  <c r="I124" i="25"/>
  <c r="H124" i="25"/>
  <c r="G124" i="25"/>
  <c r="C124" i="25"/>
  <c r="L123" i="25"/>
  <c r="K123" i="25"/>
  <c r="J123" i="25"/>
  <c r="I123" i="25"/>
  <c r="H123" i="25"/>
  <c r="G123" i="25"/>
  <c r="C123" i="25"/>
  <c r="L122" i="25"/>
  <c r="K122" i="25"/>
  <c r="J122" i="25"/>
  <c r="I122" i="25"/>
  <c r="H122" i="25"/>
  <c r="G122" i="25"/>
  <c r="C122" i="25"/>
  <c r="L121" i="25"/>
  <c r="K121" i="25"/>
  <c r="J121" i="25"/>
  <c r="I121" i="25"/>
  <c r="H121" i="25"/>
  <c r="G121" i="25"/>
  <c r="C121" i="25"/>
  <c r="L120" i="25"/>
  <c r="K120" i="25"/>
  <c r="J120" i="25"/>
  <c r="I120" i="25"/>
  <c r="H120" i="25"/>
  <c r="G120" i="25"/>
  <c r="C120" i="25"/>
  <c r="L119" i="25"/>
  <c r="K119" i="25"/>
  <c r="J119" i="25"/>
  <c r="I119" i="25"/>
  <c r="H119" i="25"/>
  <c r="G119" i="25"/>
  <c r="C119" i="25"/>
  <c r="L118" i="25"/>
  <c r="K118" i="25"/>
  <c r="J118" i="25"/>
  <c r="I118" i="25"/>
  <c r="H118" i="25"/>
  <c r="G118" i="25"/>
  <c r="C118" i="25"/>
  <c r="L117" i="25"/>
  <c r="K117" i="25"/>
  <c r="J117" i="25"/>
  <c r="I117" i="25"/>
  <c r="H117" i="25"/>
  <c r="G117" i="25"/>
  <c r="C117" i="25"/>
  <c r="L116" i="25"/>
  <c r="K116" i="25"/>
  <c r="J116" i="25"/>
  <c r="I116" i="25"/>
  <c r="H116" i="25"/>
  <c r="G116" i="25"/>
  <c r="C116" i="25"/>
  <c r="L115" i="25"/>
  <c r="K115" i="25"/>
  <c r="J115" i="25"/>
  <c r="I115" i="25"/>
  <c r="H115" i="25"/>
  <c r="G115" i="25"/>
  <c r="C115" i="25"/>
  <c r="L114" i="25"/>
  <c r="K114" i="25"/>
  <c r="J114" i="25"/>
  <c r="I114" i="25"/>
  <c r="H114" i="25"/>
  <c r="G114" i="25"/>
  <c r="C114" i="25"/>
  <c r="L113" i="25"/>
  <c r="K113" i="25"/>
  <c r="J113" i="25"/>
  <c r="I113" i="25"/>
  <c r="H113" i="25"/>
  <c r="G113" i="25"/>
  <c r="C113" i="25"/>
  <c r="L112" i="25"/>
  <c r="K112" i="25"/>
  <c r="J112" i="25"/>
  <c r="I112" i="25"/>
  <c r="H112" i="25"/>
  <c r="G112" i="25"/>
  <c r="C112" i="25"/>
  <c r="L111" i="25"/>
  <c r="K111" i="25"/>
  <c r="J111" i="25"/>
  <c r="I111" i="25"/>
  <c r="H111" i="25"/>
  <c r="G111" i="25"/>
  <c r="C111" i="25"/>
  <c r="L110" i="25"/>
  <c r="K110" i="25"/>
  <c r="J110" i="25"/>
  <c r="I110" i="25"/>
  <c r="H110" i="25"/>
  <c r="G110" i="25"/>
  <c r="C110" i="25"/>
  <c r="L109" i="25"/>
  <c r="K109" i="25"/>
  <c r="J109" i="25"/>
  <c r="I109" i="25"/>
  <c r="H109" i="25"/>
  <c r="G109" i="25"/>
  <c r="C109" i="25"/>
  <c r="L108" i="25"/>
  <c r="K108" i="25"/>
  <c r="J108" i="25"/>
  <c r="I108" i="25"/>
  <c r="H108" i="25"/>
  <c r="G108" i="25"/>
  <c r="C108" i="25"/>
  <c r="L107" i="25"/>
  <c r="K107" i="25"/>
  <c r="J107" i="25"/>
  <c r="I107" i="25"/>
  <c r="H107" i="25"/>
  <c r="G107" i="25"/>
  <c r="C107" i="25"/>
  <c r="L106" i="25"/>
  <c r="K106" i="25"/>
  <c r="J106" i="25"/>
  <c r="I106" i="25"/>
  <c r="H106" i="25"/>
  <c r="G106" i="25"/>
  <c r="C106" i="25"/>
  <c r="L105" i="25"/>
  <c r="K105" i="25"/>
  <c r="J105" i="25"/>
  <c r="I105" i="25"/>
  <c r="H105" i="25"/>
  <c r="G105" i="25"/>
  <c r="C105" i="25"/>
  <c r="L104" i="25"/>
  <c r="K104" i="25"/>
  <c r="J104" i="25"/>
  <c r="I104" i="25"/>
  <c r="H104" i="25"/>
  <c r="G104" i="25"/>
  <c r="C104" i="25"/>
  <c r="L103" i="25"/>
  <c r="K103" i="25"/>
  <c r="J103" i="25"/>
  <c r="I103" i="25"/>
  <c r="H103" i="25"/>
  <c r="G103" i="25"/>
  <c r="C103" i="25"/>
  <c r="L102" i="25"/>
  <c r="K102" i="25"/>
  <c r="J102" i="25"/>
  <c r="I102" i="25"/>
  <c r="H102" i="25"/>
  <c r="G102" i="25"/>
  <c r="C102" i="25"/>
  <c r="L101" i="25"/>
  <c r="K101" i="25"/>
  <c r="J101" i="25"/>
  <c r="I101" i="25"/>
  <c r="H101" i="25"/>
  <c r="G101" i="25"/>
  <c r="C101" i="25"/>
  <c r="L100" i="25"/>
  <c r="K100" i="25"/>
  <c r="J100" i="25"/>
  <c r="I100" i="25"/>
  <c r="H100" i="25"/>
  <c r="G100" i="25"/>
  <c r="C100" i="25"/>
  <c r="L99" i="25"/>
  <c r="K99" i="25"/>
  <c r="J99" i="25"/>
  <c r="I99" i="25"/>
  <c r="H99" i="25"/>
  <c r="G99" i="25"/>
  <c r="C99" i="25"/>
  <c r="L98" i="25"/>
  <c r="K98" i="25"/>
  <c r="J98" i="25"/>
  <c r="I98" i="25"/>
  <c r="H98" i="25"/>
  <c r="G98" i="25"/>
  <c r="C98" i="25"/>
  <c r="L97" i="25"/>
  <c r="K97" i="25"/>
  <c r="J97" i="25"/>
  <c r="I97" i="25"/>
  <c r="H97" i="25"/>
  <c r="G97" i="25"/>
  <c r="C97" i="25"/>
  <c r="L96" i="25"/>
  <c r="K96" i="25"/>
  <c r="J96" i="25"/>
  <c r="I96" i="25"/>
  <c r="H96" i="25"/>
  <c r="G96" i="25"/>
  <c r="C96" i="25"/>
  <c r="L95" i="25"/>
  <c r="K95" i="25"/>
  <c r="J95" i="25"/>
  <c r="I95" i="25"/>
  <c r="H95" i="25"/>
  <c r="G95" i="25"/>
  <c r="C95" i="25"/>
  <c r="L94" i="25"/>
  <c r="K94" i="25"/>
  <c r="J94" i="25"/>
  <c r="I94" i="25"/>
  <c r="H94" i="25"/>
  <c r="G94" i="25"/>
  <c r="C94" i="25"/>
  <c r="L93" i="25"/>
  <c r="K93" i="25"/>
  <c r="J93" i="25"/>
  <c r="I93" i="25"/>
  <c r="H93" i="25"/>
  <c r="G93" i="25"/>
  <c r="C93" i="25"/>
  <c r="L92" i="25"/>
  <c r="K92" i="25"/>
  <c r="J92" i="25"/>
  <c r="I92" i="25"/>
  <c r="H92" i="25"/>
  <c r="G92" i="25"/>
  <c r="C92" i="25"/>
  <c r="L91" i="25"/>
  <c r="K91" i="25"/>
  <c r="J91" i="25"/>
  <c r="I91" i="25"/>
  <c r="H91" i="25"/>
  <c r="G91" i="25"/>
  <c r="C91" i="25"/>
  <c r="L90" i="25"/>
  <c r="K90" i="25"/>
  <c r="J90" i="25"/>
  <c r="I90" i="25"/>
  <c r="H90" i="25"/>
  <c r="G90" i="25"/>
  <c r="C90" i="25"/>
  <c r="L89" i="25"/>
  <c r="K89" i="25"/>
  <c r="J89" i="25"/>
  <c r="I89" i="25"/>
  <c r="H89" i="25"/>
  <c r="G89" i="25"/>
  <c r="C89" i="25"/>
  <c r="L88" i="25"/>
  <c r="K88" i="25"/>
  <c r="J88" i="25"/>
  <c r="I88" i="25"/>
  <c r="H88" i="25"/>
  <c r="G88" i="25"/>
  <c r="C88" i="25"/>
  <c r="L87" i="25"/>
  <c r="K87" i="25"/>
  <c r="J87" i="25"/>
  <c r="I87" i="25"/>
  <c r="H87" i="25"/>
  <c r="G87" i="25"/>
  <c r="C87" i="25"/>
  <c r="L86" i="25"/>
  <c r="K86" i="25"/>
  <c r="J86" i="25"/>
  <c r="I86" i="25"/>
  <c r="H86" i="25"/>
  <c r="G86" i="25"/>
  <c r="C86" i="25"/>
  <c r="L85" i="25"/>
  <c r="K85" i="25"/>
  <c r="J85" i="25"/>
  <c r="I85" i="25"/>
  <c r="H85" i="25"/>
  <c r="G85" i="25"/>
  <c r="C85" i="25"/>
  <c r="L84" i="25"/>
  <c r="K84" i="25"/>
  <c r="J84" i="25"/>
  <c r="I84" i="25"/>
  <c r="H84" i="25"/>
  <c r="G84" i="25"/>
  <c r="C84" i="25"/>
  <c r="L83" i="25"/>
  <c r="K83" i="25"/>
  <c r="J83" i="25"/>
  <c r="I83" i="25"/>
  <c r="H83" i="25"/>
  <c r="G83" i="25"/>
  <c r="C83" i="25"/>
  <c r="L82" i="25"/>
  <c r="K82" i="25"/>
  <c r="J82" i="25"/>
  <c r="I82" i="25"/>
  <c r="H82" i="25"/>
  <c r="G82" i="25"/>
  <c r="C82" i="25"/>
  <c r="L81" i="25"/>
  <c r="K81" i="25"/>
  <c r="J81" i="25"/>
  <c r="I81" i="25"/>
  <c r="H81" i="25"/>
  <c r="G81" i="25"/>
  <c r="C81" i="25"/>
  <c r="L80" i="25"/>
  <c r="K80" i="25"/>
  <c r="J80" i="25"/>
  <c r="I80" i="25"/>
  <c r="H80" i="25"/>
  <c r="G80" i="25"/>
  <c r="C80" i="25"/>
  <c r="L79" i="25"/>
  <c r="K79" i="25"/>
  <c r="J79" i="25"/>
  <c r="I79" i="25"/>
  <c r="H79" i="25"/>
  <c r="G79" i="25"/>
  <c r="C79" i="25"/>
  <c r="L78" i="25"/>
  <c r="K78" i="25"/>
  <c r="J78" i="25"/>
  <c r="I78" i="25"/>
  <c r="H78" i="25"/>
  <c r="G78" i="25"/>
  <c r="C78" i="25"/>
  <c r="L77" i="25"/>
  <c r="K77" i="25"/>
  <c r="J77" i="25"/>
  <c r="I77" i="25"/>
  <c r="H77" i="25"/>
  <c r="G77" i="25"/>
  <c r="C77" i="25"/>
  <c r="L76" i="25"/>
  <c r="K76" i="25"/>
  <c r="J76" i="25"/>
  <c r="I76" i="25"/>
  <c r="H76" i="25"/>
  <c r="G76" i="25"/>
  <c r="C76" i="25"/>
  <c r="L75" i="25"/>
  <c r="K75" i="25"/>
  <c r="J75" i="25"/>
  <c r="I75" i="25"/>
  <c r="H75" i="25"/>
  <c r="G75" i="25"/>
  <c r="C75" i="25"/>
  <c r="L74" i="25"/>
  <c r="K74" i="25"/>
  <c r="J74" i="25"/>
  <c r="I74" i="25"/>
  <c r="H74" i="25"/>
  <c r="G74" i="25"/>
  <c r="C74" i="25"/>
  <c r="L73" i="25"/>
  <c r="K73" i="25"/>
  <c r="J73" i="25"/>
  <c r="I73" i="25"/>
  <c r="H73" i="25"/>
  <c r="G73" i="25"/>
  <c r="C73" i="25"/>
  <c r="L72" i="25"/>
  <c r="K72" i="25"/>
  <c r="J72" i="25"/>
  <c r="I72" i="25"/>
  <c r="H72" i="25"/>
  <c r="G72" i="25"/>
  <c r="C72" i="25"/>
  <c r="L71" i="25"/>
  <c r="K71" i="25"/>
  <c r="J71" i="25"/>
  <c r="I71" i="25"/>
  <c r="H71" i="25"/>
  <c r="G71" i="25"/>
  <c r="C71" i="25"/>
  <c r="L70" i="25"/>
  <c r="K70" i="25"/>
  <c r="J70" i="25"/>
  <c r="I70" i="25"/>
  <c r="H70" i="25"/>
  <c r="G70" i="25"/>
  <c r="C70" i="25"/>
  <c r="L69" i="25"/>
  <c r="K69" i="25"/>
  <c r="J69" i="25"/>
  <c r="I69" i="25"/>
  <c r="H69" i="25"/>
  <c r="G69" i="25"/>
  <c r="C69" i="25"/>
  <c r="L68" i="25"/>
  <c r="K68" i="25"/>
  <c r="J68" i="25"/>
  <c r="I68" i="25"/>
  <c r="H68" i="25"/>
  <c r="G68" i="25"/>
  <c r="C68" i="25"/>
  <c r="L67" i="25"/>
  <c r="K67" i="25"/>
  <c r="J67" i="25"/>
  <c r="I67" i="25"/>
  <c r="H67" i="25"/>
  <c r="G67" i="25"/>
  <c r="C67" i="25"/>
  <c r="L66" i="25"/>
  <c r="K66" i="25"/>
  <c r="J66" i="25"/>
  <c r="I66" i="25"/>
  <c r="H66" i="25"/>
  <c r="G66" i="25"/>
  <c r="C66" i="25"/>
  <c r="L65" i="25"/>
  <c r="K65" i="25"/>
  <c r="J65" i="25"/>
  <c r="I65" i="25"/>
  <c r="H65" i="25"/>
  <c r="G65" i="25"/>
  <c r="C65" i="25"/>
  <c r="L64" i="25"/>
  <c r="K64" i="25"/>
  <c r="J64" i="25"/>
  <c r="I64" i="25"/>
  <c r="H64" i="25"/>
  <c r="G64" i="25"/>
  <c r="C64" i="25"/>
  <c r="L63" i="25"/>
  <c r="K63" i="25"/>
  <c r="J63" i="25"/>
  <c r="I63" i="25"/>
  <c r="H63" i="25"/>
  <c r="G63" i="25"/>
  <c r="C63" i="25"/>
  <c r="L62" i="25"/>
  <c r="K62" i="25"/>
  <c r="J62" i="25"/>
  <c r="I62" i="25"/>
  <c r="H62" i="25"/>
  <c r="G62" i="25"/>
  <c r="C62" i="25"/>
  <c r="L61" i="25"/>
  <c r="K61" i="25"/>
  <c r="J61" i="25"/>
  <c r="I61" i="25"/>
  <c r="H61" i="25"/>
  <c r="G61" i="25"/>
  <c r="C61" i="25"/>
  <c r="L60" i="25"/>
  <c r="K60" i="25"/>
  <c r="J60" i="25"/>
  <c r="I60" i="25"/>
  <c r="H60" i="25"/>
  <c r="G60" i="25"/>
  <c r="C60" i="25"/>
  <c r="L59" i="25"/>
  <c r="K59" i="25"/>
  <c r="J59" i="25"/>
  <c r="I59" i="25"/>
  <c r="H59" i="25"/>
  <c r="G59" i="25"/>
  <c r="C59" i="25"/>
  <c r="L58" i="25"/>
  <c r="K58" i="25"/>
  <c r="J58" i="25"/>
  <c r="I58" i="25"/>
  <c r="H58" i="25"/>
  <c r="G58" i="25"/>
  <c r="C58" i="25"/>
  <c r="L57" i="25"/>
  <c r="K57" i="25"/>
  <c r="J57" i="25"/>
  <c r="I57" i="25"/>
  <c r="H57" i="25"/>
  <c r="G57" i="25"/>
  <c r="C57" i="25"/>
  <c r="L56" i="25"/>
  <c r="K56" i="25"/>
  <c r="J56" i="25"/>
  <c r="I56" i="25"/>
  <c r="H56" i="25"/>
  <c r="G56" i="25"/>
  <c r="C56" i="25"/>
  <c r="L55" i="25"/>
  <c r="K55" i="25"/>
  <c r="J55" i="25"/>
  <c r="I55" i="25"/>
  <c r="H55" i="25"/>
  <c r="G55" i="25"/>
  <c r="C55" i="25"/>
  <c r="L54" i="25"/>
  <c r="K54" i="25"/>
  <c r="J54" i="25"/>
  <c r="I54" i="25"/>
  <c r="H54" i="25"/>
  <c r="G54" i="25"/>
  <c r="C54" i="25"/>
  <c r="L53" i="25"/>
  <c r="K53" i="25"/>
  <c r="J53" i="25"/>
  <c r="I53" i="25"/>
  <c r="H53" i="25"/>
  <c r="G53" i="25"/>
  <c r="C53" i="25"/>
  <c r="L52" i="25"/>
  <c r="K52" i="25"/>
  <c r="J52" i="25"/>
  <c r="I52" i="25"/>
  <c r="H52" i="25"/>
  <c r="G52" i="25"/>
  <c r="C52" i="25"/>
  <c r="L51" i="25"/>
  <c r="K51" i="25"/>
  <c r="J51" i="25"/>
  <c r="I51" i="25"/>
  <c r="H51" i="25"/>
  <c r="G51" i="25"/>
  <c r="C51" i="25"/>
  <c r="L50" i="25"/>
  <c r="K50" i="25"/>
  <c r="J50" i="25"/>
  <c r="I50" i="25"/>
  <c r="H50" i="25"/>
  <c r="G50" i="25"/>
  <c r="C50" i="25"/>
  <c r="L49" i="25"/>
  <c r="K49" i="25"/>
  <c r="J49" i="25"/>
  <c r="I49" i="25"/>
  <c r="H49" i="25"/>
  <c r="G49" i="25"/>
  <c r="C49" i="25"/>
  <c r="L48" i="25"/>
  <c r="K48" i="25"/>
  <c r="J48" i="25"/>
  <c r="I48" i="25"/>
  <c r="H48" i="25"/>
  <c r="G48" i="25"/>
  <c r="C48" i="25"/>
  <c r="L47" i="25"/>
  <c r="K47" i="25"/>
  <c r="J47" i="25"/>
  <c r="I47" i="25"/>
  <c r="H47" i="25"/>
  <c r="G47" i="25"/>
  <c r="C47" i="25"/>
  <c r="L46" i="25"/>
  <c r="K46" i="25"/>
  <c r="J46" i="25"/>
  <c r="I46" i="25"/>
  <c r="H46" i="25"/>
  <c r="G46" i="25"/>
  <c r="C46" i="25"/>
  <c r="L45" i="25"/>
  <c r="K45" i="25"/>
  <c r="J45" i="25"/>
  <c r="I45" i="25"/>
  <c r="H45" i="25"/>
  <c r="G45" i="25"/>
  <c r="C45" i="25"/>
  <c r="L44" i="25"/>
  <c r="K44" i="25"/>
  <c r="J44" i="25"/>
  <c r="I44" i="25"/>
  <c r="H44" i="25"/>
  <c r="G44" i="25"/>
  <c r="C44" i="25"/>
  <c r="L43" i="25"/>
  <c r="K43" i="25"/>
  <c r="J43" i="25"/>
  <c r="I43" i="25"/>
  <c r="H43" i="25"/>
  <c r="G43" i="25"/>
  <c r="C43" i="25"/>
  <c r="L42" i="25"/>
  <c r="K42" i="25"/>
  <c r="J42" i="25"/>
  <c r="I42" i="25"/>
  <c r="H42" i="25"/>
  <c r="G42" i="25"/>
  <c r="C42" i="25"/>
  <c r="L41" i="25"/>
  <c r="K41" i="25"/>
  <c r="J41" i="25"/>
  <c r="I41" i="25"/>
  <c r="H41" i="25"/>
  <c r="G41" i="25"/>
  <c r="C41" i="25"/>
  <c r="L40" i="25"/>
  <c r="K40" i="25"/>
  <c r="J40" i="25"/>
  <c r="I40" i="25"/>
  <c r="H40" i="25"/>
  <c r="G40" i="25"/>
  <c r="C40" i="25"/>
  <c r="L39" i="25"/>
  <c r="K39" i="25"/>
  <c r="J39" i="25"/>
  <c r="I39" i="25"/>
  <c r="H39" i="25"/>
  <c r="G39" i="25"/>
  <c r="C39" i="25"/>
  <c r="L38" i="25"/>
  <c r="K38" i="25"/>
  <c r="J38" i="25"/>
  <c r="I38" i="25"/>
  <c r="H38" i="25"/>
  <c r="G38" i="25"/>
  <c r="C38" i="25"/>
  <c r="L37" i="25"/>
  <c r="K37" i="25"/>
  <c r="J37" i="25"/>
  <c r="I37" i="25"/>
  <c r="H37" i="25"/>
  <c r="G37" i="25"/>
  <c r="C37" i="25"/>
  <c r="L36" i="25"/>
  <c r="K36" i="25"/>
  <c r="J36" i="25"/>
  <c r="I36" i="25"/>
  <c r="H36" i="25"/>
  <c r="G36" i="25"/>
  <c r="C36" i="25"/>
  <c r="L35" i="25"/>
  <c r="K35" i="25"/>
  <c r="J35" i="25"/>
  <c r="I35" i="25"/>
  <c r="H35" i="25"/>
  <c r="G35" i="25"/>
  <c r="C35" i="25"/>
  <c r="L34" i="25"/>
  <c r="K34" i="25"/>
  <c r="J34" i="25"/>
  <c r="I34" i="25"/>
  <c r="H34" i="25"/>
  <c r="G34" i="25"/>
  <c r="C34" i="25"/>
  <c r="L33" i="25"/>
  <c r="K33" i="25"/>
  <c r="J33" i="25"/>
  <c r="I33" i="25"/>
  <c r="H33" i="25"/>
  <c r="G33" i="25"/>
  <c r="C33" i="25"/>
  <c r="L32" i="25"/>
  <c r="K32" i="25"/>
  <c r="J32" i="25"/>
  <c r="I32" i="25"/>
  <c r="H32" i="25"/>
  <c r="G32" i="25"/>
  <c r="C32" i="25"/>
  <c r="L31" i="25"/>
  <c r="K31" i="25"/>
  <c r="J31" i="25"/>
  <c r="I31" i="25"/>
  <c r="H31" i="25"/>
  <c r="G31" i="25"/>
  <c r="C31" i="25"/>
  <c r="L30" i="25"/>
  <c r="K30" i="25"/>
  <c r="J30" i="25"/>
  <c r="I30" i="25"/>
  <c r="H30" i="25"/>
  <c r="G30" i="25"/>
  <c r="C30" i="25"/>
  <c r="L29" i="25"/>
  <c r="K29" i="25"/>
  <c r="J29" i="25"/>
  <c r="I29" i="25"/>
  <c r="H29" i="25"/>
  <c r="G29" i="25"/>
  <c r="C29" i="25"/>
  <c r="L28" i="25"/>
  <c r="K28" i="25"/>
  <c r="J28" i="25"/>
  <c r="I28" i="25"/>
  <c r="H28" i="25"/>
  <c r="G28" i="25"/>
  <c r="C28" i="25"/>
  <c r="L27" i="25"/>
  <c r="K27" i="25"/>
  <c r="J27" i="25"/>
  <c r="I27" i="25"/>
  <c r="H27" i="25"/>
  <c r="G27" i="25"/>
  <c r="C27" i="25"/>
  <c r="L26" i="25"/>
  <c r="K26" i="25"/>
  <c r="J26" i="25"/>
  <c r="I26" i="25"/>
  <c r="H26" i="25"/>
  <c r="G26" i="25"/>
  <c r="C26" i="25"/>
  <c r="L25" i="25"/>
  <c r="K25" i="25"/>
  <c r="J25" i="25"/>
  <c r="I25" i="25"/>
  <c r="H25" i="25"/>
  <c r="G25" i="25"/>
  <c r="C25" i="25"/>
  <c r="L24" i="25"/>
  <c r="K24" i="25"/>
  <c r="J24" i="25"/>
  <c r="I24" i="25"/>
  <c r="H24" i="25"/>
  <c r="G24" i="25"/>
  <c r="C24" i="25"/>
  <c r="L23" i="25"/>
  <c r="K23" i="25"/>
  <c r="J23" i="25"/>
  <c r="I23" i="25"/>
  <c r="H23" i="25"/>
  <c r="G23" i="25"/>
  <c r="C23" i="25"/>
  <c r="L22" i="25"/>
  <c r="K22" i="25"/>
  <c r="J22" i="25"/>
  <c r="I22" i="25"/>
  <c r="H22" i="25"/>
  <c r="G22" i="25"/>
  <c r="C22" i="25"/>
  <c r="L21" i="25"/>
  <c r="K21" i="25"/>
  <c r="J21" i="25"/>
  <c r="I21" i="25"/>
  <c r="H21" i="25"/>
  <c r="G21" i="25"/>
  <c r="C21" i="25"/>
  <c r="L20" i="25"/>
  <c r="K20" i="25"/>
  <c r="J20" i="25"/>
  <c r="I20" i="25"/>
  <c r="H20" i="25"/>
  <c r="G20" i="25"/>
  <c r="C20" i="25"/>
  <c r="L19" i="25"/>
  <c r="K19" i="25"/>
  <c r="J19" i="25"/>
  <c r="I19" i="25"/>
  <c r="H19" i="25"/>
  <c r="G19" i="25"/>
  <c r="C19" i="25"/>
  <c r="L18" i="25"/>
  <c r="K18" i="25"/>
  <c r="J18" i="25"/>
  <c r="I18" i="25"/>
  <c r="H18" i="25"/>
  <c r="G18" i="25"/>
  <c r="C18" i="25"/>
  <c r="L17" i="25"/>
  <c r="K17" i="25"/>
  <c r="J17" i="25"/>
  <c r="I17" i="25"/>
  <c r="H17" i="25"/>
  <c r="G17" i="25"/>
  <c r="C17" i="25"/>
  <c r="L16" i="25"/>
  <c r="K16" i="25"/>
  <c r="J16" i="25"/>
  <c r="I16" i="25"/>
  <c r="H16" i="25"/>
  <c r="G16" i="25"/>
  <c r="C16" i="25"/>
  <c r="L15" i="25"/>
  <c r="K15" i="25"/>
  <c r="J15" i="25"/>
  <c r="I15" i="25"/>
  <c r="H15" i="25"/>
  <c r="G15" i="25"/>
  <c r="C15" i="25"/>
  <c r="L14" i="25"/>
  <c r="K14" i="25"/>
  <c r="J14" i="25"/>
  <c r="I14" i="25"/>
  <c r="H14" i="25"/>
  <c r="G14" i="25"/>
  <c r="C14" i="25"/>
  <c r="L13" i="25"/>
  <c r="K13" i="25"/>
  <c r="J13" i="25"/>
  <c r="I13" i="25"/>
  <c r="H13" i="25"/>
  <c r="G13" i="25"/>
  <c r="C13" i="25"/>
  <c r="L12" i="25"/>
  <c r="K12" i="25"/>
  <c r="J12" i="25"/>
  <c r="I12" i="25"/>
  <c r="H12" i="25"/>
  <c r="G12" i="25"/>
  <c r="C12" i="25"/>
  <c r="L11" i="25"/>
  <c r="K11" i="25"/>
  <c r="J11" i="25"/>
  <c r="I11" i="25"/>
  <c r="H11" i="25"/>
  <c r="G11" i="25"/>
  <c r="C11" i="25"/>
  <c r="L10" i="25"/>
  <c r="K10" i="25"/>
  <c r="J10" i="25"/>
  <c r="I10" i="25"/>
  <c r="H10" i="25"/>
  <c r="G10" i="25"/>
  <c r="C10" i="25"/>
  <c r="L9" i="25"/>
  <c r="K9" i="25"/>
  <c r="J9" i="25"/>
  <c r="I9" i="25"/>
  <c r="H9" i="25"/>
  <c r="G9" i="25"/>
  <c r="C9" i="25"/>
  <c r="C2" i="25"/>
  <c r="C3" i="25"/>
  <c r="C4" i="25"/>
  <c r="C5" i="25"/>
  <c r="G2" i="25"/>
  <c r="H2" i="25"/>
  <c r="I2" i="25"/>
  <c r="J2" i="25"/>
  <c r="K2" i="25"/>
  <c r="L2" i="25"/>
  <c r="G3" i="25"/>
  <c r="H3" i="25"/>
  <c r="I3" i="25"/>
  <c r="J3" i="25"/>
  <c r="K3" i="25"/>
  <c r="L3" i="25"/>
  <c r="G4" i="25"/>
  <c r="H4" i="25"/>
  <c r="I4" i="25"/>
  <c r="J4" i="25"/>
  <c r="K4" i="25"/>
  <c r="L4" i="25"/>
  <c r="G5" i="25"/>
  <c r="H5" i="25"/>
  <c r="I5" i="25"/>
  <c r="J5" i="25"/>
  <c r="K5" i="25"/>
  <c r="L5" i="25"/>
  <c r="C6" i="25"/>
  <c r="G6" i="25"/>
  <c r="H6" i="25"/>
  <c r="I6" i="25"/>
  <c r="J6" i="25"/>
  <c r="K6" i="25"/>
  <c r="L6" i="25"/>
  <c r="C7" i="25"/>
  <c r="G7" i="25"/>
  <c r="H7" i="25"/>
  <c r="I7" i="25"/>
  <c r="J7" i="25"/>
  <c r="K7" i="25"/>
  <c r="L7" i="25"/>
  <c r="C8" i="25"/>
  <c r="G8" i="25"/>
  <c r="H8" i="25"/>
  <c r="I8" i="25"/>
  <c r="J8" i="25"/>
  <c r="K8" i="25"/>
  <c r="L8" i="25"/>
  <c r="AX3" i="25"/>
  <c r="AX4" i="25"/>
  <c r="AX5" i="25"/>
  <c r="AX6" i="25"/>
  <c r="AX7" i="25"/>
  <c r="AX8" i="25"/>
  <c r="AW3" i="25"/>
  <c r="AW4" i="25"/>
  <c r="AW5" i="25"/>
  <c r="AW6" i="25"/>
  <c r="AW7" i="25"/>
  <c r="AW8" i="25"/>
  <c r="AV3" i="25"/>
  <c r="AV4" i="25"/>
  <c r="AV5" i="25"/>
  <c r="AV6" i="25"/>
  <c r="AV7" i="25"/>
  <c r="AV8" i="25"/>
  <c r="AU3" i="25"/>
  <c r="AU4" i="25"/>
  <c r="AU5" i="25"/>
  <c r="AU6" i="25"/>
  <c r="AU7" i="25"/>
  <c r="AU8" i="25"/>
  <c r="AT3" i="25"/>
  <c r="AT4" i="25"/>
  <c r="AT5" i="25"/>
  <c r="AT6" i="25"/>
  <c r="AT7" i="25"/>
  <c r="AT8" i="25"/>
  <c r="AS3" i="25"/>
  <c r="AS4" i="25"/>
  <c r="AS5" i="25"/>
  <c r="AS6" i="25"/>
  <c r="AS7" i="25"/>
  <c r="AS8" i="25"/>
  <c r="AR3" i="25"/>
  <c r="AR4" i="25"/>
  <c r="AR5" i="25"/>
  <c r="AR6" i="25"/>
  <c r="AR7" i="25"/>
  <c r="AR8" i="25"/>
  <c r="AQ3" i="25"/>
  <c r="AQ4" i="25"/>
  <c r="AQ5" i="25"/>
  <c r="AQ6" i="25"/>
  <c r="AQ7" i="25"/>
  <c r="AQ8" i="25"/>
  <c r="AP3" i="25"/>
  <c r="AP4" i="25"/>
  <c r="AP5" i="25"/>
  <c r="AP6" i="25"/>
  <c r="AP7" i="25"/>
  <c r="AP8" i="25"/>
  <c r="AO3" i="25"/>
  <c r="AO4" i="25"/>
  <c r="AO5" i="25"/>
  <c r="AO6" i="25"/>
  <c r="AO7" i="25"/>
  <c r="AO8" i="25"/>
  <c r="AN3" i="25"/>
  <c r="AN4" i="25"/>
  <c r="AN5" i="25"/>
  <c r="AN6" i="25"/>
  <c r="AN7" i="25"/>
  <c r="AN8" i="25"/>
  <c r="AM3" i="25"/>
  <c r="AM4" i="25"/>
  <c r="AM5" i="25"/>
  <c r="AM6" i="25"/>
  <c r="AM7" i="25"/>
  <c r="AM8" i="25"/>
  <c r="AL3" i="25"/>
  <c r="AL4" i="25"/>
  <c r="AL5" i="25"/>
  <c r="AL6" i="25"/>
  <c r="AL7" i="25"/>
  <c r="AL8" i="25"/>
  <c r="AK3" i="25"/>
  <c r="AK4" i="25"/>
  <c r="AK5" i="25"/>
  <c r="AK6" i="25"/>
  <c r="AK7" i="25"/>
  <c r="AK8" i="25"/>
  <c r="AJ3" i="25"/>
  <c r="AJ4" i="25"/>
  <c r="AJ5" i="25"/>
  <c r="AJ6" i="25"/>
  <c r="AJ7" i="25"/>
  <c r="AJ8" i="25"/>
  <c r="AI3" i="25"/>
  <c r="AI4" i="25"/>
  <c r="AI5" i="25"/>
  <c r="AI6" i="25"/>
  <c r="AI7" i="25"/>
  <c r="AI8" i="25"/>
  <c r="AH3" i="25"/>
  <c r="AH4" i="25"/>
  <c r="AH5" i="25"/>
  <c r="AH6" i="25"/>
  <c r="AH7" i="25"/>
  <c r="AH8" i="25"/>
  <c r="AG3" i="25"/>
  <c r="AG4" i="25"/>
  <c r="AG5" i="25"/>
  <c r="AG6" i="25"/>
  <c r="AG7" i="25"/>
  <c r="AG8" i="25"/>
  <c r="AF3" i="25"/>
  <c r="AF4" i="25"/>
  <c r="AF5" i="25"/>
  <c r="AF6" i="25"/>
  <c r="AF7" i="25"/>
  <c r="AF8" i="25"/>
  <c r="AE3" i="25"/>
  <c r="AE4" i="25"/>
  <c r="AE5" i="25"/>
  <c r="AE6" i="25"/>
  <c r="AE7" i="25"/>
  <c r="AE8" i="25"/>
  <c r="AD3" i="25"/>
  <c r="AD4" i="25"/>
  <c r="AD5" i="25"/>
  <c r="AD6" i="25"/>
  <c r="AD7" i="25"/>
  <c r="AD8" i="25"/>
  <c r="AC3" i="25"/>
  <c r="AC4" i="25"/>
  <c r="AC5" i="25"/>
  <c r="AC6" i="25"/>
  <c r="AC7" i="25"/>
  <c r="AC8" i="25"/>
  <c r="AB3" i="25"/>
  <c r="AB4" i="25"/>
  <c r="AB5" i="25"/>
  <c r="AB6" i="25"/>
  <c r="AB7" i="25"/>
  <c r="AB8" i="25"/>
  <c r="AA3" i="25"/>
  <c r="AA4" i="25"/>
  <c r="AA5" i="25"/>
  <c r="AA6" i="25"/>
  <c r="AA7" i="25"/>
  <c r="AA8" i="25"/>
  <c r="Z3" i="25"/>
  <c r="Z4" i="25"/>
  <c r="Z5" i="25"/>
  <c r="Z6" i="25"/>
  <c r="Z7" i="25"/>
  <c r="Z8" i="25"/>
  <c r="Y3" i="25"/>
  <c r="Y4" i="25"/>
  <c r="Y5" i="25"/>
  <c r="Y6" i="25"/>
  <c r="Y7" i="25"/>
  <c r="Y8" i="25"/>
  <c r="X3" i="25"/>
  <c r="X4" i="25"/>
  <c r="X5" i="25"/>
  <c r="X6" i="25"/>
  <c r="X7" i="25"/>
  <c r="X8" i="25"/>
  <c r="V8" i="25"/>
  <c r="U8" i="25"/>
  <c r="T8" i="25"/>
  <c r="S8" i="25"/>
  <c r="R8" i="25"/>
  <c r="Q8" i="25"/>
  <c r="N8" i="25"/>
  <c r="V7" i="25"/>
  <c r="U7" i="25"/>
  <c r="T7" i="25"/>
  <c r="S7" i="25"/>
  <c r="R7" i="25"/>
  <c r="Q7" i="25"/>
  <c r="O7" i="25"/>
  <c r="N7" i="25"/>
  <c r="V6" i="25"/>
  <c r="U6" i="25"/>
  <c r="T6" i="25"/>
  <c r="S6" i="25"/>
  <c r="R6" i="25"/>
  <c r="Q6" i="25"/>
  <c r="O6" i="25"/>
  <c r="N6" i="25"/>
  <c r="M6" i="25"/>
  <c r="V5" i="25"/>
  <c r="U5" i="25"/>
  <c r="T5" i="25"/>
  <c r="S5" i="25"/>
  <c r="R5" i="25"/>
  <c r="Q5" i="25"/>
  <c r="O5" i="25"/>
  <c r="N5" i="25"/>
  <c r="M5" i="25"/>
  <c r="V4" i="25"/>
  <c r="U4" i="25"/>
  <c r="T4" i="25"/>
  <c r="S4" i="25"/>
  <c r="R4" i="25"/>
  <c r="Q4" i="25"/>
  <c r="O4" i="25"/>
  <c r="N4" i="25"/>
  <c r="V3" i="25"/>
  <c r="U3" i="25"/>
  <c r="T3" i="25"/>
  <c r="S3" i="25"/>
  <c r="R3" i="25"/>
  <c r="Q3" i="25"/>
  <c r="O3" i="25"/>
  <c r="N3" i="25"/>
  <c r="W2" i="25"/>
  <c r="I212" i="24"/>
  <c r="I213" i="24"/>
  <c r="I214" i="24"/>
  <c r="I215" i="24"/>
  <c r="I216" i="24"/>
  <c r="I217" i="24"/>
  <c r="I218" i="24"/>
  <c r="I219" i="24"/>
  <c r="I220" i="24"/>
  <c r="I221" i="24"/>
  <c r="I222" i="24"/>
  <c r="I223" i="24"/>
  <c r="I224" i="24"/>
  <c r="I225" i="24"/>
  <c r="I226" i="24"/>
  <c r="I227" i="24"/>
  <c r="I228" i="24"/>
  <c r="I229" i="24"/>
  <c r="I230" i="24"/>
  <c r="I231" i="24"/>
  <c r="I232" i="24"/>
  <c r="I233" i="24"/>
  <c r="I234" i="24"/>
  <c r="I235" i="24"/>
  <c r="I236" i="24"/>
  <c r="I237" i="24"/>
  <c r="I238" i="24"/>
  <c r="I239" i="24"/>
  <c r="I240" i="24"/>
  <c r="I241" i="24"/>
  <c r="I242" i="24"/>
  <c r="I243" i="24"/>
  <c r="I244" i="24"/>
  <c r="I245" i="24"/>
  <c r="I246" i="24"/>
  <c r="I247" i="24"/>
  <c r="I248" i="24"/>
  <c r="I249" i="24"/>
  <c r="I250" i="24"/>
  <c r="I251" i="24"/>
  <c r="I252" i="24"/>
  <c r="I253" i="24"/>
  <c r="I254" i="24"/>
  <c r="I255" i="24"/>
  <c r="I256" i="24"/>
  <c r="I257" i="24"/>
  <c r="I258" i="24"/>
  <c r="I259" i="24"/>
  <c r="I260" i="24"/>
  <c r="I261" i="24"/>
  <c r="I262" i="24"/>
  <c r="I263" i="24"/>
  <c r="I264" i="24"/>
  <c r="I265" i="24"/>
  <c r="I266" i="24"/>
  <c r="I267" i="24"/>
  <c r="I268" i="24"/>
  <c r="I269" i="24"/>
  <c r="I270" i="24"/>
  <c r="I271" i="24"/>
  <c r="I272" i="24"/>
  <c r="I273" i="24"/>
  <c r="I274" i="24"/>
  <c r="I275" i="24"/>
  <c r="I276" i="24"/>
  <c r="I277" i="24"/>
  <c r="I278" i="24"/>
  <c r="I279" i="24"/>
  <c r="I280" i="24"/>
  <c r="I281" i="24"/>
  <c r="I282" i="24"/>
  <c r="I283" i="24"/>
  <c r="I284" i="24"/>
  <c r="I285" i="24"/>
  <c r="I286" i="24"/>
  <c r="I287" i="24"/>
  <c r="I288" i="24"/>
  <c r="I289" i="24"/>
  <c r="I290" i="24"/>
  <c r="I291" i="24"/>
  <c r="I292" i="24"/>
  <c r="I293" i="24"/>
  <c r="I294" i="24"/>
  <c r="I295" i="24"/>
  <c r="I296" i="24"/>
  <c r="I297" i="24"/>
  <c r="I298" i="24"/>
  <c r="I299" i="24"/>
  <c r="I300" i="24"/>
  <c r="I301" i="24"/>
  <c r="I302" i="24"/>
  <c r="I303" i="24"/>
  <c r="I304" i="24"/>
  <c r="I305" i="24"/>
  <c r="I306" i="24"/>
  <c r="I307" i="24"/>
  <c r="I308" i="24"/>
  <c r="I309" i="24"/>
  <c r="I310" i="24"/>
  <c r="I311" i="24"/>
  <c r="I312" i="24"/>
  <c r="Q312" i="24"/>
  <c r="Q311" i="24"/>
  <c r="Q310" i="24"/>
  <c r="Q309" i="24"/>
  <c r="Q308" i="24"/>
  <c r="Q307" i="24"/>
  <c r="Q306" i="24"/>
  <c r="Q305" i="24"/>
  <c r="Q304" i="24"/>
  <c r="Q303" i="24"/>
  <c r="Q302" i="24"/>
  <c r="Q301" i="24"/>
  <c r="Q300" i="24"/>
  <c r="Q299" i="24"/>
  <c r="Q298" i="24"/>
  <c r="Q297" i="24"/>
  <c r="Q296" i="24"/>
  <c r="Q295" i="24"/>
  <c r="Q294" i="24"/>
  <c r="Q293" i="24"/>
  <c r="Q292" i="24"/>
  <c r="Q291" i="24"/>
  <c r="Q290" i="24"/>
  <c r="Q289" i="24"/>
  <c r="Q288" i="24"/>
  <c r="Q287" i="24"/>
  <c r="Q286" i="24"/>
  <c r="Q285" i="24"/>
  <c r="Q284" i="24"/>
  <c r="Q283" i="24"/>
  <c r="Q282" i="24"/>
  <c r="Q281" i="24"/>
  <c r="Q280" i="24"/>
  <c r="Q279" i="24"/>
  <c r="Q278" i="24"/>
  <c r="Q277" i="24"/>
  <c r="Q276" i="24"/>
  <c r="Q275" i="24"/>
  <c r="Q274" i="24"/>
  <c r="Q273" i="24"/>
  <c r="Q272" i="24"/>
  <c r="Q271" i="24"/>
  <c r="Q270" i="24"/>
  <c r="Q269" i="24"/>
  <c r="Q268" i="24"/>
  <c r="Q267" i="24"/>
  <c r="Q266" i="24"/>
  <c r="Q265" i="24"/>
  <c r="Q264" i="24"/>
  <c r="Q263" i="24"/>
  <c r="Q262" i="24"/>
  <c r="Q261" i="24"/>
  <c r="Q260" i="24"/>
  <c r="Q259" i="24"/>
  <c r="Q258" i="24"/>
  <c r="Q257" i="24"/>
  <c r="Q256" i="24"/>
  <c r="Q255" i="24"/>
  <c r="Q254" i="24"/>
  <c r="Q253" i="24"/>
  <c r="Q252" i="24"/>
  <c r="Q251" i="24"/>
  <c r="Q250" i="24"/>
  <c r="Q249" i="24"/>
  <c r="Q248" i="24"/>
  <c r="Q247" i="24"/>
  <c r="Q246" i="24"/>
  <c r="Q245" i="24"/>
  <c r="Q244" i="24"/>
  <c r="Q243" i="24"/>
  <c r="Q242" i="24"/>
  <c r="Q241" i="24"/>
  <c r="Q240" i="24"/>
  <c r="Q239" i="24"/>
  <c r="Q238" i="24"/>
  <c r="Q237" i="24"/>
  <c r="Q236" i="24"/>
  <c r="Q235" i="24"/>
  <c r="Q234" i="24"/>
  <c r="Q233" i="24"/>
  <c r="Q232" i="24"/>
  <c r="Q231" i="24"/>
  <c r="Q230" i="24"/>
  <c r="Q229" i="24"/>
  <c r="Q228" i="24"/>
  <c r="Q227" i="24"/>
  <c r="Q226" i="24"/>
  <c r="Q225" i="24"/>
  <c r="Q224" i="24"/>
  <c r="Q223" i="24"/>
  <c r="Q222" i="24"/>
  <c r="Q221" i="24"/>
  <c r="Q220" i="24"/>
  <c r="Q219" i="24"/>
  <c r="Q218" i="24"/>
  <c r="Q217" i="24"/>
  <c r="Q216" i="24"/>
  <c r="Q215" i="24"/>
  <c r="Q214" i="24"/>
  <c r="Q213" i="24"/>
  <c r="Q212" i="24"/>
  <c r="Q211" i="24"/>
  <c r="I211" i="24"/>
  <c r="Q210" i="24"/>
  <c r="I210" i="24"/>
  <c r="Q209" i="24"/>
  <c r="I209" i="24"/>
  <c r="Q208" i="24"/>
  <c r="I208" i="24"/>
  <c r="Q207" i="24"/>
  <c r="I207" i="24"/>
  <c r="Q206" i="24"/>
  <c r="I206" i="24"/>
  <c r="Q205" i="24"/>
  <c r="I205" i="24"/>
  <c r="Q204" i="24"/>
  <c r="I204" i="24"/>
  <c r="Q203" i="24"/>
  <c r="I203" i="24"/>
  <c r="Q202" i="24"/>
  <c r="I202" i="24"/>
  <c r="Q201" i="24"/>
  <c r="I201" i="24"/>
  <c r="Q200" i="24"/>
  <c r="I200" i="24"/>
  <c r="Q199" i="24"/>
  <c r="I199" i="24"/>
  <c r="Q198" i="24"/>
  <c r="I198" i="24"/>
  <c r="Q197" i="24"/>
  <c r="I197" i="24"/>
  <c r="Q196" i="24"/>
  <c r="I196" i="24"/>
  <c r="Q195" i="24"/>
  <c r="I195" i="24"/>
  <c r="Q194" i="24"/>
  <c r="I194" i="24"/>
  <c r="Q193" i="24"/>
  <c r="I193" i="24"/>
  <c r="Q192" i="24"/>
  <c r="I192" i="24"/>
  <c r="Q191" i="24"/>
  <c r="I191" i="24"/>
  <c r="Q190" i="24"/>
  <c r="I190" i="24"/>
  <c r="Q189" i="24"/>
  <c r="I189" i="24"/>
  <c r="Q188" i="24"/>
  <c r="I188" i="24"/>
  <c r="Q187" i="24"/>
  <c r="I187" i="24"/>
  <c r="Q186" i="24"/>
  <c r="I186" i="24"/>
  <c r="Q185" i="24"/>
  <c r="I185" i="24"/>
  <c r="Q184" i="24"/>
  <c r="I184" i="24"/>
  <c r="Q183" i="24"/>
  <c r="I183" i="24"/>
  <c r="Q182" i="24"/>
  <c r="I182" i="24"/>
  <c r="Q181" i="24"/>
  <c r="I181" i="24"/>
  <c r="Q180" i="24"/>
  <c r="I180" i="24"/>
  <c r="Q179" i="24"/>
  <c r="I179" i="24"/>
  <c r="Q178" i="24"/>
  <c r="I178" i="24"/>
  <c r="Q177" i="24"/>
  <c r="I177" i="24"/>
  <c r="Q176" i="24"/>
  <c r="I176" i="24"/>
  <c r="Q175" i="24"/>
  <c r="I175" i="24"/>
  <c r="Q174" i="24"/>
  <c r="I174" i="24"/>
  <c r="Q173" i="24"/>
  <c r="I173" i="24"/>
  <c r="Q172" i="24"/>
  <c r="I172" i="24"/>
  <c r="Q171" i="24"/>
  <c r="I171" i="24"/>
  <c r="Q170" i="24"/>
  <c r="I170" i="24"/>
  <c r="Q169" i="24"/>
  <c r="I169" i="24"/>
  <c r="Q168" i="24"/>
  <c r="I168" i="24"/>
  <c r="Q167" i="24"/>
  <c r="I167" i="24"/>
  <c r="Q166" i="24"/>
  <c r="I166" i="24"/>
  <c r="Q165" i="24"/>
  <c r="I165" i="24"/>
  <c r="Q164" i="24"/>
  <c r="I164" i="24"/>
  <c r="Q163" i="24"/>
  <c r="I163" i="24"/>
  <c r="Q162" i="24"/>
  <c r="I162" i="24"/>
  <c r="Q161" i="24"/>
  <c r="I161" i="24"/>
  <c r="Q160" i="24"/>
  <c r="I160" i="24"/>
  <c r="Q159" i="24"/>
  <c r="I159" i="24"/>
  <c r="Q158" i="24"/>
  <c r="I158" i="24"/>
  <c r="Q157" i="24"/>
  <c r="I157" i="24"/>
  <c r="Q156" i="24"/>
  <c r="I156" i="24"/>
  <c r="Q155" i="24"/>
  <c r="I155" i="24"/>
  <c r="Q154" i="24"/>
  <c r="I154" i="24"/>
  <c r="Q153" i="24"/>
  <c r="I153" i="24"/>
  <c r="Q152" i="24"/>
  <c r="I152" i="24"/>
  <c r="Q151" i="24"/>
  <c r="I151" i="24"/>
  <c r="Q150" i="24"/>
  <c r="I150" i="24"/>
  <c r="Q149" i="24"/>
  <c r="I149" i="24"/>
  <c r="Q148" i="24"/>
  <c r="I148" i="24"/>
  <c r="Q147" i="24"/>
  <c r="I147" i="24"/>
  <c r="Q146" i="24"/>
  <c r="I146" i="24"/>
  <c r="Q145" i="24"/>
  <c r="I145" i="24"/>
  <c r="Q144" i="24"/>
  <c r="I144" i="24"/>
  <c r="Q143" i="24"/>
  <c r="I143" i="24"/>
  <c r="Q142" i="24"/>
  <c r="I142" i="24"/>
  <c r="Q141" i="24"/>
  <c r="I141" i="24"/>
  <c r="Q140" i="24"/>
  <c r="I140" i="24"/>
  <c r="Q139" i="24"/>
  <c r="I139" i="24"/>
  <c r="Q138" i="24"/>
  <c r="I138" i="24"/>
  <c r="Q137" i="24"/>
  <c r="I137" i="24"/>
  <c r="Q136" i="24"/>
  <c r="I136" i="24"/>
  <c r="Q135" i="24"/>
  <c r="I135" i="24"/>
  <c r="Q134" i="24"/>
  <c r="I134" i="24"/>
  <c r="Q133" i="24"/>
  <c r="I133" i="24"/>
  <c r="Q132" i="24"/>
  <c r="I132" i="24"/>
  <c r="Q131" i="24"/>
  <c r="I131" i="24"/>
  <c r="Q130" i="24"/>
  <c r="I130" i="24"/>
  <c r="Q129" i="24"/>
  <c r="I129" i="24"/>
  <c r="Q128" i="24"/>
  <c r="I128" i="24"/>
  <c r="Q127" i="24"/>
  <c r="I127" i="24"/>
  <c r="Q126" i="24"/>
  <c r="I126" i="24"/>
  <c r="Q125" i="24"/>
  <c r="I125" i="24"/>
  <c r="Q124" i="24"/>
  <c r="I124" i="24"/>
  <c r="Q123" i="24"/>
  <c r="I123" i="24"/>
  <c r="Q122" i="24"/>
  <c r="I122" i="24"/>
  <c r="Q121" i="24"/>
  <c r="I121" i="24"/>
  <c r="Q120" i="24"/>
  <c r="I120" i="24"/>
  <c r="Q119" i="24"/>
  <c r="I119" i="24"/>
  <c r="Q118" i="24"/>
  <c r="I118" i="24"/>
  <c r="Q117" i="24"/>
  <c r="I117" i="24"/>
  <c r="Q116" i="24"/>
  <c r="I116" i="24"/>
  <c r="Q115" i="24"/>
  <c r="I115" i="24"/>
  <c r="Q114" i="24"/>
  <c r="I114" i="24"/>
  <c r="Q113" i="24"/>
  <c r="I113" i="24"/>
  <c r="Q112" i="24"/>
  <c r="I112" i="24"/>
  <c r="Q111" i="24"/>
  <c r="I111" i="24"/>
  <c r="Q110" i="24"/>
  <c r="I110" i="24"/>
  <c r="Q109" i="24"/>
  <c r="I109" i="24"/>
  <c r="Q108" i="24"/>
  <c r="I108" i="24"/>
  <c r="Q107" i="24"/>
  <c r="I107" i="24"/>
  <c r="Q106" i="24"/>
  <c r="I106" i="24"/>
  <c r="Q105" i="24"/>
  <c r="I105" i="24"/>
  <c r="Q104" i="24"/>
  <c r="I104" i="24"/>
  <c r="Q103" i="24"/>
  <c r="I103" i="24"/>
  <c r="Q102" i="24"/>
  <c r="I102" i="24"/>
  <c r="Q101" i="24"/>
  <c r="I101" i="24"/>
  <c r="Q100" i="24"/>
  <c r="I100" i="24"/>
  <c r="Q99" i="24"/>
  <c r="I99" i="24"/>
  <c r="Q98" i="24"/>
  <c r="I98" i="24"/>
  <c r="Q97" i="24"/>
  <c r="I97" i="24"/>
  <c r="Q96" i="24"/>
  <c r="I96" i="24"/>
  <c r="Q95" i="24"/>
  <c r="I95" i="24"/>
  <c r="Q94" i="24"/>
  <c r="I94" i="24"/>
  <c r="Q93" i="24"/>
  <c r="I93" i="24"/>
  <c r="Q92" i="24"/>
  <c r="I92" i="24"/>
  <c r="Q91" i="24"/>
  <c r="I91" i="24"/>
  <c r="Q90" i="24"/>
  <c r="I90" i="24"/>
  <c r="Q89" i="24"/>
  <c r="I89" i="24"/>
  <c r="Q88" i="24"/>
  <c r="I88" i="24"/>
  <c r="Q87" i="24"/>
  <c r="I87" i="24"/>
  <c r="Q86" i="24"/>
  <c r="I86" i="24"/>
  <c r="Q85" i="24"/>
  <c r="I85" i="24"/>
  <c r="Q84" i="24"/>
  <c r="I84" i="24"/>
  <c r="Q83" i="24"/>
  <c r="I83" i="24"/>
  <c r="Q82" i="24"/>
  <c r="I82" i="24"/>
  <c r="Q81" i="24"/>
  <c r="I81" i="24"/>
  <c r="Q80" i="24"/>
  <c r="I80" i="24"/>
  <c r="Q79" i="24"/>
  <c r="I79" i="24"/>
  <c r="Q78" i="24"/>
  <c r="I78" i="24"/>
  <c r="Q77" i="24"/>
  <c r="I77" i="24"/>
  <c r="Q76" i="24"/>
  <c r="I76" i="24"/>
  <c r="Q75" i="24"/>
  <c r="I75" i="24"/>
  <c r="Q74" i="24"/>
  <c r="I74" i="24"/>
  <c r="Q73" i="24"/>
  <c r="I73" i="24"/>
  <c r="Q72" i="24"/>
  <c r="I72" i="24"/>
  <c r="Q71" i="24"/>
  <c r="I71" i="24"/>
  <c r="Q70" i="24"/>
  <c r="I70" i="24"/>
  <c r="Q69" i="24"/>
  <c r="I69" i="24"/>
  <c r="Q68" i="24"/>
  <c r="I68" i="24"/>
  <c r="Q67" i="24"/>
  <c r="I67" i="24"/>
  <c r="Q66" i="24"/>
  <c r="I66" i="24"/>
  <c r="Q65" i="24"/>
  <c r="I65" i="24"/>
  <c r="Q64" i="24"/>
  <c r="I64" i="24"/>
  <c r="Q63" i="24"/>
  <c r="I63" i="24"/>
  <c r="Q62" i="24"/>
  <c r="I62" i="24"/>
  <c r="Q61" i="24"/>
  <c r="I61" i="24"/>
  <c r="Q60" i="24"/>
  <c r="I60" i="24"/>
  <c r="Q59" i="24"/>
  <c r="I59" i="24"/>
  <c r="Q58" i="24"/>
  <c r="I58" i="24"/>
  <c r="Q57" i="24"/>
  <c r="I57" i="24"/>
  <c r="Q56" i="24"/>
  <c r="I56" i="24"/>
  <c r="Q55" i="24"/>
  <c r="I55" i="24"/>
  <c r="Q54" i="24"/>
  <c r="I54" i="24"/>
  <c r="Q53" i="24"/>
  <c r="I53" i="24"/>
  <c r="Q52" i="24"/>
  <c r="I52" i="24"/>
  <c r="Q51" i="24"/>
  <c r="I51" i="24"/>
  <c r="Q50" i="24"/>
  <c r="I50" i="24"/>
  <c r="Q49" i="24"/>
  <c r="I49" i="24"/>
  <c r="Q48" i="24"/>
  <c r="I48" i="24"/>
  <c r="Q47" i="24"/>
  <c r="I47" i="24"/>
  <c r="Q46" i="24"/>
  <c r="I46" i="24"/>
  <c r="Q45" i="24"/>
  <c r="I45" i="24"/>
  <c r="Q44" i="24"/>
  <c r="I44" i="24"/>
  <c r="Q43" i="24"/>
  <c r="I43" i="24"/>
  <c r="Q42" i="24"/>
  <c r="I42" i="24"/>
  <c r="Q41" i="24"/>
  <c r="I41" i="24"/>
  <c r="Q40" i="24"/>
  <c r="I40" i="24"/>
  <c r="Q39" i="24"/>
  <c r="I39" i="24"/>
  <c r="Q38" i="24"/>
  <c r="I38" i="24"/>
  <c r="Q37" i="24"/>
  <c r="I37" i="24"/>
  <c r="Q36" i="24"/>
  <c r="I36" i="24"/>
  <c r="Q35" i="24"/>
  <c r="I35" i="24"/>
  <c r="Q34" i="24"/>
  <c r="I34" i="24"/>
  <c r="Q33" i="24"/>
  <c r="I33" i="24"/>
  <c r="Q32" i="24"/>
  <c r="I32" i="24"/>
  <c r="Q31" i="24"/>
  <c r="I31" i="24"/>
  <c r="Q30" i="24"/>
  <c r="I30" i="24"/>
  <c r="Q29" i="24"/>
  <c r="I29" i="24"/>
  <c r="Q28" i="24"/>
  <c r="I28" i="24"/>
  <c r="Q27" i="24"/>
  <c r="I27" i="24"/>
  <c r="Q26" i="24"/>
  <c r="I26" i="24"/>
  <c r="Q25" i="24"/>
  <c r="I25" i="24"/>
  <c r="Q24" i="24"/>
  <c r="I24" i="24"/>
  <c r="Q23" i="24"/>
  <c r="I23" i="24"/>
  <c r="Q22" i="24"/>
  <c r="I22" i="24"/>
  <c r="Q21" i="24"/>
  <c r="I21" i="24"/>
  <c r="Q20" i="24"/>
  <c r="I20" i="24"/>
  <c r="Q19" i="24"/>
  <c r="I19" i="24"/>
  <c r="Q18" i="24"/>
  <c r="I18" i="24"/>
  <c r="Q17" i="24"/>
  <c r="I17" i="24"/>
  <c r="Q16" i="24"/>
  <c r="I16" i="24"/>
  <c r="Q15" i="24"/>
  <c r="I15" i="24"/>
  <c r="Q14" i="24"/>
  <c r="I14" i="24"/>
  <c r="Q13" i="24"/>
  <c r="I13" i="24"/>
  <c r="Q12" i="24"/>
  <c r="I12" i="24"/>
  <c r="Q11" i="24"/>
  <c r="I11" i="24"/>
  <c r="Q10" i="24"/>
  <c r="I10" i="24"/>
  <c r="Q9" i="24"/>
  <c r="I9" i="24"/>
  <c r="Q8" i="24"/>
  <c r="I8" i="24"/>
  <c r="Q7" i="24"/>
  <c r="I7" i="24"/>
  <c r="Q6" i="24"/>
  <c r="I6" i="24"/>
  <c r="Q5" i="24"/>
  <c r="I5" i="24"/>
  <c r="Q4" i="24"/>
  <c r="I4" i="24"/>
  <c r="Q3" i="24"/>
  <c r="I3" i="24"/>
  <c r="Q2" i="24"/>
  <c r="I2" i="2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V8" i="14"/>
  <c r="AW8" i="14"/>
  <c r="AX8" i="14"/>
  <c r="AY8" i="14"/>
  <c r="AZ8" i="14"/>
  <c r="BA8" i="14"/>
  <c r="BB8" i="14"/>
  <c r="BC8" i="14"/>
  <c r="BD8" i="14"/>
  <c r="BE8" i="14"/>
  <c r="BF8" i="14"/>
  <c r="BG8" i="14"/>
  <c r="BH8" i="14"/>
  <c r="BI8" i="14"/>
  <c r="BJ8" i="14"/>
  <c r="BK8" i="14"/>
  <c r="BL8" i="14"/>
  <c r="BM8" i="14"/>
  <c r="BN8" i="14"/>
  <c r="BO8" i="14"/>
  <c r="BP8" i="14"/>
  <c r="BQ8" i="14"/>
  <c r="BR8" i="14"/>
  <c r="BS8" i="14"/>
  <c r="BT8" i="14"/>
  <c r="BU8" i="14"/>
  <c r="BV8" i="14"/>
  <c r="BW8" i="14"/>
  <c r="BX8" i="14"/>
  <c r="BY8" i="14"/>
  <c r="BZ8" i="14"/>
  <c r="CA8" i="14"/>
  <c r="CB8" i="14"/>
  <c r="CC8" i="14"/>
  <c r="X8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AY7" i="14"/>
  <c r="AZ7" i="14"/>
  <c r="BA7" i="14"/>
  <c r="BB7" i="14"/>
  <c r="BC7" i="14"/>
  <c r="BD7" i="14"/>
  <c r="BE7" i="14"/>
  <c r="BF7" i="14"/>
  <c r="BG7" i="14"/>
  <c r="BH7" i="14"/>
  <c r="BI7" i="14"/>
  <c r="BJ7" i="14"/>
  <c r="BK7" i="14"/>
  <c r="BL7" i="14"/>
  <c r="BM7" i="14"/>
  <c r="BN7" i="14"/>
  <c r="BO7" i="14"/>
  <c r="BP7" i="14"/>
  <c r="BQ7" i="14"/>
  <c r="BR7" i="14"/>
  <c r="BS7" i="14"/>
  <c r="BT7" i="14"/>
  <c r="BU7" i="14"/>
  <c r="BV7" i="14"/>
  <c r="BW7" i="14"/>
  <c r="BX7" i="14"/>
  <c r="BY7" i="14"/>
  <c r="BZ7" i="14"/>
  <c r="CA7" i="14"/>
  <c r="CB7" i="14"/>
  <c r="CC7" i="14"/>
  <c r="X7" i="14"/>
  <c r="Y6" i="14"/>
  <c r="Z6" i="14"/>
  <c r="AA6" i="14"/>
  <c r="AB6" i="14"/>
  <c r="AC6" i="14"/>
  <c r="AD6" i="14"/>
  <c r="AE6" i="14"/>
  <c r="AF6" i="14"/>
  <c r="AG6" i="14"/>
  <c r="AH6" i="14"/>
  <c r="AI6" i="14"/>
  <c r="AJ6" i="14"/>
  <c r="AK6" i="14"/>
  <c r="AL6" i="14"/>
  <c r="AM6" i="14"/>
  <c r="AN6" i="14"/>
  <c r="AO6" i="14"/>
  <c r="AP6" i="14"/>
  <c r="AQ6" i="14"/>
  <c r="AR6" i="14"/>
  <c r="AS6" i="14"/>
  <c r="AT6" i="14"/>
  <c r="AU6" i="14"/>
  <c r="AV6" i="14"/>
  <c r="AW6" i="14"/>
  <c r="AX6" i="14"/>
  <c r="AY6" i="14"/>
  <c r="AZ6" i="14"/>
  <c r="BA6" i="14"/>
  <c r="BB6" i="14"/>
  <c r="BC6" i="14"/>
  <c r="BD6" i="14"/>
  <c r="BE6" i="14"/>
  <c r="BF6" i="14"/>
  <c r="BG6" i="14"/>
  <c r="BH6" i="14"/>
  <c r="BI6" i="14"/>
  <c r="BJ6" i="14"/>
  <c r="BK6" i="14"/>
  <c r="BL6" i="14"/>
  <c r="BM6" i="14"/>
  <c r="BN6" i="14"/>
  <c r="BO6" i="14"/>
  <c r="BP6" i="14"/>
  <c r="BQ6" i="14"/>
  <c r="BR6" i="14"/>
  <c r="BS6" i="14"/>
  <c r="BT6" i="14"/>
  <c r="BU6" i="14"/>
  <c r="BV6" i="14"/>
  <c r="BW6" i="14"/>
  <c r="BX6" i="14"/>
  <c r="BY6" i="14"/>
  <c r="BZ6" i="14"/>
  <c r="CA6" i="14"/>
  <c r="CB6" i="14"/>
  <c r="CC6" i="14"/>
  <c r="X6" i="14"/>
  <c r="Y5" i="14"/>
  <c r="Z5" i="14"/>
  <c r="AA5" i="14"/>
  <c r="AB5" i="14"/>
  <c r="AC5" i="14"/>
  <c r="AD5" i="14"/>
  <c r="AE5" i="14"/>
  <c r="AF5" i="14"/>
  <c r="AG5" i="14"/>
  <c r="AH5" i="14"/>
  <c r="AI5" i="14"/>
  <c r="AJ5" i="14"/>
  <c r="AK5" i="14"/>
  <c r="AL5" i="14"/>
  <c r="AM5" i="14"/>
  <c r="AN5" i="14"/>
  <c r="AO5" i="14"/>
  <c r="AP5" i="14"/>
  <c r="AQ5" i="14"/>
  <c r="AR5" i="14"/>
  <c r="AS5" i="14"/>
  <c r="AT5" i="14"/>
  <c r="AU5" i="14"/>
  <c r="AV5" i="14"/>
  <c r="AW5" i="14"/>
  <c r="AX5" i="14"/>
  <c r="AY5" i="14"/>
  <c r="AZ5" i="14"/>
  <c r="BA5" i="14"/>
  <c r="BB5" i="14"/>
  <c r="BC5" i="14"/>
  <c r="BD5" i="14"/>
  <c r="BE5" i="14"/>
  <c r="BF5" i="14"/>
  <c r="BG5" i="14"/>
  <c r="BH5" i="14"/>
  <c r="BI5" i="14"/>
  <c r="BJ5" i="14"/>
  <c r="BK5" i="14"/>
  <c r="BL5" i="14"/>
  <c r="BM5" i="14"/>
  <c r="BN5" i="14"/>
  <c r="BO5" i="14"/>
  <c r="BP5" i="14"/>
  <c r="BQ5" i="14"/>
  <c r="BR5" i="14"/>
  <c r="BS5" i="14"/>
  <c r="BT5" i="14"/>
  <c r="BU5" i="14"/>
  <c r="BV5" i="14"/>
  <c r="BW5" i="14"/>
  <c r="BX5" i="14"/>
  <c r="BY5" i="14"/>
  <c r="BZ5" i="14"/>
  <c r="CA5" i="14"/>
  <c r="CB5" i="14"/>
  <c r="CC5" i="14"/>
  <c r="X5" i="14"/>
  <c r="Y4" i="14"/>
  <c r="Z4" i="14"/>
  <c r="AA4" i="14"/>
  <c r="AB4" i="14"/>
  <c r="AC4" i="14"/>
  <c r="AD4" i="14"/>
  <c r="AE4" i="14"/>
  <c r="AF4" i="14"/>
  <c r="AG4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AX4" i="14"/>
  <c r="AY4" i="14"/>
  <c r="AZ4" i="14"/>
  <c r="BA4" i="14"/>
  <c r="BB4" i="14"/>
  <c r="BC4" i="14"/>
  <c r="BD4" i="14"/>
  <c r="BE4" i="14"/>
  <c r="BF4" i="14"/>
  <c r="BG4" i="14"/>
  <c r="BH4" i="14"/>
  <c r="BI4" i="14"/>
  <c r="BJ4" i="14"/>
  <c r="BK4" i="14"/>
  <c r="BL4" i="14"/>
  <c r="BM4" i="14"/>
  <c r="BN4" i="14"/>
  <c r="BO4" i="14"/>
  <c r="BP4" i="14"/>
  <c r="BQ4" i="14"/>
  <c r="BR4" i="14"/>
  <c r="BS4" i="14"/>
  <c r="BT4" i="14"/>
  <c r="BU4" i="14"/>
  <c r="BV4" i="14"/>
  <c r="BW4" i="14"/>
  <c r="BX4" i="14"/>
  <c r="BY4" i="14"/>
  <c r="BZ4" i="14"/>
  <c r="CA4" i="14"/>
  <c r="CB4" i="14"/>
  <c r="CC4" i="14"/>
  <c r="X4" i="14"/>
  <c r="Y3" i="14"/>
  <c r="Z3" i="14"/>
  <c r="AA3" i="14"/>
  <c r="AB3" i="14"/>
  <c r="AC3" i="14"/>
  <c r="AD3" i="14"/>
  <c r="AE3" i="14"/>
  <c r="AF3" i="14"/>
  <c r="AG3" i="14"/>
  <c r="AH3" i="14"/>
  <c r="AI3" i="14"/>
  <c r="AJ3" i="14"/>
  <c r="AK3" i="14"/>
  <c r="AL3" i="14"/>
  <c r="AM3" i="14"/>
  <c r="AN3" i="14"/>
  <c r="AO3" i="14"/>
  <c r="AP3" i="14"/>
  <c r="AQ3" i="14"/>
  <c r="AR3" i="14"/>
  <c r="AS3" i="14"/>
  <c r="AT3" i="14"/>
  <c r="AU3" i="14"/>
  <c r="AV3" i="14"/>
  <c r="AW3" i="14"/>
  <c r="AX3" i="14"/>
  <c r="AY3" i="14"/>
  <c r="AZ3" i="14"/>
  <c r="BA3" i="14"/>
  <c r="BB3" i="14"/>
  <c r="BC3" i="14"/>
  <c r="BD3" i="14"/>
  <c r="BE3" i="14"/>
  <c r="BF3" i="14"/>
  <c r="BG3" i="14"/>
  <c r="BH3" i="14"/>
  <c r="BI3" i="14"/>
  <c r="BJ3" i="14"/>
  <c r="BK3" i="14"/>
  <c r="BL3" i="14"/>
  <c r="BM3" i="14"/>
  <c r="BN3" i="14"/>
  <c r="BO3" i="14"/>
  <c r="BP3" i="14"/>
  <c r="BQ3" i="14"/>
  <c r="BR3" i="14"/>
  <c r="BS3" i="14"/>
  <c r="BT3" i="14"/>
  <c r="BU3" i="14"/>
  <c r="BV3" i="14"/>
  <c r="BW3" i="14"/>
  <c r="BX3" i="14"/>
  <c r="BY3" i="14"/>
  <c r="BZ3" i="14"/>
  <c r="CA3" i="14"/>
  <c r="CB3" i="14"/>
  <c r="CC3" i="14"/>
  <c r="X3" i="14"/>
  <c r="V7" i="23"/>
  <c r="AO3" i="23"/>
  <c r="AO4" i="23"/>
  <c r="AO5" i="23"/>
  <c r="AO6" i="23"/>
  <c r="AO7" i="23"/>
  <c r="AO8" i="23"/>
  <c r="C215" i="23"/>
  <c r="Q6" i="18"/>
  <c r="Q7" i="18"/>
  <c r="Q8" i="18"/>
  <c r="Q9" i="18"/>
  <c r="Q10" i="18"/>
  <c r="Q5" i="18"/>
  <c r="C2" i="23"/>
  <c r="G2" i="23"/>
  <c r="C3" i="23"/>
  <c r="G3" i="23"/>
  <c r="H2" i="23"/>
  <c r="I2" i="23"/>
  <c r="J2" i="23"/>
  <c r="K2" i="23"/>
  <c r="L2" i="23"/>
  <c r="H3" i="23"/>
  <c r="I3" i="23"/>
  <c r="J3" i="23"/>
  <c r="K3" i="23"/>
  <c r="L3" i="23"/>
  <c r="C4" i="23"/>
  <c r="G4" i="23"/>
  <c r="H4" i="23"/>
  <c r="I4" i="23"/>
  <c r="J4" i="23"/>
  <c r="K4" i="23"/>
  <c r="L4" i="23"/>
  <c r="C5" i="23"/>
  <c r="G5" i="23"/>
  <c r="H5" i="23"/>
  <c r="I5" i="23"/>
  <c r="J5" i="23"/>
  <c r="K5" i="23"/>
  <c r="L5" i="23"/>
  <c r="C6" i="23"/>
  <c r="G6" i="23"/>
  <c r="H6" i="23"/>
  <c r="I6" i="23"/>
  <c r="J6" i="23"/>
  <c r="K6" i="23"/>
  <c r="L6" i="23"/>
  <c r="C7" i="23"/>
  <c r="G7" i="23"/>
  <c r="H7" i="23"/>
  <c r="I7" i="23"/>
  <c r="J7" i="23"/>
  <c r="K7" i="23"/>
  <c r="L7" i="23"/>
  <c r="C8" i="23"/>
  <c r="G8" i="23"/>
  <c r="H8" i="23"/>
  <c r="I8" i="23"/>
  <c r="J8" i="23"/>
  <c r="K8" i="23"/>
  <c r="L8" i="23"/>
  <c r="C9" i="23"/>
  <c r="G9" i="23"/>
  <c r="H9" i="23"/>
  <c r="I9" i="23"/>
  <c r="J9" i="23"/>
  <c r="K9" i="23"/>
  <c r="L9" i="23"/>
  <c r="C10" i="23"/>
  <c r="G10" i="23"/>
  <c r="H10" i="23"/>
  <c r="I10" i="23"/>
  <c r="J10" i="23"/>
  <c r="K10" i="23"/>
  <c r="L10" i="23"/>
  <c r="C11" i="23"/>
  <c r="G11" i="23"/>
  <c r="H11" i="23"/>
  <c r="I11" i="23"/>
  <c r="J11" i="23"/>
  <c r="K11" i="23"/>
  <c r="L11" i="23"/>
  <c r="C12" i="23"/>
  <c r="G12" i="23"/>
  <c r="H12" i="23"/>
  <c r="I12" i="23"/>
  <c r="J12" i="23"/>
  <c r="K12" i="23"/>
  <c r="L12" i="23"/>
  <c r="C13" i="23"/>
  <c r="G13" i="23"/>
  <c r="H13" i="23"/>
  <c r="I13" i="23"/>
  <c r="J13" i="23"/>
  <c r="K13" i="23"/>
  <c r="L13" i="23"/>
  <c r="C14" i="23"/>
  <c r="G14" i="23"/>
  <c r="H14" i="23"/>
  <c r="I14" i="23"/>
  <c r="J14" i="23"/>
  <c r="K14" i="23"/>
  <c r="L14" i="23"/>
  <c r="C15" i="23"/>
  <c r="G15" i="23"/>
  <c r="H15" i="23"/>
  <c r="I15" i="23"/>
  <c r="J15" i="23"/>
  <c r="K15" i="23"/>
  <c r="L15" i="23"/>
  <c r="C16" i="23"/>
  <c r="G16" i="23"/>
  <c r="H16" i="23"/>
  <c r="I16" i="23"/>
  <c r="J16" i="23"/>
  <c r="K16" i="23"/>
  <c r="L16" i="23"/>
  <c r="C17" i="23"/>
  <c r="G17" i="23"/>
  <c r="H17" i="23"/>
  <c r="I17" i="23"/>
  <c r="J17" i="23"/>
  <c r="K17" i="23"/>
  <c r="L17" i="23"/>
  <c r="C18" i="23"/>
  <c r="G18" i="23"/>
  <c r="H18" i="23"/>
  <c r="I18" i="23"/>
  <c r="J18" i="23"/>
  <c r="K18" i="23"/>
  <c r="L18" i="23"/>
  <c r="C19" i="23"/>
  <c r="G19" i="23"/>
  <c r="H19" i="23"/>
  <c r="I19" i="23"/>
  <c r="J19" i="23"/>
  <c r="K19" i="23"/>
  <c r="L19" i="23"/>
  <c r="C20" i="23"/>
  <c r="G20" i="23"/>
  <c r="H20" i="23"/>
  <c r="I20" i="23"/>
  <c r="J20" i="23"/>
  <c r="K20" i="23"/>
  <c r="L20" i="23"/>
  <c r="C21" i="23"/>
  <c r="G21" i="23"/>
  <c r="H21" i="23"/>
  <c r="I21" i="23"/>
  <c r="J21" i="23"/>
  <c r="K21" i="23"/>
  <c r="L21" i="23"/>
  <c r="C22" i="23"/>
  <c r="G22" i="23"/>
  <c r="H22" i="23"/>
  <c r="I22" i="23"/>
  <c r="J22" i="23"/>
  <c r="K22" i="23"/>
  <c r="L22" i="23"/>
  <c r="C23" i="23"/>
  <c r="G23" i="23"/>
  <c r="H23" i="23"/>
  <c r="I23" i="23"/>
  <c r="J23" i="23"/>
  <c r="K23" i="23"/>
  <c r="L23" i="23"/>
  <c r="C24" i="23"/>
  <c r="G24" i="23"/>
  <c r="H24" i="23"/>
  <c r="I24" i="23"/>
  <c r="J24" i="23"/>
  <c r="K24" i="23"/>
  <c r="L24" i="23"/>
  <c r="C25" i="23"/>
  <c r="G25" i="23"/>
  <c r="H25" i="23"/>
  <c r="I25" i="23"/>
  <c r="J25" i="23"/>
  <c r="K25" i="23"/>
  <c r="L25" i="23"/>
  <c r="C26" i="23"/>
  <c r="G26" i="23"/>
  <c r="H26" i="23"/>
  <c r="I26" i="23"/>
  <c r="J26" i="23"/>
  <c r="K26" i="23"/>
  <c r="L26" i="23"/>
  <c r="C27" i="23"/>
  <c r="G27" i="23"/>
  <c r="H27" i="23"/>
  <c r="I27" i="23"/>
  <c r="J27" i="23"/>
  <c r="K27" i="23"/>
  <c r="L27" i="23"/>
  <c r="C28" i="23"/>
  <c r="G28" i="23"/>
  <c r="H28" i="23"/>
  <c r="I28" i="23"/>
  <c r="J28" i="23"/>
  <c r="K28" i="23"/>
  <c r="L28" i="23"/>
  <c r="C29" i="23"/>
  <c r="G29" i="23"/>
  <c r="H29" i="23"/>
  <c r="I29" i="23"/>
  <c r="J29" i="23"/>
  <c r="K29" i="23"/>
  <c r="L29" i="23"/>
  <c r="C30" i="23"/>
  <c r="G30" i="23"/>
  <c r="H30" i="23"/>
  <c r="I30" i="23"/>
  <c r="J30" i="23"/>
  <c r="K30" i="23"/>
  <c r="L30" i="23"/>
  <c r="C31" i="23"/>
  <c r="G31" i="23"/>
  <c r="H31" i="23"/>
  <c r="I31" i="23"/>
  <c r="J31" i="23"/>
  <c r="K31" i="23"/>
  <c r="L31" i="23"/>
  <c r="C32" i="23"/>
  <c r="G32" i="23"/>
  <c r="H32" i="23"/>
  <c r="I32" i="23"/>
  <c r="J32" i="23"/>
  <c r="K32" i="23"/>
  <c r="L32" i="23"/>
  <c r="C33" i="23"/>
  <c r="G33" i="23"/>
  <c r="H33" i="23"/>
  <c r="I33" i="23"/>
  <c r="J33" i="23"/>
  <c r="K33" i="23"/>
  <c r="L33" i="23"/>
  <c r="C34" i="23"/>
  <c r="G34" i="23"/>
  <c r="H34" i="23"/>
  <c r="I34" i="23"/>
  <c r="J34" i="23"/>
  <c r="K34" i="23"/>
  <c r="L34" i="23"/>
  <c r="C35" i="23"/>
  <c r="G35" i="23"/>
  <c r="H35" i="23"/>
  <c r="I35" i="23"/>
  <c r="J35" i="23"/>
  <c r="K35" i="23"/>
  <c r="L35" i="23"/>
  <c r="C36" i="23"/>
  <c r="G36" i="23"/>
  <c r="H36" i="23"/>
  <c r="I36" i="23"/>
  <c r="J36" i="23"/>
  <c r="K36" i="23"/>
  <c r="L36" i="23"/>
  <c r="C37" i="23"/>
  <c r="G37" i="23"/>
  <c r="H37" i="23"/>
  <c r="I37" i="23"/>
  <c r="J37" i="23"/>
  <c r="K37" i="23"/>
  <c r="L37" i="23"/>
  <c r="C38" i="23"/>
  <c r="G38" i="23"/>
  <c r="H38" i="23"/>
  <c r="I38" i="23"/>
  <c r="J38" i="23"/>
  <c r="K38" i="23"/>
  <c r="L38" i="23"/>
  <c r="C39" i="23"/>
  <c r="G39" i="23"/>
  <c r="H39" i="23"/>
  <c r="I39" i="23"/>
  <c r="J39" i="23"/>
  <c r="K39" i="23"/>
  <c r="L39" i="23"/>
  <c r="C40" i="23"/>
  <c r="G40" i="23"/>
  <c r="H40" i="23"/>
  <c r="I40" i="23"/>
  <c r="J40" i="23"/>
  <c r="K40" i="23"/>
  <c r="L40" i="23"/>
  <c r="C41" i="23"/>
  <c r="G41" i="23"/>
  <c r="H41" i="23"/>
  <c r="I41" i="23"/>
  <c r="J41" i="23"/>
  <c r="K41" i="23"/>
  <c r="L41" i="23"/>
  <c r="C42" i="23"/>
  <c r="G42" i="23"/>
  <c r="H42" i="23"/>
  <c r="I42" i="23"/>
  <c r="J42" i="23"/>
  <c r="K42" i="23"/>
  <c r="L42" i="23"/>
  <c r="C43" i="23"/>
  <c r="G43" i="23"/>
  <c r="H43" i="23"/>
  <c r="I43" i="23"/>
  <c r="J43" i="23"/>
  <c r="K43" i="23"/>
  <c r="L43" i="23"/>
  <c r="C44" i="23"/>
  <c r="G44" i="23"/>
  <c r="H44" i="23"/>
  <c r="I44" i="23"/>
  <c r="J44" i="23"/>
  <c r="K44" i="23"/>
  <c r="L44" i="23"/>
  <c r="C45" i="23"/>
  <c r="G45" i="23"/>
  <c r="H45" i="23"/>
  <c r="I45" i="23"/>
  <c r="J45" i="23"/>
  <c r="K45" i="23"/>
  <c r="L45" i="23"/>
  <c r="C46" i="23"/>
  <c r="G46" i="23"/>
  <c r="H46" i="23"/>
  <c r="I46" i="23"/>
  <c r="J46" i="23"/>
  <c r="K46" i="23"/>
  <c r="L46" i="23"/>
  <c r="C47" i="23"/>
  <c r="G47" i="23"/>
  <c r="H47" i="23"/>
  <c r="I47" i="23"/>
  <c r="J47" i="23"/>
  <c r="K47" i="23"/>
  <c r="L47" i="23"/>
  <c r="C48" i="23"/>
  <c r="G48" i="23"/>
  <c r="H48" i="23"/>
  <c r="I48" i="23"/>
  <c r="J48" i="23"/>
  <c r="K48" i="23"/>
  <c r="L48" i="23"/>
  <c r="C49" i="23"/>
  <c r="G49" i="23"/>
  <c r="H49" i="23"/>
  <c r="I49" i="23"/>
  <c r="J49" i="23"/>
  <c r="K49" i="23"/>
  <c r="L49" i="23"/>
  <c r="C50" i="23"/>
  <c r="G50" i="23"/>
  <c r="H50" i="23"/>
  <c r="I50" i="23"/>
  <c r="J50" i="23"/>
  <c r="K50" i="23"/>
  <c r="L50" i="23"/>
  <c r="C51" i="23"/>
  <c r="G51" i="23"/>
  <c r="H51" i="23"/>
  <c r="I51" i="23"/>
  <c r="J51" i="23"/>
  <c r="K51" i="23"/>
  <c r="L51" i="23"/>
  <c r="C52" i="23"/>
  <c r="G52" i="23"/>
  <c r="H52" i="23"/>
  <c r="I52" i="23"/>
  <c r="J52" i="23"/>
  <c r="K52" i="23"/>
  <c r="L52" i="23"/>
  <c r="C53" i="23"/>
  <c r="G53" i="23"/>
  <c r="H53" i="23"/>
  <c r="I53" i="23"/>
  <c r="J53" i="23"/>
  <c r="K53" i="23"/>
  <c r="L53" i="23"/>
  <c r="C54" i="23"/>
  <c r="G54" i="23"/>
  <c r="H54" i="23"/>
  <c r="I54" i="23"/>
  <c r="J54" i="23"/>
  <c r="K54" i="23"/>
  <c r="L54" i="23"/>
  <c r="C55" i="23"/>
  <c r="G55" i="23"/>
  <c r="H55" i="23"/>
  <c r="I55" i="23"/>
  <c r="J55" i="23"/>
  <c r="K55" i="23"/>
  <c r="L55" i="23"/>
  <c r="C56" i="23"/>
  <c r="G56" i="23"/>
  <c r="H56" i="23"/>
  <c r="I56" i="23"/>
  <c r="J56" i="23"/>
  <c r="K56" i="23"/>
  <c r="L56" i="23"/>
  <c r="C57" i="23"/>
  <c r="G57" i="23"/>
  <c r="H57" i="23"/>
  <c r="I57" i="23"/>
  <c r="J57" i="23"/>
  <c r="K57" i="23"/>
  <c r="L57" i="23"/>
  <c r="C58" i="23"/>
  <c r="G58" i="23"/>
  <c r="H58" i="23"/>
  <c r="I58" i="23"/>
  <c r="J58" i="23"/>
  <c r="K58" i="23"/>
  <c r="L58" i="23"/>
  <c r="C59" i="23"/>
  <c r="G59" i="23"/>
  <c r="H59" i="23"/>
  <c r="I59" i="23"/>
  <c r="J59" i="23"/>
  <c r="K59" i="23"/>
  <c r="L59" i="23"/>
  <c r="C60" i="23"/>
  <c r="G60" i="23"/>
  <c r="H60" i="23"/>
  <c r="I60" i="23"/>
  <c r="J60" i="23"/>
  <c r="K60" i="23"/>
  <c r="L60" i="23"/>
  <c r="C61" i="23"/>
  <c r="G61" i="23"/>
  <c r="H61" i="23"/>
  <c r="I61" i="23"/>
  <c r="J61" i="23"/>
  <c r="K61" i="23"/>
  <c r="L61" i="23"/>
  <c r="C62" i="23"/>
  <c r="G62" i="23"/>
  <c r="H62" i="23"/>
  <c r="I62" i="23"/>
  <c r="J62" i="23"/>
  <c r="K62" i="23"/>
  <c r="L62" i="23"/>
  <c r="C63" i="23"/>
  <c r="G63" i="23"/>
  <c r="H63" i="23"/>
  <c r="I63" i="23"/>
  <c r="J63" i="23"/>
  <c r="K63" i="23"/>
  <c r="L63" i="23"/>
  <c r="C64" i="23"/>
  <c r="G64" i="23"/>
  <c r="H64" i="23"/>
  <c r="I64" i="23"/>
  <c r="J64" i="23"/>
  <c r="K64" i="23"/>
  <c r="L64" i="23"/>
  <c r="C65" i="23"/>
  <c r="G65" i="23"/>
  <c r="H65" i="23"/>
  <c r="I65" i="23"/>
  <c r="J65" i="23"/>
  <c r="K65" i="23"/>
  <c r="L65" i="23"/>
  <c r="C66" i="23"/>
  <c r="G66" i="23"/>
  <c r="H66" i="23"/>
  <c r="I66" i="23"/>
  <c r="J66" i="23"/>
  <c r="K66" i="23"/>
  <c r="L66" i="23"/>
  <c r="C67" i="23"/>
  <c r="G67" i="23"/>
  <c r="H67" i="23"/>
  <c r="I67" i="23"/>
  <c r="J67" i="23"/>
  <c r="K67" i="23"/>
  <c r="L67" i="23"/>
  <c r="C68" i="23"/>
  <c r="G68" i="23"/>
  <c r="H68" i="23"/>
  <c r="I68" i="23"/>
  <c r="J68" i="23"/>
  <c r="K68" i="23"/>
  <c r="L68" i="23"/>
  <c r="C69" i="23"/>
  <c r="G69" i="23"/>
  <c r="H69" i="23"/>
  <c r="I69" i="23"/>
  <c r="J69" i="23"/>
  <c r="K69" i="23"/>
  <c r="L69" i="23"/>
  <c r="C70" i="23"/>
  <c r="G70" i="23"/>
  <c r="H70" i="23"/>
  <c r="I70" i="23"/>
  <c r="J70" i="23"/>
  <c r="K70" i="23"/>
  <c r="L70" i="23"/>
  <c r="C71" i="23"/>
  <c r="G71" i="23"/>
  <c r="H71" i="23"/>
  <c r="I71" i="23"/>
  <c r="J71" i="23"/>
  <c r="K71" i="23"/>
  <c r="L71" i="23"/>
  <c r="C72" i="23"/>
  <c r="G72" i="23"/>
  <c r="H72" i="23"/>
  <c r="I72" i="23"/>
  <c r="J72" i="23"/>
  <c r="K72" i="23"/>
  <c r="L72" i="23"/>
  <c r="C73" i="23"/>
  <c r="G73" i="23"/>
  <c r="H73" i="23"/>
  <c r="I73" i="23"/>
  <c r="J73" i="23"/>
  <c r="K73" i="23"/>
  <c r="L73" i="23"/>
  <c r="C74" i="23"/>
  <c r="G74" i="23"/>
  <c r="H74" i="23"/>
  <c r="I74" i="23"/>
  <c r="J74" i="23"/>
  <c r="K74" i="23"/>
  <c r="L74" i="23"/>
  <c r="C75" i="23"/>
  <c r="G75" i="23"/>
  <c r="H75" i="23"/>
  <c r="I75" i="23"/>
  <c r="J75" i="23"/>
  <c r="K75" i="23"/>
  <c r="L75" i="23"/>
  <c r="C76" i="23"/>
  <c r="G76" i="23"/>
  <c r="H76" i="23"/>
  <c r="I76" i="23"/>
  <c r="J76" i="23"/>
  <c r="K76" i="23"/>
  <c r="L76" i="23"/>
  <c r="C77" i="23"/>
  <c r="G77" i="23"/>
  <c r="H77" i="23"/>
  <c r="I77" i="23"/>
  <c r="J77" i="23"/>
  <c r="K77" i="23"/>
  <c r="L77" i="23"/>
  <c r="C78" i="23"/>
  <c r="G78" i="23"/>
  <c r="H78" i="23"/>
  <c r="I78" i="23"/>
  <c r="J78" i="23"/>
  <c r="K78" i="23"/>
  <c r="L78" i="23"/>
  <c r="C79" i="23"/>
  <c r="G79" i="23"/>
  <c r="H79" i="23"/>
  <c r="I79" i="23"/>
  <c r="J79" i="23"/>
  <c r="K79" i="23"/>
  <c r="L79" i="23"/>
  <c r="C80" i="23"/>
  <c r="G80" i="23"/>
  <c r="H80" i="23"/>
  <c r="I80" i="23"/>
  <c r="J80" i="23"/>
  <c r="K80" i="23"/>
  <c r="L80" i="23"/>
  <c r="C81" i="23"/>
  <c r="G81" i="23"/>
  <c r="H81" i="23"/>
  <c r="I81" i="23"/>
  <c r="J81" i="23"/>
  <c r="K81" i="23"/>
  <c r="L81" i="23"/>
  <c r="C82" i="23"/>
  <c r="G82" i="23"/>
  <c r="H82" i="23"/>
  <c r="I82" i="23"/>
  <c r="J82" i="23"/>
  <c r="K82" i="23"/>
  <c r="L82" i="23"/>
  <c r="C83" i="23"/>
  <c r="G83" i="23"/>
  <c r="H83" i="23"/>
  <c r="I83" i="23"/>
  <c r="J83" i="23"/>
  <c r="K83" i="23"/>
  <c r="L83" i="23"/>
  <c r="C84" i="23"/>
  <c r="G84" i="23"/>
  <c r="H84" i="23"/>
  <c r="I84" i="23"/>
  <c r="J84" i="23"/>
  <c r="K84" i="23"/>
  <c r="L84" i="23"/>
  <c r="C85" i="23"/>
  <c r="G85" i="23"/>
  <c r="H85" i="23"/>
  <c r="I85" i="23"/>
  <c r="J85" i="23"/>
  <c r="K85" i="23"/>
  <c r="L85" i="23"/>
  <c r="C86" i="23"/>
  <c r="G86" i="23"/>
  <c r="H86" i="23"/>
  <c r="I86" i="23"/>
  <c r="J86" i="23"/>
  <c r="K86" i="23"/>
  <c r="L86" i="23"/>
  <c r="C87" i="23"/>
  <c r="G87" i="23"/>
  <c r="H87" i="23"/>
  <c r="I87" i="23"/>
  <c r="J87" i="23"/>
  <c r="K87" i="23"/>
  <c r="L87" i="23"/>
  <c r="C88" i="23"/>
  <c r="G88" i="23"/>
  <c r="H88" i="23"/>
  <c r="I88" i="23"/>
  <c r="J88" i="23"/>
  <c r="K88" i="23"/>
  <c r="L88" i="23"/>
  <c r="C89" i="23"/>
  <c r="G89" i="23"/>
  <c r="H89" i="23"/>
  <c r="I89" i="23"/>
  <c r="J89" i="23"/>
  <c r="K89" i="23"/>
  <c r="L89" i="23"/>
  <c r="C90" i="23"/>
  <c r="G90" i="23"/>
  <c r="H90" i="23"/>
  <c r="I90" i="23"/>
  <c r="J90" i="23"/>
  <c r="K90" i="23"/>
  <c r="L90" i="23"/>
  <c r="C91" i="23"/>
  <c r="G91" i="23"/>
  <c r="H91" i="23"/>
  <c r="I91" i="23"/>
  <c r="J91" i="23"/>
  <c r="K91" i="23"/>
  <c r="L91" i="23"/>
  <c r="C92" i="23"/>
  <c r="G92" i="23"/>
  <c r="H92" i="23"/>
  <c r="I92" i="23"/>
  <c r="J92" i="23"/>
  <c r="K92" i="23"/>
  <c r="L92" i="23"/>
  <c r="C93" i="23"/>
  <c r="G93" i="23"/>
  <c r="H93" i="23"/>
  <c r="I93" i="23"/>
  <c r="J93" i="23"/>
  <c r="K93" i="23"/>
  <c r="L93" i="23"/>
  <c r="C94" i="23"/>
  <c r="G94" i="23"/>
  <c r="H94" i="23"/>
  <c r="I94" i="23"/>
  <c r="J94" i="23"/>
  <c r="K94" i="23"/>
  <c r="L94" i="23"/>
  <c r="C95" i="23"/>
  <c r="G95" i="23"/>
  <c r="H95" i="23"/>
  <c r="I95" i="23"/>
  <c r="J95" i="23"/>
  <c r="K95" i="23"/>
  <c r="L95" i="23"/>
  <c r="C96" i="23"/>
  <c r="G96" i="23"/>
  <c r="H96" i="23"/>
  <c r="I96" i="23"/>
  <c r="J96" i="23"/>
  <c r="K96" i="23"/>
  <c r="L96" i="23"/>
  <c r="C97" i="23"/>
  <c r="G97" i="23"/>
  <c r="H97" i="23"/>
  <c r="I97" i="23"/>
  <c r="J97" i="23"/>
  <c r="K97" i="23"/>
  <c r="L97" i="23"/>
  <c r="C98" i="23"/>
  <c r="G98" i="23"/>
  <c r="H98" i="23"/>
  <c r="I98" i="23"/>
  <c r="J98" i="23"/>
  <c r="K98" i="23"/>
  <c r="L98" i="23"/>
  <c r="C99" i="23"/>
  <c r="G99" i="23"/>
  <c r="H99" i="23"/>
  <c r="I99" i="23"/>
  <c r="J99" i="23"/>
  <c r="K99" i="23"/>
  <c r="L99" i="23"/>
  <c r="C100" i="23"/>
  <c r="G100" i="23"/>
  <c r="H100" i="23"/>
  <c r="I100" i="23"/>
  <c r="J100" i="23"/>
  <c r="K100" i="23"/>
  <c r="L100" i="23"/>
  <c r="C101" i="23"/>
  <c r="G101" i="23"/>
  <c r="H101" i="23"/>
  <c r="I101" i="23"/>
  <c r="J101" i="23"/>
  <c r="K101" i="23"/>
  <c r="L101" i="23"/>
  <c r="C102" i="23"/>
  <c r="G102" i="23"/>
  <c r="H102" i="23"/>
  <c r="I102" i="23"/>
  <c r="J102" i="23"/>
  <c r="K102" i="23"/>
  <c r="L102" i="23"/>
  <c r="C103" i="23"/>
  <c r="G103" i="23"/>
  <c r="H103" i="23"/>
  <c r="I103" i="23"/>
  <c r="J103" i="23"/>
  <c r="K103" i="23"/>
  <c r="L103" i="23"/>
  <c r="C104" i="23"/>
  <c r="G104" i="23"/>
  <c r="H104" i="23"/>
  <c r="I104" i="23"/>
  <c r="J104" i="23"/>
  <c r="K104" i="23"/>
  <c r="L104" i="23"/>
  <c r="C105" i="23"/>
  <c r="G105" i="23"/>
  <c r="H105" i="23"/>
  <c r="I105" i="23"/>
  <c r="J105" i="23"/>
  <c r="K105" i="23"/>
  <c r="L105" i="23"/>
  <c r="C106" i="23"/>
  <c r="G106" i="23"/>
  <c r="H106" i="23"/>
  <c r="I106" i="23"/>
  <c r="J106" i="23"/>
  <c r="K106" i="23"/>
  <c r="L106" i="23"/>
  <c r="C107" i="23"/>
  <c r="G107" i="23"/>
  <c r="H107" i="23"/>
  <c r="I107" i="23"/>
  <c r="J107" i="23"/>
  <c r="K107" i="23"/>
  <c r="L107" i="23"/>
  <c r="C108" i="23"/>
  <c r="G108" i="23"/>
  <c r="H108" i="23"/>
  <c r="I108" i="23"/>
  <c r="J108" i="23"/>
  <c r="K108" i="23"/>
  <c r="L108" i="23"/>
  <c r="C109" i="23"/>
  <c r="G109" i="23"/>
  <c r="H109" i="23"/>
  <c r="I109" i="23"/>
  <c r="J109" i="23"/>
  <c r="K109" i="23"/>
  <c r="L109" i="23"/>
  <c r="C110" i="23"/>
  <c r="G110" i="23"/>
  <c r="H110" i="23"/>
  <c r="I110" i="23"/>
  <c r="J110" i="23"/>
  <c r="K110" i="23"/>
  <c r="L110" i="23"/>
  <c r="C111" i="23"/>
  <c r="G111" i="23"/>
  <c r="H111" i="23"/>
  <c r="I111" i="23"/>
  <c r="J111" i="23"/>
  <c r="K111" i="23"/>
  <c r="L111" i="23"/>
  <c r="C112" i="23"/>
  <c r="G112" i="23"/>
  <c r="H112" i="23"/>
  <c r="I112" i="23"/>
  <c r="J112" i="23"/>
  <c r="K112" i="23"/>
  <c r="L112" i="23"/>
  <c r="C113" i="23"/>
  <c r="G113" i="23"/>
  <c r="H113" i="23"/>
  <c r="I113" i="23"/>
  <c r="J113" i="23"/>
  <c r="K113" i="23"/>
  <c r="L113" i="23"/>
  <c r="C114" i="23"/>
  <c r="G114" i="23"/>
  <c r="H114" i="23"/>
  <c r="I114" i="23"/>
  <c r="J114" i="23"/>
  <c r="K114" i="23"/>
  <c r="L114" i="23"/>
  <c r="C115" i="23"/>
  <c r="G115" i="23"/>
  <c r="H115" i="23"/>
  <c r="I115" i="23"/>
  <c r="J115" i="23"/>
  <c r="K115" i="23"/>
  <c r="L115" i="23"/>
  <c r="C116" i="23"/>
  <c r="G116" i="23"/>
  <c r="H116" i="23"/>
  <c r="I116" i="23"/>
  <c r="J116" i="23"/>
  <c r="K116" i="23"/>
  <c r="L116" i="23"/>
  <c r="C117" i="23"/>
  <c r="G117" i="23"/>
  <c r="H117" i="23"/>
  <c r="I117" i="23"/>
  <c r="J117" i="23"/>
  <c r="K117" i="23"/>
  <c r="L117" i="23"/>
  <c r="C118" i="23"/>
  <c r="G118" i="23"/>
  <c r="H118" i="23"/>
  <c r="I118" i="23"/>
  <c r="J118" i="23"/>
  <c r="K118" i="23"/>
  <c r="L118" i="23"/>
  <c r="C119" i="23"/>
  <c r="G119" i="23"/>
  <c r="H119" i="23"/>
  <c r="I119" i="23"/>
  <c r="J119" i="23"/>
  <c r="K119" i="23"/>
  <c r="L119" i="23"/>
  <c r="C120" i="23"/>
  <c r="G120" i="23"/>
  <c r="H120" i="23"/>
  <c r="I120" i="23"/>
  <c r="J120" i="23"/>
  <c r="K120" i="23"/>
  <c r="L120" i="23"/>
  <c r="C121" i="23"/>
  <c r="G121" i="23"/>
  <c r="H121" i="23"/>
  <c r="I121" i="23"/>
  <c r="J121" i="23"/>
  <c r="K121" i="23"/>
  <c r="L121" i="23"/>
  <c r="C122" i="23"/>
  <c r="G122" i="23"/>
  <c r="H122" i="23"/>
  <c r="I122" i="23"/>
  <c r="J122" i="23"/>
  <c r="K122" i="23"/>
  <c r="L122" i="23"/>
  <c r="C123" i="23"/>
  <c r="G123" i="23"/>
  <c r="H123" i="23"/>
  <c r="I123" i="23"/>
  <c r="J123" i="23"/>
  <c r="K123" i="23"/>
  <c r="L123" i="23"/>
  <c r="C124" i="23"/>
  <c r="G124" i="23"/>
  <c r="H124" i="23"/>
  <c r="I124" i="23"/>
  <c r="J124" i="23"/>
  <c r="K124" i="23"/>
  <c r="L124" i="23"/>
  <c r="C125" i="23"/>
  <c r="G125" i="23"/>
  <c r="H125" i="23"/>
  <c r="I125" i="23"/>
  <c r="J125" i="23"/>
  <c r="K125" i="23"/>
  <c r="L125" i="23"/>
  <c r="C126" i="23"/>
  <c r="G126" i="23"/>
  <c r="H126" i="23"/>
  <c r="I126" i="23"/>
  <c r="J126" i="23"/>
  <c r="K126" i="23"/>
  <c r="L126" i="23"/>
  <c r="C127" i="23"/>
  <c r="G127" i="23"/>
  <c r="H127" i="23"/>
  <c r="I127" i="23"/>
  <c r="J127" i="23"/>
  <c r="K127" i="23"/>
  <c r="L127" i="23"/>
  <c r="C128" i="23"/>
  <c r="G128" i="23"/>
  <c r="H128" i="23"/>
  <c r="I128" i="23"/>
  <c r="J128" i="23"/>
  <c r="K128" i="23"/>
  <c r="L128" i="23"/>
  <c r="C129" i="23"/>
  <c r="G129" i="23"/>
  <c r="H129" i="23"/>
  <c r="I129" i="23"/>
  <c r="J129" i="23"/>
  <c r="K129" i="23"/>
  <c r="L129" i="23"/>
  <c r="C130" i="23"/>
  <c r="G130" i="23"/>
  <c r="H130" i="23"/>
  <c r="I130" i="23"/>
  <c r="J130" i="23"/>
  <c r="K130" i="23"/>
  <c r="L130" i="23"/>
  <c r="C131" i="23"/>
  <c r="G131" i="23"/>
  <c r="H131" i="23"/>
  <c r="I131" i="23"/>
  <c r="J131" i="23"/>
  <c r="K131" i="23"/>
  <c r="L131" i="23"/>
  <c r="C132" i="23"/>
  <c r="G132" i="23"/>
  <c r="H132" i="23"/>
  <c r="I132" i="23"/>
  <c r="J132" i="23"/>
  <c r="K132" i="23"/>
  <c r="L132" i="23"/>
  <c r="C133" i="23"/>
  <c r="G133" i="23"/>
  <c r="H133" i="23"/>
  <c r="I133" i="23"/>
  <c r="J133" i="23"/>
  <c r="K133" i="23"/>
  <c r="L133" i="23"/>
  <c r="C134" i="23"/>
  <c r="G134" i="23"/>
  <c r="H134" i="23"/>
  <c r="I134" i="23"/>
  <c r="J134" i="23"/>
  <c r="K134" i="23"/>
  <c r="L134" i="23"/>
  <c r="C135" i="23"/>
  <c r="G135" i="23"/>
  <c r="H135" i="23"/>
  <c r="I135" i="23"/>
  <c r="J135" i="23"/>
  <c r="K135" i="23"/>
  <c r="L135" i="23"/>
  <c r="C136" i="23"/>
  <c r="G136" i="23"/>
  <c r="H136" i="23"/>
  <c r="I136" i="23"/>
  <c r="J136" i="23"/>
  <c r="K136" i="23"/>
  <c r="L136" i="23"/>
  <c r="C137" i="23"/>
  <c r="G137" i="23"/>
  <c r="H137" i="23"/>
  <c r="I137" i="23"/>
  <c r="J137" i="23"/>
  <c r="K137" i="23"/>
  <c r="L137" i="23"/>
  <c r="C138" i="23"/>
  <c r="G138" i="23"/>
  <c r="H138" i="23"/>
  <c r="I138" i="23"/>
  <c r="J138" i="23"/>
  <c r="K138" i="23"/>
  <c r="L138" i="23"/>
  <c r="C139" i="23"/>
  <c r="G139" i="23"/>
  <c r="H139" i="23"/>
  <c r="I139" i="23"/>
  <c r="J139" i="23"/>
  <c r="K139" i="23"/>
  <c r="L139" i="23"/>
  <c r="C140" i="23"/>
  <c r="G140" i="23"/>
  <c r="H140" i="23"/>
  <c r="I140" i="23"/>
  <c r="J140" i="23"/>
  <c r="K140" i="23"/>
  <c r="L140" i="23"/>
  <c r="C141" i="23"/>
  <c r="G141" i="23"/>
  <c r="H141" i="23"/>
  <c r="I141" i="23"/>
  <c r="J141" i="23"/>
  <c r="K141" i="23"/>
  <c r="L141" i="23"/>
  <c r="C142" i="23"/>
  <c r="G142" i="23"/>
  <c r="H142" i="23"/>
  <c r="I142" i="23"/>
  <c r="J142" i="23"/>
  <c r="K142" i="23"/>
  <c r="L142" i="23"/>
  <c r="C143" i="23"/>
  <c r="G143" i="23"/>
  <c r="H143" i="23"/>
  <c r="I143" i="23"/>
  <c r="J143" i="23"/>
  <c r="K143" i="23"/>
  <c r="L143" i="23"/>
  <c r="C144" i="23"/>
  <c r="G144" i="23"/>
  <c r="H144" i="23"/>
  <c r="I144" i="23"/>
  <c r="J144" i="23"/>
  <c r="K144" i="23"/>
  <c r="L144" i="23"/>
  <c r="C145" i="23"/>
  <c r="G145" i="23"/>
  <c r="H145" i="23"/>
  <c r="I145" i="23"/>
  <c r="J145" i="23"/>
  <c r="K145" i="23"/>
  <c r="L145" i="23"/>
  <c r="C146" i="23"/>
  <c r="G146" i="23"/>
  <c r="H146" i="23"/>
  <c r="I146" i="23"/>
  <c r="J146" i="23"/>
  <c r="K146" i="23"/>
  <c r="L146" i="23"/>
  <c r="C147" i="23"/>
  <c r="G147" i="23"/>
  <c r="H147" i="23"/>
  <c r="I147" i="23"/>
  <c r="J147" i="23"/>
  <c r="K147" i="23"/>
  <c r="L147" i="23"/>
  <c r="C148" i="23"/>
  <c r="G148" i="23"/>
  <c r="H148" i="23"/>
  <c r="I148" i="23"/>
  <c r="J148" i="23"/>
  <c r="K148" i="23"/>
  <c r="L148" i="23"/>
  <c r="C149" i="23"/>
  <c r="G149" i="23"/>
  <c r="H149" i="23"/>
  <c r="I149" i="23"/>
  <c r="J149" i="23"/>
  <c r="K149" i="23"/>
  <c r="L149" i="23"/>
  <c r="C150" i="23"/>
  <c r="G150" i="23"/>
  <c r="H150" i="23"/>
  <c r="I150" i="23"/>
  <c r="J150" i="23"/>
  <c r="K150" i="23"/>
  <c r="L150" i="23"/>
  <c r="C151" i="23"/>
  <c r="G151" i="23"/>
  <c r="H151" i="23"/>
  <c r="I151" i="23"/>
  <c r="J151" i="23"/>
  <c r="K151" i="23"/>
  <c r="L151" i="23"/>
  <c r="C152" i="23"/>
  <c r="G152" i="23"/>
  <c r="H152" i="23"/>
  <c r="I152" i="23"/>
  <c r="J152" i="23"/>
  <c r="K152" i="23"/>
  <c r="L152" i="23"/>
  <c r="C153" i="23"/>
  <c r="G153" i="23"/>
  <c r="H153" i="23"/>
  <c r="I153" i="23"/>
  <c r="J153" i="23"/>
  <c r="K153" i="23"/>
  <c r="L153" i="23"/>
  <c r="C154" i="23"/>
  <c r="G154" i="23"/>
  <c r="H154" i="23"/>
  <c r="I154" i="23"/>
  <c r="J154" i="23"/>
  <c r="K154" i="23"/>
  <c r="L154" i="23"/>
  <c r="C155" i="23"/>
  <c r="G155" i="23"/>
  <c r="H155" i="23"/>
  <c r="I155" i="23"/>
  <c r="J155" i="23"/>
  <c r="K155" i="23"/>
  <c r="L155" i="23"/>
  <c r="C156" i="23"/>
  <c r="G156" i="23"/>
  <c r="H156" i="23"/>
  <c r="I156" i="23"/>
  <c r="J156" i="23"/>
  <c r="K156" i="23"/>
  <c r="L156" i="23"/>
  <c r="C157" i="23"/>
  <c r="G157" i="23"/>
  <c r="H157" i="23"/>
  <c r="I157" i="23"/>
  <c r="J157" i="23"/>
  <c r="K157" i="23"/>
  <c r="L157" i="23"/>
  <c r="C158" i="23"/>
  <c r="G158" i="23"/>
  <c r="H158" i="23"/>
  <c r="I158" i="23"/>
  <c r="J158" i="23"/>
  <c r="K158" i="23"/>
  <c r="L158" i="23"/>
  <c r="C159" i="23"/>
  <c r="G159" i="23"/>
  <c r="H159" i="23"/>
  <c r="I159" i="23"/>
  <c r="J159" i="23"/>
  <c r="K159" i="23"/>
  <c r="L159" i="23"/>
  <c r="C160" i="23"/>
  <c r="G160" i="23"/>
  <c r="H160" i="23"/>
  <c r="I160" i="23"/>
  <c r="J160" i="23"/>
  <c r="K160" i="23"/>
  <c r="L160" i="23"/>
  <c r="C161" i="23"/>
  <c r="G161" i="23"/>
  <c r="H161" i="23"/>
  <c r="I161" i="23"/>
  <c r="J161" i="23"/>
  <c r="K161" i="23"/>
  <c r="L161" i="23"/>
  <c r="C162" i="23"/>
  <c r="G162" i="23"/>
  <c r="H162" i="23"/>
  <c r="I162" i="23"/>
  <c r="J162" i="23"/>
  <c r="K162" i="23"/>
  <c r="L162" i="23"/>
  <c r="C163" i="23"/>
  <c r="G163" i="23"/>
  <c r="H163" i="23"/>
  <c r="I163" i="23"/>
  <c r="J163" i="23"/>
  <c r="K163" i="23"/>
  <c r="L163" i="23"/>
  <c r="C164" i="23"/>
  <c r="G164" i="23"/>
  <c r="H164" i="23"/>
  <c r="I164" i="23"/>
  <c r="J164" i="23"/>
  <c r="K164" i="23"/>
  <c r="L164" i="23"/>
  <c r="C165" i="23"/>
  <c r="G165" i="23"/>
  <c r="H165" i="23"/>
  <c r="I165" i="23"/>
  <c r="J165" i="23"/>
  <c r="K165" i="23"/>
  <c r="L165" i="23"/>
  <c r="C166" i="23"/>
  <c r="G166" i="23"/>
  <c r="H166" i="23"/>
  <c r="I166" i="23"/>
  <c r="J166" i="23"/>
  <c r="K166" i="23"/>
  <c r="L166" i="23"/>
  <c r="C167" i="23"/>
  <c r="G167" i="23"/>
  <c r="H167" i="23"/>
  <c r="I167" i="23"/>
  <c r="J167" i="23"/>
  <c r="K167" i="23"/>
  <c r="L167" i="23"/>
  <c r="C168" i="23"/>
  <c r="G168" i="23"/>
  <c r="H168" i="23"/>
  <c r="I168" i="23"/>
  <c r="J168" i="23"/>
  <c r="K168" i="23"/>
  <c r="L168" i="23"/>
  <c r="C169" i="23"/>
  <c r="G169" i="23"/>
  <c r="H169" i="23"/>
  <c r="I169" i="23"/>
  <c r="J169" i="23"/>
  <c r="K169" i="23"/>
  <c r="L169" i="23"/>
  <c r="C170" i="23"/>
  <c r="G170" i="23"/>
  <c r="H170" i="23"/>
  <c r="I170" i="23"/>
  <c r="J170" i="23"/>
  <c r="K170" i="23"/>
  <c r="L170" i="23"/>
  <c r="C171" i="23"/>
  <c r="G171" i="23"/>
  <c r="H171" i="23"/>
  <c r="I171" i="23"/>
  <c r="J171" i="23"/>
  <c r="K171" i="23"/>
  <c r="L171" i="23"/>
  <c r="C172" i="23"/>
  <c r="G172" i="23"/>
  <c r="H172" i="23"/>
  <c r="I172" i="23"/>
  <c r="J172" i="23"/>
  <c r="K172" i="23"/>
  <c r="L172" i="23"/>
  <c r="C173" i="23"/>
  <c r="G173" i="23"/>
  <c r="H173" i="23"/>
  <c r="I173" i="23"/>
  <c r="J173" i="23"/>
  <c r="K173" i="23"/>
  <c r="L173" i="23"/>
  <c r="C174" i="23"/>
  <c r="G174" i="23"/>
  <c r="H174" i="23"/>
  <c r="I174" i="23"/>
  <c r="J174" i="23"/>
  <c r="K174" i="23"/>
  <c r="L174" i="23"/>
  <c r="C175" i="23"/>
  <c r="G175" i="23"/>
  <c r="H175" i="23"/>
  <c r="I175" i="23"/>
  <c r="J175" i="23"/>
  <c r="K175" i="23"/>
  <c r="L175" i="23"/>
  <c r="C176" i="23"/>
  <c r="G176" i="23"/>
  <c r="H176" i="23"/>
  <c r="I176" i="23"/>
  <c r="J176" i="23"/>
  <c r="K176" i="23"/>
  <c r="L176" i="23"/>
  <c r="C177" i="23"/>
  <c r="G177" i="23"/>
  <c r="H177" i="23"/>
  <c r="I177" i="23"/>
  <c r="J177" i="23"/>
  <c r="K177" i="23"/>
  <c r="L177" i="23"/>
  <c r="C178" i="23"/>
  <c r="G178" i="23"/>
  <c r="H178" i="23"/>
  <c r="I178" i="23"/>
  <c r="J178" i="23"/>
  <c r="K178" i="23"/>
  <c r="L178" i="23"/>
  <c r="C179" i="23"/>
  <c r="G179" i="23"/>
  <c r="H179" i="23"/>
  <c r="I179" i="23"/>
  <c r="J179" i="23"/>
  <c r="K179" i="23"/>
  <c r="L179" i="23"/>
  <c r="C180" i="23"/>
  <c r="G180" i="23"/>
  <c r="H180" i="23"/>
  <c r="I180" i="23"/>
  <c r="J180" i="23"/>
  <c r="K180" i="23"/>
  <c r="L180" i="23"/>
  <c r="C181" i="23"/>
  <c r="G181" i="23"/>
  <c r="H181" i="23"/>
  <c r="I181" i="23"/>
  <c r="J181" i="23"/>
  <c r="K181" i="23"/>
  <c r="L181" i="23"/>
  <c r="C182" i="23"/>
  <c r="G182" i="23"/>
  <c r="H182" i="23"/>
  <c r="I182" i="23"/>
  <c r="J182" i="23"/>
  <c r="K182" i="23"/>
  <c r="L182" i="23"/>
  <c r="C183" i="23"/>
  <c r="G183" i="23"/>
  <c r="H183" i="23"/>
  <c r="I183" i="23"/>
  <c r="J183" i="23"/>
  <c r="K183" i="23"/>
  <c r="L183" i="23"/>
  <c r="C184" i="23"/>
  <c r="G184" i="23"/>
  <c r="H184" i="23"/>
  <c r="I184" i="23"/>
  <c r="J184" i="23"/>
  <c r="K184" i="23"/>
  <c r="L184" i="23"/>
  <c r="C185" i="23"/>
  <c r="G185" i="23"/>
  <c r="H185" i="23"/>
  <c r="I185" i="23"/>
  <c r="J185" i="23"/>
  <c r="K185" i="23"/>
  <c r="L185" i="23"/>
  <c r="C186" i="23"/>
  <c r="G186" i="23"/>
  <c r="H186" i="23"/>
  <c r="I186" i="23"/>
  <c r="J186" i="23"/>
  <c r="K186" i="23"/>
  <c r="L186" i="23"/>
  <c r="C187" i="23"/>
  <c r="G187" i="23"/>
  <c r="H187" i="23"/>
  <c r="I187" i="23"/>
  <c r="J187" i="23"/>
  <c r="K187" i="23"/>
  <c r="L187" i="23"/>
  <c r="C188" i="23"/>
  <c r="G188" i="23"/>
  <c r="H188" i="23"/>
  <c r="I188" i="23"/>
  <c r="J188" i="23"/>
  <c r="K188" i="23"/>
  <c r="L188" i="23"/>
  <c r="C189" i="23"/>
  <c r="G189" i="23"/>
  <c r="H189" i="23"/>
  <c r="I189" i="23"/>
  <c r="J189" i="23"/>
  <c r="K189" i="23"/>
  <c r="L189" i="23"/>
  <c r="C190" i="23"/>
  <c r="G190" i="23"/>
  <c r="H190" i="23"/>
  <c r="I190" i="23"/>
  <c r="J190" i="23"/>
  <c r="K190" i="23"/>
  <c r="L190" i="23"/>
  <c r="C191" i="23"/>
  <c r="G191" i="23"/>
  <c r="H191" i="23"/>
  <c r="I191" i="23"/>
  <c r="J191" i="23"/>
  <c r="K191" i="23"/>
  <c r="L191" i="23"/>
  <c r="C192" i="23"/>
  <c r="G192" i="23"/>
  <c r="H192" i="23"/>
  <c r="I192" i="23"/>
  <c r="J192" i="23"/>
  <c r="K192" i="23"/>
  <c r="L192" i="23"/>
  <c r="C193" i="23"/>
  <c r="G193" i="23"/>
  <c r="H193" i="23"/>
  <c r="I193" i="23"/>
  <c r="J193" i="23"/>
  <c r="K193" i="23"/>
  <c r="L193" i="23"/>
  <c r="C194" i="23"/>
  <c r="G194" i="23"/>
  <c r="H194" i="23"/>
  <c r="I194" i="23"/>
  <c r="J194" i="23"/>
  <c r="K194" i="23"/>
  <c r="L194" i="23"/>
  <c r="C195" i="23"/>
  <c r="G195" i="23"/>
  <c r="H195" i="23"/>
  <c r="I195" i="23"/>
  <c r="J195" i="23"/>
  <c r="K195" i="23"/>
  <c r="L195" i="23"/>
  <c r="C196" i="23"/>
  <c r="G196" i="23"/>
  <c r="H196" i="23"/>
  <c r="I196" i="23"/>
  <c r="J196" i="23"/>
  <c r="K196" i="23"/>
  <c r="L196" i="23"/>
  <c r="C197" i="23"/>
  <c r="G197" i="23"/>
  <c r="H197" i="23"/>
  <c r="I197" i="23"/>
  <c r="J197" i="23"/>
  <c r="K197" i="23"/>
  <c r="L197" i="23"/>
  <c r="C198" i="23"/>
  <c r="G198" i="23"/>
  <c r="H198" i="23"/>
  <c r="I198" i="23"/>
  <c r="J198" i="23"/>
  <c r="K198" i="23"/>
  <c r="L198" i="23"/>
  <c r="C199" i="23"/>
  <c r="G199" i="23"/>
  <c r="H199" i="23"/>
  <c r="I199" i="23"/>
  <c r="J199" i="23"/>
  <c r="K199" i="23"/>
  <c r="L199" i="23"/>
  <c r="C200" i="23"/>
  <c r="G200" i="23"/>
  <c r="H200" i="23"/>
  <c r="I200" i="23"/>
  <c r="J200" i="23"/>
  <c r="K200" i="23"/>
  <c r="L200" i="23"/>
  <c r="C201" i="23"/>
  <c r="G201" i="23"/>
  <c r="H201" i="23"/>
  <c r="I201" i="23"/>
  <c r="J201" i="23"/>
  <c r="K201" i="23"/>
  <c r="L201" i="23"/>
  <c r="C202" i="23"/>
  <c r="G202" i="23"/>
  <c r="H202" i="23"/>
  <c r="I202" i="23"/>
  <c r="J202" i="23"/>
  <c r="K202" i="23"/>
  <c r="L202" i="23"/>
  <c r="C203" i="23"/>
  <c r="G203" i="23"/>
  <c r="H203" i="23"/>
  <c r="I203" i="23"/>
  <c r="J203" i="23"/>
  <c r="K203" i="23"/>
  <c r="L203" i="23"/>
  <c r="C204" i="23"/>
  <c r="G204" i="23"/>
  <c r="H204" i="23"/>
  <c r="I204" i="23"/>
  <c r="J204" i="23"/>
  <c r="K204" i="23"/>
  <c r="L204" i="23"/>
  <c r="C205" i="23"/>
  <c r="G205" i="23"/>
  <c r="H205" i="23"/>
  <c r="I205" i="23"/>
  <c r="J205" i="23"/>
  <c r="K205" i="23"/>
  <c r="L205" i="23"/>
  <c r="C206" i="23"/>
  <c r="G206" i="23"/>
  <c r="H206" i="23"/>
  <c r="I206" i="23"/>
  <c r="J206" i="23"/>
  <c r="K206" i="23"/>
  <c r="L206" i="23"/>
  <c r="C207" i="23"/>
  <c r="G207" i="23"/>
  <c r="H207" i="23"/>
  <c r="I207" i="23"/>
  <c r="J207" i="23"/>
  <c r="K207" i="23"/>
  <c r="L207" i="23"/>
  <c r="C208" i="23"/>
  <c r="G208" i="23"/>
  <c r="H208" i="23"/>
  <c r="I208" i="23"/>
  <c r="J208" i="23"/>
  <c r="K208" i="23"/>
  <c r="L208" i="23"/>
  <c r="C209" i="23"/>
  <c r="G209" i="23"/>
  <c r="H209" i="23"/>
  <c r="I209" i="23"/>
  <c r="J209" i="23"/>
  <c r="K209" i="23"/>
  <c r="L209" i="23"/>
  <c r="C210" i="23"/>
  <c r="G210" i="23"/>
  <c r="H210" i="23"/>
  <c r="I210" i="23"/>
  <c r="J210" i="23"/>
  <c r="K210" i="23"/>
  <c r="L210" i="23"/>
  <c r="C211" i="23"/>
  <c r="G211" i="23"/>
  <c r="H211" i="23"/>
  <c r="I211" i="23"/>
  <c r="J211" i="23"/>
  <c r="K211" i="23"/>
  <c r="L211" i="23"/>
  <c r="C212" i="23"/>
  <c r="G212" i="23"/>
  <c r="H212" i="23"/>
  <c r="I212" i="23"/>
  <c r="J212" i="23"/>
  <c r="K212" i="23"/>
  <c r="L212" i="23"/>
  <c r="C213" i="23"/>
  <c r="G213" i="23"/>
  <c r="H213" i="23"/>
  <c r="I213" i="23"/>
  <c r="J213" i="23"/>
  <c r="K213" i="23"/>
  <c r="L213" i="23"/>
  <c r="C214" i="23"/>
  <c r="G214" i="23"/>
  <c r="H214" i="23"/>
  <c r="I214" i="23"/>
  <c r="J214" i="23"/>
  <c r="K214" i="23"/>
  <c r="L214" i="23"/>
  <c r="G215" i="23"/>
  <c r="H215" i="23"/>
  <c r="I215" i="23"/>
  <c r="J215" i="23"/>
  <c r="K215" i="23"/>
  <c r="L215" i="23"/>
  <c r="C216" i="23"/>
  <c r="G216" i="23"/>
  <c r="H216" i="23"/>
  <c r="I216" i="23"/>
  <c r="J216" i="23"/>
  <c r="K216" i="23"/>
  <c r="L216" i="23"/>
  <c r="C217" i="23"/>
  <c r="G217" i="23"/>
  <c r="H217" i="23"/>
  <c r="I217" i="23"/>
  <c r="J217" i="23"/>
  <c r="K217" i="23"/>
  <c r="L217" i="23"/>
  <c r="C218" i="23"/>
  <c r="G218" i="23"/>
  <c r="H218" i="23"/>
  <c r="I218" i="23"/>
  <c r="J218" i="23"/>
  <c r="K218" i="23"/>
  <c r="L218" i="23"/>
  <c r="C219" i="23"/>
  <c r="G219" i="23"/>
  <c r="H219" i="23"/>
  <c r="I219" i="23"/>
  <c r="J219" i="23"/>
  <c r="K219" i="23"/>
  <c r="L219" i="23"/>
  <c r="C220" i="23"/>
  <c r="G220" i="23"/>
  <c r="H220" i="23"/>
  <c r="I220" i="23"/>
  <c r="J220" i="23"/>
  <c r="K220" i="23"/>
  <c r="L220" i="23"/>
  <c r="C221" i="23"/>
  <c r="G221" i="23"/>
  <c r="H221" i="23"/>
  <c r="I221" i="23"/>
  <c r="J221" i="23"/>
  <c r="K221" i="23"/>
  <c r="L221" i="23"/>
  <c r="C222" i="23"/>
  <c r="G222" i="23"/>
  <c r="H222" i="23"/>
  <c r="I222" i="23"/>
  <c r="J222" i="23"/>
  <c r="K222" i="23"/>
  <c r="L222" i="23"/>
  <c r="C223" i="23"/>
  <c r="G223" i="23"/>
  <c r="H223" i="23"/>
  <c r="I223" i="23"/>
  <c r="J223" i="23"/>
  <c r="K223" i="23"/>
  <c r="L223" i="23"/>
  <c r="C224" i="23"/>
  <c r="G224" i="23"/>
  <c r="H224" i="23"/>
  <c r="I224" i="23"/>
  <c r="J224" i="23"/>
  <c r="K224" i="23"/>
  <c r="L224" i="23"/>
  <c r="C225" i="23"/>
  <c r="G225" i="23"/>
  <c r="H225" i="23"/>
  <c r="I225" i="23"/>
  <c r="J225" i="23"/>
  <c r="K225" i="23"/>
  <c r="L225" i="23"/>
  <c r="C226" i="23"/>
  <c r="G226" i="23"/>
  <c r="H226" i="23"/>
  <c r="I226" i="23"/>
  <c r="J226" i="23"/>
  <c r="K226" i="23"/>
  <c r="L226" i="23"/>
  <c r="C227" i="23"/>
  <c r="G227" i="23"/>
  <c r="H227" i="23"/>
  <c r="I227" i="23"/>
  <c r="J227" i="23"/>
  <c r="K227" i="23"/>
  <c r="L227" i="23"/>
  <c r="C228" i="23"/>
  <c r="G228" i="23"/>
  <c r="H228" i="23"/>
  <c r="I228" i="23"/>
  <c r="J228" i="23"/>
  <c r="K228" i="23"/>
  <c r="L228" i="23"/>
  <c r="C229" i="23"/>
  <c r="G229" i="23"/>
  <c r="H229" i="23"/>
  <c r="I229" i="23"/>
  <c r="J229" i="23"/>
  <c r="K229" i="23"/>
  <c r="L229" i="23"/>
  <c r="C230" i="23"/>
  <c r="G230" i="23"/>
  <c r="H230" i="23"/>
  <c r="I230" i="23"/>
  <c r="J230" i="23"/>
  <c r="K230" i="23"/>
  <c r="L230" i="23"/>
  <c r="C231" i="23"/>
  <c r="G231" i="23"/>
  <c r="H231" i="23"/>
  <c r="I231" i="23"/>
  <c r="J231" i="23"/>
  <c r="K231" i="23"/>
  <c r="L231" i="23"/>
  <c r="C232" i="23"/>
  <c r="G232" i="23"/>
  <c r="H232" i="23"/>
  <c r="I232" i="23"/>
  <c r="J232" i="23"/>
  <c r="K232" i="23"/>
  <c r="L232" i="23"/>
  <c r="C233" i="23"/>
  <c r="G233" i="23"/>
  <c r="H233" i="23"/>
  <c r="I233" i="23"/>
  <c r="J233" i="23"/>
  <c r="K233" i="23"/>
  <c r="L233" i="23"/>
  <c r="C234" i="23"/>
  <c r="G234" i="23"/>
  <c r="H234" i="23"/>
  <c r="I234" i="23"/>
  <c r="J234" i="23"/>
  <c r="K234" i="23"/>
  <c r="L234" i="23"/>
  <c r="C235" i="23"/>
  <c r="G235" i="23"/>
  <c r="H235" i="23"/>
  <c r="I235" i="23"/>
  <c r="J235" i="23"/>
  <c r="K235" i="23"/>
  <c r="L235" i="23"/>
  <c r="C236" i="23"/>
  <c r="G236" i="23"/>
  <c r="H236" i="23"/>
  <c r="I236" i="23"/>
  <c r="J236" i="23"/>
  <c r="K236" i="23"/>
  <c r="L236" i="23"/>
  <c r="C237" i="23"/>
  <c r="G237" i="23"/>
  <c r="H237" i="23"/>
  <c r="I237" i="23"/>
  <c r="J237" i="23"/>
  <c r="K237" i="23"/>
  <c r="L237" i="23"/>
  <c r="C238" i="23"/>
  <c r="G238" i="23"/>
  <c r="H238" i="23"/>
  <c r="I238" i="23"/>
  <c r="J238" i="23"/>
  <c r="K238" i="23"/>
  <c r="L238" i="23"/>
  <c r="C239" i="23"/>
  <c r="G239" i="23"/>
  <c r="H239" i="23"/>
  <c r="I239" i="23"/>
  <c r="J239" i="23"/>
  <c r="K239" i="23"/>
  <c r="L239" i="23"/>
  <c r="C240" i="23"/>
  <c r="G240" i="23"/>
  <c r="H240" i="23"/>
  <c r="I240" i="23"/>
  <c r="J240" i="23"/>
  <c r="K240" i="23"/>
  <c r="L240" i="23"/>
  <c r="C241" i="23"/>
  <c r="G241" i="23"/>
  <c r="H241" i="23"/>
  <c r="I241" i="23"/>
  <c r="J241" i="23"/>
  <c r="K241" i="23"/>
  <c r="L241" i="23"/>
  <c r="C242" i="23"/>
  <c r="G242" i="23"/>
  <c r="H242" i="23"/>
  <c r="I242" i="23"/>
  <c r="J242" i="23"/>
  <c r="K242" i="23"/>
  <c r="L242" i="23"/>
  <c r="C243" i="23"/>
  <c r="G243" i="23"/>
  <c r="H243" i="23"/>
  <c r="I243" i="23"/>
  <c r="J243" i="23"/>
  <c r="K243" i="23"/>
  <c r="L243" i="23"/>
  <c r="C244" i="23"/>
  <c r="G244" i="23"/>
  <c r="H244" i="23"/>
  <c r="I244" i="23"/>
  <c r="J244" i="23"/>
  <c r="K244" i="23"/>
  <c r="L244" i="23"/>
  <c r="C245" i="23"/>
  <c r="G245" i="23"/>
  <c r="H245" i="23"/>
  <c r="I245" i="23"/>
  <c r="J245" i="23"/>
  <c r="K245" i="23"/>
  <c r="L245" i="23"/>
  <c r="C246" i="23"/>
  <c r="G246" i="23"/>
  <c r="H246" i="23"/>
  <c r="I246" i="23"/>
  <c r="J246" i="23"/>
  <c r="K246" i="23"/>
  <c r="L246" i="23"/>
  <c r="C247" i="23"/>
  <c r="G247" i="23"/>
  <c r="H247" i="23"/>
  <c r="I247" i="23"/>
  <c r="J247" i="23"/>
  <c r="K247" i="23"/>
  <c r="L247" i="23"/>
  <c r="C248" i="23"/>
  <c r="G248" i="23"/>
  <c r="H248" i="23"/>
  <c r="I248" i="23"/>
  <c r="J248" i="23"/>
  <c r="K248" i="23"/>
  <c r="L248" i="23"/>
  <c r="C249" i="23"/>
  <c r="G249" i="23"/>
  <c r="H249" i="23"/>
  <c r="I249" i="23"/>
  <c r="J249" i="23"/>
  <c r="K249" i="23"/>
  <c r="L249" i="23"/>
  <c r="C250" i="23"/>
  <c r="G250" i="23"/>
  <c r="H250" i="23"/>
  <c r="I250" i="23"/>
  <c r="J250" i="23"/>
  <c r="K250" i="23"/>
  <c r="L250" i="23"/>
  <c r="C251" i="23"/>
  <c r="G251" i="23"/>
  <c r="H251" i="23"/>
  <c r="I251" i="23"/>
  <c r="J251" i="23"/>
  <c r="K251" i="23"/>
  <c r="L251" i="23"/>
  <c r="C252" i="23"/>
  <c r="G252" i="23"/>
  <c r="H252" i="23"/>
  <c r="I252" i="23"/>
  <c r="J252" i="23"/>
  <c r="K252" i="23"/>
  <c r="L252" i="23"/>
  <c r="C253" i="23"/>
  <c r="G253" i="23"/>
  <c r="H253" i="23"/>
  <c r="I253" i="23"/>
  <c r="J253" i="23"/>
  <c r="K253" i="23"/>
  <c r="L253" i="23"/>
  <c r="C254" i="23"/>
  <c r="G254" i="23"/>
  <c r="H254" i="23"/>
  <c r="I254" i="23"/>
  <c r="J254" i="23"/>
  <c r="K254" i="23"/>
  <c r="L254" i="23"/>
  <c r="C255" i="23"/>
  <c r="G255" i="23"/>
  <c r="H255" i="23"/>
  <c r="I255" i="23"/>
  <c r="J255" i="23"/>
  <c r="K255" i="23"/>
  <c r="L255" i="23"/>
  <c r="C256" i="23"/>
  <c r="G256" i="23"/>
  <c r="H256" i="23"/>
  <c r="I256" i="23"/>
  <c r="J256" i="23"/>
  <c r="K256" i="23"/>
  <c r="L256" i="23"/>
  <c r="C257" i="23"/>
  <c r="G257" i="23"/>
  <c r="H257" i="23"/>
  <c r="I257" i="23"/>
  <c r="J257" i="23"/>
  <c r="K257" i="23"/>
  <c r="L257" i="23"/>
  <c r="C258" i="23"/>
  <c r="G258" i="23"/>
  <c r="H258" i="23"/>
  <c r="I258" i="23"/>
  <c r="J258" i="23"/>
  <c r="K258" i="23"/>
  <c r="L258" i="23"/>
  <c r="C259" i="23"/>
  <c r="G259" i="23"/>
  <c r="H259" i="23"/>
  <c r="I259" i="23"/>
  <c r="J259" i="23"/>
  <c r="K259" i="23"/>
  <c r="L259" i="23"/>
  <c r="C260" i="23"/>
  <c r="G260" i="23"/>
  <c r="H260" i="23"/>
  <c r="I260" i="23"/>
  <c r="J260" i="23"/>
  <c r="K260" i="23"/>
  <c r="L260" i="23"/>
  <c r="C261" i="23"/>
  <c r="G261" i="23"/>
  <c r="H261" i="23"/>
  <c r="I261" i="23"/>
  <c r="J261" i="23"/>
  <c r="K261" i="23"/>
  <c r="L261" i="23"/>
  <c r="C262" i="23"/>
  <c r="G262" i="23"/>
  <c r="H262" i="23"/>
  <c r="I262" i="23"/>
  <c r="J262" i="23"/>
  <c r="K262" i="23"/>
  <c r="L262" i="23"/>
  <c r="C263" i="23"/>
  <c r="G263" i="23"/>
  <c r="H263" i="23"/>
  <c r="I263" i="23"/>
  <c r="J263" i="23"/>
  <c r="K263" i="23"/>
  <c r="L263" i="23"/>
  <c r="C264" i="23"/>
  <c r="G264" i="23"/>
  <c r="H264" i="23"/>
  <c r="I264" i="23"/>
  <c r="J264" i="23"/>
  <c r="K264" i="23"/>
  <c r="L264" i="23"/>
  <c r="C265" i="23"/>
  <c r="G265" i="23"/>
  <c r="H265" i="23"/>
  <c r="I265" i="23"/>
  <c r="J265" i="23"/>
  <c r="K265" i="23"/>
  <c r="L265" i="23"/>
  <c r="C266" i="23"/>
  <c r="G266" i="23"/>
  <c r="H266" i="23"/>
  <c r="I266" i="23"/>
  <c r="J266" i="23"/>
  <c r="K266" i="23"/>
  <c r="L266" i="23"/>
  <c r="C267" i="23"/>
  <c r="G267" i="23"/>
  <c r="H267" i="23"/>
  <c r="I267" i="23"/>
  <c r="J267" i="23"/>
  <c r="K267" i="23"/>
  <c r="L267" i="23"/>
  <c r="C268" i="23"/>
  <c r="G268" i="23"/>
  <c r="H268" i="23"/>
  <c r="I268" i="23"/>
  <c r="J268" i="23"/>
  <c r="K268" i="23"/>
  <c r="L268" i="23"/>
  <c r="C269" i="23"/>
  <c r="G269" i="23"/>
  <c r="H269" i="23"/>
  <c r="I269" i="23"/>
  <c r="J269" i="23"/>
  <c r="K269" i="23"/>
  <c r="L269" i="23"/>
  <c r="C270" i="23"/>
  <c r="G270" i="23"/>
  <c r="H270" i="23"/>
  <c r="I270" i="23"/>
  <c r="J270" i="23"/>
  <c r="K270" i="23"/>
  <c r="L270" i="23"/>
  <c r="C271" i="23"/>
  <c r="G271" i="23"/>
  <c r="H271" i="23"/>
  <c r="I271" i="23"/>
  <c r="J271" i="23"/>
  <c r="K271" i="23"/>
  <c r="L271" i="23"/>
  <c r="C272" i="23"/>
  <c r="G272" i="23"/>
  <c r="H272" i="23"/>
  <c r="I272" i="23"/>
  <c r="J272" i="23"/>
  <c r="K272" i="23"/>
  <c r="L272" i="23"/>
  <c r="C273" i="23"/>
  <c r="G273" i="23"/>
  <c r="H273" i="23"/>
  <c r="I273" i="23"/>
  <c r="J273" i="23"/>
  <c r="K273" i="23"/>
  <c r="L273" i="23"/>
  <c r="C274" i="23"/>
  <c r="G274" i="23"/>
  <c r="H274" i="23"/>
  <c r="I274" i="23"/>
  <c r="J274" i="23"/>
  <c r="K274" i="23"/>
  <c r="L274" i="23"/>
  <c r="C275" i="23"/>
  <c r="G275" i="23"/>
  <c r="H275" i="23"/>
  <c r="I275" i="23"/>
  <c r="J275" i="23"/>
  <c r="K275" i="23"/>
  <c r="L275" i="23"/>
  <c r="C276" i="23"/>
  <c r="G276" i="23"/>
  <c r="H276" i="23"/>
  <c r="I276" i="23"/>
  <c r="J276" i="23"/>
  <c r="K276" i="23"/>
  <c r="L276" i="23"/>
  <c r="C277" i="23"/>
  <c r="G277" i="23"/>
  <c r="H277" i="23"/>
  <c r="I277" i="23"/>
  <c r="J277" i="23"/>
  <c r="K277" i="23"/>
  <c r="L277" i="23"/>
  <c r="C278" i="23"/>
  <c r="G278" i="23"/>
  <c r="H278" i="23"/>
  <c r="I278" i="23"/>
  <c r="J278" i="23"/>
  <c r="K278" i="23"/>
  <c r="L278" i="23"/>
  <c r="C279" i="23"/>
  <c r="G279" i="23"/>
  <c r="H279" i="23"/>
  <c r="I279" i="23"/>
  <c r="J279" i="23"/>
  <c r="K279" i="23"/>
  <c r="L279" i="23"/>
  <c r="C280" i="23"/>
  <c r="G280" i="23"/>
  <c r="H280" i="23"/>
  <c r="I280" i="23"/>
  <c r="J280" i="23"/>
  <c r="K280" i="23"/>
  <c r="L280" i="23"/>
  <c r="C281" i="23"/>
  <c r="G281" i="23"/>
  <c r="H281" i="23"/>
  <c r="I281" i="23"/>
  <c r="J281" i="23"/>
  <c r="K281" i="23"/>
  <c r="L281" i="23"/>
  <c r="C282" i="23"/>
  <c r="G282" i="23"/>
  <c r="H282" i="23"/>
  <c r="I282" i="23"/>
  <c r="J282" i="23"/>
  <c r="K282" i="23"/>
  <c r="L282" i="23"/>
  <c r="C283" i="23"/>
  <c r="G283" i="23"/>
  <c r="H283" i="23"/>
  <c r="I283" i="23"/>
  <c r="J283" i="23"/>
  <c r="K283" i="23"/>
  <c r="L283" i="23"/>
  <c r="C284" i="23"/>
  <c r="G284" i="23"/>
  <c r="H284" i="23"/>
  <c r="I284" i="23"/>
  <c r="J284" i="23"/>
  <c r="K284" i="23"/>
  <c r="L284" i="23"/>
  <c r="C285" i="23"/>
  <c r="G285" i="23"/>
  <c r="H285" i="23"/>
  <c r="I285" i="23"/>
  <c r="J285" i="23"/>
  <c r="K285" i="23"/>
  <c r="L285" i="23"/>
  <c r="C286" i="23"/>
  <c r="G286" i="23"/>
  <c r="H286" i="23"/>
  <c r="I286" i="23"/>
  <c r="J286" i="23"/>
  <c r="K286" i="23"/>
  <c r="L286" i="23"/>
  <c r="C287" i="23"/>
  <c r="G287" i="23"/>
  <c r="H287" i="23"/>
  <c r="I287" i="23"/>
  <c r="J287" i="23"/>
  <c r="K287" i="23"/>
  <c r="L287" i="23"/>
  <c r="C288" i="23"/>
  <c r="G288" i="23"/>
  <c r="H288" i="23"/>
  <c r="I288" i="23"/>
  <c r="J288" i="23"/>
  <c r="K288" i="23"/>
  <c r="L288" i="23"/>
  <c r="C289" i="23"/>
  <c r="G289" i="23"/>
  <c r="H289" i="23"/>
  <c r="I289" i="23"/>
  <c r="J289" i="23"/>
  <c r="K289" i="23"/>
  <c r="L289" i="23"/>
  <c r="C290" i="23"/>
  <c r="G290" i="23"/>
  <c r="H290" i="23"/>
  <c r="I290" i="23"/>
  <c r="J290" i="23"/>
  <c r="K290" i="23"/>
  <c r="L290" i="23"/>
  <c r="C291" i="23"/>
  <c r="G291" i="23"/>
  <c r="H291" i="23"/>
  <c r="I291" i="23"/>
  <c r="J291" i="23"/>
  <c r="K291" i="23"/>
  <c r="L291" i="23"/>
  <c r="C292" i="23"/>
  <c r="G292" i="23"/>
  <c r="H292" i="23"/>
  <c r="I292" i="23"/>
  <c r="J292" i="23"/>
  <c r="K292" i="23"/>
  <c r="L292" i="23"/>
  <c r="C293" i="23"/>
  <c r="G293" i="23"/>
  <c r="H293" i="23"/>
  <c r="I293" i="23"/>
  <c r="J293" i="23"/>
  <c r="K293" i="23"/>
  <c r="L293" i="23"/>
  <c r="C294" i="23"/>
  <c r="G294" i="23"/>
  <c r="H294" i="23"/>
  <c r="I294" i="23"/>
  <c r="J294" i="23"/>
  <c r="K294" i="23"/>
  <c r="L294" i="23"/>
  <c r="C295" i="23"/>
  <c r="G295" i="23"/>
  <c r="H295" i="23"/>
  <c r="I295" i="23"/>
  <c r="J295" i="23"/>
  <c r="K295" i="23"/>
  <c r="L295" i="23"/>
  <c r="C296" i="23"/>
  <c r="G296" i="23"/>
  <c r="H296" i="23"/>
  <c r="I296" i="23"/>
  <c r="J296" i="23"/>
  <c r="K296" i="23"/>
  <c r="L296" i="23"/>
  <c r="C297" i="23"/>
  <c r="G297" i="23"/>
  <c r="H297" i="23"/>
  <c r="I297" i="23"/>
  <c r="J297" i="23"/>
  <c r="K297" i="23"/>
  <c r="L297" i="23"/>
  <c r="C298" i="23"/>
  <c r="G298" i="23"/>
  <c r="H298" i="23"/>
  <c r="I298" i="23"/>
  <c r="J298" i="23"/>
  <c r="K298" i="23"/>
  <c r="L298" i="23"/>
  <c r="C299" i="23"/>
  <c r="G299" i="23"/>
  <c r="H299" i="23"/>
  <c r="I299" i="23"/>
  <c r="J299" i="23"/>
  <c r="K299" i="23"/>
  <c r="L299" i="23"/>
  <c r="C300" i="23"/>
  <c r="G300" i="23"/>
  <c r="H300" i="23"/>
  <c r="I300" i="23"/>
  <c r="J300" i="23"/>
  <c r="K300" i="23"/>
  <c r="L300" i="23"/>
  <c r="C301" i="23"/>
  <c r="G301" i="23"/>
  <c r="H301" i="23"/>
  <c r="I301" i="23"/>
  <c r="J301" i="23"/>
  <c r="K301" i="23"/>
  <c r="L301" i="23"/>
  <c r="C302" i="23"/>
  <c r="G302" i="23"/>
  <c r="H302" i="23"/>
  <c r="I302" i="23"/>
  <c r="J302" i="23"/>
  <c r="K302" i="23"/>
  <c r="L302" i="23"/>
  <c r="C303" i="23"/>
  <c r="G303" i="23"/>
  <c r="H303" i="23"/>
  <c r="I303" i="23"/>
  <c r="J303" i="23"/>
  <c r="K303" i="23"/>
  <c r="L303" i="23"/>
  <c r="C304" i="23"/>
  <c r="G304" i="23"/>
  <c r="H304" i="23"/>
  <c r="I304" i="23"/>
  <c r="J304" i="23"/>
  <c r="K304" i="23"/>
  <c r="L304" i="23"/>
  <c r="C305" i="23"/>
  <c r="G305" i="23"/>
  <c r="H305" i="23"/>
  <c r="I305" i="23"/>
  <c r="J305" i="23"/>
  <c r="K305" i="23"/>
  <c r="L305" i="23"/>
  <c r="C306" i="23"/>
  <c r="G306" i="23"/>
  <c r="H306" i="23"/>
  <c r="I306" i="23"/>
  <c r="J306" i="23"/>
  <c r="K306" i="23"/>
  <c r="L306" i="23"/>
  <c r="C307" i="23"/>
  <c r="G307" i="23"/>
  <c r="H307" i="23"/>
  <c r="I307" i="23"/>
  <c r="J307" i="23"/>
  <c r="K307" i="23"/>
  <c r="L307" i="23"/>
  <c r="C308" i="23"/>
  <c r="G308" i="23"/>
  <c r="H308" i="23"/>
  <c r="I308" i="23"/>
  <c r="J308" i="23"/>
  <c r="K308" i="23"/>
  <c r="L308" i="23"/>
  <c r="C309" i="23"/>
  <c r="G309" i="23"/>
  <c r="H309" i="23"/>
  <c r="I309" i="23"/>
  <c r="J309" i="23"/>
  <c r="K309" i="23"/>
  <c r="L309" i="23"/>
  <c r="C310" i="23"/>
  <c r="G310" i="23"/>
  <c r="H310" i="23"/>
  <c r="I310" i="23"/>
  <c r="J310" i="23"/>
  <c r="K310" i="23"/>
  <c r="L310" i="23"/>
  <c r="C311" i="23"/>
  <c r="G311" i="23"/>
  <c r="H311" i="23"/>
  <c r="I311" i="23"/>
  <c r="J311" i="23"/>
  <c r="K311" i="23"/>
  <c r="L311" i="23"/>
  <c r="C312" i="23"/>
  <c r="G312" i="23"/>
  <c r="H312" i="23"/>
  <c r="I312" i="23"/>
  <c r="J312" i="23"/>
  <c r="K312" i="23"/>
  <c r="L312" i="23"/>
  <c r="X3" i="23"/>
  <c r="H6" i="18"/>
  <c r="H7" i="18"/>
  <c r="H8" i="18"/>
  <c r="H9" i="18"/>
  <c r="H10" i="18"/>
  <c r="H5" i="18"/>
  <c r="X4" i="23"/>
  <c r="X5" i="23"/>
  <c r="X6" i="23"/>
  <c r="X7" i="23"/>
  <c r="X8" i="23"/>
  <c r="Y3" i="23"/>
  <c r="Y4" i="23"/>
  <c r="Y5" i="23"/>
  <c r="Y6" i="23"/>
  <c r="Y7" i="23"/>
  <c r="Y8" i="23"/>
  <c r="Z3" i="23"/>
  <c r="Z4" i="23"/>
  <c r="Z5" i="23"/>
  <c r="Z6" i="23"/>
  <c r="Z7" i="23"/>
  <c r="Z8" i="23"/>
  <c r="AA3" i="23"/>
  <c r="AA4" i="23"/>
  <c r="AA5" i="23"/>
  <c r="AA6" i="23"/>
  <c r="AA7" i="23"/>
  <c r="AA8" i="23"/>
  <c r="AB3" i="23"/>
  <c r="AB4" i="23"/>
  <c r="AB5" i="23"/>
  <c r="AB6" i="23"/>
  <c r="AB7" i="23"/>
  <c r="AB8" i="23"/>
  <c r="AC3" i="23"/>
  <c r="AC4" i="23"/>
  <c r="AC5" i="23"/>
  <c r="AC6" i="23"/>
  <c r="AC7" i="23"/>
  <c r="AC8" i="23"/>
  <c r="AD3" i="23"/>
  <c r="AD4" i="23"/>
  <c r="AD5" i="23"/>
  <c r="AD6" i="23"/>
  <c r="AD7" i="23"/>
  <c r="AD8" i="23"/>
  <c r="AE3" i="23"/>
  <c r="AE4" i="23"/>
  <c r="AE5" i="23"/>
  <c r="AE6" i="23"/>
  <c r="AE7" i="23"/>
  <c r="AE8" i="23"/>
  <c r="AF3" i="23"/>
  <c r="AF4" i="23"/>
  <c r="AF5" i="23"/>
  <c r="AF6" i="23"/>
  <c r="AF7" i="23"/>
  <c r="AF8" i="23"/>
  <c r="AG3" i="23"/>
  <c r="AG4" i="23"/>
  <c r="AG5" i="23"/>
  <c r="AG6" i="23"/>
  <c r="AG7" i="23"/>
  <c r="AG8" i="23"/>
  <c r="AH3" i="23"/>
  <c r="AH4" i="23"/>
  <c r="AH5" i="23"/>
  <c r="AH6" i="23"/>
  <c r="AH7" i="23"/>
  <c r="AH8" i="23"/>
  <c r="AI3" i="23"/>
  <c r="AI4" i="23"/>
  <c r="AI5" i="23"/>
  <c r="AI6" i="23"/>
  <c r="AI7" i="23"/>
  <c r="AI8" i="23"/>
  <c r="AJ3" i="23"/>
  <c r="AJ4" i="23"/>
  <c r="AJ5" i="23"/>
  <c r="AJ6" i="23"/>
  <c r="AJ7" i="23"/>
  <c r="AJ8" i="23"/>
  <c r="AK3" i="23"/>
  <c r="AK4" i="23"/>
  <c r="AK5" i="23"/>
  <c r="AK6" i="23"/>
  <c r="AK7" i="23"/>
  <c r="AK8" i="23"/>
  <c r="AL3" i="23"/>
  <c r="AL4" i="23"/>
  <c r="AL5" i="23"/>
  <c r="AL6" i="23"/>
  <c r="AL7" i="23"/>
  <c r="AL8" i="23"/>
  <c r="AM3" i="23"/>
  <c r="AM4" i="23"/>
  <c r="AM5" i="23"/>
  <c r="AM6" i="23"/>
  <c r="AM7" i="23"/>
  <c r="AM8" i="23"/>
  <c r="AN3" i="23"/>
  <c r="AN4" i="23"/>
  <c r="AN5" i="23"/>
  <c r="AN6" i="23"/>
  <c r="AN7" i="23"/>
  <c r="AN8" i="23"/>
  <c r="AP3" i="23"/>
  <c r="AP4" i="23"/>
  <c r="AP5" i="23"/>
  <c r="AP6" i="23"/>
  <c r="AP7" i="23"/>
  <c r="AP8" i="23"/>
  <c r="AQ3" i="23"/>
  <c r="AQ4" i="23"/>
  <c r="AQ5" i="23"/>
  <c r="AQ6" i="23"/>
  <c r="AQ7" i="23"/>
  <c r="AQ8" i="23"/>
  <c r="AR3" i="23"/>
  <c r="AR4" i="23"/>
  <c r="AR5" i="23"/>
  <c r="AR6" i="23"/>
  <c r="AR7" i="23"/>
  <c r="AR8" i="23"/>
  <c r="AS3" i="23"/>
  <c r="AS4" i="23"/>
  <c r="AS5" i="23"/>
  <c r="AS6" i="23"/>
  <c r="AS7" i="23"/>
  <c r="AS8" i="23"/>
  <c r="AT3" i="23"/>
  <c r="AT4" i="23"/>
  <c r="AT5" i="23"/>
  <c r="AT6" i="23"/>
  <c r="AT7" i="23"/>
  <c r="AT8" i="23"/>
  <c r="AU3" i="23"/>
  <c r="AU4" i="23"/>
  <c r="AU5" i="23"/>
  <c r="AU6" i="23"/>
  <c r="AU7" i="23"/>
  <c r="AU8" i="23"/>
  <c r="AV3" i="23"/>
  <c r="AV4" i="23"/>
  <c r="AV5" i="23"/>
  <c r="AV6" i="23"/>
  <c r="AV7" i="23"/>
  <c r="AV8" i="23"/>
  <c r="AW3" i="23"/>
  <c r="AW4" i="23"/>
  <c r="AW5" i="23"/>
  <c r="AW6" i="23"/>
  <c r="AW7" i="23"/>
  <c r="AW8" i="23"/>
  <c r="AX3" i="23"/>
  <c r="AX4" i="23"/>
  <c r="AX5" i="23"/>
  <c r="AX6" i="23"/>
  <c r="AX7" i="23"/>
  <c r="AX8" i="23"/>
  <c r="U8" i="23"/>
  <c r="V4" i="23"/>
  <c r="V5" i="23"/>
  <c r="V6" i="23"/>
  <c r="V8" i="23"/>
  <c r="V3" i="23"/>
  <c r="U4" i="23"/>
  <c r="U5" i="23"/>
  <c r="U6" i="23"/>
  <c r="U7" i="23"/>
  <c r="U3" i="23"/>
  <c r="T4" i="23"/>
  <c r="T5" i="23"/>
  <c r="T6" i="23"/>
  <c r="T7" i="23"/>
  <c r="T8" i="23"/>
  <c r="T3" i="23"/>
  <c r="S4" i="23"/>
  <c r="S5" i="23"/>
  <c r="S6" i="23"/>
  <c r="S7" i="23"/>
  <c r="S8" i="23"/>
  <c r="S3" i="23"/>
  <c r="R4" i="23"/>
  <c r="R5" i="23"/>
  <c r="R6" i="23"/>
  <c r="R7" i="23"/>
  <c r="R8" i="23"/>
  <c r="R3" i="23"/>
  <c r="Q4" i="23"/>
  <c r="Q5" i="23"/>
  <c r="Q6" i="23"/>
  <c r="Q7" i="23"/>
  <c r="Q8" i="23"/>
  <c r="Q3" i="23"/>
  <c r="Q3" i="22"/>
  <c r="Q4" i="22"/>
  <c r="Q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34" i="22"/>
  <c r="Q35" i="22"/>
  <c r="Q36" i="22"/>
  <c r="Q37" i="22"/>
  <c r="Q38" i="22"/>
  <c r="Q39" i="22"/>
  <c r="Q40" i="22"/>
  <c r="Q41" i="22"/>
  <c r="Q42" i="22"/>
  <c r="Q43" i="22"/>
  <c r="Q44" i="22"/>
  <c r="Q45" i="22"/>
  <c r="Q46" i="22"/>
  <c r="Q47" i="22"/>
  <c r="Q48" i="22"/>
  <c r="Q49" i="22"/>
  <c r="Q50" i="22"/>
  <c r="Q51" i="22"/>
  <c r="Q52" i="22"/>
  <c r="Q53" i="22"/>
  <c r="Q54" i="22"/>
  <c r="Q55" i="22"/>
  <c r="Q56" i="22"/>
  <c r="Q57" i="22"/>
  <c r="Q58" i="22"/>
  <c r="Q59" i="22"/>
  <c r="Q60" i="22"/>
  <c r="Q61" i="22"/>
  <c r="Q62" i="22"/>
  <c r="Q63" i="22"/>
  <c r="Q64" i="22"/>
  <c r="Q65" i="22"/>
  <c r="Q66" i="22"/>
  <c r="Q67" i="22"/>
  <c r="Q68" i="22"/>
  <c r="Q69" i="22"/>
  <c r="Q70" i="22"/>
  <c r="Q71" i="22"/>
  <c r="Q72" i="22"/>
  <c r="Q73" i="22"/>
  <c r="Q74" i="22"/>
  <c r="Q75" i="22"/>
  <c r="Q76" i="22"/>
  <c r="Q77" i="22"/>
  <c r="Q78" i="22"/>
  <c r="Q79" i="22"/>
  <c r="Q80" i="22"/>
  <c r="Q81" i="22"/>
  <c r="Q82" i="22"/>
  <c r="Q83" i="22"/>
  <c r="Q84" i="22"/>
  <c r="Q85" i="22"/>
  <c r="Q86" i="22"/>
  <c r="Q87" i="22"/>
  <c r="Q88" i="22"/>
  <c r="Q89" i="22"/>
  <c r="Q90" i="22"/>
  <c r="Q91" i="22"/>
  <c r="Q92" i="22"/>
  <c r="Q93" i="22"/>
  <c r="Q94" i="22"/>
  <c r="Q95" i="22"/>
  <c r="Q96" i="22"/>
  <c r="Q97" i="22"/>
  <c r="Q98" i="22"/>
  <c r="Q99" i="22"/>
  <c r="Q100" i="22"/>
  <c r="Q101" i="22"/>
  <c r="Q102" i="22"/>
  <c r="Q103" i="22"/>
  <c r="Q104" i="22"/>
  <c r="Q105" i="22"/>
  <c r="Q106" i="22"/>
  <c r="Q107" i="22"/>
  <c r="Q108" i="22"/>
  <c r="Q109" i="22"/>
  <c r="Q110" i="22"/>
  <c r="Q111" i="22"/>
  <c r="Q112" i="22"/>
  <c r="Q113" i="22"/>
  <c r="Q114" i="22"/>
  <c r="Q115" i="22"/>
  <c r="Q116" i="22"/>
  <c r="Q117" i="22"/>
  <c r="Q118" i="22"/>
  <c r="Q119" i="22"/>
  <c r="Q120" i="22"/>
  <c r="Q121" i="22"/>
  <c r="Q122" i="22"/>
  <c r="Q123" i="22"/>
  <c r="Q124" i="22"/>
  <c r="Q125" i="22"/>
  <c r="Q126" i="22"/>
  <c r="Q127" i="22"/>
  <c r="Q128" i="22"/>
  <c r="Q129" i="22"/>
  <c r="Q130" i="22"/>
  <c r="Q131" i="22"/>
  <c r="Q132" i="22"/>
  <c r="Q133" i="22"/>
  <c r="Q134" i="22"/>
  <c r="Q135" i="22"/>
  <c r="Q136" i="22"/>
  <c r="Q137" i="22"/>
  <c r="Q138" i="22"/>
  <c r="Q139" i="22"/>
  <c r="Q140" i="22"/>
  <c r="Q141" i="22"/>
  <c r="Q142" i="22"/>
  <c r="Q143" i="22"/>
  <c r="Q144" i="22"/>
  <c r="Q145" i="22"/>
  <c r="Q146" i="22"/>
  <c r="Q147" i="22"/>
  <c r="Q148" i="22"/>
  <c r="Q149" i="22"/>
  <c r="Q150" i="22"/>
  <c r="Q151" i="22"/>
  <c r="Q152" i="22"/>
  <c r="Q153" i="22"/>
  <c r="Q154" i="22"/>
  <c r="Q155" i="22"/>
  <c r="Q156" i="22"/>
  <c r="Q157" i="22"/>
  <c r="Q158" i="22"/>
  <c r="Q159" i="22"/>
  <c r="Q160" i="22"/>
  <c r="Q161" i="22"/>
  <c r="Q162" i="22"/>
  <c r="Q163" i="22"/>
  <c r="Q164" i="22"/>
  <c r="Q165" i="22"/>
  <c r="Q166" i="22"/>
  <c r="Q167" i="22"/>
  <c r="Q168" i="22"/>
  <c r="Q169" i="22"/>
  <c r="Q170" i="22"/>
  <c r="Q171" i="22"/>
  <c r="Q172" i="22"/>
  <c r="Q173" i="22"/>
  <c r="Q174" i="22"/>
  <c r="Q175" i="22"/>
  <c r="Q176" i="22"/>
  <c r="Q177" i="22"/>
  <c r="Q178" i="22"/>
  <c r="Q179" i="22"/>
  <c r="Q180" i="22"/>
  <c r="Q181" i="22"/>
  <c r="Q182" i="22"/>
  <c r="Q183" i="22"/>
  <c r="Q184" i="22"/>
  <c r="Q185" i="22"/>
  <c r="Q186" i="22"/>
  <c r="Q187" i="22"/>
  <c r="Q188" i="22"/>
  <c r="Q189" i="22"/>
  <c r="Q190" i="22"/>
  <c r="Q191" i="22"/>
  <c r="Q192" i="22"/>
  <c r="Q193" i="22"/>
  <c r="Q194" i="22"/>
  <c r="Q195" i="22"/>
  <c r="Q196" i="22"/>
  <c r="Q197" i="22"/>
  <c r="Q198" i="22"/>
  <c r="Q199" i="22"/>
  <c r="Q200" i="22"/>
  <c r="Q201" i="22"/>
  <c r="Q202" i="22"/>
  <c r="Q203" i="22"/>
  <c r="Q204" i="22"/>
  <c r="Q205" i="22"/>
  <c r="Q206" i="22"/>
  <c r="Q207" i="22"/>
  <c r="Q208" i="22"/>
  <c r="Q209" i="22"/>
  <c r="Q210" i="22"/>
  <c r="Q211" i="22"/>
  <c r="Q212" i="22"/>
  <c r="Q213" i="22"/>
  <c r="Q214" i="22"/>
  <c r="Q215" i="22"/>
  <c r="Q216" i="22"/>
  <c r="Q217" i="22"/>
  <c r="Q218" i="22"/>
  <c r="Q219" i="22"/>
  <c r="Q220" i="22"/>
  <c r="Q221" i="22"/>
  <c r="Q222" i="22"/>
  <c r="Q223" i="22"/>
  <c r="Q224" i="22"/>
  <c r="Q225" i="22"/>
  <c r="Q226" i="22"/>
  <c r="Q227" i="22"/>
  <c r="Q228" i="22"/>
  <c r="Q229" i="22"/>
  <c r="Q230" i="22"/>
  <c r="Q231" i="22"/>
  <c r="Q232" i="22"/>
  <c r="Q233" i="22"/>
  <c r="Q234" i="22"/>
  <c r="Q235" i="22"/>
  <c r="Q236" i="22"/>
  <c r="Q237" i="22"/>
  <c r="Q238" i="22"/>
  <c r="Q239" i="22"/>
  <c r="Q240" i="22"/>
  <c r="Q241" i="22"/>
  <c r="Q242" i="22"/>
  <c r="Q243" i="22"/>
  <c r="Q244" i="22"/>
  <c r="Q245" i="22"/>
  <c r="Q246" i="22"/>
  <c r="Q247" i="22"/>
  <c r="Q248" i="22"/>
  <c r="Q249" i="22"/>
  <c r="Q250" i="22"/>
  <c r="Q251" i="22"/>
  <c r="Q252" i="22"/>
  <c r="Q253" i="22"/>
  <c r="Q254" i="22"/>
  <c r="Q255" i="22"/>
  <c r="Q256" i="22"/>
  <c r="Q257" i="22"/>
  <c r="Q258" i="22"/>
  <c r="Q259" i="22"/>
  <c r="Q260" i="22"/>
  <c r="Q261" i="22"/>
  <c r="Q262" i="22"/>
  <c r="Q263" i="22"/>
  <c r="Q264" i="22"/>
  <c r="Q265" i="22"/>
  <c r="Q266" i="22"/>
  <c r="Q267" i="22"/>
  <c r="Q268" i="22"/>
  <c r="Q269" i="22"/>
  <c r="Q270" i="22"/>
  <c r="Q271" i="22"/>
  <c r="Q272" i="22"/>
  <c r="Q273" i="22"/>
  <c r="Q274" i="22"/>
  <c r="Q275" i="22"/>
  <c r="Q276" i="22"/>
  <c r="Q277" i="22"/>
  <c r="Q278" i="22"/>
  <c r="Q279" i="22"/>
  <c r="Q280" i="22"/>
  <c r="Q281" i="22"/>
  <c r="Q282" i="22"/>
  <c r="Q283" i="22"/>
  <c r="Q284" i="22"/>
  <c r="Q285" i="22"/>
  <c r="Q286" i="22"/>
  <c r="Q287" i="22"/>
  <c r="Q288" i="22"/>
  <c r="Q289" i="22"/>
  <c r="Q290" i="22"/>
  <c r="Q291" i="22"/>
  <c r="Q292" i="22"/>
  <c r="Q293" i="22"/>
  <c r="Q294" i="22"/>
  <c r="Q295" i="22"/>
  <c r="Q296" i="22"/>
  <c r="Q297" i="22"/>
  <c r="Q298" i="22"/>
  <c r="Q299" i="22"/>
  <c r="Q300" i="22"/>
  <c r="Q301" i="22"/>
  <c r="Q302" i="22"/>
  <c r="Q303" i="22"/>
  <c r="Q304" i="22"/>
  <c r="Q305" i="22"/>
  <c r="Q306" i="22"/>
  <c r="Q307" i="22"/>
  <c r="Q308" i="22"/>
  <c r="Q309" i="22"/>
  <c r="Q310" i="22"/>
  <c r="Q311" i="22"/>
  <c r="Q312" i="22"/>
  <c r="Q313" i="22"/>
  <c r="Q314" i="22"/>
  <c r="Q315" i="22"/>
  <c r="Q316" i="22"/>
  <c r="Q317" i="22"/>
  <c r="Q318" i="22"/>
  <c r="Q319" i="22"/>
  <c r="Q320" i="22"/>
  <c r="Q321" i="22"/>
  <c r="Q322" i="22"/>
  <c r="Q323" i="22"/>
  <c r="Q324" i="22"/>
  <c r="Q325" i="22"/>
  <c r="Q326" i="22"/>
  <c r="Q327" i="22"/>
  <c r="Q328" i="22"/>
  <c r="Q329" i="22"/>
  <c r="Q330" i="22"/>
  <c r="Q331" i="22"/>
  <c r="Q2" i="22"/>
  <c r="N8" i="23"/>
  <c r="O7" i="23"/>
  <c r="N7" i="23"/>
  <c r="O6" i="23"/>
  <c r="N6" i="23"/>
  <c r="M6" i="23"/>
  <c r="O5" i="23"/>
  <c r="N5" i="23"/>
  <c r="M5" i="23"/>
  <c r="O4" i="23"/>
  <c r="N4" i="23"/>
  <c r="O3" i="23"/>
  <c r="N3" i="23"/>
  <c r="W2" i="23"/>
  <c r="I331" i="22"/>
  <c r="I330" i="22"/>
  <c r="I329" i="22"/>
  <c r="I328" i="22"/>
  <c r="I327" i="22"/>
  <c r="I326" i="22"/>
  <c r="I325" i="22"/>
  <c r="I324" i="22"/>
  <c r="I323" i="22"/>
  <c r="I322" i="22"/>
  <c r="I321" i="22"/>
  <c r="I320" i="22"/>
  <c r="I319" i="22"/>
  <c r="I318" i="22"/>
  <c r="I317" i="22"/>
  <c r="I316" i="22"/>
  <c r="I315" i="22"/>
  <c r="I314" i="22"/>
  <c r="I313" i="22"/>
  <c r="I312" i="22"/>
  <c r="I311" i="22"/>
  <c r="I310" i="22"/>
  <c r="I309" i="22"/>
  <c r="I308" i="22"/>
  <c r="I307" i="22"/>
  <c r="I306" i="22"/>
  <c r="I305" i="22"/>
  <c r="I304" i="22"/>
  <c r="I303" i="22"/>
  <c r="I302" i="22"/>
  <c r="I301" i="22"/>
  <c r="I300" i="22"/>
  <c r="I299" i="22"/>
  <c r="I298" i="22"/>
  <c r="I297" i="22"/>
  <c r="I296" i="22"/>
  <c r="I295" i="22"/>
  <c r="I294" i="22"/>
  <c r="I293" i="22"/>
  <c r="I292" i="22"/>
  <c r="I291" i="22"/>
  <c r="I290" i="22"/>
  <c r="I289" i="22"/>
  <c r="I288" i="22"/>
  <c r="I287" i="22"/>
  <c r="I286" i="22"/>
  <c r="I285" i="22"/>
  <c r="I284" i="22"/>
  <c r="I283" i="22"/>
  <c r="I282" i="22"/>
  <c r="I281" i="22"/>
  <c r="I280" i="22"/>
  <c r="I279" i="22"/>
  <c r="I278" i="22"/>
  <c r="I277" i="22"/>
  <c r="I276" i="22"/>
  <c r="I275" i="22"/>
  <c r="I274" i="22"/>
  <c r="I273" i="22"/>
  <c r="I272" i="22"/>
  <c r="I271" i="22"/>
  <c r="I270" i="22"/>
  <c r="I269" i="22"/>
  <c r="I268" i="22"/>
  <c r="I267" i="22"/>
  <c r="I266" i="22"/>
  <c r="I265" i="22"/>
  <c r="I264" i="22"/>
  <c r="I263" i="22"/>
  <c r="I262" i="22"/>
  <c r="I261" i="22"/>
  <c r="I260" i="22"/>
  <c r="I259" i="22"/>
  <c r="I258" i="22"/>
  <c r="I257" i="22"/>
  <c r="I256" i="22"/>
  <c r="I255" i="22"/>
  <c r="I254" i="22"/>
  <c r="I253" i="22"/>
  <c r="I252" i="22"/>
  <c r="I251" i="22"/>
  <c r="I250" i="22"/>
  <c r="I249" i="22"/>
  <c r="I248" i="22"/>
  <c r="I247" i="22"/>
  <c r="I246" i="22"/>
  <c r="I245" i="22"/>
  <c r="I244" i="22"/>
  <c r="I243" i="22"/>
  <c r="I242" i="22"/>
  <c r="I241" i="22"/>
  <c r="I240" i="22"/>
  <c r="I239" i="22"/>
  <c r="I238" i="22"/>
  <c r="I237" i="22"/>
  <c r="I236" i="22"/>
  <c r="I235" i="22"/>
  <c r="I234" i="22"/>
  <c r="I233" i="22"/>
  <c r="I232" i="22"/>
  <c r="I231" i="22"/>
  <c r="I230" i="22"/>
  <c r="I229" i="22"/>
  <c r="I228" i="22"/>
  <c r="I227" i="22"/>
  <c r="I226" i="22"/>
  <c r="I225" i="22"/>
  <c r="I224" i="22"/>
  <c r="I223" i="22"/>
  <c r="I222" i="22"/>
  <c r="I221" i="22"/>
  <c r="I220" i="22"/>
  <c r="I219" i="22"/>
  <c r="I218" i="22"/>
  <c r="I217" i="22"/>
  <c r="I216" i="22"/>
  <c r="I215" i="22"/>
  <c r="I214" i="22"/>
  <c r="I213" i="22"/>
  <c r="I212" i="22"/>
  <c r="I211" i="22"/>
  <c r="I210" i="22"/>
  <c r="I209" i="22"/>
  <c r="I208" i="22"/>
  <c r="I207" i="22"/>
  <c r="I206" i="22"/>
  <c r="I205" i="22"/>
  <c r="I204" i="22"/>
  <c r="I203" i="22"/>
  <c r="I202" i="22"/>
  <c r="I201" i="22"/>
  <c r="I200" i="22"/>
  <c r="I199" i="22"/>
  <c r="I198" i="22"/>
  <c r="I197" i="22"/>
  <c r="I196" i="22"/>
  <c r="I195" i="22"/>
  <c r="I194" i="22"/>
  <c r="I193" i="22"/>
  <c r="I192" i="22"/>
  <c r="I191" i="22"/>
  <c r="I190" i="22"/>
  <c r="I189" i="22"/>
  <c r="I188" i="22"/>
  <c r="I187" i="22"/>
  <c r="I186" i="22"/>
  <c r="I185" i="22"/>
  <c r="I184" i="22"/>
  <c r="I183" i="22"/>
  <c r="I182" i="22"/>
  <c r="I181" i="22"/>
  <c r="I180" i="22"/>
  <c r="I179" i="22"/>
  <c r="I178" i="22"/>
  <c r="I177" i="22"/>
  <c r="I176" i="22"/>
  <c r="I175" i="22"/>
  <c r="I174" i="22"/>
  <c r="I173" i="22"/>
  <c r="I172" i="22"/>
  <c r="I171" i="22"/>
  <c r="I170" i="22"/>
  <c r="I169" i="22"/>
  <c r="I168" i="22"/>
  <c r="I167" i="22"/>
  <c r="I166" i="22"/>
  <c r="I165" i="22"/>
  <c r="I164" i="22"/>
  <c r="I163" i="22"/>
  <c r="I162" i="22"/>
  <c r="I161" i="22"/>
  <c r="I160" i="22"/>
  <c r="I159" i="22"/>
  <c r="I158" i="22"/>
  <c r="I157" i="22"/>
  <c r="I156" i="22"/>
  <c r="I155" i="22"/>
  <c r="I154" i="22"/>
  <c r="I153" i="22"/>
  <c r="I152" i="22"/>
  <c r="I151" i="22"/>
  <c r="I150" i="22"/>
  <c r="I149" i="22"/>
  <c r="I148" i="22"/>
  <c r="I147" i="22"/>
  <c r="I146" i="22"/>
  <c r="I145" i="22"/>
  <c r="I144" i="22"/>
  <c r="I143" i="22"/>
  <c r="I142" i="22"/>
  <c r="I141" i="22"/>
  <c r="I140" i="22"/>
  <c r="I139" i="22"/>
  <c r="I138" i="22"/>
  <c r="I137" i="22"/>
  <c r="I136" i="22"/>
  <c r="I135" i="22"/>
  <c r="I134" i="22"/>
  <c r="I133" i="22"/>
  <c r="I132" i="22"/>
  <c r="I131" i="22"/>
  <c r="I130" i="22"/>
  <c r="I129" i="22"/>
  <c r="I128" i="22"/>
  <c r="I127" i="22"/>
  <c r="I126" i="22"/>
  <c r="I125" i="22"/>
  <c r="I124" i="22"/>
  <c r="I123" i="22"/>
  <c r="I122" i="22"/>
  <c r="I121" i="22"/>
  <c r="I120" i="22"/>
  <c r="I119" i="22"/>
  <c r="I118" i="22"/>
  <c r="I117" i="22"/>
  <c r="I116" i="22"/>
  <c r="I115" i="22"/>
  <c r="I114" i="22"/>
  <c r="I113" i="22"/>
  <c r="I112" i="22"/>
  <c r="I111" i="22"/>
  <c r="I110" i="22"/>
  <c r="I109" i="22"/>
  <c r="I108" i="22"/>
  <c r="I107" i="22"/>
  <c r="I106" i="22"/>
  <c r="I105" i="22"/>
  <c r="I104" i="22"/>
  <c r="I103" i="22"/>
  <c r="I102" i="22"/>
  <c r="I101" i="22"/>
  <c r="I100" i="22"/>
  <c r="I99" i="22"/>
  <c r="I98" i="22"/>
  <c r="I97" i="22"/>
  <c r="I96" i="22"/>
  <c r="I95" i="22"/>
  <c r="I94" i="22"/>
  <c r="I93" i="22"/>
  <c r="I92" i="22"/>
  <c r="I91" i="22"/>
  <c r="I90" i="22"/>
  <c r="I89" i="22"/>
  <c r="I88" i="22"/>
  <c r="I87" i="22"/>
  <c r="I86" i="22"/>
  <c r="I85" i="22"/>
  <c r="I84" i="22"/>
  <c r="I83" i="22"/>
  <c r="I82" i="22"/>
  <c r="I81" i="22"/>
  <c r="I80" i="22"/>
  <c r="I79" i="22"/>
  <c r="I78" i="22"/>
  <c r="I77" i="22"/>
  <c r="I76" i="22"/>
  <c r="I75" i="22"/>
  <c r="I74" i="22"/>
  <c r="I73" i="22"/>
  <c r="I72" i="22"/>
  <c r="I71" i="22"/>
  <c r="I70" i="22"/>
  <c r="I69" i="22"/>
  <c r="I68" i="22"/>
  <c r="I67" i="22"/>
  <c r="I66" i="22"/>
  <c r="I65" i="22"/>
  <c r="I64" i="22"/>
  <c r="I63" i="22"/>
  <c r="I62" i="22"/>
  <c r="I61" i="22"/>
  <c r="I60" i="22"/>
  <c r="I59" i="22"/>
  <c r="I58" i="22"/>
  <c r="I57" i="22"/>
  <c r="I56" i="22"/>
  <c r="I55" i="22"/>
  <c r="I54" i="22"/>
  <c r="I53" i="22"/>
  <c r="I52" i="22"/>
  <c r="I51" i="22"/>
  <c r="I50" i="22"/>
  <c r="I49" i="22"/>
  <c r="I48" i="22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6" i="22"/>
  <c r="I5" i="22"/>
  <c r="I4" i="22"/>
  <c r="I3" i="22"/>
  <c r="I2" i="22"/>
  <c r="L522" i="21"/>
  <c r="K522" i="21"/>
  <c r="J522" i="21"/>
  <c r="I522" i="21"/>
  <c r="H522" i="21"/>
  <c r="G522" i="21"/>
  <c r="C522" i="21"/>
  <c r="L521" i="21"/>
  <c r="K521" i="21"/>
  <c r="J521" i="21"/>
  <c r="I521" i="21"/>
  <c r="H521" i="21"/>
  <c r="G521" i="21"/>
  <c r="C521" i="21"/>
  <c r="L520" i="21"/>
  <c r="K520" i="21"/>
  <c r="J520" i="21"/>
  <c r="I520" i="21"/>
  <c r="H520" i="21"/>
  <c r="G520" i="21"/>
  <c r="C520" i="21"/>
  <c r="L519" i="21"/>
  <c r="K519" i="21"/>
  <c r="J519" i="21"/>
  <c r="I519" i="21"/>
  <c r="H519" i="21"/>
  <c r="G519" i="21"/>
  <c r="C519" i="21"/>
  <c r="L518" i="21"/>
  <c r="K518" i="21"/>
  <c r="J518" i="21"/>
  <c r="I518" i="21"/>
  <c r="H518" i="21"/>
  <c r="G518" i="21"/>
  <c r="C518" i="21"/>
  <c r="L517" i="21"/>
  <c r="K517" i="21"/>
  <c r="J517" i="21"/>
  <c r="I517" i="21"/>
  <c r="H517" i="21"/>
  <c r="G517" i="21"/>
  <c r="C517" i="21"/>
  <c r="L516" i="21"/>
  <c r="K516" i="21"/>
  <c r="J516" i="21"/>
  <c r="I516" i="21"/>
  <c r="H516" i="21"/>
  <c r="G516" i="21"/>
  <c r="C516" i="21"/>
  <c r="L515" i="21"/>
  <c r="K515" i="21"/>
  <c r="J515" i="21"/>
  <c r="I515" i="21"/>
  <c r="H515" i="21"/>
  <c r="G515" i="21"/>
  <c r="C515" i="21"/>
  <c r="L514" i="21"/>
  <c r="K514" i="21"/>
  <c r="J514" i="21"/>
  <c r="I514" i="21"/>
  <c r="H514" i="21"/>
  <c r="G514" i="21"/>
  <c r="C514" i="21"/>
  <c r="L513" i="21"/>
  <c r="K513" i="21"/>
  <c r="J513" i="21"/>
  <c r="I513" i="21"/>
  <c r="H513" i="21"/>
  <c r="G513" i="21"/>
  <c r="C513" i="21"/>
  <c r="L512" i="21"/>
  <c r="K512" i="21"/>
  <c r="J512" i="21"/>
  <c r="I512" i="21"/>
  <c r="H512" i="21"/>
  <c r="G512" i="21"/>
  <c r="C512" i="21"/>
  <c r="L511" i="21"/>
  <c r="K511" i="21"/>
  <c r="J511" i="21"/>
  <c r="I511" i="21"/>
  <c r="H511" i="21"/>
  <c r="G511" i="21"/>
  <c r="C511" i="21"/>
  <c r="L510" i="21"/>
  <c r="K510" i="21"/>
  <c r="J510" i="21"/>
  <c r="I510" i="21"/>
  <c r="H510" i="21"/>
  <c r="G510" i="21"/>
  <c r="C510" i="21"/>
  <c r="L509" i="21"/>
  <c r="K509" i="21"/>
  <c r="J509" i="21"/>
  <c r="I509" i="21"/>
  <c r="H509" i="21"/>
  <c r="G509" i="21"/>
  <c r="C509" i="21"/>
  <c r="L508" i="21"/>
  <c r="K508" i="21"/>
  <c r="J508" i="21"/>
  <c r="I508" i="21"/>
  <c r="H508" i="21"/>
  <c r="G508" i="21"/>
  <c r="C508" i="21"/>
  <c r="L507" i="21"/>
  <c r="K507" i="21"/>
  <c r="J507" i="21"/>
  <c r="I507" i="21"/>
  <c r="H507" i="21"/>
  <c r="G507" i="21"/>
  <c r="C507" i="21"/>
  <c r="L506" i="21"/>
  <c r="K506" i="21"/>
  <c r="J506" i="21"/>
  <c r="I506" i="21"/>
  <c r="H506" i="21"/>
  <c r="G506" i="21"/>
  <c r="C506" i="21"/>
  <c r="L505" i="21"/>
  <c r="K505" i="21"/>
  <c r="J505" i="21"/>
  <c r="I505" i="21"/>
  <c r="H505" i="21"/>
  <c r="G505" i="21"/>
  <c r="C505" i="21"/>
  <c r="L504" i="21"/>
  <c r="K504" i="21"/>
  <c r="J504" i="21"/>
  <c r="I504" i="21"/>
  <c r="H504" i="21"/>
  <c r="G504" i="21"/>
  <c r="C504" i="21"/>
  <c r="L503" i="21"/>
  <c r="K503" i="21"/>
  <c r="J503" i="21"/>
  <c r="I503" i="21"/>
  <c r="H503" i="21"/>
  <c r="G503" i="21"/>
  <c r="C503" i="21"/>
  <c r="L502" i="21"/>
  <c r="K502" i="21"/>
  <c r="J502" i="21"/>
  <c r="I502" i="21"/>
  <c r="H502" i="21"/>
  <c r="G502" i="21"/>
  <c r="C502" i="21"/>
  <c r="L501" i="21"/>
  <c r="K501" i="21"/>
  <c r="J501" i="21"/>
  <c r="I501" i="21"/>
  <c r="H501" i="21"/>
  <c r="G501" i="21"/>
  <c r="C501" i="21"/>
  <c r="L500" i="21"/>
  <c r="K500" i="21"/>
  <c r="J500" i="21"/>
  <c r="I500" i="21"/>
  <c r="H500" i="21"/>
  <c r="G500" i="21"/>
  <c r="C500" i="21"/>
  <c r="L499" i="21"/>
  <c r="K499" i="21"/>
  <c r="J499" i="21"/>
  <c r="I499" i="21"/>
  <c r="H499" i="21"/>
  <c r="G499" i="21"/>
  <c r="C499" i="21"/>
  <c r="L498" i="21"/>
  <c r="K498" i="21"/>
  <c r="J498" i="21"/>
  <c r="I498" i="21"/>
  <c r="H498" i="21"/>
  <c r="G498" i="21"/>
  <c r="C498" i="21"/>
  <c r="L497" i="21"/>
  <c r="K497" i="21"/>
  <c r="J497" i="21"/>
  <c r="I497" i="21"/>
  <c r="H497" i="21"/>
  <c r="G497" i="21"/>
  <c r="C497" i="21"/>
  <c r="L496" i="21"/>
  <c r="K496" i="21"/>
  <c r="J496" i="21"/>
  <c r="I496" i="21"/>
  <c r="H496" i="21"/>
  <c r="G496" i="21"/>
  <c r="C496" i="21"/>
  <c r="L495" i="21"/>
  <c r="K495" i="21"/>
  <c r="J495" i="21"/>
  <c r="I495" i="21"/>
  <c r="H495" i="21"/>
  <c r="G495" i="21"/>
  <c r="C495" i="21"/>
  <c r="L494" i="21"/>
  <c r="K494" i="21"/>
  <c r="J494" i="21"/>
  <c r="I494" i="21"/>
  <c r="H494" i="21"/>
  <c r="G494" i="21"/>
  <c r="C494" i="21"/>
  <c r="L493" i="21"/>
  <c r="K493" i="21"/>
  <c r="J493" i="21"/>
  <c r="I493" i="21"/>
  <c r="H493" i="21"/>
  <c r="G493" i="21"/>
  <c r="C493" i="21"/>
  <c r="L492" i="21"/>
  <c r="K492" i="21"/>
  <c r="J492" i="21"/>
  <c r="I492" i="21"/>
  <c r="H492" i="21"/>
  <c r="G492" i="21"/>
  <c r="C492" i="21"/>
  <c r="L491" i="21"/>
  <c r="K491" i="21"/>
  <c r="J491" i="21"/>
  <c r="I491" i="21"/>
  <c r="H491" i="21"/>
  <c r="G491" i="21"/>
  <c r="C491" i="21"/>
  <c r="L490" i="21"/>
  <c r="K490" i="21"/>
  <c r="J490" i="21"/>
  <c r="I490" i="21"/>
  <c r="H490" i="21"/>
  <c r="G490" i="21"/>
  <c r="C490" i="21"/>
  <c r="L489" i="21"/>
  <c r="K489" i="21"/>
  <c r="J489" i="21"/>
  <c r="I489" i="21"/>
  <c r="H489" i="21"/>
  <c r="G489" i="21"/>
  <c r="C489" i="21"/>
  <c r="L488" i="21"/>
  <c r="K488" i="21"/>
  <c r="J488" i="21"/>
  <c r="I488" i="21"/>
  <c r="H488" i="21"/>
  <c r="G488" i="21"/>
  <c r="C488" i="21"/>
  <c r="L487" i="21"/>
  <c r="K487" i="21"/>
  <c r="J487" i="21"/>
  <c r="I487" i="21"/>
  <c r="H487" i="21"/>
  <c r="G487" i="21"/>
  <c r="C487" i="21"/>
  <c r="L486" i="21"/>
  <c r="K486" i="21"/>
  <c r="J486" i="21"/>
  <c r="I486" i="21"/>
  <c r="H486" i="21"/>
  <c r="G486" i="21"/>
  <c r="C486" i="21"/>
  <c r="L485" i="21"/>
  <c r="K485" i="21"/>
  <c r="J485" i="21"/>
  <c r="I485" i="21"/>
  <c r="H485" i="21"/>
  <c r="G485" i="21"/>
  <c r="C485" i="21"/>
  <c r="L484" i="21"/>
  <c r="K484" i="21"/>
  <c r="J484" i="21"/>
  <c r="I484" i="21"/>
  <c r="H484" i="21"/>
  <c r="G484" i="21"/>
  <c r="C484" i="21"/>
  <c r="L483" i="21"/>
  <c r="K483" i="21"/>
  <c r="J483" i="21"/>
  <c r="I483" i="21"/>
  <c r="H483" i="21"/>
  <c r="G483" i="21"/>
  <c r="C483" i="21"/>
  <c r="L482" i="21"/>
  <c r="K482" i="21"/>
  <c r="J482" i="21"/>
  <c r="I482" i="21"/>
  <c r="H482" i="21"/>
  <c r="G482" i="21"/>
  <c r="C482" i="21"/>
  <c r="L481" i="21"/>
  <c r="K481" i="21"/>
  <c r="J481" i="21"/>
  <c r="I481" i="21"/>
  <c r="H481" i="21"/>
  <c r="G481" i="21"/>
  <c r="C481" i="21"/>
  <c r="L480" i="21"/>
  <c r="K480" i="21"/>
  <c r="J480" i="21"/>
  <c r="I480" i="21"/>
  <c r="H480" i="21"/>
  <c r="G480" i="21"/>
  <c r="C480" i="21"/>
  <c r="L479" i="21"/>
  <c r="K479" i="21"/>
  <c r="J479" i="21"/>
  <c r="I479" i="21"/>
  <c r="H479" i="21"/>
  <c r="G479" i="21"/>
  <c r="C479" i="21"/>
  <c r="L478" i="21"/>
  <c r="K478" i="21"/>
  <c r="J478" i="21"/>
  <c r="I478" i="21"/>
  <c r="H478" i="21"/>
  <c r="G478" i="21"/>
  <c r="C478" i="21"/>
  <c r="L477" i="21"/>
  <c r="K477" i="21"/>
  <c r="J477" i="21"/>
  <c r="I477" i="21"/>
  <c r="H477" i="21"/>
  <c r="G477" i="21"/>
  <c r="C477" i="21"/>
  <c r="L476" i="21"/>
  <c r="K476" i="21"/>
  <c r="J476" i="21"/>
  <c r="I476" i="21"/>
  <c r="H476" i="21"/>
  <c r="G476" i="21"/>
  <c r="C476" i="21"/>
  <c r="L475" i="21"/>
  <c r="K475" i="21"/>
  <c r="J475" i="21"/>
  <c r="I475" i="21"/>
  <c r="H475" i="21"/>
  <c r="G475" i="21"/>
  <c r="C475" i="21"/>
  <c r="L474" i="21"/>
  <c r="K474" i="21"/>
  <c r="J474" i="21"/>
  <c r="I474" i="21"/>
  <c r="H474" i="21"/>
  <c r="G474" i="21"/>
  <c r="C474" i="21"/>
  <c r="L473" i="21"/>
  <c r="K473" i="21"/>
  <c r="J473" i="21"/>
  <c r="I473" i="21"/>
  <c r="H473" i="21"/>
  <c r="G473" i="21"/>
  <c r="C473" i="21"/>
  <c r="L472" i="21"/>
  <c r="K472" i="21"/>
  <c r="J472" i="21"/>
  <c r="I472" i="21"/>
  <c r="H472" i="21"/>
  <c r="G472" i="21"/>
  <c r="C472" i="21"/>
  <c r="L471" i="21"/>
  <c r="K471" i="21"/>
  <c r="J471" i="21"/>
  <c r="I471" i="21"/>
  <c r="H471" i="21"/>
  <c r="G471" i="21"/>
  <c r="C471" i="21"/>
  <c r="L470" i="21"/>
  <c r="K470" i="21"/>
  <c r="J470" i="21"/>
  <c r="I470" i="21"/>
  <c r="H470" i="21"/>
  <c r="G470" i="21"/>
  <c r="C470" i="21"/>
  <c r="L469" i="21"/>
  <c r="K469" i="21"/>
  <c r="J469" i="21"/>
  <c r="I469" i="21"/>
  <c r="H469" i="21"/>
  <c r="G469" i="21"/>
  <c r="C469" i="21"/>
  <c r="L468" i="21"/>
  <c r="K468" i="21"/>
  <c r="J468" i="21"/>
  <c r="I468" i="21"/>
  <c r="H468" i="21"/>
  <c r="G468" i="21"/>
  <c r="C468" i="21"/>
  <c r="L467" i="21"/>
  <c r="K467" i="21"/>
  <c r="J467" i="21"/>
  <c r="I467" i="21"/>
  <c r="H467" i="21"/>
  <c r="G467" i="21"/>
  <c r="C467" i="21"/>
  <c r="L466" i="21"/>
  <c r="K466" i="21"/>
  <c r="J466" i="21"/>
  <c r="I466" i="21"/>
  <c r="H466" i="21"/>
  <c r="G466" i="21"/>
  <c r="C466" i="21"/>
  <c r="L465" i="21"/>
  <c r="K465" i="21"/>
  <c r="J465" i="21"/>
  <c r="I465" i="21"/>
  <c r="H465" i="21"/>
  <c r="G465" i="21"/>
  <c r="C465" i="21"/>
  <c r="L464" i="21"/>
  <c r="K464" i="21"/>
  <c r="J464" i="21"/>
  <c r="I464" i="21"/>
  <c r="H464" i="21"/>
  <c r="G464" i="21"/>
  <c r="C464" i="21"/>
  <c r="L463" i="21"/>
  <c r="K463" i="21"/>
  <c r="J463" i="21"/>
  <c r="I463" i="21"/>
  <c r="H463" i="21"/>
  <c r="G463" i="21"/>
  <c r="C463" i="21"/>
  <c r="L462" i="21"/>
  <c r="K462" i="21"/>
  <c r="J462" i="21"/>
  <c r="I462" i="21"/>
  <c r="H462" i="21"/>
  <c r="G462" i="21"/>
  <c r="C462" i="21"/>
  <c r="L461" i="21"/>
  <c r="K461" i="21"/>
  <c r="J461" i="21"/>
  <c r="I461" i="21"/>
  <c r="H461" i="21"/>
  <c r="G461" i="21"/>
  <c r="C461" i="21"/>
  <c r="L460" i="21"/>
  <c r="K460" i="21"/>
  <c r="J460" i="21"/>
  <c r="I460" i="21"/>
  <c r="H460" i="21"/>
  <c r="G460" i="21"/>
  <c r="C460" i="21"/>
  <c r="L459" i="21"/>
  <c r="K459" i="21"/>
  <c r="J459" i="21"/>
  <c r="I459" i="21"/>
  <c r="H459" i="21"/>
  <c r="G459" i="21"/>
  <c r="C459" i="21"/>
  <c r="L458" i="21"/>
  <c r="K458" i="21"/>
  <c r="J458" i="21"/>
  <c r="I458" i="21"/>
  <c r="H458" i="21"/>
  <c r="G458" i="21"/>
  <c r="C458" i="21"/>
  <c r="L457" i="21"/>
  <c r="K457" i="21"/>
  <c r="J457" i="21"/>
  <c r="I457" i="21"/>
  <c r="H457" i="21"/>
  <c r="G457" i="21"/>
  <c r="C457" i="21"/>
  <c r="L456" i="21"/>
  <c r="K456" i="21"/>
  <c r="J456" i="21"/>
  <c r="I456" i="21"/>
  <c r="H456" i="21"/>
  <c r="G456" i="21"/>
  <c r="C456" i="21"/>
  <c r="L455" i="21"/>
  <c r="K455" i="21"/>
  <c r="J455" i="21"/>
  <c r="I455" i="21"/>
  <c r="H455" i="21"/>
  <c r="G455" i="21"/>
  <c r="C455" i="21"/>
  <c r="L454" i="21"/>
  <c r="K454" i="21"/>
  <c r="J454" i="21"/>
  <c r="I454" i="21"/>
  <c r="H454" i="21"/>
  <c r="G454" i="21"/>
  <c r="C454" i="21"/>
  <c r="L453" i="21"/>
  <c r="K453" i="21"/>
  <c r="J453" i="21"/>
  <c r="I453" i="21"/>
  <c r="H453" i="21"/>
  <c r="G453" i="21"/>
  <c r="C453" i="21"/>
  <c r="L452" i="21"/>
  <c r="K452" i="21"/>
  <c r="J452" i="21"/>
  <c r="I452" i="21"/>
  <c r="H452" i="21"/>
  <c r="G452" i="21"/>
  <c r="C452" i="21"/>
  <c r="L451" i="21"/>
  <c r="K451" i="21"/>
  <c r="J451" i="21"/>
  <c r="I451" i="21"/>
  <c r="H451" i="21"/>
  <c r="G451" i="21"/>
  <c r="C451" i="21"/>
  <c r="L450" i="21"/>
  <c r="K450" i="21"/>
  <c r="J450" i="21"/>
  <c r="I450" i="21"/>
  <c r="H450" i="21"/>
  <c r="G450" i="21"/>
  <c r="C450" i="21"/>
  <c r="L449" i="21"/>
  <c r="K449" i="21"/>
  <c r="J449" i="21"/>
  <c r="I449" i="21"/>
  <c r="H449" i="21"/>
  <c r="G449" i="21"/>
  <c r="C449" i="21"/>
  <c r="L448" i="21"/>
  <c r="K448" i="21"/>
  <c r="J448" i="21"/>
  <c r="I448" i="21"/>
  <c r="H448" i="21"/>
  <c r="G448" i="21"/>
  <c r="C448" i="21"/>
  <c r="L447" i="21"/>
  <c r="K447" i="21"/>
  <c r="J447" i="21"/>
  <c r="I447" i="21"/>
  <c r="H447" i="21"/>
  <c r="G447" i="21"/>
  <c r="C447" i="21"/>
  <c r="L446" i="21"/>
  <c r="K446" i="21"/>
  <c r="J446" i="21"/>
  <c r="I446" i="21"/>
  <c r="H446" i="21"/>
  <c r="G446" i="21"/>
  <c r="C446" i="21"/>
  <c r="L445" i="21"/>
  <c r="K445" i="21"/>
  <c r="J445" i="21"/>
  <c r="I445" i="21"/>
  <c r="H445" i="21"/>
  <c r="G445" i="21"/>
  <c r="C445" i="21"/>
  <c r="L444" i="21"/>
  <c r="K444" i="21"/>
  <c r="J444" i="21"/>
  <c r="I444" i="21"/>
  <c r="H444" i="21"/>
  <c r="G444" i="21"/>
  <c r="C444" i="21"/>
  <c r="L443" i="21"/>
  <c r="K443" i="21"/>
  <c r="J443" i="21"/>
  <c r="I443" i="21"/>
  <c r="H443" i="21"/>
  <c r="G443" i="21"/>
  <c r="C443" i="21"/>
  <c r="L442" i="21"/>
  <c r="K442" i="21"/>
  <c r="J442" i="21"/>
  <c r="I442" i="21"/>
  <c r="H442" i="21"/>
  <c r="G442" i="21"/>
  <c r="C442" i="21"/>
  <c r="L441" i="21"/>
  <c r="K441" i="21"/>
  <c r="J441" i="21"/>
  <c r="I441" i="21"/>
  <c r="H441" i="21"/>
  <c r="G441" i="21"/>
  <c r="C441" i="21"/>
  <c r="L440" i="21"/>
  <c r="K440" i="21"/>
  <c r="J440" i="21"/>
  <c r="I440" i="21"/>
  <c r="H440" i="21"/>
  <c r="G440" i="21"/>
  <c r="C440" i="21"/>
  <c r="L439" i="21"/>
  <c r="K439" i="21"/>
  <c r="J439" i="21"/>
  <c r="I439" i="21"/>
  <c r="H439" i="21"/>
  <c r="G439" i="21"/>
  <c r="C439" i="21"/>
  <c r="L438" i="21"/>
  <c r="K438" i="21"/>
  <c r="J438" i="21"/>
  <c r="I438" i="21"/>
  <c r="H438" i="21"/>
  <c r="G438" i="21"/>
  <c r="C438" i="21"/>
  <c r="L437" i="21"/>
  <c r="K437" i="21"/>
  <c r="J437" i="21"/>
  <c r="I437" i="21"/>
  <c r="H437" i="21"/>
  <c r="G437" i="21"/>
  <c r="C437" i="21"/>
  <c r="L436" i="21"/>
  <c r="K436" i="21"/>
  <c r="J436" i="21"/>
  <c r="I436" i="21"/>
  <c r="H436" i="21"/>
  <c r="G436" i="21"/>
  <c r="C436" i="21"/>
  <c r="L435" i="21"/>
  <c r="K435" i="21"/>
  <c r="J435" i="21"/>
  <c r="I435" i="21"/>
  <c r="H435" i="21"/>
  <c r="G435" i="21"/>
  <c r="C435" i="21"/>
  <c r="L434" i="21"/>
  <c r="K434" i="21"/>
  <c r="J434" i="21"/>
  <c r="I434" i="21"/>
  <c r="H434" i="21"/>
  <c r="G434" i="21"/>
  <c r="C434" i="21"/>
  <c r="L433" i="21"/>
  <c r="K433" i="21"/>
  <c r="J433" i="21"/>
  <c r="I433" i="21"/>
  <c r="H433" i="21"/>
  <c r="G433" i="21"/>
  <c r="C433" i="21"/>
  <c r="L432" i="21"/>
  <c r="K432" i="21"/>
  <c r="J432" i="21"/>
  <c r="I432" i="21"/>
  <c r="H432" i="21"/>
  <c r="G432" i="21"/>
  <c r="C432" i="21"/>
  <c r="L431" i="21"/>
  <c r="K431" i="21"/>
  <c r="J431" i="21"/>
  <c r="I431" i="21"/>
  <c r="H431" i="21"/>
  <c r="G431" i="21"/>
  <c r="C431" i="21"/>
  <c r="L430" i="21"/>
  <c r="K430" i="21"/>
  <c r="J430" i="21"/>
  <c r="I430" i="21"/>
  <c r="H430" i="21"/>
  <c r="G430" i="21"/>
  <c r="C430" i="21"/>
  <c r="L429" i="21"/>
  <c r="K429" i="21"/>
  <c r="J429" i="21"/>
  <c r="I429" i="21"/>
  <c r="H429" i="21"/>
  <c r="G429" i="21"/>
  <c r="C429" i="21"/>
  <c r="L428" i="21"/>
  <c r="K428" i="21"/>
  <c r="J428" i="21"/>
  <c r="I428" i="21"/>
  <c r="H428" i="21"/>
  <c r="G428" i="21"/>
  <c r="C428" i="21"/>
  <c r="L427" i="21"/>
  <c r="K427" i="21"/>
  <c r="J427" i="21"/>
  <c r="I427" i="21"/>
  <c r="H427" i="21"/>
  <c r="G427" i="21"/>
  <c r="C427" i="21"/>
  <c r="L426" i="21"/>
  <c r="K426" i="21"/>
  <c r="J426" i="21"/>
  <c r="I426" i="21"/>
  <c r="H426" i="21"/>
  <c r="G426" i="21"/>
  <c r="C426" i="21"/>
  <c r="L425" i="21"/>
  <c r="K425" i="21"/>
  <c r="J425" i="21"/>
  <c r="I425" i="21"/>
  <c r="H425" i="21"/>
  <c r="G425" i="21"/>
  <c r="C425" i="21"/>
  <c r="L424" i="21"/>
  <c r="K424" i="21"/>
  <c r="J424" i="21"/>
  <c r="I424" i="21"/>
  <c r="H424" i="21"/>
  <c r="G424" i="21"/>
  <c r="C424" i="21"/>
  <c r="L423" i="21"/>
  <c r="K423" i="21"/>
  <c r="J423" i="21"/>
  <c r="I423" i="21"/>
  <c r="H423" i="21"/>
  <c r="G423" i="21"/>
  <c r="C423" i="21"/>
  <c r="L422" i="21"/>
  <c r="K422" i="21"/>
  <c r="J422" i="21"/>
  <c r="I422" i="21"/>
  <c r="H422" i="21"/>
  <c r="G422" i="21"/>
  <c r="C422" i="21"/>
  <c r="L421" i="21"/>
  <c r="K421" i="21"/>
  <c r="J421" i="21"/>
  <c r="I421" i="21"/>
  <c r="H421" i="21"/>
  <c r="G421" i="21"/>
  <c r="C421" i="21"/>
  <c r="L420" i="21"/>
  <c r="K420" i="21"/>
  <c r="J420" i="21"/>
  <c r="I420" i="21"/>
  <c r="H420" i="21"/>
  <c r="G420" i="21"/>
  <c r="C420" i="21"/>
  <c r="L419" i="21"/>
  <c r="K419" i="21"/>
  <c r="J419" i="21"/>
  <c r="I419" i="21"/>
  <c r="H419" i="21"/>
  <c r="G419" i="21"/>
  <c r="C419" i="21"/>
  <c r="L418" i="21"/>
  <c r="K418" i="21"/>
  <c r="J418" i="21"/>
  <c r="I418" i="21"/>
  <c r="H418" i="21"/>
  <c r="G418" i="21"/>
  <c r="C418" i="21"/>
  <c r="L417" i="21"/>
  <c r="K417" i="21"/>
  <c r="J417" i="21"/>
  <c r="I417" i="21"/>
  <c r="H417" i="21"/>
  <c r="G417" i="21"/>
  <c r="C417" i="21"/>
  <c r="L416" i="21"/>
  <c r="K416" i="21"/>
  <c r="J416" i="21"/>
  <c r="I416" i="21"/>
  <c r="H416" i="21"/>
  <c r="G416" i="21"/>
  <c r="C416" i="21"/>
  <c r="L415" i="21"/>
  <c r="K415" i="21"/>
  <c r="J415" i="21"/>
  <c r="I415" i="21"/>
  <c r="H415" i="21"/>
  <c r="G415" i="21"/>
  <c r="C415" i="21"/>
  <c r="L414" i="21"/>
  <c r="K414" i="21"/>
  <c r="J414" i="21"/>
  <c r="I414" i="21"/>
  <c r="H414" i="21"/>
  <c r="G414" i="21"/>
  <c r="C414" i="21"/>
  <c r="L413" i="21"/>
  <c r="K413" i="21"/>
  <c r="J413" i="21"/>
  <c r="I413" i="21"/>
  <c r="H413" i="21"/>
  <c r="G413" i="21"/>
  <c r="C413" i="21"/>
  <c r="L412" i="21"/>
  <c r="K412" i="21"/>
  <c r="J412" i="21"/>
  <c r="I412" i="21"/>
  <c r="H412" i="21"/>
  <c r="G412" i="21"/>
  <c r="C412" i="21"/>
  <c r="L411" i="21"/>
  <c r="K411" i="21"/>
  <c r="J411" i="21"/>
  <c r="I411" i="21"/>
  <c r="H411" i="21"/>
  <c r="G411" i="21"/>
  <c r="C411" i="21"/>
  <c r="L410" i="21"/>
  <c r="K410" i="21"/>
  <c r="J410" i="21"/>
  <c r="I410" i="21"/>
  <c r="H410" i="21"/>
  <c r="G410" i="21"/>
  <c r="C410" i="21"/>
  <c r="L409" i="21"/>
  <c r="K409" i="21"/>
  <c r="J409" i="21"/>
  <c r="I409" i="21"/>
  <c r="H409" i="21"/>
  <c r="G409" i="21"/>
  <c r="C409" i="21"/>
  <c r="L408" i="21"/>
  <c r="K408" i="21"/>
  <c r="J408" i="21"/>
  <c r="I408" i="21"/>
  <c r="H408" i="21"/>
  <c r="G408" i="21"/>
  <c r="C408" i="21"/>
  <c r="L407" i="21"/>
  <c r="K407" i="21"/>
  <c r="J407" i="21"/>
  <c r="I407" i="21"/>
  <c r="H407" i="21"/>
  <c r="G407" i="21"/>
  <c r="C407" i="21"/>
  <c r="L406" i="21"/>
  <c r="K406" i="21"/>
  <c r="J406" i="21"/>
  <c r="I406" i="21"/>
  <c r="H406" i="21"/>
  <c r="G406" i="21"/>
  <c r="C406" i="21"/>
  <c r="L405" i="21"/>
  <c r="K405" i="21"/>
  <c r="J405" i="21"/>
  <c r="I405" i="21"/>
  <c r="H405" i="21"/>
  <c r="G405" i="21"/>
  <c r="C405" i="21"/>
  <c r="L404" i="21"/>
  <c r="K404" i="21"/>
  <c r="J404" i="21"/>
  <c r="I404" i="21"/>
  <c r="H404" i="21"/>
  <c r="G404" i="21"/>
  <c r="C404" i="21"/>
  <c r="L403" i="21"/>
  <c r="K403" i="21"/>
  <c r="J403" i="21"/>
  <c r="I403" i="21"/>
  <c r="H403" i="21"/>
  <c r="G403" i="21"/>
  <c r="C403" i="21"/>
  <c r="L402" i="21"/>
  <c r="K402" i="21"/>
  <c r="J402" i="21"/>
  <c r="I402" i="21"/>
  <c r="H402" i="21"/>
  <c r="G402" i="21"/>
  <c r="C402" i="21"/>
  <c r="L401" i="21"/>
  <c r="K401" i="21"/>
  <c r="J401" i="21"/>
  <c r="I401" i="21"/>
  <c r="H401" i="21"/>
  <c r="G401" i="21"/>
  <c r="C401" i="21"/>
  <c r="L400" i="21"/>
  <c r="K400" i="21"/>
  <c r="J400" i="21"/>
  <c r="I400" i="21"/>
  <c r="H400" i="21"/>
  <c r="G400" i="21"/>
  <c r="C400" i="21"/>
  <c r="L399" i="21"/>
  <c r="K399" i="21"/>
  <c r="J399" i="21"/>
  <c r="I399" i="21"/>
  <c r="H399" i="21"/>
  <c r="G399" i="21"/>
  <c r="C399" i="21"/>
  <c r="L398" i="21"/>
  <c r="K398" i="21"/>
  <c r="J398" i="21"/>
  <c r="I398" i="21"/>
  <c r="H398" i="21"/>
  <c r="G398" i="21"/>
  <c r="C398" i="21"/>
  <c r="L397" i="21"/>
  <c r="K397" i="21"/>
  <c r="J397" i="21"/>
  <c r="I397" i="21"/>
  <c r="H397" i="21"/>
  <c r="G397" i="21"/>
  <c r="C397" i="21"/>
  <c r="L396" i="21"/>
  <c r="K396" i="21"/>
  <c r="J396" i="21"/>
  <c r="I396" i="21"/>
  <c r="H396" i="21"/>
  <c r="G396" i="21"/>
  <c r="C396" i="21"/>
  <c r="L395" i="21"/>
  <c r="K395" i="21"/>
  <c r="J395" i="21"/>
  <c r="I395" i="21"/>
  <c r="H395" i="21"/>
  <c r="G395" i="21"/>
  <c r="C395" i="21"/>
  <c r="L394" i="21"/>
  <c r="K394" i="21"/>
  <c r="J394" i="21"/>
  <c r="I394" i="21"/>
  <c r="H394" i="21"/>
  <c r="G394" i="21"/>
  <c r="C394" i="21"/>
  <c r="L393" i="21"/>
  <c r="K393" i="21"/>
  <c r="J393" i="21"/>
  <c r="I393" i="21"/>
  <c r="H393" i="21"/>
  <c r="G393" i="21"/>
  <c r="C393" i="21"/>
  <c r="L392" i="21"/>
  <c r="K392" i="21"/>
  <c r="J392" i="21"/>
  <c r="I392" i="21"/>
  <c r="H392" i="21"/>
  <c r="G392" i="21"/>
  <c r="C392" i="21"/>
  <c r="L391" i="21"/>
  <c r="K391" i="21"/>
  <c r="J391" i="21"/>
  <c r="I391" i="21"/>
  <c r="H391" i="21"/>
  <c r="G391" i="21"/>
  <c r="C391" i="21"/>
  <c r="L390" i="21"/>
  <c r="K390" i="21"/>
  <c r="J390" i="21"/>
  <c r="I390" i="21"/>
  <c r="H390" i="21"/>
  <c r="G390" i="21"/>
  <c r="C390" i="21"/>
  <c r="L389" i="21"/>
  <c r="K389" i="21"/>
  <c r="J389" i="21"/>
  <c r="I389" i="21"/>
  <c r="H389" i="21"/>
  <c r="G389" i="21"/>
  <c r="C389" i="21"/>
  <c r="L388" i="21"/>
  <c r="K388" i="21"/>
  <c r="J388" i="21"/>
  <c r="I388" i="21"/>
  <c r="H388" i="21"/>
  <c r="G388" i="21"/>
  <c r="C388" i="21"/>
  <c r="L387" i="21"/>
  <c r="K387" i="21"/>
  <c r="J387" i="21"/>
  <c r="I387" i="21"/>
  <c r="H387" i="21"/>
  <c r="G387" i="21"/>
  <c r="C387" i="21"/>
  <c r="L386" i="21"/>
  <c r="K386" i="21"/>
  <c r="J386" i="21"/>
  <c r="I386" i="21"/>
  <c r="H386" i="21"/>
  <c r="G386" i="21"/>
  <c r="C386" i="21"/>
  <c r="L385" i="21"/>
  <c r="K385" i="21"/>
  <c r="J385" i="21"/>
  <c r="I385" i="21"/>
  <c r="H385" i="21"/>
  <c r="G385" i="21"/>
  <c r="C385" i="21"/>
  <c r="L384" i="21"/>
  <c r="K384" i="21"/>
  <c r="J384" i="21"/>
  <c r="I384" i="21"/>
  <c r="H384" i="21"/>
  <c r="G384" i="21"/>
  <c r="C384" i="21"/>
  <c r="L383" i="21"/>
  <c r="K383" i="21"/>
  <c r="J383" i="21"/>
  <c r="I383" i="21"/>
  <c r="H383" i="21"/>
  <c r="G383" i="21"/>
  <c r="C383" i="21"/>
  <c r="L382" i="21"/>
  <c r="K382" i="21"/>
  <c r="J382" i="21"/>
  <c r="I382" i="21"/>
  <c r="H382" i="21"/>
  <c r="G382" i="21"/>
  <c r="C382" i="21"/>
  <c r="L381" i="21"/>
  <c r="K381" i="21"/>
  <c r="J381" i="21"/>
  <c r="I381" i="21"/>
  <c r="H381" i="21"/>
  <c r="G381" i="21"/>
  <c r="C381" i="21"/>
  <c r="L380" i="21"/>
  <c r="K380" i="21"/>
  <c r="J380" i="21"/>
  <c r="I380" i="21"/>
  <c r="H380" i="21"/>
  <c r="G380" i="21"/>
  <c r="C380" i="21"/>
  <c r="L379" i="21"/>
  <c r="K379" i="21"/>
  <c r="J379" i="21"/>
  <c r="I379" i="21"/>
  <c r="H379" i="21"/>
  <c r="G379" i="21"/>
  <c r="C379" i="21"/>
  <c r="L378" i="21"/>
  <c r="K378" i="21"/>
  <c r="J378" i="21"/>
  <c r="I378" i="21"/>
  <c r="H378" i="21"/>
  <c r="G378" i="21"/>
  <c r="C378" i="21"/>
  <c r="L377" i="21"/>
  <c r="K377" i="21"/>
  <c r="J377" i="21"/>
  <c r="I377" i="21"/>
  <c r="H377" i="21"/>
  <c r="G377" i="21"/>
  <c r="C377" i="21"/>
  <c r="L376" i="21"/>
  <c r="K376" i="21"/>
  <c r="J376" i="21"/>
  <c r="I376" i="21"/>
  <c r="H376" i="21"/>
  <c r="G376" i="21"/>
  <c r="C376" i="21"/>
  <c r="L375" i="21"/>
  <c r="K375" i="21"/>
  <c r="J375" i="21"/>
  <c r="I375" i="21"/>
  <c r="H375" i="21"/>
  <c r="G375" i="21"/>
  <c r="C375" i="21"/>
  <c r="L374" i="21"/>
  <c r="K374" i="21"/>
  <c r="J374" i="21"/>
  <c r="I374" i="21"/>
  <c r="H374" i="21"/>
  <c r="G374" i="21"/>
  <c r="C374" i="21"/>
  <c r="L373" i="21"/>
  <c r="K373" i="21"/>
  <c r="J373" i="21"/>
  <c r="I373" i="21"/>
  <c r="H373" i="21"/>
  <c r="G373" i="21"/>
  <c r="C373" i="21"/>
  <c r="L372" i="21"/>
  <c r="K372" i="21"/>
  <c r="J372" i="21"/>
  <c r="I372" i="21"/>
  <c r="H372" i="21"/>
  <c r="G372" i="21"/>
  <c r="C372" i="21"/>
  <c r="L371" i="21"/>
  <c r="K371" i="21"/>
  <c r="J371" i="21"/>
  <c r="I371" i="21"/>
  <c r="H371" i="21"/>
  <c r="G371" i="21"/>
  <c r="C371" i="21"/>
  <c r="L370" i="21"/>
  <c r="K370" i="21"/>
  <c r="J370" i="21"/>
  <c r="I370" i="21"/>
  <c r="H370" i="21"/>
  <c r="G370" i="21"/>
  <c r="C370" i="21"/>
  <c r="L369" i="21"/>
  <c r="K369" i="21"/>
  <c r="J369" i="21"/>
  <c r="I369" i="21"/>
  <c r="H369" i="21"/>
  <c r="G369" i="21"/>
  <c r="C369" i="21"/>
  <c r="L368" i="21"/>
  <c r="K368" i="21"/>
  <c r="J368" i="21"/>
  <c r="I368" i="21"/>
  <c r="H368" i="21"/>
  <c r="G368" i="21"/>
  <c r="C368" i="21"/>
  <c r="L367" i="21"/>
  <c r="K367" i="21"/>
  <c r="J367" i="21"/>
  <c r="I367" i="21"/>
  <c r="H367" i="21"/>
  <c r="G367" i="21"/>
  <c r="C367" i="21"/>
  <c r="L366" i="21"/>
  <c r="K366" i="21"/>
  <c r="J366" i="21"/>
  <c r="I366" i="21"/>
  <c r="H366" i="21"/>
  <c r="G366" i="21"/>
  <c r="C366" i="21"/>
  <c r="L365" i="21"/>
  <c r="K365" i="21"/>
  <c r="J365" i="21"/>
  <c r="I365" i="21"/>
  <c r="H365" i="21"/>
  <c r="G365" i="21"/>
  <c r="C365" i="21"/>
  <c r="L364" i="21"/>
  <c r="K364" i="21"/>
  <c r="J364" i="21"/>
  <c r="I364" i="21"/>
  <c r="H364" i="21"/>
  <c r="G364" i="21"/>
  <c r="C364" i="21"/>
  <c r="L363" i="21"/>
  <c r="K363" i="21"/>
  <c r="J363" i="21"/>
  <c r="I363" i="21"/>
  <c r="H363" i="21"/>
  <c r="G363" i="21"/>
  <c r="C363" i="21"/>
  <c r="L362" i="21"/>
  <c r="K362" i="21"/>
  <c r="J362" i="21"/>
  <c r="I362" i="21"/>
  <c r="H362" i="21"/>
  <c r="G362" i="21"/>
  <c r="C362" i="21"/>
  <c r="L361" i="21"/>
  <c r="K361" i="21"/>
  <c r="J361" i="21"/>
  <c r="I361" i="21"/>
  <c r="H361" i="21"/>
  <c r="G361" i="21"/>
  <c r="C361" i="21"/>
  <c r="L360" i="21"/>
  <c r="K360" i="21"/>
  <c r="J360" i="21"/>
  <c r="I360" i="21"/>
  <c r="H360" i="21"/>
  <c r="G360" i="21"/>
  <c r="C360" i="21"/>
  <c r="L359" i="21"/>
  <c r="K359" i="21"/>
  <c r="J359" i="21"/>
  <c r="I359" i="21"/>
  <c r="H359" i="21"/>
  <c r="G359" i="21"/>
  <c r="C359" i="21"/>
  <c r="L358" i="21"/>
  <c r="K358" i="21"/>
  <c r="J358" i="21"/>
  <c r="I358" i="21"/>
  <c r="H358" i="21"/>
  <c r="G358" i="21"/>
  <c r="C358" i="21"/>
  <c r="L357" i="21"/>
  <c r="K357" i="21"/>
  <c r="J357" i="21"/>
  <c r="I357" i="21"/>
  <c r="H357" i="21"/>
  <c r="G357" i="21"/>
  <c r="C357" i="21"/>
  <c r="L356" i="21"/>
  <c r="K356" i="21"/>
  <c r="J356" i="21"/>
  <c r="I356" i="21"/>
  <c r="H356" i="21"/>
  <c r="G356" i="21"/>
  <c r="C356" i="21"/>
  <c r="L355" i="21"/>
  <c r="K355" i="21"/>
  <c r="J355" i="21"/>
  <c r="I355" i="21"/>
  <c r="H355" i="21"/>
  <c r="G355" i="21"/>
  <c r="C355" i="21"/>
  <c r="L354" i="21"/>
  <c r="K354" i="21"/>
  <c r="J354" i="21"/>
  <c r="I354" i="21"/>
  <c r="H354" i="21"/>
  <c r="G354" i="21"/>
  <c r="C354" i="21"/>
  <c r="L353" i="21"/>
  <c r="K353" i="21"/>
  <c r="J353" i="21"/>
  <c r="I353" i="21"/>
  <c r="H353" i="21"/>
  <c r="G353" i="21"/>
  <c r="C353" i="21"/>
  <c r="L352" i="21"/>
  <c r="K352" i="21"/>
  <c r="J352" i="21"/>
  <c r="I352" i="21"/>
  <c r="H352" i="21"/>
  <c r="G352" i="21"/>
  <c r="C352" i="21"/>
  <c r="L351" i="21"/>
  <c r="K351" i="21"/>
  <c r="J351" i="21"/>
  <c r="I351" i="21"/>
  <c r="H351" i="21"/>
  <c r="G351" i="21"/>
  <c r="C351" i="21"/>
  <c r="L350" i="21"/>
  <c r="K350" i="21"/>
  <c r="J350" i="21"/>
  <c r="I350" i="21"/>
  <c r="H350" i="21"/>
  <c r="G350" i="21"/>
  <c r="C350" i="21"/>
  <c r="L349" i="21"/>
  <c r="K349" i="21"/>
  <c r="J349" i="21"/>
  <c r="I349" i="21"/>
  <c r="H349" i="21"/>
  <c r="G349" i="21"/>
  <c r="C349" i="21"/>
  <c r="L348" i="21"/>
  <c r="K348" i="21"/>
  <c r="J348" i="21"/>
  <c r="I348" i="21"/>
  <c r="H348" i="21"/>
  <c r="G348" i="21"/>
  <c r="C348" i="21"/>
  <c r="L347" i="21"/>
  <c r="K347" i="21"/>
  <c r="J347" i="21"/>
  <c r="I347" i="21"/>
  <c r="H347" i="21"/>
  <c r="G347" i="21"/>
  <c r="C347" i="21"/>
  <c r="L346" i="21"/>
  <c r="K346" i="21"/>
  <c r="J346" i="21"/>
  <c r="I346" i="21"/>
  <c r="H346" i="21"/>
  <c r="G346" i="21"/>
  <c r="C346" i="21"/>
  <c r="L345" i="21"/>
  <c r="K345" i="21"/>
  <c r="J345" i="21"/>
  <c r="I345" i="21"/>
  <c r="H345" i="21"/>
  <c r="G345" i="21"/>
  <c r="C345" i="21"/>
  <c r="L344" i="21"/>
  <c r="K344" i="21"/>
  <c r="J344" i="21"/>
  <c r="I344" i="21"/>
  <c r="H344" i="21"/>
  <c r="G344" i="21"/>
  <c r="C344" i="21"/>
  <c r="L343" i="21"/>
  <c r="K343" i="21"/>
  <c r="J343" i="21"/>
  <c r="I343" i="21"/>
  <c r="H343" i="21"/>
  <c r="G343" i="21"/>
  <c r="C343" i="21"/>
  <c r="L342" i="21"/>
  <c r="K342" i="21"/>
  <c r="J342" i="21"/>
  <c r="I342" i="21"/>
  <c r="H342" i="21"/>
  <c r="G342" i="21"/>
  <c r="C342" i="21"/>
  <c r="L341" i="21"/>
  <c r="K341" i="21"/>
  <c r="J341" i="21"/>
  <c r="I341" i="21"/>
  <c r="H341" i="21"/>
  <c r="G341" i="21"/>
  <c r="C341" i="21"/>
  <c r="L340" i="21"/>
  <c r="K340" i="21"/>
  <c r="J340" i="21"/>
  <c r="I340" i="21"/>
  <c r="H340" i="21"/>
  <c r="G340" i="21"/>
  <c r="C340" i="21"/>
  <c r="L339" i="21"/>
  <c r="K339" i="21"/>
  <c r="J339" i="21"/>
  <c r="I339" i="21"/>
  <c r="H339" i="21"/>
  <c r="G339" i="21"/>
  <c r="C339" i="21"/>
  <c r="L338" i="21"/>
  <c r="K338" i="21"/>
  <c r="J338" i="21"/>
  <c r="I338" i="21"/>
  <c r="H338" i="21"/>
  <c r="G338" i="21"/>
  <c r="C338" i="21"/>
  <c r="L337" i="21"/>
  <c r="K337" i="21"/>
  <c r="J337" i="21"/>
  <c r="I337" i="21"/>
  <c r="H337" i="21"/>
  <c r="G337" i="21"/>
  <c r="C337" i="21"/>
  <c r="L336" i="21"/>
  <c r="K336" i="21"/>
  <c r="J336" i="21"/>
  <c r="I336" i="21"/>
  <c r="H336" i="21"/>
  <c r="G336" i="21"/>
  <c r="C336" i="21"/>
  <c r="L335" i="21"/>
  <c r="K335" i="21"/>
  <c r="J335" i="21"/>
  <c r="I335" i="21"/>
  <c r="H335" i="21"/>
  <c r="G335" i="21"/>
  <c r="C335" i="21"/>
  <c r="L334" i="21"/>
  <c r="K334" i="21"/>
  <c r="J334" i="21"/>
  <c r="I334" i="21"/>
  <c r="H334" i="21"/>
  <c r="G334" i="21"/>
  <c r="C334" i="21"/>
  <c r="L333" i="21"/>
  <c r="K333" i="21"/>
  <c r="J333" i="21"/>
  <c r="I333" i="21"/>
  <c r="H333" i="21"/>
  <c r="G333" i="21"/>
  <c r="C333" i="21"/>
  <c r="L332" i="21"/>
  <c r="K332" i="21"/>
  <c r="J332" i="21"/>
  <c r="I332" i="21"/>
  <c r="H332" i="21"/>
  <c r="G332" i="21"/>
  <c r="C332" i="21"/>
  <c r="L331" i="21"/>
  <c r="K331" i="21"/>
  <c r="J331" i="21"/>
  <c r="I331" i="21"/>
  <c r="H331" i="21"/>
  <c r="G331" i="21"/>
  <c r="C331" i="21"/>
  <c r="L330" i="21"/>
  <c r="K330" i="21"/>
  <c r="J330" i="21"/>
  <c r="I330" i="21"/>
  <c r="H330" i="21"/>
  <c r="G330" i="21"/>
  <c r="C330" i="21"/>
  <c r="L329" i="21"/>
  <c r="K329" i="21"/>
  <c r="J329" i="21"/>
  <c r="I329" i="21"/>
  <c r="H329" i="21"/>
  <c r="G329" i="21"/>
  <c r="C329" i="21"/>
  <c r="L328" i="21"/>
  <c r="K328" i="21"/>
  <c r="J328" i="21"/>
  <c r="I328" i="21"/>
  <c r="H328" i="21"/>
  <c r="G328" i="21"/>
  <c r="C328" i="21"/>
  <c r="L327" i="21"/>
  <c r="K327" i="21"/>
  <c r="J327" i="21"/>
  <c r="I327" i="21"/>
  <c r="H327" i="21"/>
  <c r="G327" i="21"/>
  <c r="C327" i="21"/>
  <c r="L326" i="21"/>
  <c r="K326" i="21"/>
  <c r="J326" i="21"/>
  <c r="I326" i="21"/>
  <c r="H326" i="21"/>
  <c r="G326" i="21"/>
  <c r="C326" i="21"/>
  <c r="L325" i="21"/>
  <c r="K325" i="21"/>
  <c r="J325" i="21"/>
  <c r="I325" i="21"/>
  <c r="H325" i="21"/>
  <c r="G325" i="21"/>
  <c r="C325" i="21"/>
  <c r="L324" i="21"/>
  <c r="K324" i="21"/>
  <c r="J324" i="21"/>
  <c r="I324" i="21"/>
  <c r="H324" i="21"/>
  <c r="G324" i="21"/>
  <c r="C324" i="21"/>
  <c r="L323" i="21"/>
  <c r="K323" i="21"/>
  <c r="J323" i="21"/>
  <c r="I323" i="21"/>
  <c r="H323" i="21"/>
  <c r="G323" i="21"/>
  <c r="C323" i="21"/>
  <c r="L322" i="21"/>
  <c r="K322" i="21"/>
  <c r="J322" i="21"/>
  <c r="I322" i="21"/>
  <c r="H322" i="21"/>
  <c r="G322" i="21"/>
  <c r="C322" i="21"/>
  <c r="L321" i="21"/>
  <c r="K321" i="21"/>
  <c r="J321" i="21"/>
  <c r="I321" i="21"/>
  <c r="H321" i="21"/>
  <c r="G321" i="21"/>
  <c r="C321" i="21"/>
  <c r="L320" i="21"/>
  <c r="K320" i="21"/>
  <c r="J320" i="21"/>
  <c r="I320" i="21"/>
  <c r="H320" i="21"/>
  <c r="G320" i="21"/>
  <c r="C320" i="21"/>
  <c r="L319" i="21"/>
  <c r="K319" i="21"/>
  <c r="J319" i="21"/>
  <c r="I319" i="21"/>
  <c r="H319" i="21"/>
  <c r="G319" i="21"/>
  <c r="C319" i="21"/>
  <c r="L318" i="21"/>
  <c r="K318" i="21"/>
  <c r="J318" i="21"/>
  <c r="I318" i="21"/>
  <c r="H318" i="21"/>
  <c r="G318" i="21"/>
  <c r="C318" i="21"/>
  <c r="L317" i="21"/>
  <c r="K317" i="21"/>
  <c r="J317" i="21"/>
  <c r="I317" i="21"/>
  <c r="H317" i="21"/>
  <c r="G317" i="21"/>
  <c r="C317" i="21"/>
  <c r="L316" i="21"/>
  <c r="K316" i="21"/>
  <c r="J316" i="21"/>
  <c r="I316" i="21"/>
  <c r="H316" i="21"/>
  <c r="G316" i="21"/>
  <c r="C316" i="21"/>
  <c r="L315" i="21"/>
  <c r="K315" i="21"/>
  <c r="J315" i="21"/>
  <c r="I315" i="21"/>
  <c r="H315" i="21"/>
  <c r="G315" i="21"/>
  <c r="C315" i="21"/>
  <c r="L314" i="21"/>
  <c r="K314" i="21"/>
  <c r="J314" i="21"/>
  <c r="I314" i="21"/>
  <c r="H314" i="21"/>
  <c r="G314" i="21"/>
  <c r="C314" i="21"/>
  <c r="L313" i="21"/>
  <c r="K313" i="21"/>
  <c r="J313" i="21"/>
  <c r="I313" i="21"/>
  <c r="H313" i="21"/>
  <c r="G313" i="21"/>
  <c r="C313" i="21"/>
  <c r="L312" i="21"/>
  <c r="K312" i="21"/>
  <c r="J312" i="21"/>
  <c r="I312" i="21"/>
  <c r="H312" i="21"/>
  <c r="G312" i="21"/>
  <c r="C312" i="21"/>
  <c r="L311" i="21"/>
  <c r="K311" i="21"/>
  <c r="J311" i="21"/>
  <c r="I311" i="21"/>
  <c r="H311" i="21"/>
  <c r="G311" i="21"/>
  <c r="C311" i="21"/>
  <c r="L310" i="21"/>
  <c r="K310" i="21"/>
  <c r="J310" i="21"/>
  <c r="I310" i="21"/>
  <c r="H310" i="21"/>
  <c r="G310" i="21"/>
  <c r="C310" i="21"/>
  <c r="L309" i="21"/>
  <c r="K309" i="21"/>
  <c r="J309" i="21"/>
  <c r="I309" i="21"/>
  <c r="H309" i="21"/>
  <c r="G309" i="21"/>
  <c r="C309" i="21"/>
  <c r="L308" i="21"/>
  <c r="K308" i="21"/>
  <c r="J308" i="21"/>
  <c r="I308" i="21"/>
  <c r="H308" i="21"/>
  <c r="G308" i="21"/>
  <c r="C308" i="21"/>
  <c r="L307" i="21"/>
  <c r="K307" i="21"/>
  <c r="J307" i="21"/>
  <c r="I307" i="21"/>
  <c r="H307" i="21"/>
  <c r="G307" i="21"/>
  <c r="C307" i="21"/>
  <c r="L306" i="21"/>
  <c r="K306" i="21"/>
  <c r="J306" i="21"/>
  <c r="I306" i="21"/>
  <c r="H306" i="21"/>
  <c r="G306" i="21"/>
  <c r="C306" i="21"/>
  <c r="L305" i="21"/>
  <c r="K305" i="21"/>
  <c r="J305" i="21"/>
  <c r="I305" i="21"/>
  <c r="H305" i="21"/>
  <c r="G305" i="21"/>
  <c r="C305" i="21"/>
  <c r="L304" i="21"/>
  <c r="K304" i="21"/>
  <c r="J304" i="21"/>
  <c r="I304" i="21"/>
  <c r="H304" i="21"/>
  <c r="G304" i="21"/>
  <c r="C304" i="21"/>
  <c r="L303" i="21"/>
  <c r="K303" i="21"/>
  <c r="J303" i="21"/>
  <c r="I303" i="21"/>
  <c r="H303" i="21"/>
  <c r="G303" i="21"/>
  <c r="C303" i="21"/>
  <c r="L302" i="21"/>
  <c r="K302" i="21"/>
  <c r="J302" i="21"/>
  <c r="I302" i="21"/>
  <c r="H302" i="21"/>
  <c r="G302" i="21"/>
  <c r="C302" i="21"/>
  <c r="L301" i="21"/>
  <c r="K301" i="21"/>
  <c r="J301" i="21"/>
  <c r="I301" i="21"/>
  <c r="H301" i="21"/>
  <c r="G301" i="21"/>
  <c r="C301" i="21"/>
  <c r="L300" i="21"/>
  <c r="K300" i="21"/>
  <c r="J300" i="21"/>
  <c r="I300" i="21"/>
  <c r="H300" i="21"/>
  <c r="G300" i="21"/>
  <c r="C300" i="21"/>
  <c r="L299" i="21"/>
  <c r="K299" i="21"/>
  <c r="J299" i="21"/>
  <c r="I299" i="21"/>
  <c r="H299" i="21"/>
  <c r="G299" i="21"/>
  <c r="C299" i="21"/>
  <c r="L298" i="21"/>
  <c r="K298" i="21"/>
  <c r="J298" i="21"/>
  <c r="I298" i="21"/>
  <c r="H298" i="21"/>
  <c r="G298" i="21"/>
  <c r="C298" i="21"/>
  <c r="L297" i="21"/>
  <c r="K297" i="21"/>
  <c r="J297" i="21"/>
  <c r="I297" i="21"/>
  <c r="H297" i="21"/>
  <c r="G297" i="21"/>
  <c r="C297" i="21"/>
  <c r="L296" i="21"/>
  <c r="K296" i="21"/>
  <c r="J296" i="21"/>
  <c r="I296" i="21"/>
  <c r="H296" i="21"/>
  <c r="G296" i="21"/>
  <c r="C296" i="21"/>
  <c r="L295" i="21"/>
  <c r="K295" i="21"/>
  <c r="J295" i="21"/>
  <c r="I295" i="21"/>
  <c r="H295" i="21"/>
  <c r="G295" i="21"/>
  <c r="C295" i="21"/>
  <c r="L294" i="21"/>
  <c r="K294" i="21"/>
  <c r="J294" i="21"/>
  <c r="I294" i="21"/>
  <c r="H294" i="21"/>
  <c r="G294" i="21"/>
  <c r="C294" i="21"/>
  <c r="L293" i="21"/>
  <c r="K293" i="21"/>
  <c r="J293" i="21"/>
  <c r="I293" i="21"/>
  <c r="H293" i="21"/>
  <c r="G293" i="21"/>
  <c r="C293" i="21"/>
  <c r="L292" i="21"/>
  <c r="K292" i="21"/>
  <c r="J292" i="21"/>
  <c r="I292" i="21"/>
  <c r="H292" i="21"/>
  <c r="G292" i="21"/>
  <c r="C292" i="21"/>
  <c r="L291" i="21"/>
  <c r="K291" i="21"/>
  <c r="J291" i="21"/>
  <c r="I291" i="21"/>
  <c r="H291" i="21"/>
  <c r="G291" i="21"/>
  <c r="C291" i="21"/>
  <c r="L290" i="21"/>
  <c r="K290" i="21"/>
  <c r="J290" i="21"/>
  <c r="I290" i="21"/>
  <c r="H290" i="21"/>
  <c r="G290" i="21"/>
  <c r="C290" i="21"/>
  <c r="L289" i="21"/>
  <c r="K289" i="21"/>
  <c r="J289" i="21"/>
  <c r="I289" i="21"/>
  <c r="H289" i="21"/>
  <c r="G289" i="21"/>
  <c r="C289" i="21"/>
  <c r="L288" i="21"/>
  <c r="K288" i="21"/>
  <c r="J288" i="21"/>
  <c r="I288" i="21"/>
  <c r="H288" i="21"/>
  <c r="G288" i="21"/>
  <c r="C288" i="21"/>
  <c r="L287" i="21"/>
  <c r="K287" i="21"/>
  <c r="J287" i="21"/>
  <c r="I287" i="21"/>
  <c r="H287" i="21"/>
  <c r="G287" i="21"/>
  <c r="C287" i="21"/>
  <c r="L286" i="21"/>
  <c r="K286" i="21"/>
  <c r="J286" i="21"/>
  <c r="I286" i="21"/>
  <c r="H286" i="21"/>
  <c r="G286" i="21"/>
  <c r="C286" i="21"/>
  <c r="L285" i="21"/>
  <c r="K285" i="21"/>
  <c r="J285" i="21"/>
  <c r="I285" i="21"/>
  <c r="H285" i="21"/>
  <c r="G285" i="21"/>
  <c r="C285" i="21"/>
  <c r="L284" i="21"/>
  <c r="K284" i="21"/>
  <c r="J284" i="21"/>
  <c r="I284" i="21"/>
  <c r="H284" i="21"/>
  <c r="G284" i="21"/>
  <c r="C284" i="21"/>
  <c r="L283" i="21"/>
  <c r="K283" i="21"/>
  <c r="J283" i="21"/>
  <c r="I283" i="21"/>
  <c r="H283" i="21"/>
  <c r="G283" i="21"/>
  <c r="C283" i="21"/>
  <c r="L282" i="21"/>
  <c r="K282" i="21"/>
  <c r="J282" i="21"/>
  <c r="I282" i="21"/>
  <c r="H282" i="21"/>
  <c r="G282" i="21"/>
  <c r="C282" i="21"/>
  <c r="L281" i="21"/>
  <c r="K281" i="21"/>
  <c r="J281" i="21"/>
  <c r="I281" i="21"/>
  <c r="H281" i="21"/>
  <c r="G281" i="21"/>
  <c r="C281" i="21"/>
  <c r="L280" i="21"/>
  <c r="K280" i="21"/>
  <c r="J280" i="21"/>
  <c r="I280" i="21"/>
  <c r="H280" i="21"/>
  <c r="G280" i="21"/>
  <c r="C280" i="21"/>
  <c r="L279" i="21"/>
  <c r="K279" i="21"/>
  <c r="J279" i="21"/>
  <c r="I279" i="21"/>
  <c r="H279" i="21"/>
  <c r="G279" i="21"/>
  <c r="C279" i="21"/>
  <c r="L278" i="21"/>
  <c r="K278" i="21"/>
  <c r="J278" i="21"/>
  <c r="I278" i="21"/>
  <c r="H278" i="21"/>
  <c r="G278" i="21"/>
  <c r="C278" i="21"/>
  <c r="L277" i="21"/>
  <c r="K277" i="21"/>
  <c r="J277" i="21"/>
  <c r="I277" i="21"/>
  <c r="H277" i="21"/>
  <c r="G277" i="21"/>
  <c r="C277" i="21"/>
  <c r="L276" i="21"/>
  <c r="K276" i="21"/>
  <c r="J276" i="21"/>
  <c r="I276" i="21"/>
  <c r="H276" i="21"/>
  <c r="G276" i="21"/>
  <c r="C276" i="21"/>
  <c r="L275" i="21"/>
  <c r="K275" i="21"/>
  <c r="J275" i="21"/>
  <c r="I275" i="21"/>
  <c r="H275" i="21"/>
  <c r="G275" i="21"/>
  <c r="C275" i="21"/>
  <c r="L274" i="21"/>
  <c r="K274" i="21"/>
  <c r="J274" i="21"/>
  <c r="I274" i="21"/>
  <c r="H274" i="21"/>
  <c r="G274" i="21"/>
  <c r="C274" i="21"/>
  <c r="L273" i="21"/>
  <c r="K273" i="21"/>
  <c r="J273" i="21"/>
  <c r="I273" i="21"/>
  <c r="H273" i="21"/>
  <c r="G273" i="21"/>
  <c r="C273" i="21"/>
  <c r="L272" i="21"/>
  <c r="K272" i="21"/>
  <c r="J272" i="21"/>
  <c r="I272" i="21"/>
  <c r="H272" i="21"/>
  <c r="G272" i="21"/>
  <c r="C272" i="21"/>
  <c r="L271" i="21"/>
  <c r="K271" i="21"/>
  <c r="J271" i="21"/>
  <c r="I271" i="21"/>
  <c r="H271" i="21"/>
  <c r="G271" i="21"/>
  <c r="C271" i="21"/>
  <c r="L270" i="21"/>
  <c r="K270" i="21"/>
  <c r="J270" i="21"/>
  <c r="I270" i="21"/>
  <c r="H270" i="21"/>
  <c r="G270" i="21"/>
  <c r="C270" i="21"/>
  <c r="L269" i="21"/>
  <c r="K269" i="21"/>
  <c r="J269" i="21"/>
  <c r="I269" i="21"/>
  <c r="H269" i="21"/>
  <c r="G269" i="21"/>
  <c r="C269" i="21"/>
  <c r="L268" i="21"/>
  <c r="K268" i="21"/>
  <c r="J268" i="21"/>
  <c r="I268" i="21"/>
  <c r="H268" i="21"/>
  <c r="G268" i="21"/>
  <c r="C268" i="21"/>
  <c r="L267" i="21"/>
  <c r="K267" i="21"/>
  <c r="J267" i="21"/>
  <c r="I267" i="21"/>
  <c r="H267" i="21"/>
  <c r="G267" i="21"/>
  <c r="C267" i="21"/>
  <c r="L266" i="21"/>
  <c r="K266" i="21"/>
  <c r="J266" i="21"/>
  <c r="I266" i="21"/>
  <c r="H266" i="21"/>
  <c r="G266" i="21"/>
  <c r="C266" i="21"/>
  <c r="L265" i="21"/>
  <c r="K265" i="21"/>
  <c r="J265" i="21"/>
  <c r="I265" i="21"/>
  <c r="H265" i="21"/>
  <c r="G265" i="21"/>
  <c r="C265" i="21"/>
  <c r="L264" i="21"/>
  <c r="K264" i="21"/>
  <c r="J264" i="21"/>
  <c r="I264" i="21"/>
  <c r="H264" i="21"/>
  <c r="G264" i="21"/>
  <c r="C264" i="21"/>
  <c r="L263" i="21"/>
  <c r="K263" i="21"/>
  <c r="J263" i="21"/>
  <c r="I263" i="21"/>
  <c r="H263" i="21"/>
  <c r="G263" i="21"/>
  <c r="C263" i="21"/>
  <c r="L262" i="21"/>
  <c r="K262" i="21"/>
  <c r="J262" i="21"/>
  <c r="I262" i="21"/>
  <c r="H262" i="21"/>
  <c r="G262" i="21"/>
  <c r="C262" i="21"/>
  <c r="L261" i="21"/>
  <c r="K261" i="21"/>
  <c r="J261" i="21"/>
  <c r="I261" i="21"/>
  <c r="H261" i="21"/>
  <c r="G261" i="21"/>
  <c r="C261" i="21"/>
  <c r="L260" i="21"/>
  <c r="K260" i="21"/>
  <c r="J260" i="21"/>
  <c r="I260" i="21"/>
  <c r="H260" i="21"/>
  <c r="G260" i="21"/>
  <c r="C260" i="21"/>
  <c r="L259" i="21"/>
  <c r="K259" i="21"/>
  <c r="J259" i="21"/>
  <c r="I259" i="21"/>
  <c r="H259" i="21"/>
  <c r="G259" i="21"/>
  <c r="C259" i="21"/>
  <c r="L258" i="21"/>
  <c r="K258" i="21"/>
  <c r="J258" i="21"/>
  <c r="I258" i="21"/>
  <c r="H258" i="21"/>
  <c r="G258" i="21"/>
  <c r="C258" i="21"/>
  <c r="L257" i="21"/>
  <c r="K257" i="21"/>
  <c r="J257" i="21"/>
  <c r="I257" i="21"/>
  <c r="H257" i="21"/>
  <c r="G257" i="21"/>
  <c r="C257" i="21"/>
  <c r="L256" i="21"/>
  <c r="K256" i="21"/>
  <c r="J256" i="21"/>
  <c r="I256" i="21"/>
  <c r="H256" i="21"/>
  <c r="G256" i="21"/>
  <c r="C256" i="21"/>
  <c r="L255" i="21"/>
  <c r="K255" i="21"/>
  <c r="J255" i="21"/>
  <c r="I255" i="21"/>
  <c r="H255" i="21"/>
  <c r="G255" i="21"/>
  <c r="C255" i="21"/>
  <c r="L254" i="21"/>
  <c r="K254" i="21"/>
  <c r="J254" i="21"/>
  <c r="I254" i="21"/>
  <c r="H254" i="21"/>
  <c r="G254" i="21"/>
  <c r="C254" i="21"/>
  <c r="L253" i="21"/>
  <c r="K253" i="21"/>
  <c r="J253" i="21"/>
  <c r="I253" i="21"/>
  <c r="H253" i="21"/>
  <c r="G253" i="21"/>
  <c r="C253" i="21"/>
  <c r="L252" i="21"/>
  <c r="K252" i="21"/>
  <c r="J252" i="21"/>
  <c r="I252" i="21"/>
  <c r="H252" i="21"/>
  <c r="G252" i="21"/>
  <c r="C252" i="21"/>
  <c r="L251" i="21"/>
  <c r="K251" i="21"/>
  <c r="J251" i="21"/>
  <c r="I251" i="21"/>
  <c r="H251" i="21"/>
  <c r="G251" i="21"/>
  <c r="C251" i="21"/>
  <c r="L250" i="21"/>
  <c r="K250" i="21"/>
  <c r="J250" i="21"/>
  <c r="I250" i="21"/>
  <c r="H250" i="21"/>
  <c r="G250" i="21"/>
  <c r="C250" i="21"/>
  <c r="L249" i="21"/>
  <c r="K249" i="21"/>
  <c r="J249" i="21"/>
  <c r="I249" i="21"/>
  <c r="H249" i="21"/>
  <c r="G249" i="21"/>
  <c r="C249" i="21"/>
  <c r="L248" i="21"/>
  <c r="K248" i="21"/>
  <c r="J248" i="21"/>
  <c r="I248" i="21"/>
  <c r="H248" i="21"/>
  <c r="G248" i="21"/>
  <c r="C248" i="21"/>
  <c r="L247" i="21"/>
  <c r="K247" i="21"/>
  <c r="J247" i="21"/>
  <c r="I247" i="21"/>
  <c r="H247" i="21"/>
  <c r="G247" i="21"/>
  <c r="C247" i="21"/>
  <c r="L246" i="21"/>
  <c r="K246" i="21"/>
  <c r="J246" i="21"/>
  <c r="I246" i="21"/>
  <c r="H246" i="21"/>
  <c r="G246" i="21"/>
  <c r="C246" i="21"/>
  <c r="L245" i="21"/>
  <c r="K245" i="21"/>
  <c r="J245" i="21"/>
  <c r="I245" i="21"/>
  <c r="H245" i="21"/>
  <c r="G245" i="21"/>
  <c r="C245" i="21"/>
  <c r="L244" i="21"/>
  <c r="K244" i="21"/>
  <c r="J244" i="21"/>
  <c r="I244" i="21"/>
  <c r="H244" i="21"/>
  <c r="G244" i="21"/>
  <c r="C244" i="21"/>
  <c r="L243" i="21"/>
  <c r="K243" i="21"/>
  <c r="J243" i="21"/>
  <c r="I243" i="21"/>
  <c r="H243" i="21"/>
  <c r="G243" i="21"/>
  <c r="C243" i="21"/>
  <c r="L242" i="21"/>
  <c r="K242" i="21"/>
  <c r="J242" i="21"/>
  <c r="I242" i="21"/>
  <c r="H242" i="21"/>
  <c r="G242" i="21"/>
  <c r="C242" i="21"/>
  <c r="L241" i="21"/>
  <c r="K241" i="21"/>
  <c r="J241" i="21"/>
  <c r="I241" i="21"/>
  <c r="H241" i="21"/>
  <c r="G241" i="21"/>
  <c r="C241" i="21"/>
  <c r="L240" i="21"/>
  <c r="K240" i="21"/>
  <c r="J240" i="21"/>
  <c r="I240" i="21"/>
  <c r="H240" i="21"/>
  <c r="G240" i="21"/>
  <c r="C240" i="21"/>
  <c r="L239" i="21"/>
  <c r="K239" i="21"/>
  <c r="J239" i="21"/>
  <c r="I239" i="21"/>
  <c r="H239" i="21"/>
  <c r="G239" i="21"/>
  <c r="C239" i="21"/>
  <c r="L238" i="21"/>
  <c r="K238" i="21"/>
  <c r="J238" i="21"/>
  <c r="I238" i="21"/>
  <c r="H238" i="21"/>
  <c r="G238" i="21"/>
  <c r="C238" i="21"/>
  <c r="L237" i="21"/>
  <c r="K237" i="21"/>
  <c r="J237" i="21"/>
  <c r="I237" i="21"/>
  <c r="H237" i="21"/>
  <c r="G237" i="21"/>
  <c r="C237" i="21"/>
  <c r="L236" i="21"/>
  <c r="K236" i="21"/>
  <c r="J236" i="21"/>
  <c r="I236" i="21"/>
  <c r="H236" i="21"/>
  <c r="G236" i="21"/>
  <c r="C236" i="21"/>
  <c r="L235" i="21"/>
  <c r="K235" i="21"/>
  <c r="J235" i="21"/>
  <c r="I235" i="21"/>
  <c r="H235" i="21"/>
  <c r="G235" i="21"/>
  <c r="C235" i="21"/>
  <c r="L234" i="21"/>
  <c r="K234" i="21"/>
  <c r="J234" i="21"/>
  <c r="I234" i="21"/>
  <c r="H234" i="21"/>
  <c r="G234" i="21"/>
  <c r="C234" i="21"/>
  <c r="L233" i="21"/>
  <c r="K233" i="21"/>
  <c r="J233" i="21"/>
  <c r="I233" i="21"/>
  <c r="H233" i="21"/>
  <c r="G233" i="21"/>
  <c r="C233" i="21"/>
  <c r="L232" i="21"/>
  <c r="K232" i="21"/>
  <c r="J232" i="21"/>
  <c r="I232" i="21"/>
  <c r="H232" i="21"/>
  <c r="G232" i="21"/>
  <c r="C232" i="21"/>
  <c r="L231" i="21"/>
  <c r="K231" i="21"/>
  <c r="J231" i="21"/>
  <c r="I231" i="21"/>
  <c r="H231" i="21"/>
  <c r="G231" i="21"/>
  <c r="C231" i="21"/>
  <c r="L230" i="21"/>
  <c r="K230" i="21"/>
  <c r="J230" i="21"/>
  <c r="I230" i="21"/>
  <c r="H230" i="21"/>
  <c r="G230" i="21"/>
  <c r="C230" i="21"/>
  <c r="L229" i="21"/>
  <c r="K229" i="21"/>
  <c r="J229" i="21"/>
  <c r="I229" i="21"/>
  <c r="H229" i="21"/>
  <c r="G229" i="21"/>
  <c r="C229" i="21"/>
  <c r="L228" i="21"/>
  <c r="K228" i="21"/>
  <c r="J228" i="21"/>
  <c r="I228" i="21"/>
  <c r="H228" i="21"/>
  <c r="G228" i="21"/>
  <c r="C228" i="21"/>
  <c r="L227" i="21"/>
  <c r="K227" i="21"/>
  <c r="J227" i="21"/>
  <c r="I227" i="21"/>
  <c r="H227" i="21"/>
  <c r="G227" i="21"/>
  <c r="C227" i="21"/>
  <c r="L226" i="21"/>
  <c r="K226" i="21"/>
  <c r="J226" i="21"/>
  <c r="I226" i="21"/>
  <c r="H226" i="21"/>
  <c r="G226" i="21"/>
  <c r="C226" i="21"/>
  <c r="L225" i="21"/>
  <c r="K225" i="21"/>
  <c r="J225" i="21"/>
  <c r="I225" i="21"/>
  <c r="H225" i="21"/>
  <c r="G225" i="21"/>
  <c r="C225" i="21"/>
  <c r="L224" i="21"/>
  <c r="K224" i="21"/>
  <c r="J224" i="21"/>
  <c r="I224" i="21"/>
  <c r="H224" i="21"/>
  <c r="G224" i="21"/>
  <c r="C224" i="21"/>
  <c r="L223" i="21"/>
  <c r="K223" i="21"/>
  <c r="J223" i="21"/>
  <c r="I223" i="21"/>
  <c r="H223" i="21"/>
  <c r="G223" i="21"/>
  <c r="C223" i="21"/>
  <c r="L222" i="21"/>
  <c r="K222" i="21"/>
  <c r="J222" i="21"/>
  <c r="I222" i="21"/>
  <c r="H222" i="21"/>
  <c r="G222" i="21"/>
  <c r="C222" i="21"/>
  <c r="L221" i="21"/>
  <c r="K221" i="21"/>
  <c r="J221" i="21"/>
  <c r="I221" i="21"/>
  <c r="H221" i="21"/>
  <c r="G221" i="21"/>
  <c r="C221" i="21"/>
  <c r="L220" i="21"/>
  <c r="K220" i="21"/>
  <c r="J220" i="21"/>
  <c r="I220" i="21"/>
  <c r="H220" i="21"/>
  <c r="G220" i="21"/>
  <c r="C220" i="21"/>
  <c r="L219" i="21"/>
  <c r="K219" i="21"/>
  <c r="J219" i="21"/>
  <c r="I219" i="21"/>
  <c r="H219" i="21"/>
  <c r="G219" i="21"/>
  <c r="C219" i="21"/>
  <c r="L218" i="21"/>
  <c r="K218" i="21"/>
  <c r="J218" i="21"/>
  <c r="I218" i="21"/>
  <c r="H218" i="21"/>
  <c r="G218" i="21"/>
  <c r="C218" i="21"/>
  <c r="L217" i="21"/>
  <c r="K217" i="21"/>
  <c r="J217" i="21"/>
  <c r="I217" i="21"/>
  <c r="H217" i="21"/>
  <c r="G217" i="21"/>
  <c r="C217" i="21"/>
  <c r="L216" i="21"/>
  <c r="K216" i="21"/>
  <c r="J216" i="21"/>
  <c r="I216" i="21"/>
  <c r="H216" i="21"/>
  <c r="G216" i="21"/>
  <c r="C216" i="21"/>
  <c r="L215" i="21"/>
  <c r="K215" i="21"/>
  <c r="J215" i="21"/>
  <c r="I215" i="21"/>
  <c r="H215" i="21"/>
  <c r="G215" i="21"/>
  <c r="C215" i="21"/>
  <c r="L214" i="21"/>
  <c r="K214" i="21"/>
  <c r="J214" i="21"/>
  <c r="I214" i="21"/>
  <c r="H214" i="21"/>
  <c r="G214" i="21"/>
  <c r="C214" i="21"/>
  <c r="L213" i="21"/>
  <c r="K213" i="21"/>
  <c r="J213" i="21"/>
  <c r="I213" i="21"/>
  <c r="H213" i="21"/>
  <c r="G213" i="21"/>
  <c r="C213" i="21"/>
  <c r="L212" i="21"/>
  <c r="K212" i="21"/>
  <c r="J212" i="21"/>
  <c r="I212" i="21"/>
  <c r="H212" i="21"/>
  <c r="G212" i="21"/>
  <c r="C212" i="21"/>
  <c r="L211" i="21"/>
  <c r="K211" i="21"/>
  <c r="J211" i="21"/>
  <c r="I211" i="21"/>
  <c r="H211" i="21"/>
  <c r="G211" i="21"/>
  <c r="C211" i="21"/>
  <c r="L210" i="21"/>
  <c r="K210" i="21"/>
  <c r="J210" i="21"/>
  <c r="I210" i="21"/>
  <c r="H210" i="21"/>
  <c r="G210" i="21"/>
  <c r="C210" i="21"/>
  <c r="L209" i="21"/>
  <c r="K209" i="21"/>
  <c r="J209" i="21"/>
  <c r="I209" i="21"/>
  <c r="H209" i="21"/>
  <c r="G209" i="21"/>
  <c r="C209" i="21"/>
  <c r="L208" i="21"/>
  <c r="K208" i="21"/>
  <c r="J208" i="21"/>
  <c r="I208" i="21"/>
  <c r="H208" i="21"/>
  <c r="G208" i="21"/>
  <c r="C208" i="21"/>
  <c r="L207" i="21"/>
  <c r="K207" i="21"/>
  <c r="J207" i="21"/>
  <c r="I207" i="21"/>
  <c r="H207" i="21"/>
  <c r="G207" i="21"/>
  <c r="C207" i="21"/>
  <c r="L206" i="21"/>
  <c r="K206" i="21"/>
  <c r="J206" i="21"/>
  <c r="I206" i="21"/>
  <c r="H206" i="21"/>
  <c r="G206" i="21"/>
  <c r="C206" i="21"/>
  <c r="L205" i="21"/>
  <c r="K205" i="21"/>
  <c r="J205" i="21"/>
  <c r="I205" i="21"/>
  <c r="H205" i="21"/>
  <c r="G205" i="21"/>
  <c r="C205" i="21"/>
  <c r="L204" i="21"/>
  <c r="K204" i="21"/>
  <c r="J204" i="21"/>
  <c r="I204" i="21"/>
  <c r="H204" i="21"/>
  <c r="G204" i="21"/>
  <c r="C204" i="21"/>
  <c r="L203" i="21"/>
  <c r="K203" i="21"/>
  <c r="J203" i="21"/>
  <c r="I203" i="21"/>
  <c r="H203" i="21"/>
  <c r="G203" i="21"/>
  <c r="C203" i="21"/>
  <c r="L202" i="21"/>
  <c r="K202" i="21"/>
  <c r="J202" i="21"/>
  <c r="I202" i="21"/>
  <c r="H202" i="21"/>
  <c r="G202" i="21"/>
  <c r="C202" i="21"/>
  <c r="L201" i="21"/>
  <c r="K201" i="21"/>
  <c r="J201" i="21"/>
  <c r="I201" i="21"/>
  <c r="H201" i="21"/>
  <c r="G201" i="21"/>
  <c r="C201" i="21"/>
  <c r="L200" i="21"/>
  <c r="K200" i="21"/>
  <c r="J200" i="21"/>
  <c r="I200" i="21"/>
  <c r="H200" i="21"/>
  <c r="G200" i="21"/>
  <c r="C200" i="21"/>
  <c r="L199" i="21"/>
  <c r="K199" i="21"/>
  <c r="J199" i="21"/>
  <c r="I199" i="21"/>
  <c r="H199" i="21"/>
  <c r="G199" i="21"/>
  <c r="C199" i="21"/>
  <c r="L198" i="21"/>
  <c r="K198" i="21"/>
  <c r="J198" i="21"/>
  <c r="I198" i="21"/>
  <c r="H198" i="21"/>
  <c r="G198" i="21"/>
  <c r="C198" i="21"/>
  <c r="L197" i="21"/>
  <c r="K197" i="21"/>
  <c r="J197" i="21"/>
  <c r="I197" i="21"/>
  <c r="H197" i="21"/>
  <c r="G197" i="21"/>
  <c r="C197" i="21"/>
  <c r="L196" i="21"/>
  <c r="K196" i="21"/>
  <c r="J196" i="21"/>
  <c r="I196" i="21"/>
  <c r="H196" i="21"/>
  <c r="G196" i="21"/>
  <c r="C196" i="21"/>
  <c r="L195" i="21"/>
  <c r="K195" i="21"/>
  <c r="J195" i="21"/>
  <c r="I195" i="21"/>
  <c r="H195" i="21"/>
  <c r="G195" i="21"/>
  <c r="C195" i="21"/>
  <c r="L194" i="21"/>
  <c r="K194" i="21"/>
  <c r="J194" i="21"/>
  <c r="I194" i="21"/>
  <c r="H194" i="21"/>
  <c r="G194" i="21"/>
  <c r="C194" i="21"/>
  <c r="L193" i="21"/>
  <c r="K193" i="21"/>
  <c r="J193" i="21"/>
  <c r="I193" i="21"/>
  <c r="H193" i="21"/>
  <c r="G193" i="21"/>
  <c r="C193" i="21"/>
  <c r="L192" i="21"/>
  <c r="K192" i="21"/>
  <c r="J192" i="21"/>
  <c r="I192" i="21"/>
  <c r="H192" i="21"/>
  <c r="G192" i="21"/>
  <c r="C192" i="21"/>
  <c r="L191" i="21"/>
  <c r="K191" i="21"/>
  <c r="J191" i="21"/>
  <c r="I191" i="21"/>
  <c r="H191" i="21"/>
  <c r="G191" i="21"/>
  <c r="C191" i="21"/>
  <c r="L190" i="21"/>
  <c r="K190" i="21"/>
  <c r="J190" i="21"/>
  <c r="I190" i="21"/>
  <c r="H190" i="21"/>
  <c r="G190" i="21"/>
  <c r="C190" i="21"/>
  <c r="L189" i="21"/>
  <c r="K189" i="21"/>
  <c r="J189" i="21"/>
  <c r="I189" i="21"/>
  <c r="H189" i="21"/>
  <c r="G189" i="21"/>
  <c r="C189" i="21"/>
  <c r="L188" i="21"/>
  <c r="K188" i="21"/>
  <c r="J188" i="21"/>
  <c r="I188" i="21"/>
  <c r="H188" i="21"/>
  <c r="G188" i="21"/>
  <c r="C188" i="21"/>
  <c r="L187" i="21"/>
  <c r="K187" i="21"/>
  <c r="J187" i="21"/>
  <c r="I187" i="21"/>
  <c r="H187" i="21"/>
  <c r="G187" i="21"/>
  <c r="C187" i="21"/>
  <c r="L186" i="21"/>
  <c r="K186" i="21"/>
  <c r="J186" i="21"/>
  <c r="I186" i="21"/>
  <c r="H186" i="21"/>
  <c r="G186" i="21"/>
  <c r="C186" i="21"/>
  <c r="L185" i="21"/>
  <c r="K185" i="21"/>
  <c r="J185" i="21"/>
  <c r="I185" i="21"/>
  <c r="H185" i="21"/>
  <c r="G185" i="21"/>
  <c r="C185" i="21"/>
  <c r="L184" i="21"/>
  <c r="K184" i="21"/>
  <c r="J184" i="21"/>
  <c r="I184" i="21"/>
  <c r="H184" i="21"/>
  <c r="G184" i="21"/>
  <c r="C184" i="21"/>
  <c r="L183" i="21"/>
  <c r="K183" i="21"/>
  <c r="J183" i="21"/>
  <c r="I183" i="21"/>
  <c r="H183" i="21"/>
  <c r="G183" i="21"/>
  <c r="C183" i="21"/>
  <c r="L182" i="21"/>
  <c r="K182" i="21"/>
  <c r="J182" i="21"/>
  <c r="I182" i="21"/>
  <c r="H182" i="21"/>
  <c r="G182" i="21"/>
  <c r="C182" i="21"/>
  <c r="L181" i="21"/>
  <c r="K181" i="21"/>
  <c r="J181" i="21"/>
  <c r="I181" i="21"/>
  <c r="H181" i="21"/>
  <c r="G181" i="21"/>
  <c r="C181" i="21"/>
  <c r="L180" i="21"/>
  <c r="K180" i="21"/>
  <c r="J180" i="21"/>
  <c r="I180" i="21"/>
  <c r="H180" i="21"/>
  <c r="G180" i="21"/>
  <c r="C180" i="21"/>
  <c r="L179" i="21"/>
  <c r="K179" i="21"/>
  <c r="J179" i="21"/>
  <c r="I179" i="21"/>
  <c r="H179" i="21"/>
  <c r="G179" i="21"/>
  <c r="C179" i="21"/>
  <c r="L178" i="21"/>
  <c r="K178" i="21"/>
  <c r="J178" i="21"/>
  <c r="I178" i="21"/>
  <c r="H178" i="21"/>
  <c r="G178" i="21"/>
  <c r="C178" i="21"/>
  <c r="L177" i="21"/>
  <c r="K177" i="21"/>
  <c r="J177" i="21"/>
  <c r="I177" i="21"/>
  <c r="H177" i="21"/>
  <c r="G177" i="21"/>
  <c r="C177" i="21"/>
  <c r="L176" i="21"/>
  <c r="K176" i="21"/>
  <c r="J176" i="21"/>
  <c r="I176" i="21"/>
  <c r="H176" i="21"/>
  <c r="G176" i="21"/>
  <c r="C176" i="21"/>
  <c r="L175" i="21"/>
  <c r="K175" i="21"/>
  <c r="J175" i="21"/>
  <c r="I175" i="21"/>
  <c r="H175" i="21"/>
  <c r="G175" i="21"/>
  <c r="C175" i="21"/>
  <c r="L174" i="21"/>
  <c r="K174" i="21"/>
  <c r="J174" i="21"/>
  <c r="I174" i="21"/>
  <c r="H174" i="21"/>
  <c r="G174" i="21"/>
  <c r="C174" i="21"/>
  <c r="L173" i="21"/>
  <c r="K173" i="21"/>
  <c r="J173" i="21"/>
  <c r="I173" i="21"/>
  <c r="H173" i="21"/>
  <c r="G173" i="21"/>
  <c r="C173" i="21"/>
  <c r="L172" i="21"/>
  <c r="K172" i="21"/>
  <c r="J172" i="21"/>
  <c r="I172" i="21"/>
  <c r="H172" i="21"/>
  <c r="G172" i="21"/>
  <c r="C172" i="21"/>
  <c r="L171" i="21"/>
  <c r="K171" i="21"/>
  <c r="J171" i="21"/>
  <c r="I171" i="21"/>
  <c r="H171" i="21"/>
  <c r="G171" i="21"/>
  <c r="C171" i="21"/>
  <c r="L170" i="21"/>
  <c r="K170" i="21"/>
  <c r="J170" i="21"/>
  <c r="I170" i="21"/>
  <c r="H170" i="21"/>
  <c r="G170" i="21"/>
  <c r="C170" i="21"/>
  <c r="L169" i="21"/>
  <c r="K169" i="21"/>
  <c r="J169" i="21"/>
  <c r="I169" i="21"/>
  <c r="H169" i="21"/>
  <c r="G169" i="21"/>
  <c r="C169" i="21"/>
  <c r="L168" i="21"/>
  <c r="K168" i="21"/>
  <c r="J168" i="21"/>
  <c r="I168" i="21"/>
  <c r="H168" i="21"/>
  <c r="G168" i="21"/>
  <c r="C168" i="21"/>
  <c r="L167" i="21"/>
  <c r="K167" i="21"/>
  <c r="J167" i="21"/>
  <c r="I167" i="21"/>
  <c r="H167" i="21"/>
  <c r="G167" i="21"/>
  <c r="C167" i="21"/>
  <c r="L166" i="21"/>
  <c r="K166" i="21"/>
  <c r="J166" i="21"/>
  <c r="I166" i="21"/>
  <c r="H166" i="21"/>
  <c r="G166" i="21"/>
  <c r="C166" i="21"/>
  <c r="L165" i="21"/>
  <c r="K165" i="21"/>
  <c r="J165" i="21"/>
  <c r="I165" i="21"/>
  <c r="H165" i="21"/>
  <c r="G165" i="21"/>
  <c r="C165" i="21"/>
  <c r="L164" i="21"/>
  <c r="K164" i="21"/>
  <c r="J164" i="21"/>
  <c r="I164" i="21"/>
  <c r="H164" i="21"/>
  <c r="G164" i="21"/>
  <c r="C164" i="21"/>
  <c r="L163" i="21"/>
  <c r="K163" i="21"/>
  <c r="J163" i="21"/>
  <c r="I163" i="21"/>
  <c r="H163" i="21"/>
  <c r="G163" i="21"/>
  <c r="C163" i="21"/>
  <c r="L162" i="21"/>
  <c r="K162" i="21"/>
  <c r="J162" i="21"/>
  <c r="I162" i="21"/>
  <c r="H162" i="21"/>
  <c r="G162" i="21"/>
  <c r="C162" i="21"/>
  <c r="L161" i="21"/>
  <c r="K161" i="21"/>
  <c r="J161" i="21"/>
  <c r="I161" i="21"/>
  <c r="H161" i="21"/>
  <c r="G161" i="21"/>
  <c r="C161" i="21"/>
  <c r="L160" i="21"/>
  <c r="K160" i="21"/>
  <c r="J160" i="21"/>
  <c r="I160" i="21"/>
  <c r="H160" i="21"/>
  <c r="G160" i="21"/>
  <c r="C160" i="21"/>
  <c r="L159" i="21"/>
  <c r="K159" i="21"/>
  <c r="J159" i="21"/>
  <c r="I159" i="21"/>
  <c r="H159" i="21"/>
  <c r="G159" i="21"/>
  <c r="C159" i="21"/>
  <c r="L158" i="21"/>
  <c r="K158" i="21"/>
  <c r="J158" i="21"/>
  <c r="I158" i="21"/>
  <c r="H158" i="21"/>
  <c r="G158" i="21"/>
  <c r="C158" i="21"/>
  <c r="L157" i="21"/>
  <c r="K157" i="21"/>
  <c r="J157" i="21"/>
  <c r="I157" i="21"/>
  <c r="H157" i="21"/>
  <c r="G157" i="21"/>
  <c r="C157" i="21"/>
  <c r="L156" i="21"/>
  <c r="K156" i="21"/>
  <c r="J156" i="21"/>
  <c r="I156" i="21"/>
  <c r="H156" i="21"/>
  <c r="G156" i="21"/>
  <c r="C156" i="21"/>
  <c r="L155" i="21"/>
  <c r="K155" i="21"/>
  <c r="J155" i="21"/>
  <c r="I155" i="21"/>
  <c r="H155" i="21"/>
  <c r="G155" i="21"/>
  <c r="C155" i="21"/>
  <c r="L154" i="21"/>
  <c r="K154" i="21"/>
  <c r="J154" i="21"/>
  <c r="I154" i="21"/>
  <c r="H154" i="21"/>
  <c r="G154" i="21"/>
  <c r="C154" i="21"/>
  <c r="L153" i="21"/>
  <c r="K153" i="21"/>
  <c r="J153" i="21"/>
  <c r="I153" i="21"/>
  <c r="H153" i="21"/>
  <c r="G153" i="21"/>
  <c r="C153" i="21"/>
  <c r="L152" i="21"/>
  <c r="K152" i="21"/>
  <c r="J152" i="21"/>
  <c r="I152" i="21"/>
  <c r="H152" i="21"/>
  <c r="G152" i="21"/>
  <c r="C152" i="21"/>
  <c r="L151" i="21"/>
  <c r="K151" i="21"/>
  <c r="J151" i="21"/>
  <c r="I151" i="21"/>
  <c r="H151" i="21"/>
  <c r="G151" i="21"/>
  <c r="C151" i="21"/>
  <c r="L150" i="21"/>
  <c r="K150" i="21"/>
  <c r="J150" i="21"/>
  <c r="I150" i="21"/>
  <c r="H150" i="21"/>
  <c r="G150" i="21"/>
  <c r="C150" i="21"/>
  <c r="L149" i="21"/>
  <c r="K149" i="21"/>
  <c r="J149" i="21"/>
  <c r="I149" i="21"/>
  <c r="H149" i="21"/>
  <c r="G149" i="21"/>
  <c r="C149" i="21"/>
  <c r="L148" i="21"/>
  <c r="K148" i="21"/>
  <c r="J148" i="21"/>
  <c r="I148" i="21"/>
  <c r="H148" i="21"/>
  <c r="G148" i="21"/>
  <c r="C148" i="21"/>
  <c r="L147" i="21"/>
  <c r="K147" i="21"/>
  <c r="J147" i="21"/>
  <c r="I147" i="21"/>
  <c r="H147" i="21"/>
  <c r="G147" i="21"/>
  <c r="C147" i="21"/>
  <c r="L146" i="21"/>
  <c r="K146" i="21"/>
  <c r="J146" i="21"/>
  <c r="I146" i="21"/>
  <c r="H146" i="21"/>
  <c r="G146" i="21"/>
  <c r="C146" i="21"/>
  <c r="L145" i="21"/>
  <c r="K145" i="21"/>
  <c r="J145" i="21"/>
  <c r="I145" i="21"/>
  <c r="H145" i="21"/>
  <c r="G145" i="21"/>
  <c r="C145" i="21"/>
  <c r="L144" i="21"/>
  <c r="K144" i="21"/>
  <c r="J144" i="21"/>
  <c r="I144" i="21"/>
  <c r="H144" i="21"/>
  <c r="G144" i="21"/>
  <c r="C144" i="21"/>
  <c r="L143" i="21"/>
  <c r="K143" i="21"/>
  <c r="J143" i="21"/>
  <c r="I143" i="21"/>
  <c r="H143" i="21"/>
  <c r="G143" i="21"/>
  <c r="C143" i="21"/>
  <c r="L142" i="21"/>
  <c r="K142" i="21"/>
  <c r="J142" i="21"/>
  <c r="I142" i="21"/>
  <c r="H142" i="21"/>
  <c r="G142" i="21"/>
  <c r="C142" i="21"/>
  <c r="L141" i="21"/>
  <c r="K141" i="21"/>
  <c r="J141" i="21"/>
  <c r="I141" i="21"/>
  <c r="H141" i="21"/>
  <c r="G141" i="21"/>
  <c r="C141" i="21"/>
  <c r="L140" i="21"/>
  <c r="K140" i="21"/>
  <c r="J140" i="21"/>
  <c r="I140" i="21"/>
  <c r="H140" i="21"/>
  <c r="G140" i="21"/>
  <c r="C140" i="21"/>
  <c r="L139" i="21"/>
  <c r="K139" i="21"/>
  <c r="J139" i="21"/>
  <c r="I139" i="21"/>
  <c r="H139" i="21"/>
  <c r="G139" i="21"/>
  <c r="C139" i="21"/>
  <c r="L138" i="21"/>
  <c r="K138" i="21"/>
  <c r="J138" i="21"/>
  <c r="I138" i="21"/>
  <c r="H138" i="21"/>
  <c r="G138" i="21"/>
  <c r="C138" i="21"/>
  <c r="L137" i="21"/>
  <c r="K137" i="21"/>
  <c r="J137" i="21"/>
  <c r="I137" i="21"/>
  <c r="H137" i="21"/>
  <c r="G137" i="21"/>
  <c r="C137" i="21"/>
  <c r="L136" i="21"/>
  <c r="K136" i="21"/>
  <c r="J136" i="21"/>
  <c r="I136" i="21"/>
  <c r="H136" i="21"/>
  <c r="G136" i="21"/>
  <c r="C136" i="21"/>
  <c r="L135" i="21"/>
  <c r="K135" i="21"/>
  <c r="J135" i="21"/>
  <c r="I135" i="21"/>
  <c r="H135" i="21"/>
  <c r="G135" i="21"/>
  <c r="C135" i="21"/>
  <c r="L134" i="21"/>
  <c r="K134" i="21"/>
  <c r="J134" i="21"/>
  <c r="I134" i="21"/>
  <c r="H134" i="21"/>
  <c r="G134" i="21"/>
  <c r="C134" i="21"/>
  <c r="L133" i="21"/>
  <c r="K133" i="21"/>
  <c r="J133" i="21"/>
  <c r="I133" i="21"/>
  <c r="H133" i="21"/>
  <c r="G133" i="21"/>
  <c r="C133" i="21"/>
  <c r="L132" i="21"/>
  <c r="K132" i="21"/>
  <c r="J132" i="21"/>
  <c r="I132" i="21"/>
  <c r="H132" i="21"/>
  <c r="G132" i="21"/>
  <c r="C132" i="21"/>
  <c r="L131" i="21"/>
  <c r="K131" i="21"/>
  <c r="J131" i="21"/>
  <c r="I131" i="21"/>
  <c r="H131" i="21"/>
  <c r="G131" i="21"/>
  <c r="C131" i="21"/>
  <c r="L130" i="21"/>
  <c r="K130" i="21"/>
  <c r="J130" i="21"/>
  <c r="I130" i="21"/>
  <c r="H130" i="21"/>
  <c r="G130" i="21"/>
  <c r="C130" i="21"/>
  <c r="L129" i="21"/>
  <c r="K129" i="21"/>
  <c r="J129" i="21"/>
  <c r="I129" i="21"/>
  <c r="H129" i="21"/>
  <c r="G129" i="21"/>
  <c r="C129" i="21"/>
  <c r="L128" i="21"/>
  <c r="K128" i="21"/>
  <c r="J128" i="21"/>
  <c r="I128" i="21"/>
  <c r="H128" i="21"/>
  <c r="G128" i="21"/>
  <c r="C128" i="21"/>
  <c r="L127" i="21"/>
  <c r="K127" i="21"/>
  <c r="J127" i="21"/>
  <c r="I127" i="21"/>
  <c r="H127" i="21"/>
  <c r="G127" i="21"/>
  <c r="C127" i="21"/>
  <c r="L126" i="21"/>
  <c r="K126" i="21"/>
  <c r="J126" i="21"/>
  <c r="I126" i="21"/>
  <c r="H126" i="21"/>
  <c r="G126" i="21"/>
  <c r="C126" i="21"/>
  <c r="L125" i="21"/>
  <c r="K125" i="21"/>
  <c r="J125" i="21"/>
  <c r="I125" i="21"/>
  <c r="H125" i="21"/>
  <c r="G125" i="21"/>
  <c r="C125" i="21"/>
  <c r="L124" i="21"/>
  <c r="K124" i="21"/>
  <c r="J124" i="21"/>
  <c r="I124" i="21"/>
  <c r="H124" i="21"/>
  <c r="G124" i="21"/>
  <c r="C124" i="21"/>
  <c r="L123" i="21"/>
  <c r="K123" i="21"/>
  <c r="J123" i="21"/>
  <c r="I123" i="21"/>
  <c r="H123" i="21"/>
  <c r="G123" i="21"/>
  <c r="C123" i="21"/>
  <c r="L122" i="21"/>
  <c r="K122" i="21"/>
  <c r="J122" i="21"/>
  <c r="I122" i="21"/>
  <c r="H122" i="21"/>
  <c r="G122" i="21"/>
  <c r="C122" i="21"/>
  <c r="L121" i="21"/>
  <c r="K121" i="21"/>
  <c r="J121" i="21"/>
  <c r="I121" i="21"/>
  <c r="H121" i="21"/>
  <c r="G121" i="21"/>
  <c r="C121" i="21"/>
  <c r="L120" i="21"/>
  <c r="K120" i="21"/>
  <c r="J120" i="21"/>
  <c r="I120" i="21"/>
  <c r="H120" i="21"/>
  <c r="G120" i="21"/>
  <c r="C120" i="21"/>
  <c r="L119" i="21"/>
  <c r="K119" i="21"/>
  <c r="J119" i="21"/>
  <c r="I119" i="21"/>
  <c r="H119" i="21"/>
  <c r="G119" i="21"/>
  <c r="C119" i="21"/>
  <c r="L118" i="21"/>
  <c r="K118" i="21"/>
  <c r="J118" i="21"/>
  <c r="I118" i="21"/>
  <c r="H118" i="21"/>
  <c r="G118" i="21"/>
  <c r="C118" i="21"/>
  <c r="L117" i="21"/>
  <c r="K117" i="21"/>
  <c r="J117" i="21"/>
  <c r="I117" i="21"/>
  <c r="H117" i="21"/>
  <c r="G117" i="21"/>
  <c r="C117" i="21"/>
  <c r="L116" i="21"/>
  <c r="K116" i="21"/>
  <c r="J116" i="21"/>
  <c r="I116" i="21"/>
  <c r="H116" i="21"/>
  <c r="G116" i="21"/>
  <c r="C116" i="21"/>
  <c r="L115" i="21"/>
  <c r="K115" i="21"/>
  <c r="J115" i="21"/>
  <c r="I115" i="21"/>
  <c r="H115" i="21"/>
  <c r="G115" i="21"/>
  <c r="C115" i="21"/>
  <c r="L114" i="21"/>
  <c r="K114" i="21"/>
  <c r="J114" i="21"/>
  <c r="I114" i="21"/>
  <c r="H114" i="21"/>
  <c r="G114" i="21"/>
  <c r="C114" i="21"/>
  <c r="L113" i="21"/>
  <c r="K113" i="21"/>
  <c r="J113" i="21"/>
  <c r="I113" i="21"/>
  <c r="H113" i="21"/>
  <c r="G113" i="21"/>
  <c r="C113" i="21"/>
  <c r="L112" i="21"/>
  <c r="K112" i="21"/>
  <c r="J112" i="21"/>
  <c r="I112" i="21"/>
  <c r="H112" i="21"/>
  <c r="G112" i="21"/>
  <c r="C112" i="21"/>
  <c r="L111" i="21"/>
  <c r="K111" i="21"/>
  <c r="J111" i="21"/>
  <c r="I111" i="21"/>
  <c r="H111" i="21"/>
  <c r="G111" i="21"/>
  <c r="C111" i="21"/>
  <c r="L110" i="21"/>
  <c r="K110" i="21"/>
  <c r="J110" i="21"/>
  <c r="I110" i="21"/>
  <c r="H110" i="21"/>
  <c r="G110" i="21"/>
  <c r="C110" i="21"/>
  <c r="L109" i="21"/>
  <c r="K109" i="21"/>
  <c r="J109" i="21"/>
  <c r="I109" i="21"/>
  <c r="H109" i="21"/>
  <c r="G109" i="21"/>
  <c r="C109" i="21"/>
  <c r="L108" i="21"/>
  <c r="K108" i="21"/>
  <c r="J108" i="21"/>
  <c r="I108" i="21"/>
  <c r="H108" i="21"/>
  <c r="G108" i="21"/>
  <c r="C108" i="21"/>
  <c r="L107" i="21"/>
  <c r="K107" i="21"/>
  <c r="J107" i="21"/>
  <c r="I107" i="21"/>
  <c r="H107" i="21"/>
  <c r="G107" i="21"/>
  <c r="C107" i="21"/>
  <c r="L106" i="21"/>
  <c r="K106" i="21"/>
  <c r="J106" i="21"/>
  <c r="I106" i="21"/>
  <c r="H106" i="21"/>
  <c r="G106" i="21"/>
  <c r="C106" i="21"/>
  <c r="L105" i="21"/>
  <c r="K105" i="21"/>
  <c r="J105" i="21"/>
  <c r="I105" i="21"/>
  <c r="H105" i="21"/>
  <c r="G105" i="21"/>
  <c r="C105" i="21"/>
  <c r="L104" i="21"/>
  <c r="K104" i="21"/>
  <c r="J104" i="21"/>
  <c r="I104" i="21"/>
  <c r="H104" i="21"/>
  <c r="G104" i="21"/>
  <c r="C104" i="21"/>
  <c r="L103" i="21"/>
  <c r="K103" i="21"/>
  <c r="J103" i="21"/>
  <c r="I103" i="21"/>
  <c r="H103" i="21"/>
  <c r="G103" i="21"/>
  <c r="C103" i="21"/>
  <c r="L102" i="21"/>
  <c r="K102" i="21"/>
  <c r="J102" i="21"/>
  <c r="I102" i="21"/>
  <c r="H102" i="21"/>
  <c r="G102" i="21"/>
  <c r="C102" i="21"/>
  <c r="L101" i="21"/>
  <c r="K101" i="21"/>
  <c r="J101" i="21"/>
  <c r="I101" i="21"/>
  <c r="H101" i="21"/>
  <c r="G101" i="21"/>
  <c r="C101" i="21"/>
  <c r="L100" i="21"/>
  <c r="K100" i="21"/>
  <c r="J100" i="21"/>
  <c r="I100" i="21"/>
  <c r="H100" i="21"/>
  <c r="G100" i="21"/>
  <c r="C100" i="21"/>
  <c r="L99" i="21"/>
  <c r="K99" i="21"/>
  <c r="J99" i="21"/>
  <c r="I99" i="21"/>
  <c r="H99" i="21"/>
  <c r="G99" i="21"/>
  <c r="C99" i="21"/>
  <c r="L98" i="21"/>
  <c r="K98" i="21"/>
  <c r="J98" i="21"/>
  <c r="I98" i="21"/>
  <c r="H98" i="21"/>
  <c r="G98" i="21"/>
  <c r="C98" i="21"/>
  <c r="L97" i="21"/>
  <c r="K97" i="21"/>
  <c r="J97" i="21"/>
  <c r="I97" i="21"/>
  <c r="H97" i="21"/>
  <c r="G97" i="21"/>
  <c r="C97" i="21"/>
  <c r="L96" i="21"/>
  <c r="K96" i="21"/>
  <c r="J96" i="21"/>
  <c r="I96" i="21"/>
  <c r="H96" i="21"/>
  <c r="G96" i="21"/>
  <c r="C96" i="21"/>
  <c r="L95" i="21"/>
  <c r="K95" i="21"/>
  <c r="J95" i="21"/>
  <c r="I95" i="21"/>
  <c r="H95" i="21"/>
  <c r="G95" i="21"/>
  <c r="C95" i="21"/>
  <c r="L94" i="21"/>
  <c r="K94" i="21"/>
  <c r="J94" i="21"/>
  <c r="I94" i="21"/>
  <c r="H94" i="21"/>
  <c r="G94" i="21"/>
  <c r="C94" i="21"/>
  <c r="L93" i="21"/>
  <c r="K93" i="21"/>
  <c r="J93" i="21"/>
  <c r="I93" i="21"/>
  <c r="H93" i="21"/>
  <c r="G93" i="21"/>
  <c r="C93" i="21"/>
  <c r="L92" i="21"/>
  <c r="K92" i="21"/>
  <c r="J92" i="21"/>
  <c r="I92" i="21"/>
  <c r="H92" i="21"/>
  <c r="G92" i="21"/>
  <c r="C92" i="21"/>
  <c r="L91" i="21"/>
  <c r="K91" i="21"/>
  <c r="J91" i="21"/>
  <c r="I91" i="21"/>
  <c r="H91" i="21"/>
  <c r="G91" i="21"/>
  <c r="C91" i="21"/>
  <c r="L90" i="21"/>
  <c r="K90" i="21"/>
  <c r="J90" i="21"/>
  <c r="I90" i="21"/>
  <c r="H90" i="21"/>
  <c r="G90" i="21"/>
  <c r="C90" i="21"/>
  <c r="L89" i="21"/>
  <c r="K89" i="21"/>
  <c r="J89" i="21"/>
  <c r="I89" i="21"/>
  <c r="H89" i="21"/>
  <c r="G89" i="21"/>
  <c r="C89" i="21"/>
  <c r="L88" i="21"/>
  <c r="K88" i="21"/>
  <c r="J88" i="21"/>
  <c r="I88" i="21"/>
  <c r="H88" i="21"/>
  <c r="G88" i="21"/>
  <c r="C88" i="21"/>
  <c r="L87" i="21"/>
  <c r="K87" i="21"/>
  <c r="J87" i="21"/>
  <c r="I87" i="21"/>
  <c r="H87" i="21"/>
  <c r="G87" i="21"/>
  <c r="C87" i="21"/>
  <c r="L86" i="21"/>
  <c r="K86" i="21"/>
  <c r="J86" i="21"/>
  <c r="I86" i="21"/>
  <c r="H86" i="21"/>
  <c r="G86" i="21"/>
  <c r="C86" i="21"/>
  <c r="L85" i="21"/>
  <c r="K85" i="21"/>
  <c r="J85" i="21"/>
  <c r="I85" i="21"/>
  <c r="H85" i="21"/>
  <c r="G85" i="21"/>
  <c r="C85" i="21"/>
  <c r="L84" i="21"/>
  <c r="K84" i="21"/>
  <c r="J84" i="21"/>
  <c r="I84" i="21"/>
  <c r="H84" i="21"/>
  <c r="G84" i="21"/>
  <c r="C84" i="21"/>
  <c r="L83" i="21"/>
  <c r="K83" i="21"/>
  <c r="J83" i="21"/>
  <c r="I83" i="21"/>
  <c r="H83" i="21"/>
  <c r="G83" i="21"/>
  <c r="C83" i="21"/>
  <c r="L82" i="21"/>
  <c r="K82" i="21"/>
  <c r="J82" i="21"/>
  <c r="I82" i="21"/>
  <c r="H82" i="21"/>
  <c r="G82" i="21"/>
  <c r="C82" i="21"/>
  <c r="L81" i="21"/>
  <c r="K81" i="21"/>
  <c r="J81" i="21"/>
  <c r="I81" i="21"/>
  <c r="H81" i="21"/>
  <c r="G81" i="21"/>
  <c r="C81" i="21"/>
  <c r="L80" i="21"/>
  <c r="K80" i="21"/>
  <c r="J80" i="21"/>
  <c r="I80" i="21"/>
  <c r="H80" i="21"/>
  <c r="G80" i="21"/>
  <c r="C80" i="21"/>
  <c r="L79" i="21"/>
  <c r="K79" i="21"/>
  <c r="J79" i="21"/>
  <c r="I79" i="21"/>
  <c r="H79" i="21"/>
  <c r="G79" i="21"/>
  <c r="C79" i="21"/>
  <c r="L78" i="21"/>
  <c r="K78" i="21"/>
  <c r="J78" i="21"/>
  <c r="I78" i="21"/>
  <c r="H78" i="21"/>
  <c r="G78" i="21"/>
  <c r="C78" i="21"/>
  <c r="L77" i="21"/>
  <c r="K77" i="21"/>
  <c r="J77" i="21"/>
  <c r="I77" i="21"/>
  <c r="H77" i="21"/>
  <c r="G77" i="21"/>
  <c r="C77" i="21"/>
  <c r="L76" i="21"/>
  <c r="K76" i="21"/>
  <c r="J76" i="21"/>
  <c r="I76" i="21"/>
  <c r="H76" i="21"/>
  <c r="G76" i="21"/>
  <c r="C76" i="21"/>
  <c r="L75" i="21"/>
  <c r="K75" i="21"/>
  <c r="J75" i="21"/>
  <c r="I75" i="21"/>
  <c r="H75" i="21"/>
  <c r="G75" i="21"/>
  <c r="C75" i="21"/>
  <c r="L74" i="21"/>
  <c r="K74" i="21"/>
  <c r="J74" i="21"/>
  <c r="I74" i="21"/>
  <c r="H74" i="21"/>
  <c r="G74" i="21"/>
  <c r="C74" i="21"/>
  <c r="L73" i="21"/>
  <c r="K73" i="21"/>
  <c r="J73" i="21"/>
  <c r="I73" i="21"/>
  <c r="H73" i="21"/>
  <c r="G73" i="21"/>
  <c r="C73" i="21"/>
  <c r="L72" i="21"/>
  <c r="K72" i="21"/>
  <c r="J72" i="21"/>
  <c r="I72" i="21"/>
  <c r="H72" i="21"/>
  <c r="G72" i="21"/>
  <c r="C72" i="21"/>
  <c r="L71" i="21"/>
  <c r="K71" i="21"/>
  <c r="J71" i="21"/>
  <c r="I71" i="21"/>
  <c r="H71" i="21"/>
  <c r="G71" i="21"/>
  <c r="C71" i="21"/>
  <c r="L70" i="21"/>
  <c r="K70" i="21"/>
  <c r="J70" i="21"/>
  <c r="I70" i="21"/>
  <c r="H70" i="21"/>
  <c r="G70" i="21"/>
  <c r="C70" i="21"/>
  <c r="L69" i="21"/>
  <c r="K69" i="21"/>
  <c r="J69" i="21"/>
  <c r="I69" i="21"/>
  <c r="H69" i="21"/>
  <c r="G69" i="21"/>
  <c r="C69" i="21"/>
  <c r="L68" i="21"/>
  <c r="K68" i="21"/>
  <c r="J68" i="21"/>
  <c r="I68" i="21"/>
  <c r="H68" i="21"/>
  <c r="G68" i="21"/>
  <c r="C68" i="21"/>
  <c r="L67" i="21"/>
  <c r="K67" i="21"/>
  <c r="J67" i="21"/>
  <c r="I67" i="21"/>
  <c r="H67" i="21"/>
  <c r="G67" i="21"/>
  <c r="C67" i="21"/>
  <c r="L66" i="21"/>
  <c r="K66" i="21"/>
  <c r="J66" i="21"/>
  <c r="I66" i="21"/>
  <c r="H66" i="21"/>
  <c r="G66" i="21"/>
  <c r="C66" i="21"/>
  <c r="L65" i="21"/>
  <c r="K65" i="21"/>
  <c r="J65" i="21"/>
  <c r="I65" i="21"/>
  <c r="H65" i="21"/>
  <c r="G65" i="21"/>
  <c r="C65" i="21"/>
  <c r="L64" i="21"/>
  <c r="K64" i="21"/>
  <c r="J64" i="21"/>
  <c r="I64" i="21"/>
  <c r="H64" i="21"/>
  <c r="G64" i="21"/>
  <c r="C64" i="21"/>
  <c r="L63" i="21"/>
  <c r="K63" i="21"/>
  <c r="J63" i="21"/>
  <c r="I63" i="21"/>
  <c r="H63" i="21"/>
  <c r="G63" i="21"/>
  <c r="C63" i="21"/>
  <c r="L62" i="21"/>
  <c r="K62" i="21"/>
  <c r="J62" i="21"/>
  <c r="I62" i="21"/>
  <c r="H62" i="21"/>
  <c r="G62" i="21"/>
  <c r="C62" i="21"/>
  <c r="L61" i="21"/>
  <c r="K61" i="21"/>
  <c r="J61" i="21"/>
  <c r="I61" i="21"/>
  <c r="H61" i="21"/>
  <c r="G61" i="21"/>
  <c r="C61" i="21"/>
  <c r="L60" i="21"/>
  <c r="K60" i="21"/>
  <c r="J60" i="21"/>
  <c r="I60" i="21"/>
  <c r="H60" i="21"/>
  <c r="G60" i="21"/>
  <c r="C60" i="21"/>
  <c r="L59" i="21"/>
  <c r="K59" i="21"/>
  <c r="J59" i="21"/>
  <c r="I59" i="21"/>
  <c r="H59" i="21"/>
  <c r="G59" i="21"/>
  <c r="C59" i="21"/>
  <c r="L58" i="21"/>
  <c r="K58" i="21"/>
  <c r="J58" i="21"/>
  <c r="I58" i="21"/>
  <c r="H58" i="21"/>
  <c r="G58" i="21"/>
  <c r="C58" i="21"/>
  <c r="L57" i="21"/>
  <c r="K57" i="21"/>
  <c r="J57" i="21"/>
  <c r="I57" i="21"/>
  <c r="H57" i="21"/>
  <c r="G57" i="21"/>
  <c r="C57" i="21"/>
  <c r="L56" i="21"/>
  <c r="K56" i="21"/>
  <c r="J56" i="21"/>
  <c r="I56" i="21"/>
  <c r="H56" i="21"/>
  <c r="G56" i="21"/>
  <c r="C56" i="21"/>
  <c r="L55" i="21"/>
  <c r="K55" i="21"/>
  <c r="J55" i="21"/>
  <c r="I55" i="21"/>
  <c r="H55" i="21"/>
  <c r="G55" i="21"/>
  <c r="C55" i="21"/>
  <c r="L54" i="21"/>
  <c r="K54" i="21"/>
  <c r="J54" i="21"/>
  <c r="I54" i="21"/>
  <c r="H54" i="21"/>
  <c r="G54" i="21"/>
  <c r="C54" i="21"/>
  <c r="L53" i="21"/>
  <c r="K53" i="21"/>
  <c r="J53" i="21"/>
  <c r="I53" i="21"/>
  <c r="H53" i="21"/>
  <c r="G53" i="21"/>
  <c r="C53" i="21"/>
  <c r="L52" i="21"/>
  <c r="K52" i="21"/>
  <c r="J52" i="21"/>
  <c r="I52" i="21"/>
  <c r="H52" i="21"/>
  <c r="G52" i="21"/>
  <c r="C52" i="21"/>
  <c r="L51" i="21"/>
  <c r="K51" i="21"/>
  <c r="J51" i="21"/>
  <c r="I51" i="21"/>
  <c r="H51" i="21"/>
  <c r="G51" i="21"/>
  <c r="C51" i="21"/>
  <c r="L50" i="21"/>
  <c r="K50" i="21"/>
  <c r="J50" i="21"/>
  <c r="I50" i="21"/>
  <c r="H50" i="21"/>
  <c r="G50" i="21"/>
  <c r="C50" i="21"/>
  <c r="L49" i="21"/>
  <c r="K49" i="21"/>
  <c r="J49" i="21"/>
  <c r="I49" i="21"/>
  <c r="H49" i="21"/>
  <c r="G49" i="21"/>
  <c r="C49" i="21"/>
  <c r="L48" i="21"/>
  <c r="K48" i="21"/>
  <c r="J48" i="21"/>
  <c r="I48" i="21"/>
  <c r="H48" i="21"/>
  <c r="G48" i="21"/>
  <c r="C48" i="21"/>
  <c r="L47" i="21"/>
  <c r="K47" i="21"/>
  <c r="J47" i="21"/>
  <c r="I47" i="21"/>
  <c r="H47" i="21"/>
  <c r="G47" i="21"/>
  <c r="C47" i="21"/>
  <c r="L46" i="21"/>
  <c r="K46" i="21"/>
  <c r="J46" i="21"/>
  <c r="I46" i="21"/>
  <c r="H46" i="21"/>
  <c r="G46" i="21"/>
  <c r="C46" i="21"/>
  <c r="L45" i="21"/>
  <c r="K45" i="21"/>
  <c r="J45" i="21"/>
  <c r="I45" i="21"/>
  <c r="H45" i="21"/>
  <c r="G45" i="21"/>
  <c r="C45" i="21"/>
  <c r="L44" i="21"/>
  <c r="K44" i="21"/>
  <c r="J44" i="21"/>
  <c r="I44" i="21"/>
  <c r="H44" i="21"/>
  <c r="G44" i="21"/>
  <c r="C44" i="21"/>
  <c r="L43" i="21"/>
  <c r="K43" i="21"/>
  <c r="J43" i="21"/>
  <c r="I43" i="21"/>
  <c r="H43" i="21"/>
  <c r="G43" i="21"/>
  <c r="C43" i="21"/>
  <c r="L42" i="21"/>
  <c r="K42" i="21"/>
  <c r="J42" i="21"/>
  <c r="I42" i="21"/>
  <c r="H42" i="21"/>
  <c r="G42" i="21"/>
  <c r="C42" i="21"/>
  <c r="L41" i="21"/>
  <c r="K41" i="21"/>
  <c r="J41" i="21"/>
  <c r="I41" i="21"/>
  <c r="H41" i="21"/>
  <c r="G41" i="21"/>
  <c r="C41" i="21"/>
  <c r="L40" i="21"/>
  <c r="K40" i="21"/>
  <c r="J40" i="21"/>
  <c r="I40" i="21"/>
  <c r="H40" i="21"/>
  <c r="G40" i="21"/>
  <c r="C40" i="21"/>
  <c r="L39" i="21"/>
  <c r="K39" i="21"/>
  <c r="J39" i="21"/>
  <c r="I39" i="21"/>
  <c r="H39" i="21"/>
  <c r="G39" i="21"/>
  <c r="C39" i="21"/>
  <c r="L38" i="21"/>
  <c r="K38" i="21"/>
  <c r="J38" i="21"/>
  <c r="I38" i="21"/>
  <c r="H38" i="21"/>
  <c r="G38" i="21"/>
  <c r="C38" i="21"/>
  <c r="L37" i="21"/>
  <c r="K37" i="21"/>
  <c r="J37" i="21"/>
  <c r="I37" i="21"/>
  <c r="H37" i="21"/>
  <c r="G37" i="21"/>
  <c r="C37" i="21"/>
  <c r="L36" i="21"/>
  <c r="K36" i="21"/>
  <c r="J36" i="21"/>
  <c r="I36" i="21"/>
  <c r="H36" i="21"/>
  <c r="G36" i="21"/>
  <c r="C36" i="21"/>
  <c r="L35" i="21"/>
  <c r="K35" i="21"/>
  <c r="J35" i="21"/>
  <c r="I35" i="21"/>
  <c r="H35" i="21"/>
  <c r="G35" i="21"/>
  <c r="C35" i="21"/>
  <c r="L34" i="21"/>
  <c r="K34" i="21"/>
  <c r="J34" i="21"/>
  <c r="I34" i="21"/>
  <c r="H34" i="21"/>
  <c r="G34" i="21"/>
  <c r="C34" i="21"/>
  <c r="L33" i="21"/>
  <c r="K33" i="21"/>
  <c r="J33" i="21"/>
  <c r="I33" i="21"/>
  <c r="H33" i="21"/>
  <c r="G33" i="21"/>
  <c r="C33" i="21"/>
  <c r="L32" i="21"/>
  <c r="K32" i="21"/>
  <c r="J32" i="21"/>
  <c r="I32" i="21"/>
  <c r="H32" i="21"/>
  <c r="G32" i="21"/>
  <c r="C32" i="21"/>
  <c r="L31" i="21"/>
  <c r="K31" i="21"/>
  <c r="J31" i="21"/>
  <c r="I31" i="21"/>
  <c r="H31" i="21"/>
  <c r="G31" i="21"/>
  <c r="C31" i="21"/>
  <c r="L30" i="21"/>
  <c r="K30" i="21"/>
  <c r="J30" i="21"/>
  <c r="I30" i="21"/>
  <c r="H30" i="21"/>
  <c r="G30" i="21"/>
  <c r="C30" i="21"/>
  <c r="L29" i="21"/>
  <c r="K29" i="21"/>
  <c r="J29" i="21"/>
  <c r="I29" i="21"/>
  <c r="H29" i="21"/>
  <c r="G29" i="21"/>
  <c r="C29" i="21"/>
  <c r="L28" i="21"/>
  <c r="K28" i="21"/>
  <c r="J28" i="21"/>
  <c r="I28" i="21"/>
  <c r="H28" i="21"/>
  <c r="G28" i="21"/>
  <c r="C28" i="21"/>
  <c r="L27" i="21"/>
  <c r="K27" i="21"/>
  <c r="J27" i="21"/>
  <c r="I27" i="21"/>
  <c r="H27" i="21"/>
  <c r="G27" i="21"/>
  <c r="C27" i="21"/>
  <c r="L26" i="21"/>
  <c r="K26" i="21"/>
  <c r="J26" i="21"/>
  <c r="I26" i="21"/>
  <c r="H26" i="21"/>
  <c r="G26" i="21"/>
  <c r="C26" i="21"/>
  <c r="L25" i="21"/>
  <c r="K25" i="21"/>
  <c r="J25" i="21"/>
  <c r="I25" i="21"/>
  <c r="H25" i="21"/>
  <c r="G25" i="21"/>
  <c r="C25" i="21"/>
  <c r="L24" i="21"/>
  <c r="K24" i="21"/>
  <c r="J24" i="21"/>
  <c r="I24" i="21"/>
  <c r="H24" i="21"/>
  <c r="G24" i="21"/>
  <c r="C24" i="21"/>
  <c r="L23" i="21"/>
  <c r="K23" i="21"/>
  <c r="J23" i="21"/>
  <c r="I23" i="21"/>
  <c r="H23" i="21"/>
  <c r="G23" i="21"/>
  <c r="C23" i="21"/>
  <c r="L22" i="21"/>
  <c r="K22" i="21"/>
  <c r="J22" i="21"/>
  <c r="I22" i="21"/>
  <c r="H22" i="21"/>
  <c r="G22" i="21"/>
  <c r="C22" i="21"/>
  <c r="L21" i="21"/>
  <c r="K21" i="21"/>
  <c r="J21" i="21"/>
  <c r="I21" i="21"/>
  <c r="H21" i="21"/>
  <c r="G21" i="21"/>
  <c r="C21" i="21"/>
  <c r="L20" i="21"/>
  <c r="K20" i="21"/>
  <c r="J20" i="21"/>
  <c r="I20" i="21"/>
  <c r="H20" i="21"/>
  <c r="G20" i="21"/>
  <c r="C20" i="21"/>
  <c r="L19" i="21"/>
  <c r="K19" i="21"/>
  <c r="J19" i="21"/>
  <c r="I19" i="21"/>
  <c r="H19" i="21"/>
  <c r="G19" i="21"/>
  <c r="C19" i="21"/>
  <c r="L18" i="21"/>
  <c r="K18" i="21"/>
  <c r="J18" i="21"/>
  <c r="I18" i="21"/>
  <c r="H18" i="21"/>
  <c r="G18" i="21"/>
  <c r="C18" i="21"/>
  <c r="L17" i="21"/>
  <c r="K17" i="21"/>
  <c r="J17" i="21"/>
  <c r="I17" i="21"/>
  <c r="H17" i="21"/>
  <c r="G17" i="21"/>
  <c r="C17" i="21"/>
  <c r="L16" i="21"/>
  <c r="K16" i="21"/>
  <c r="J16" i="21"/>
  <c r="I16" i="21"/>
  <c r="H16" i="21"/>
  <c r="G16" i="21"/>
  <c r="C16" i="21"/>
  <c r="L15" i="21"/>
  <c r="K15" i="21"/>
  <c r="J15" i="21"/>
  <c r="I15" i="21"/>
  <c r="H15" i="21"/>
  <c r="G15" i="21"/>
  <c r="C15" i="21"/>
  <c r="L14" i="21"/>
  <c r="K14" i="21"/>
  <c r="J14" i="21"/>
  <c r="I14" i="21"/>
  <c r="H14" i="21"/>
  <c r="G14" i="21"/>
  <c r="C14" i="21"/>
  <c r="L13" i="21"/>
  <c r="K13" i="21"/>
  <c r="J13" i="21"/>
  <c r="I13" i="21"/>
  <c r="H13" i="21"/>
  <c r="G13" i="21"/>
  <c r="C13" i="21"/>
  <c r="L12" i="21"/>
  <c r="K12" i="21"/>
  <c r="J12" i="21"/>
  <c r="I12" i="21"/>
  <c r="H12" i="21"/>
  <c r="G12" i="21"/>
  <c r="C12" i="21"/>
  <c r="L11" i="21"/>
  <c r="K11" i="21"/>
  <c r="J11" i="21"/>
  <c r="I11" i="21"/>
  <c r="H11" i="21"/>
  <c r="G11" i="21"/>
  <c r="C11" i="21"/>
  <c r="L10" i="21"/>
  <c r="K10" i="21"/>
  <c r="J10" i="21"/>
  <c r="I10" i="21"/>
  <c r="H10" i="21"/>
  <c r="G10" i="21"/>
  <c r="C10" i="21"/>
  <c r="L9" i="21"/>
  <c r="K9" i="21"/>
  <c r="J9" i="21"/>
  <c r="I9" i="21"/>
  <c r="H9" i="21"/>
  <c r="G9" i="21"/>
  <c r="C9" i="21"/>
  <c r="C2" i="21"/>
  <c r="C3" i="21"/>
  <c r="C4" i="21"/>
  <c r="C5" i="21"/>
  <c r="G2" i="21"/>
  <c r="H2" i="21"/>
  <c r="I2" i="21"/>
  <c r="J2" i="21"/>
  <c r="K2" i="21"/>
  <c r="L2" i="21"/>
  <c r="G3" i="21"/>
  <c r="H3" i="21"/>
  <c r="I3" i="21"/>
  <c r="J3" i="21"/>
  <c r="K3" i="21"/>
  <c r="L3" i="21"/>
  <c r="G4" i="21"/>
  <c r="H4" i="21"/>
  <c r="I4" i="21"/>
  <c r="J4" i="21"/>
  <c r="K4" i="21"/>
  <c r="L4" i="21"/>
  <c r="G5" i="21"/>
  <c r="H5" i="21"/>
  <c r="I5" i="21"/>
  <c r="J5" i="21"/>
  <c r="K5" i="21"/>
  <c r="L5" i="21"/>
  <c r="C6" i="21"/>
  <c r="G6" i="21"/>
  <c r="H6" i="21"/>
  <c r="I6" i="21"/>
  <c r="J6" i="21"/>
  <c r="K6" i="21"/>
  <c r="L6" i="21"/>
  <c r="C7" i="21"/>
  <c r="G7" i="21"/>
  <c r="H7" i="21"/>
  <c r="I7" i="21"/>
  <c r="J7" i="21"/>
  <c r="K7" i="21"/>
  <c r="L7" i="21"/>
  <c r="C8" i="21"/>
  <c r="G8" i="21"/>
  <c r="H8" i="21"/>
  <c r="I8" i="21"/>
  <c r="J8" i="21"/>
  <c r="K8" i="21"/>
  <c r="L8" i="21"/>
  <c r="CC3" i="21"/>
  <c r="CC4" i="21"/>
  <c r="CC5" i="21"/>
  <c r="CC6" i="21"/>
  <c r="CC7" i="21"/>
  <c r="CC8" i="21"/>
  <c r="CB3" i="21"/>
  <c r="CB4" i="21"/>
  <c r="CB5" i="21"/>
  <c r="CB6" i="21"/>
  <c r="CB7" i="21"/>
  <c r="CB8" i="21"/>
  <c r="CA3" i="21"/>
  <c r="CA4" i="21"/>
  <c r="CA5" i="21"/>
  <c r="CA6" i="21"/>
  <c r="CA7" i="21"/>
  <c r="CA8" i="21"/>
  <c r="BZ3" i="21"/>
  <c r="BZ4" i="21"/>
  <c r="BZ5" i="21"/>
  <c r="BZ6" i="21"/>
  <c r="BZ7" i="21"/>
  <c r="BZ8" i="21"/>
  <c r="BY3" i="21"/>
  <c r="BY4" i="21"/>
  <c r="BY5" i="21"/>
  <c r="BY6" i="21"/>
  <c r="BY7" i="21"/>
  <c r="BY8" i="21"/>
  <c r="BX3" i="21"/>
  <c r="BX4" i="21"/>
  <c r="BX5" i="21"/>
  <c r="BX6" i="21"/>
  <c r="BX7" i="21"/>
  <c r="BX8" i="21"/>
  <c r="BW3" i="21"/>
  <c r="BW4" i="21"/>
  <c r="BW5" i="21"/>
  <c r="BW6" i="21"/>
  <c r="BW7" i="21"/>
  <c r="BW8" i="21"/>
  <c r="BV3" i="21"/>
  <c r="BV4" i="21"/>
  <c r="BV5" i="21"/>
  <c r="BV6" i="21"/>
  <c r="BV7" i="21"/>
  <c r="BV8" i="21"/>
  <c r="BU3" i="21"/>
  <c r="BU4" i="21"/>
  <c r="BU5" i="21"/>
  <c r="BU6" i="21"/>
  <c r="BU7" i="21"/>
  <c r="BU8" i="21"/>
  <c r="BT3" i="21"/>
  <c r="BT4" i="21"/>
  <c r="BT5" i="21"/>
  <c r="BT6" i="21"/>
  <c r="BT7" i="21"/>
  <c r="BT8" i="21"/>
  <c r="BS3" i="21"/>
  <c r="BS4" i="21"/>
  <c r="BS5" i="21"/>
  <c r="BS6" i="21"/>
  <c r="BS7" i="21"/>
  <c r="BS8" i="21"/>
  <c r="BR3" i="21"/>
  <c r="BR4" i="21"/>
  <c r="BR5" i="21"/>
  <c r="BR6" i="21"/>
  <c r="BR7" i="21"/>
  <c r="BR8" i="21"/>
  <c r="BQ3" i="21"/>
  <c r="BQ4" i="21"/>
  <c r="BQ5" i="21"/>
  <c r="BQ6" i="21"/>
  <c r="BQ7" i="21"/>
  <c r="BQ8" i="21"/>
  <c r="BP3" i="21"/>
  <c r="BP4" i="21"/>
  <c r="BP5" i="21"/>
  <c r="BP6" i="21"/>
  <c r="BP7" i="21"/>
  <c r="BP8" i="21"/>
  <c r="BO3" i="21"/>
  <c r="BO4" i="21"/>
  <c r="BO5" i="21"/>
  <c r="BO6" i="21"/>
  <c r="BO7" i="21"/>
  <c r="BO8" i="21"/>
  <c r="BN3" i="21"/>
  <c r="BN4" i="21"/>
  <c r="BN5" i="21"/>
  <c r="BN6" i="21"/>
  <c r="BN7" i="21"/>
  <c r="BN8" i="21"/>
  <c r="BM3" i="21"/>
  <c r="BM4" i="21"/>
  <c r="BM5" i="21"/>
  <c r="BM6" i="21"/>
  <c r="BM7" i="21"/>
  <c r="BM8" i="21"/>
  <c r="BL3" i="21"/>
  <c r="BL4" i="21"/>
  <c r="BL5" i="21"/>
  <c r="BL6" i="21"/>
  <c r="BL7" i="21"/>
  <c r="BL8" i="21"/>
  <c r="BK3" i="21"/>
  <c r="BK4" i="21"/>
  <c r="BK5" i="21"/>
  <c r="BK6" i="21"/>
  <c r="BK7" i="21"/>
  <c r="BK8" i="21"/>
  <c r="BJ3" i="21"/>
  <c r="BJ4" i="21"/>
  <c r="BJ5" i="21"/>
  <c r="BJ6" i="21"/>
  <c r="BJ7" i="21"/>
  <c r="BJ8" i="21"/>
  <c r="BI3" i="21"/>
  <c r="BI4" i="21"/>
  <c r="BI5" i="21"/>
  <c r="BI6" i="21"/>
  <c r="BI7" i="21"/>
  <c r="BI8" i="21"/>
  <c r="BH3" i="21"/>
  <c r="BH4" i="21"/>
  <c r="BH5" i="21"/>
  <c r="BH6" i="21"/>
  <c r="BH7" i="21"/>
  <c r="BH8" i="21"/>
  <c r="BG3" i="21"/>
  <c r="BG4" i="21"/>
  <c r="BG5" i="21"/>
  <c r="BG6" i="21"/>
  <c r="BG7" i="21"/>
  <c r="BG8" i="21"/>
  <c r="BF3" i="21"/>
  <c r="BF4" i="21"/>
  <c r="BF5" i="21"/>
  <c r="BF6" i="21"/>
  <c r="BF7" i="21"/>
  <c r="BF8" i="21"/>
  <c r="BE3" i="21"/>
  <c r="BE4" i="21"/>
  <c r="BE5" i="21"/>
  <c r="BE6" i="21"/>
  <c r="BE7" i="21"/>
  <c r="BE8" i="21"/>
  <c r="BD3" i="21"/>
  <c r="BD4" i="21"/>
  <c r="BD5" i="21"/>
  <c r="BD6" i="21"/>
  <c r="BD7" i="21"/>
  <c r="BD8" i="21"/>
  <c r="BC3" i="21"/>
  <c r="BC4" i="21"/>
  <c r="BC5" i="21"/>
  <c r="BC6" i="21"/>
  <c r="BC7" i="21"/>
  <c r="BC8" i="21"/>
  <c r="BB3" i="21"/>
  <c r="BB4" i="21"/>
  <c r="BB5" i="21"/>
  <c r="BB6" i="21"/>
  <c r="BB7" i="21"/>
  <c r="BB8" i="21"/>
  <c r="BA3" i="21"/>
  <c r="BA4" i="21"/>
  <c r="BA5" i="21"/>
  <c r="BA6" i="21"/>
  <c r="BA7" i="21"/>
  <c r="BA8" i="21"/>
  <c r="AZ3" i="21"/>
  <c r="AZ4" i="21"/>
  <c r="AZ5" i="21"/>
  <c r="AZ6" i="21"/>
  <c r="AZ7" i="21"/>
  <c r="AZ8" i="21"/>
  <c r="AY3" i="21"/>
  <c r="AY4" i="21"/>
  <c r="AY5" i="21"/>
  <c r="AY6" i="21"/>
  <c r="AY7" i="21"/>
  <c r="AY8" i="21"/>
  <c r="AX3" i="21"/>
  <c r="AX4" i="21"/>
  <c r="AX5" i="21"/>
  <c r="AX6" i="21"/>
  <c r="AX7" i="21"/>
  <c r="AX8" i="21"/>
  <c r="AW3" i="21"/>
  <c r="AW4" i="21"/>
  <c r="AW5" i="21"/>
  <c r="AW6" i="21"/>
  <c r="AW7" i="21"/>
  <c r="AW8" i="21"/>
  <c r="AV3" i="21"/>
  <c r="AV4" i="21"/>
  <c r="AV5" i="21"/>
  <c r="AV6" i="21"/>
  <c r="AV7" i="21"/>
  <c r="AV8" i="21"/>
  <c r="AU3" i="21"/>
  <c r="AU4" i="21"/>
  <c r="AU5" i="21"/>
  <c r="AU6" i="21"/>
  <c r="AU7" i="21"/>
  <c r="AU8" i="21"/>
  <c r="AT3" i="21"/>
  <c r="AT4" i="21"/>
  <c r="AT5" i="21"/>
  <c r="AT6" i="21"/>
  <c r="AT7" i="21"/>
  <c r="AT8" i="21"/>
  <c r="AS3" i="21"/>
  <c r="AS4" i="21"/>
  <c r="AS5" i="21"/>
  <c r="AS6" i="21"/>
  <c r="AS7" i="21"/>
  <c r="AS8" i="21"/>
  <c r="AR3" i="21"/>
  <c r="AR4" i="21"/>
  <c r="AR5" i="21"/>
  <c r="AR6" i="21"/>
  <c r="AR7" i="21"/>
  <c r="AR8" i="21"/>
  <c r="AQ3" i="21"/>
  <c r="AQ4" i="21"/>
  <c r="AQ5" i="21"/>
  <c r="AQ6" i="21"/>
  <c r="AQ7" i="21"/>
  <c r="AQ8" i="21"/>
  <c r="AP3" i="21"/>
  <c r="AP4" i="21"/>
  <c r="AP5" i="21"/>
  <c r="AP6" i="21"/>
  <c r="AP7" i="21"/>
  <c r="AP8" i="21"/>
  <c r="AO3" i="21"/>
  <c r="AO4" i="21"/>
  <c r="AO5" i="21"/>
  <c r="AO6" i="21"/>
  <c r="AO7" i="21"/>
  <c r="AO8" i="21"/>
  <c r="AN3" i="21"/>
  <c r="AN4" i="21"/>
  <c r="AN5" i="21"/>
  <c r="AN6" i="21"/>
  <c r="AN7" i="21"/>
  <c r="AN8" i="21"/>
  <c r="AM3" i="21"/>
  <c r="AM4" i="21"/>
  <c r="AM5" i="21"/>
  <c r="AM6" i="21"/>
  <c r="AM7" i="21"/>
  <c r="AM8" i="21"/>
  <c r="AL3" i="21"/>
  <c r="AL4" i="21"/>
  <c r="AL5" i="21"/>
  <c r="AL6" i="21"/>
  <c r="AL7" i="21"/>
  <c r="AL8" i="21"/>
  <c r="AK3" i="21"/>
  <c r="AK4" i="21"/>
  <c r="AK5" i="21"/>
  <c r="AK6" i="21"/>
  <c r="AK7" i="21"/>
  <c r="AK8" i="21"/>
  <c r="AJ3" i="21"/>
  <c r="AJ4" i="21"/>
  <c r="AJ5" i="21"/>
  <c r="AJ6" i="21"/>
  <c r="AJ7" i="21"/>
  <c r="AJ8" i="21"/>
  <c r="AI3" i="21"/>
  <c r="AI4" i="21"/>
  <c r="AI5" i="21"/>
  <c r="AI6" i="21"/>
  <c r="AI7" i="21"/>
  <c r="AI8" i="21"/>
  <c r="AH3" i="21"/>
  <c r="AH4" i="21"/>
  <c r="AH5" i="21"/>
  <c r="AH6" i="21"/>
  <c r="AH7" i="21"/>
  <c r="AH8" i="21"/>
  <c r="AG3" i="21"/>
  <c r="AG4" i="21"/>
  <c r="AG5" i="21"/>
  <c r="AG6" i="21"/>
  <c r="AG7" i="21"/>
  <c r="AG8" i="21"/>
  <c r="AF3" i="21"/>
  <c r="AF4" i="21"/>
  <c r="AF5" i="21"/>
  <c r="AF6" i="21"/>
  <c r="AF7" i="21"/>
  <c r="AF8" i="21"/>
  <c r="AE3" i="21"/>
  <c r="AE4" i="21"/>
  <c r="AE5" i="21"/>
  <c r="AE6" i="21"/>
  <c r="AE7" i="21"/>
  <c r="AE8" i="21"/>
  <c r="AD3" i="21"/>
  <c r="AD4" i="21"/>
  <c r="AD5" i="21"/>
  <c r="AD6" i="21"/>
  <c r="AD7" i="21"/>
  <c r="AD8" i="21"/>
  <c r="AC3" i="21"/>
  <c r="AC4" i="21"/>
  <c r="AC5" i="21"/>
  <c r="AC6" i="21"/>
  <c r="AC7" i="21"/>
  <c r="AC8" i="21"/>
  <c r="AB3" i="21"/>
  <c r="AB4" i="21"/>
  <c r="AB5" i="21"/>
  <c r="AB6" i="21"/>
  <c r="AB7" i="21"/>
  <c r="AB8" i="21"/>
  <c r="AA3" i="21"/>
  <c r="AA4" i="21"/>
  <c r="AA5" i="21"/>
  <c r="AA6" i="21"/>
  <c r="AA7" i="21"/>
  <c r="AA8" i="21"/>
  <c r="Z3" i="21"/>
  <c r="Z4" i="21"/>
  <c r="Z5" i="21"/>
  <c r="Z6" i="21"/>
  <c r="Z7" i="21"/>
  <c r="Z8" i="21"/>
  <c r="Y3" i="21"/>
  <c r="Y4" i="21"/>
  <c r="Y5" i="21"/>
  <c r="Y6" i="21"/>
  <c r="Y7" i="21"/>
  <c r="Y8" i="21"/>
  <c r="X3" i="21"/>
  <c r="X4" i="21"/>
  <c r="X5" i="21"/>
  <c r="X6" i="21"/>
  <c r="X7" i="21"/>
  <c r="X8" i="21"/>
  <c r="V8" i="21"/>
  <c r="U8" i="21"/>
  <c r="T8" i="21"/>
  <c r="S8" i="21"/>
  <c r="R8" i="21"/>
  <c r="Q8" i="21"/>
  <c r="N8" i="21"/>
  <c r="V7" i="21"/>
  <c r="U7" i="21"/>
  <c r="T7" i="21"/>
  <c r="S7" i="21"/>
  <c r="R7" i="21"/>
  <c r="Q7" i="21"/>
  <c r="O7" i="21"/>
  <c r="N7" i="21"/>
  <c r="V6" i="21"/>
  <c r="U6" i="21"/>
  <c r="T6" i="21"/>
  <c r="S6" i="21"/>
  <c r="R6" i="21"/>
  <c r="Q6" i="21"/>
  <c r="O6" i="21"/>
  <c r="N6" i="21"/>
  <c r="M6" i="21"/>
  <c r="V5" i="21"/>
  <c r="U5" i="21"/>
  <c r="T5" i="21"/>
  <c r="S5" i="21"/>
  <c r="R5" i="21"/>
  <c r="Q5" i="21"/>
  <c r="O5" i="21"/>
  <c r="N5" i="21"/>
  <c r="M5" i="21"/>
  <c r="V4" i="21"/>
  <c r="U4" i="21"/>
  <c r="T4" i="21"/>
  <c r="S4" i="21"/>
  <c r="R4" i="21"/>
  <c r="Q4" i="21"/>
  <c r="O4" i="21"/>
  <c r="N4" i="21"/>
  <c r="V3" i="21"/>
  <c r="U3" i="21"/>
  <c r="T3" i="21"/>
  <c r="S3" i="21"/>
  <c r="R3" i="21"/>
  <c r="Q3" i="21"/>
  <c r="O3" i="21"/>
  <c r="N3" i="21"/>
  <c r="W2" i="21"/>
  <c r="G522" i="20"/>
  <c r="G521" i="20"/>
  <c r="G520" i="20"/>
  <c r="G519" i="20"/>
  <c r="G518" i="20"/>
  <c r="G517" i="20"/>
  <c r="G516" i="20"/>
  <c r="G515" i="20"/>
  <c r="G514" i="20"/>
  <c r="G513" i="20"/>
  <c r="G512" i="20"/>
  <c r="G511" i="20"/>
  <c r="G510" i="20"/>
  <c r="G509" i="20"/>
  <c r="G508" i="20"/>
  <c r="G507" i="20"/>
  <c r="G506" i="20"/>
  <c r="G505" i="20"/>
  <c r="G504" i="20"/>
  <c r="G503" i="20"/>
  <c r="G502" i="20"/>
  <c r="G501" i="20"/>
  <c r="G500" i="20"/>
  <c r="G499" i="20"/>
  <c r="G498" i="20"/>
  <c r="G497" i="20"/>
  <c r="G496" i="20"/>
  <c r="G495" i="20"/>
  <c r="G494" i="20"/>
  <c r="G493" i="20"/>
  <c r="G492" i="20"/>
  <c r="G491" i="20"/>
  <c r="G490" i="20"/>
  <c r="G489" i="20"/>
  <c r="G488" i="20"/>
  <c r="G487" i="20"/>
  <c r="G486" i="20"/>
  <c r="G485" i="20"/>
  <c r="G484" i="20"/>
  <c r="G483" i="20"/>
  <c r="G482" i="20"/>
  <c r="G481" i="20"/>
  <c r="G480" i="20"/>
  <c r="G479" i="20"/>
  <c r="G478" i="20"/>
  <c r="G477" i="20"/>
  <c r="G476" i="20"/>
  <c r="G475" i="20"/>
  <c r="G474" i="20"/>
  <c r="G473" i="20"/>
  <c r="G472" i="20"/>
  <c r="G471" i="20"/>
  <c r="G470" i="20"/>
  <c r="G469" i="20"/>
  <c r="G468" i="20"/>
  <c r="G467" i="20"/>
  <c r="G466" i="20"/>
  <c r="G465" i="20"/>
  <c r="G464" i="20"/>
  <c r="G463" i="20"/>
  <c r="G462" i="20"/>
  <c r="G461" i="20"/>
  <c r="G460" i="20"/>
  <c r="G459" i="20"/>
  <c r="G458" i="20"/>
  <c r="G457" i="20"/>
  <c r="G456" i="20"/>
  <c r="G455" i="20"/>
  <c r="G454" i="20"/>
  <c r="G453" i="20"/>
  <c r="G452" i="20"/>
  <c r="G451" i="20"/>
  <c r="G450" i="20"/>
  <c r="G449" i="20"/>
  <c r="G448" i="20"/>
  <c r="G447" i="20"/>
  <c r="G446" i="20"/>
  <c r="G445" i="20"/>
  <c r="G444" i="20"/>
  <c r="G443" i="20"/>
  <c r="G442" i="20"/>
  <c r="G441" i="20"/>
  <c r="G440" i="20"/>
  <c r="G439" i="20"/>
  <c r="G438" i="20"/>
  <c r="G437" i="20"/>
  <c r="G436" i="20"/>
  <c r="G435" i="20"/>
  <c r="G434" i="20"/>
  <c r="G433" i="20"/>
  <c r="G432" i="20"/>
  <c r="G431" i="20"/>
  <c r="G430" i="20"/>
  <c r="G429" i="20"/>
  <c r="G428" i="20"/>
  <c r="G427" i="20"/>
  <c r="G426" i="20"/>
  <c r="G425" i="20"/>
  <c r="G424" i="20"/>
  <c r="G423" i="20"/>
  <c r="G422" i="20"/>
  <c r="G421" i="20"/>
  <c r="G420" i="20"/>
  <c r="G419" i="20"/>
  <c r="G418" i="20"/>
  <c r="G417" i="20"/>
  <c r="G416" i="20"/>
  <c r="G415" i="20"/>
  <c r="G414" i="20"/>
  <c r="G413" i="20"/>
  <c r="G412" i="20"/>
  <c r="G411" i="20"/>
  <c r="G410" i="20"/>
  <c r="G409" i="20"/>
  <c r="G408" i="20"/>
  <c r="G407" i="20"/>
  <c r="G406" i="20"/>
  <c r="G405" i="20"/>
  <c r="G404" i="20"/>
  <c r="G403" i="20"/>
  <c r="G402" i="20"/>
  <c r="G401" i="20"/>
  <c r="G400" i="20"/>
  <c r="G399" i="20"/>
  <c r="G398" i="20"/>
  <c r="G397" i="20"/>
  <c r="G396" i="20"/>
  <c r="G395" i="20"/>
  <c r="G394" i="20"/>
  <c r="G393" i="20"/>
  <c r="G392" i="20"/>
  <c r="G391" i="20"/>
  <c r="G390" i="20"/>
  <c r="G389" i="20"/>
  <c r="G388" i="20"/>
  <c r="G387" i="20"/>
  <c r="G386" i="20"/>
  <c r="G385" i="20"/>
  <c r="G384" i="20"/>
  <c r="G383" i="20"/>
  <c r="G382" i="20"/>
  <c r="G381" i="20"/>
  <c r="G380" i="20"/>
  <c r="G379" i="20"/>
  <c r="G378" i="20"/>
  <c r="G377" i="20"/>
  <c r="G376" i="20"/>
  <c r="G375" i="20"/>
  <c r="G374" i="20"/>
  <c r="G373" i="20"/>
  <c r="G372" i="20"/>
  <c r="G371" i="20"/>
  <c r="G370" i="20"/>
  <c r="G369" i="20"/>
  <c r="G368" i="20"/>
  <c r="G367" i="20"/>
  <c r="G366" i="20"/>
  <c r="G365" i="20"/>
  <c r="G364" i="20"/>
  <c r="G363" i="20"/>
  <c r="G362" i="20"/>
  <c r="G361" i="20"/>
  <c r="G360" i="20"/>
  <c r="G359" i="20"/>
  <c r="G358" i="20"/>
  <c r="G357" i="20"/>
  <c r="G356" i="20"/>
  <c r="G355" i="20"/>
  <c r="G354" i="20"/>
  <c r="G353" i="20"/>
  <c r="G352" i="20"/>
  <c r="G351" i="20"/>
  <c r="G350" i="20"/>
  <c r="G349" i="20"/>
  <c r="G348" i="20"/>
  <c r="G347" i="20"/>
  <c r="G346" i="20"/>
  <c r="G345" i="20"/>
  <c r="G344" i="20"/>
  <c r="G343" i="20"/>
  <c r="G342" i="20"/>
  <c r="G341" i="20"/>
  <c r="G340" i="20"/>
  <c r="G339" i="20"/>
  <c r="G338" i="20"/>
  <c r="G337" i="20"/>
  <c r="G336" i="20"/>
  <c r="G335" i="20"/>
  <c r="G334" i="20"/>
  <c r="G333" i="20"/>
  <c r="G332" i="20"/>
  <c r="G331" i="20"/>
  <c r="G330" i="20"/>
  <c r="G329" i="20"/>
  <c r="G328" i="20"/>
  <c r="G327" i="20"/>
  <c r="G326" i="20"/>
  <c r="G325" i="20"/>
  <c r="G324" i="20"/>
  <c r="G323" i="20"/>
  <c r="G322" i="20"/>
  <c r="G321" i="20"/>
  <c r="G320" i="20"/>
  <c r="G319" i="20"/>
  <c r="G318" i="20"/>
  <c r="G317" i="20"/>
  <c r="G316" i="20"/>
  <c r="G315" i="20"/>
  <c r="G314" i="20"/>
  <c r="G313" i="20"/>
  <c r="G312" i="20"/>
  <c r="G311" i="20"/>
  <c r="G310" i="20"/>
  <c r="G309" i="20"/>
  <c r="G308" i="20"/>
  <c r="G307" i="20"/>
  <c r="G306" i="20"/>
  <c r="G305" i="20"/>
  <c r="G304" i="20"/>
  <c r="G303" i="20"/>
  <c r="G302" i="20"/>
  <c r="G301" i="20"/>
  <c r="G300" i="20"/>
  <c r="G299" i="20"/>
  <c r="G298" i="20"/>
  <c r="G297" i="20"/>
  <c r="G296" i="20"/>
  <c r="G295" i="20"/>
  <c r="G294" i="20"/>
  <c r="G293" i="20"/>
  <c r="G292" i="20"/>
  <c r="G291" i="20"/>
  <c r="G290" i="20"/>
  <c r="G289" i="20"/>
  <c r="G288" i="20"/>
  <c r="G287" i="20"/>
  <c r="G286" i="20"/>
  <c r="G285" i="20"/>
  <c r="G284" i="20"/>
  <c r="G283" i="20"/>
  <c r="G282" i="20"/>
  <c r="G281" i="20"/>
  <c r="G280" i="20"/>
  <c r="G279" i="20"/>
  <c r="G278" i="20"/>
  <c r="G277" i="20"/>
  <c r="G276" i="20"/>
  <c r="G275" i="20"/>
  <c r="G274" i="20"/>
  <c r="G273" i="20"/>
  <c r="G272" i="20"/>
  <c r="G271" i="20"/>
  <c r="G270" i="20"/>
  <c r="G269" i="20"/>
  <c r="G268" i="20"/>
  <c r="G267" i="20"/>
  <c r="G266" i="20"/>
  <c r="G265" i="20"/>
  <c r="G264" i="20"/>
  <c r="G263" i="20"/>
  <c r="G262" i="20"/>
  <c r="G261" i="20"/>
  <c r="G260" i="20"/>
  <c r="G259" i="20"/>
  <c r="G258" i="20"/>
  <c r="G257" i="20"/>
  <c r="G256" i="20"/>
  <c r="G255" i="20"/>
  <c r="G254" i="20"/>
  <c r="G253" i="20"/>
  <c r="G252" i="20"/>
  <c r="G251" i="20"/>
  <c r="G250" i="20"/>
  <c r="G249" i="20"/>
  <c r="G248" i="20"/>
  <c r="G247" i="20"/>
  <c r="G246" i="20"/>
  <c r="G245" i="20"/>
  <c r="G244" i="20"/>
  <c r="G243" i="20"/>
  <c r="G242" i="20"/>
  <c r="G241" i="20"/>
  <c r="G240" i="20"/>
  <c r="G239" i="20"/>
  <c r="G238" i="20"/>
  <c r="G237" i="20"/>
  <c r="G236" i="20"/>
  <c r="G235" i="20"/>
  <c r="G234" i="20"/>
  <c r="G233" i="20"/>
  <c r="G232" i="20"/>
  <c r="G231" i="20"/>
  <c r="G230" i="20"/>
  <c r="G229" i="20"/>
  <c r="G228" i="20"/>
  <c r="G227" i="20"/>
  <c r="G226" i="20"/>
  <c r="G225" i="20"/>
  <c r="G224" i="20"/>
  <c r="G223" i="20"/>
  <c r="G222" i="20"/>
  <c r="G221" i="20"/>
  <c r="G220" i="20"/>
  <c r="G219" i="20"/>
  <c r="G218" i="20"/>
  <c r="G217" i="20"/>
  <c r="G216" i="20"/>
  <c r="G215" i="20"/>
  <c r="G214" i="20"/>
  <c r="G213" i="20"/>
  <c r="G212" i="20"/>
  <c r="G211" i="20"/>
  <c r="G210" i="20"/>
  <c r="G209" i="20"/>
  <c r="G208" i="20"/>
  <c r="G207" i="20"/>
  <c r="G206" i="20"/>
  <c r="G205" i="20"/>
  <c r="G204" i="20"/>
  <c r="G203" i="20"/>
  <c r="G202" i="20"/>
  <c r="G201" i="20"/>
  <c r="G200" i="20"/>
  <c r="G199" i="20"/>
  <c r="G198" i="20"/>
  <c r="G197" i="20"/>
  <c r="G196" i="20"/>
  <c r="G195" i="20"/>
  <c r="G194" i="20"/>
  <c r="G193" i="20"/>
  <c r="G192" i="20"/>
  <c r="G191" i="20"/>
  <c r="G190" i="20"/>
  <c r="G189" i="20"/>
  <c r="G188" i="20"/>
  <c r="G187" i="20"/>
  <c r="G186" i="20"/>
  <c r="G185" i="20"/>
  <c r="G184" i="20"/>
  <c r="G183" i="20"/>
  <c r="G182" i="20"/>
  <c r="G181" i="20"/>
  <c r="G180" i="20"/>
  <c r="G179" i="20"/>
  <c r="G178" i="20"/>
  <c r="G177" i="20"/>
  <c r="G176" i="20"/>
  <c r="G175" i="20"/>
  <c r="G174" i="20"/>
  <c r="G173" i="20"/>
  <c r="G172" i="20"/>
  <c r="G171" i="20"/>
  <c r="G170" i="20"/>
  <c r="G169" i="20"/>
  <c r="G168" i="20"/>
  <c r="G167" i="20"/>
  <c r="G166" i="20"/>
  <c r="G165" i="20"/>
  <c r="G164" i="20"/>
  <c r="G163" i="20"/>
  <c r="G162" i="20"/>
  <c r="G161" i="20"/>
  <c r="G160" i="20"/>
  <c r="G159" i="20"/>
  <c r="G158" i="20"/>
  <c r="G157" i="20"/>
  <c r="G156" i="20"/>
  <c r="G155" i="20"/>
  <c r="G154" i="20"/>
  <c r="G153" i="20"/>
  <c r="G152" i="20"/>
  <c r="G151" i="20"/>
  <c r="G150" i="20"/>
  <c r="G149" i="20"/>
  <c r="G148" i="20"/>
  <c r="G147" i="20"/>
  <c r="G146" i="20"/>
  <c r="G145" i="20"/>
  <c r="G144" i="20"/>
  <c r="G143" i="20"/>
  <c r="G142" i="20"/>
  <c r="G141" i="20"/>
  <c r="G140" i="20"/>
  <c r="G139" i="20"/>
  <c r="G138" i="20"/>
  <c r="G137" i="20"/>
  <c r="G136" i="20"/>
  <c r="G135" i="20"/>
  <c r="G134" i="20"/>
  <c r="G133" i="20"/>
  <c r="G132" i="20"/>
  <c r="G131" i="20"/>
  <c r="G130" i="20"/>
  <c r="G129" i="20"/>
  <c r="G128" i="20"/>
  <c r="G127" i="20"/>
  <c r="G126" i="20"/>
  <c r="G125" i="20"/>
  <c r="G124" i="20"/>
  <c r="G123" i="20"/>
  <c r="G122" i="20"/>
  <c r="G121" i="20"/>
  <c r="G120" i="20"/>
  <c r="G119" i="20"/>
  <c r="G118" i="20"/>
  <c r="G117" i="20"/>
  <c r="G116" i="20"/>
  <c r="G115" i="20"/>
  <c r="G114" i="20"/>
  <c r="G113" i="20"/>
  <c r="G112" i="20"/>
  <c r="G111" i="20"/>
  <c r="G110" i="20"/>
  <c r="G109" i="20"/>
  <c r="G108" i="20"/>
  <c r="G107" i="20"/>
  <c r="G106" i="20"/>
  <c r="G105" i="20"/>
  <c r="G104" i="20"/>
  <c r="G103" i="20"/>
  <c r="G102" i="20"/>
  <c r="G101" i="20"/>
  <c r="G100" i="20"/>
  <c r="G99" i="20"/>
  <c r="G98" i="20"/>
  <c r="G97" i="20"/>
  <c r="G96" i="20"/>
  <c r="G95" i="20"/>
  <c r="G94" i="20"/>
  <c r="G93" i="20"/>
  <c r="G92" i="20"/>
  <c r="G91" i="20"/>
  <c r="G90" i="20"/>
  <c r="G89" i="20"/>
  <c r="G88" i="20"/>
  <c r="G87" i="20"/>
  <c r="G86" i="20"/>
  <c r="G85" i="20"/>
  <c r="G84" i="20"/>
  <c r="G83" i="20"/>
  <c r="G82" i="20"/>
  <c r="G81" i="20"/>
  <c r="G80" i="20"/>
  <c r="G79" i="20"/>
  <c r="G78" i="20"/>
  <c r="G77" i="20"/>
  <c r="G76" i="20"/>
  <c r="G75" i="20"/>
  <c r="G74" i="20"/>
  <c r="G73" i="20"/>
  <c r="G72" i="20"/>
  <c r="G71" i="20"/>
  <c r="G70" i="20"/>
  <c r="G69" i="20"/>
  <c r="G68" i="20"/>
  <c r="G67" i="20"/>
  <c r="G66" i="20"/>
  <c r="G65" i="20"/>
  <c r="G64" i="20"/>
  <c r="G63" i="20"/>
  <c r="G62" i="20"/>
  <c r="G61" i="20"/>
  <c r="G60" i="20"/>
  <c r="G59" i="20"/>
  <c r="G58" i="20"/>
  <c r="G57" i="20"/>
  <c r="G56" i="20"/>
  <c r="G55" i="20"/>
  <c r="G54" i="20"/>
  <c r="G53" i="20"/>
  <c r="G52" i="20"/>
  <c r="G51" i="20"/>
  <c r="G50" i="20"/>
  <c r="G49" i="20"/>
  <c r="G48" i="20"/>
  <c r="G47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G3" i="20"/>
  <c r="G2" i="20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H263" i="19"/>
  <c r="I263" i="19"/>
  <c r="H262" i="19"/>
  <c r="I262" i="19"/>
  <c r="H261" i="19"/>
  <c r="I261" i="19"/>
  <c r="H260" i="19"/>
  <c r="I260" i="19"/>
  <c r="H259" i="19"/>
  <c r="I259" i="19"/>
  <c r="H258" i="19"/>
  <c r="I258" i="19"/>
  <c r="H257" i="19"/>
  <c r="I257" i="19"/>
  <c r="H256" i="19"/>
  <c r="I256" i="19"/>
  <c r="H255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17" i="18"/>
  <c r="G2" i="17"/>
  <c r="G3" i="17"/>
  <c r="G4" i="17"/>
  <c r="G5" i="17"/>
  <c r="X3" i="17"/>
  <c r="H2" i="17"/>
  <c r="H3" i="17"/>
  <c r="H4" i="17"/>
  <c r="I2" i="17"/>
  <c r="J2" i="17"/>
  <c r="K2" i="17"/>
  <c r="L2" i="17"/>
  <c r="I3" i="17"/>
  <c r="J3" i="17"/>
  <c r="K3" i="17"/>
  <c r="L3" i="17"/>
  <c r="I4" i="17"/>
  <c r="J4" i="17"/>
  <c r="K4" i="17"/>
  <c r="L4" i="17"/>
  <c r="H5" i="17"/>
  <c r="I5" i="17"/>
  <c r="J5" i="17"/>
  <c r="K5" i="17"/>
  <c r="L5" i="17"/>
  <c r="G6" i="17"/>
  <c r="H6" i="17"/>
  <c r="I6" i="17"/>
  <c r="J6" i="17"/>
  <c r="K6" i="17"/>
  <c r="L6" i="17"/>
  <c r="G7" i="17"/>
  <c r="H7" i="17"/>
  <c r="I7" i="17"/>
  <c r="J7" i="17"/>
  <c r="K7" i="17"/>
  <c r="L7" i="17"/>
  <c r="G8" i="17"/>
  <c r="H8" i="17"/>
  <c r="I8" i="17"/>
  <c r="J8" i="17"/>
  <c r="K8" i="17"/>
  <c r="L8" i="17"/>
  <c r="G9" i="17"/>
  <c r="H9" i="17"/>
  <c r="I9" i="17"/>
  <c r="J9" i="17"/>
  <c r="K9" i="17"/>
  <c r="L9" i="17"/>
  <c r="G10" i="17"/>
  <c r="H10" i="17"/>
  <c r="I10" i="17"/>
  <c r="J10" i="17"/>
  <c r="K10" i="17"/>
  <c r="L10" i="17"/>
  <c r="G11" i="17"/>
  <c r="H11" i="17"/>
  <c r="I11" i="17"/>
  <c r="J11" i="17"/>
  <c r="K11" i="17"/>
  <c r="L11" i="17"/>
  <c r="G12" i="17"/>
  <c r="H12" i="17"/>
  <c r="I12" i="17"/>
  <c r="J12" i="17"/>
  <c r="K12" i="17"/>
  <c r="L12" i="17"/>
  <c r="G13" i="17"/>
  <c r="H13" i="17"/>
  <c r="I13" i="17"/>
  <c r="J13" i="17"/>
  <c r="K13" i="17"/>
  <c r="L13" i="17"/>
  <c r="G14" i="17"/>
  <c r="H14" i="17"/>
  <c r="I14" i="17"/>
  <c r="J14" i="17"/>
  <c r="K14" i="17"/>
  <c r="L14" i="17"/>
  <c r="G15" i="17"/>
  <c r="H15" i="17"/>
  <c r="I15" i="17"/>
  <c r="J15" i="17"/>
  <c r="K15" i="17"/>
  <c r="L15" i="17"/>
  <c r="G16" i="17"/>
  <c r="H16" i="17"/>
  <c r="I16" i="17"/>
  <c r="J16" i="17"/>
  <c r="K16" i="17"/>
  <c r="L16" i="17"/>
  <c r="G17" i="17"/>
  <c r="H17" i="17"/>
  <c r="I17" i="17"/>
  <c r="J17" i="17"/>
  <c r="K17" i="17"/>
  <c r="L17" i="17"/>
  <c r="G18" i="17"/>
  <c r="H18" i="17"/>
  <c r="I18" i="17"/>
  <c r="J18" i="17"/>
  <c r="K18" i="17"/>
  <c r="L18" i="17"/>
  <c r="G19" i="17"/>
  <c r="H19" i="17"/>
  <c r="I19" i="17"/>
  <c r="J19" i="17"/>
  <c r="K19" i="17"/>
  <c r="L19" i="17"/>
  <c r="G20" i="17"/>
  <c r="H20" i="17"/>
  <c r="I20" i="17"/>
  <c r="J20" i="17"/>
  <c r="K20" i="17"/>
  <c r="L20" i="17"/>
  <c r="G21" i="17"/>
  <c r="H21" i="17"/>
  <c r="I21" i="17"/>
  <c r="J21" i="17"/>
  <c r="K21" i="17"/>
  <c r="L21" i="17"/>
  <c r="G22" i="17"/>
  <c r="H22" i="17"/>
  <c r="I22" i="17"/>
  <c r="J22" i="17"/>
  <c r="K22" i="17"/>
  <c r="L22" i="17"/>
  <c r="G23" i="17"/>
  <c r="H23" i="17"/>
  <c r="I23" i="17"/>
  <c r="J23" i="17"/>
  <c r="K23" i="17"/>
  <c r="L23" i="17"/>
  <c r="G24" i="17"/>
  <c r="H24" i="17"/>
  <c r="I24" i="17"/>
  <c r="J24" i="17"/>
  <c r="K24" i="17"/>
  <c r="L24" i="17"/>
  <c r="G25" i="17"/>
  <c r="H25" i="17"/>
  <c r="I25" i="17"/>
  <c r="J25" i="17"/>
  <c r="K25" i="17"/>
  <c r="L25" i="17"/>
  <c r="G26" i="17"/>
  <c r="H26" i="17"/>
  <c r="I26" i="17"/>
  <c r="J26" i="17"/>
  <c r="K26" i="17"/>
  <c r="L26" i="17"/>
  <c r="G27" i="17"/>
  <c r="H27" i="17"/>
  <c r="I27" i="17"/>
  <c r="J27" i="17"/>
  <c r="K27" i="17"/>
  <c r="L27" i="17"/>
  <c r="G28" i="17"/>
  <c r="H28" i="17"/>
  <c r="I28" i="17"/>
  <c r="J28" i="17"/>
  <c r="K28" i="17"/>
  <c r="L28" i="17"/>
  <c r="G29" i="17"/>
  <c r="H29" i="17"/>
  <c r="I29" i="17"/>
  <c r="J29" i="17"/>
  <c r="K29" i="17"/>
  <c r="L29" i="17"/>
  <c r="G30" i="17"/>
  <c r="H30" i="17"/>
  <c r="I30" i="17"/>
  <c r="J30" i="17"/>
  <c r="K30" i="17"/>
  <c r="L30" i="17"/>
  <c r="G31" i="17"/>
  <c r="H31" i="17"/>
  <c r="I31" i="17"/>
  <c r="J31" i="17"/>
  <c r="K31" i="17"/>
  <c r="L31" i="17"/>
  <c r="G32" i="17"/>
  <c r="H32" i="17"/>
  <c r="I32" i="17"/>
  <c r="J32" i="17"/>
  <c r="K32" i="17"/>
  <c r="L32" i="17"/>
  <c r="G33" i="17"/>
  <c r="H33" i="17"/>
  <c r="I33" i="17"/>
  <c r="J33" i="17"/>
  <c r="K33" i="17"/>
  <c r="L33" i="17"/>
  <c r="G34" i="17"/>
  <c r="H34" i="17"/>
  <c r="I34" i="17"/>
  <c r="J34" i="17"/>
  <c r="K34" i="17"/>
  <c r="L34" i="17"/>
  <c r="G35" i="17"/>
  <c r="H35" i="17"/>
  <c r="I35" i="17"/>
  <c r="J35" i="17"/>
  <c r="K35" i="17"/>
  <c r="L35" i="17"/>
  <c r="G36" i="17"/>
  <c r="H36" i="17"/>
  <c r="I36" i="17"/>
  <c r="J36" i="17"/>
  <c r="K36" i="17"/>
  <c r="L36" i="17"/>
  <c r="G37" i="17"/>
  <c r="H37" i="17"/>
  <c r="I37" i="17"/>
  <c r="J37" i="17"/>
  <c r="K37" i="17"/>
  <c r="L37" i="17"/>
  <c r="G38" i="17"/>
  <c r="H38" i="17"/>
  <c r="I38" i="17"/>
  <c r="J38" i="17"/>
  <c r="K38" i="17"/>
  <c r="L38" i="17"/>
  <c r="G39" i="17"/>
  <c r="H39" i="17"/>
  <c r="I39" i="17"/>
  <c r="J39" i="17"/>
  <c r="K39" i="17"/>
  <c r="L39" i="17"/>
  <c r="G40" i="17"/>
  <c r="H40" i="17"/>
  <c r="I40" i="17"/>
  <c r="J40" i="17"/>
  <c r="K40" i="17"/>
  <c r="L40" i="17"/>
  <c r="G41" i="17"/>
  <c r="H41" i="17"/>
  <c r="I41" i="17"/>
  <c r="J41" i="17"/>
  <c r="K41" i="17"/>
  <c r="L41" i="17"/>
  <c r="G42" i="17"/>
  <c r="H42" i="17"/>
  <c r="I42" i="17"/>
  <c r="J42" i="17"/>
  <c r="K42" i="17"/>
  <c r="L42" i="17"/>
  <c r="G43" i="17"/>
  <c r="H43" i="17"/>
  <c r="I43" i="17"/>
  <c r="J43" i="17"/>
  <c r="K43" i="17"/>
  <c r="L43" i="17"/>
  <c r="G44" i="17"/>
  <c r="H44" i="17"/>
  <c r="I44" i="17"/>
  <c r="J44" i="17"/>
  <c r="K44" i="17"/>
  <c r="L44" i="17"/>
  <c r="G45" i="17"/>
  <c r="H45" i="17"/>
  <c r="I45" i="17"/>
  <c r="J45" i="17"/>
  <c r="K45" i="17"/>
  <c r="L45" i="17"/>
  <c r="G46" i="17"/>
  <c r="H46" i="17"/>
  <c r="I46" i="17"/>
  <c r="J46" i="17"/>
  <c r="K46" i="17"/>
  <c r="L46" i="17"/>
  <c r="G47" i="17"/>
  <c r="H47" i="17"/>
  <c r="I47" i="17"/>
  <c r="J47" i="17"/>
  <c r="K47" i="17"/>
  <c r="L47" i="17"/>
  <c r="G48" i="17"/>
  <c r="H48" i="17"/>
  <c r="I48" i="17"/>
  <c r="J48" i="17"/>
  <c r="K48" i="17"/>
  <c r="L48" i="17"/>
  <c r="G49" i="17"/>
  <c r="H49" i="17"/>
  <c r="I49" i="17"/>
  <c r="J49" i="17"/>
  <c r="K49" i="17"/>
  <c r="L49" i="17"/>
  <c r="G50" i="17"/>
  <c r="H50" i="17"/>
  <c r="I50" i="17"/>
  <c r="J50" i="17"/>
  <c r="K50" i="17"/>
  <c r="L50" i="17"/>
  <c r="G51" i="17"/>
  <c r="H51" i="17"/>
  <c r="I51" i="17"/>
  <c r="J51" i="17"/>
  <c r="K51" i="17"/>
  <c r="L51" i="17"/>
  <c r="G52" i="17"/>
  <c r="H52" i="17"/>
  <c r="I52" i="17"/>
  <c r="J52" i="17"/>
  <c r="K52" i="17"/>
  <c r="L52" i="17"/>
  <c r="G53" i="17"/>
  <c r="H53" i="17"/>
  <c r="I53" i="17"/>
  <c r="J53" i="17"/>
  <c r="K53" i="17"/>
  <c r="L53" i="17"/>
  <c r="G54" i="17"/>
  <c r="H54" i="17"/>
  <c r="I54" i="17"/>
  <c r="J54" i="17"/>
  <c r="K54" i="17"/>
  <c r="L54" i="17"/>
  <c r="G55" i="17"/>
  <c r="H55" i="17"/>
  <c r="I55" i="17"/>
  <c r="J55" i="17"/>
  <c r="K55" i="17"/>
  <c r="L55" i="17"/>
  <c r="G56" i="17"/>
  <c r="H56" i="17"/>
  <c r="I56" i="17"/>
  <c r="J56" i="17"/>
  <c r="K56" i="17"/>
  <c r="L56" i="17"/>
  <c r="G57" i="17"/>
  <c r="H57" i="17"/>
  <c r="I57" i="17"/>
  <c r="J57" i="17"/>
  <c r="K57" i="17"/>
  <c r="L57" i="17"/>
  <c r="G58" i="17"/>
  <c r="H58" i="17"/>
  <c r="I58" i="17"/>
  <c r="J58" i="17"/>
  <c r="K58" i="17"/>
  <c r="L58" i="17"/>
  <c r="G59" i="17"/>
  <c r="H59" i="17"/>
  <c r="I59" i="17"/>
  <c r="J59" i="17"/>
  <c r="K59" i="17"/>
  <c r="L59" i="17"/>
  <c r="G60" i="17"/>
  <c r="H60" i="17"/>
  <c r="I60" i="17"/>
  <c r="J60" i="17"/>
  <c r="K60" i="17"/>
  <c r="L60" i="17"/>
  <c r="G61" i="17"/>
  <c r="H61" i="17"/>
  <c r="I61" i="17"/>
  <c r="J61" i="17"/>
  <c r="K61" i="17"/>
  <c r="L61" i="17"/>
  <c r="G62" i="17"/>
  <c r="H62" i="17"/>
  <c r="I62" i="17"/>
  <c r="J62" i="17"/>
  <c r="K62" i="17"/>
  <c r="L62" i="17"/>
  <c r="G63" i="17"/>
  <c r="H63" i="17"/>
  <c r="I63" i="17"/>
  <c r="J63" i="17"/>
  <c r="K63" i="17"/>
  <c r="L63" i="17"/>
  <c r="G64" i="17"/>
  <c r="H64" i="17"/>
  <c r="I64" i="17"/>
  <c r="J64" i="17"/>
  <c r="K64" i="17"/>
  <c r="L64" i="17"/>
  <c r="G65" i="17"/>
  <c r="H65" i="17"/>
  <c r="I65" i="17"/>
  <c r="J65" i="17"/>
  <c r="K65" i="17"/>
  <c r="L65" i="17"/>
  <c r="G66" i="17"/>
  <c r="H66" i="17"/>
  <c r="I66" i="17"/>
  <c r="J66" i="17"/>
  <c r="K66" i="17"/>
  <c r="L66" i="17"/>
  <c r="G67" i="17"/>
  <c r="H67" i="17"/>
  <c r="I67" i="17"/>
  <c r="J67" i="17"/>
  <c r="K67" i="17"/>
  <c r="L67" i="17"/>
  <c r="G68" i="17"/>
  <c r="H68" i="17"/>
  <c r="I68" i="17"/>
  <c r="J68" i="17"/>
  <c r="K68" i="17"/>
  <c r="L68" i="17"/>
  <c r="G69" i="17"/>
  <c r="H69" i="17"/>
  <c r="I69" i="17"/>
  <c r="J69" i="17"/>
  <c r="K69" i="17"/>
  <c r="L69" i="17"/>
  <c r="G70" i="17"/>
  <c r="H70" i="17"/>
  <c r="I70" i="17"/>
  <c r="J70" i="17"/>
  <c r="K70" i="17"/>
  <c r="L70" i="17"/>
  <c r="G71" i="17"/>
  <c r="H71" i="17"/>
  <c r="I71" i="17"/>
  <c r="J71" i="17"/>
  <c r="K71" i="17"/>
  <c r="L71" i="17"/>
  <c r="G72" i="17"/>
  <c r="H72" i="17"/>
  <c r="I72" i="17"/>
  <c r="J72" i="17"/>
  <c r="K72" i="17"/>
  <c r="L72" i="17"/>
  <c r="G73" i="17"/>
  <c r="H73" i="17"/>
  <c r="I73" i="17"/>
  <c r="J73" i="17"/>
  <c r="K73" i="17"/>
  <c r="L73" i="17"/>
  <c r="G74" i="17"/>
  <c r="H74" i="17"/>
  <c r="I74" i="17"/>
  <c r="J74" i="17"/>
  <c r="K74" i="17"/>
  <c r="L74" i="17"/>
  <c r="G75" i="17"/>
  <c r="H75" i="17"/>
  <c r="I75" i="17"/>
  <c r="J75" i="17"/>
  <c r="K75" i="17"/>
  <c r="L75" i="17"/>
  <c r="G76" i="17"/>
  <c r="H76" i="17"/>
  <c r="I76" i="17"/>
  <c r="J76" i="17"/>
  <c r="K76" i="17"/>
  <c r="L76" i="17"/>
  <c r="G77" i="17"/>
  <c r="H77" i="17"/>
  <c r="I77" i="17"/>
  <c r="J77" i="17"/>
  <c r="K77" i="17"/>
  <c r="L77" i="17"/>
  <c r="G78" i="17"/>
  <c r="H78" i="17"/>
  <c r="I78" i="17"/>
  <c r="J78" i="17"/>
  <c r="K78" i="17"/>
  <c r="L78" i="17"/>
  <c r="G79" i="17"/>
  <c r="H79" i="17"/>
  <c r="I79" i="17"/>
  <c r="J79" i="17"/>
  <c r="K79" i="17"/>
  <c r="L79" i="17"/>
  <c r="G80" i="17"/>
  <c r="H80" i="17"/>
  <c r="I80" i="17"/>
  <c r="J80" i="17"/>
  <c r="K80" i="17"/>
  <c r="L80" i="17"/>
  <c r="G81" i="17"/>
  <c r="H81" i="17"/>
  <c r="I81" i="17"/>
  <c r="J81" i="17"/>
  <c r="K81" i="17"/>
  <c r="L81" i="17"/>
  <c r="G82" i="17"/>
  <c r="H82" i="17"/>
  <c r="I82" i="17"/>
  <c r="J82" i="17"/>
  <c r="K82" i="17"/>
  <c r="L82" i="17"/>
  <c r="G83" i="17"/>
  <c r="H83" i="17"/>
  <c r="I83" i="17"/>
  <c r="J83" i="17"/>
  <c r="K83" i="17"/>
  <c r="L83" i="17"/>
  <c r="G84" i="17"/>
  <c r="H84" i="17"/>
  <c r="I84" i="17"/>
  <c r="J84" i="17"/>
  <c r="K84" i="17"/>
  <c r="L84" i="17"/>
  <c r="G85" i="17"/>
  <c r="H85" i="17"/>
  <c r="I85" i="17"/>
  <c r="J85" i="17"/>
  <c r="K85" i="17"/>
  <c r="L85" i="17"/>
  <c r="G86" i="17"/>
  <c r="H86" i="17"/>
  <c r="I86" i="17"/>
  <c r="J86" i="17"/>
  <c r="K86" i="17"/>
  <c r="L86" i="17"/>
  <c r="G87" i="17"/>
  <c r="H87" i="17"/>
  <c r="I87" i="17"/>
  <c r="J87" i="17"/>
  <c r="K87" i="17"/>
  <c r="L87" i="17"/>
  <c r="G88" i="17"/>
  <c r="H88" i="17"/>
  <c r="I88" i="17"/>
  <c r="J88" i="17"/>
  <c r="K88" i="17"/>
  <c r="L88" i="17"/>
  <c r="G89" i="17"/>
  <c r="H89" i="17"/>
  <c r="I89" i="17"/>
  <c r="J89" i="17"/>
  <c r="K89" i="17"/>
  <c r="L89" i="17"/>
  <c r="G90" i="17"/>
  <c r="H90" i="17"/>
  <c r="I90" i="17"/>
  <c r="J90" i="17"/>
  <c r="K90" i="17"/>
  <c r="L90" i="17"/>
  <c r="G91" i="17"/>
  <c r="H91" i="17"/>
  <c r="I91" i="17"/>
  <c r="J91" i="17"/>
  <c r="K91" i="17"/>
  <c r="L91" i="17"/>
  <c r="G92" i="17"/>
  <c r="H92" i="17"/>
  <c r="I92" i="17"/>
  <c r="J92" i="17"/>
  <c r="K92" i="17"/>
  <c r="L92" i="17"/>
  <c r="G93" i="17"/>
  <c r="H93" i="17"/>
  <c r="I93" i="17"/>
  <c r="J93" i="17"/>
  <c r="K93" i="17"/>
  <c r="L93" i="17"/>
  <c r="G94" i="17"/>
  <c r="H94" i="17"/>
  <c r="I94" i="17"/>
  <c r="J94" i="17"/>
  <c r="K94" i="17"/>
  <c r="L94" i="17"/>
  <c r="G95" i="17"/>
  <c r="H95" i="17"/>
  <c r="I95" i="17"/>
  <c r="J95" i="17"/>
  <c r="K95" i="17"/>
  <c r="L95" i="17"/>
  <c r="G96" i="17"/>
  <c r="H96" i="17"/>
  <c r="I96" i="17"/>
  <c r="J96" i="17"/>
  <c r="K96" i="17"/>
  <c r="L96" i="17"/>
  <c r="G97" i="17"/>
  <c r="H97" i="17"/>
  <c r="I97" i="17"/>
  <c r="J97" i="17"/>
  <c r="K97" i="17"/>
  <c r="L97" i="17"/>
  <c r="G98" i="17"/>
  <c r="H98" i="17"/>
  <c r="I98" i="17"/>
  <c r="J98" i="17"/>
  <c r="K98" i="17"/>
  <c r="L98" i="17"/>
  <c r="G99" i="17"/>
  <c r="H99" i="17"/>
  <c r="I99" i="17"/>
  <c r="J99" i="17"/>
  <c r="K99" i="17"/>
  <c r="L99" i="17"/>
  <c r="G100" i="17"/>
  <c r="H100" i="17"/>
  <c r="I100" i="17"/>
  <c r="J100" i="17"/>
  <c r="K100" i="17"/>
  <c r="L100" i="17"/>
  <c r="G101" i="17"/>
  <c r="H101" i="17"/>
  <c r="I101" i="17"/>
  <c r="J101" i="17"/>
  <c r="K101" i="17"/>
  <c r="L101" i="17"/>
  <c r="G102" i="17"/>
  <c r="H102" i="17"/>
  <c r="I102" i="17"/>
  <c r="J102" i="17"/>
  <c r="K102" i="17"/>
  <c r="L102" i="17"/>
  <c r="G103" i="17"/>
  <c r="H103" i="17"/>
  <c r="I103" i="17"/>
  <c r="J103" i="17"/>
  <c r="K103" i="17"/>
  <c r="L103" i="17"/>
  <c r="G104" i="17"/>
  <c r="H104" i="17"/>
  <c r="I104" i="17"/>
  <c r="J104" i="17"/>
  <c r="K104" i="17"/>
  <c r="L104" i="17"/>
  <c r="G105" i="17"/>
  <c r="H105" i="17"/>
  <c r="I105" i="17"/>
  <c r="J105" i="17"/>
  <c r="K105" i="17"/>
  <c r="L105" i="17"/>
  <c r="G106" i="17"/>
  <c r="H106" i="17"/>
  <c r="I106" i="17"/>
  <c r="J106" i="17"/>
  <c r="K106" i="17"/>
  <c r="L106" i="17"/>
  <c r="G107" i="17"/>
  <c r="H107" i="17"/>
  <c r="I107" i="17"/>
  <c r="J107" i="17"/>
  <c r="K107" i="17"/>
  <c r="L107" i="17"/>
  <c r="G108" i="17"/>
  <c r="H108" i="17"/>
  <c r="I108" i="17"/>
  <c r="J108" i="17"/>
  <c r="K108" i="17"/>
  <c r="L108" i="17"/>
  <c r="G109" i="17"/>
  <c r="H109" i="17"/>
  <c r="I109" i="17"/>
  <c r="J109" i="17"/>
  <c r="K109" i="17"/>
  <c r="L109" i="17"/>
  <c r="G110" i="17"/>
  <c r="H110" i="17"/>
  <c r="I110" i="17"/>
  <c r="J110" i="17"/>
  <c r="K110" i="17"/>
  <c r="L110" i="17"/>
  <c r="G111" i="17"/>
  <c r="H111" i="17"/>
  <c r="I111" i="17"/>
  <c r="J111" i="17"/>
  <c r="K111" i="17"/>
  <c r="L111" i="17"/>
  <c r="G112" i="17"/>
  <c r="H112" i="17"/>
  <c r="I112" i="17"/>
  <c r="J112" i="17"/>
  <c r="K112" i="17"/>
  <c r="L112" i="17"/>
  <c r="G113" i="17"/>
  <c r="H113" i="17"/>
  <c r="I113" i="17"/>
  <c r="J113" i="17"/>
  <c r="K113" i="17"/>
  <c r="L113" i="17"/>
  <c r="G114" i="17"/>
  <c r="H114" i="17"/>
  <c r="I114" i="17"/>
  <c r="J114" i="17"/>
  <c r="K114" i="17"/>
  <c r="L114" i="17"/>
  <c r="G115" i="17"/>
  <c r="H115" i="17"/>
  <c r="I115" i="17"/>
  <c r="J115" i="17"/>
  <c r="K115" i="17"/>
  <c r="L115" i="17"/>
  <c r="G116" i="17"/>
  <c r="H116" i="17"/>
  <c r="I116" i="17"/>
  <c r="J116" i="17"/>
  <c r="K116" i="17"/>
  <c r="L116" i="17"/>
  <c r="G117" i="17"/>
  <c r="H117" i="17"/>
  <c r="I117" i="17"/>
  <c r="J117" i="17"/>
  <c r="K117" i="17"/>
  <c r="L117" i="17"/>
  <c r="G118" i="17"/>
  <c r="H118" i="17"/>
  <c r="I118" i="17"/>
  <c r="J118" i="17"/>
  <c r="K118" i="17"/>
  <c r="L118" i="17"/>
  <c r="G119" i="17"/>
  <c r="H119" i="17"/>
  <c r="I119" i="17"/>
  <c r="J119" i="17"/>
  <c r="K119" i="17"/>
  <c r="L119" i="17"/>
  <c r="G120" i="17"/>
  <c r="H120" i="17"/>
  <c r="I120" i="17"/>
  <c r="J120" i="17"/>
  <c r="K120" i="17"/>
  <c r="L120" i="17"/>
  <c r="G121" i="17"/>
  <c r="H121" i="17"/>
  <c r="I121" i="17"/>
  <c r="J121" i="17"/>
  <c r="K121" i="17"/>
  <c r="L121" i="17"/>
  <c r="G122" i="17"/>
  <c r="H122" i="17"/>
  <c r="I122" i="17"/>
  <c r="J122" i="17"/>
  <c r="K122" i="17"/>
  <c r="L122" i="17"/>
  <c r="G123" i="17"/>
  <c r="H123" i="17"/>
  <c r="I123" i="17"/>
  <c r="J123" i="17"/>
  <c r="K123" i="17"/>
  <c r="L123" i="17"/>
  <c r="G124" i="17"/>
  <c r="H124" i="17"/>
  <c r="I124" i="17"/>
  <c r="J124" i="17"/>
  <c r="K124" i="17"/>
  <c r="L124" i="17"/>
  <c r="G125" i="17"/>
  <c r="H125" i="17"/>
  <c r="I125" i="17"/>
  <c r="J125" i="17"/>
  <c r="K125" i="17"/>
  <c r="L125" i="17"/>
  <c r="G126" i="17"/>
  <c r="H126" i="17"/>
  <c r="I126" i="17"/>
  <c r="J126" i="17"/>
  <c r="K126" i="17"/>
  <c r="L126" i="17"/>
  <c r="G127" i="17"/>
  <c r="H127" i="17"/>
  <c r="I127" i="17"/>
  <c r="J127" i="17"/>
  <c r="K127" i="17"/>
  <c r="L127" i="17"/>
  <c r="G128" i="17"/>
  <c r="H128" i="17"/>
  <c r="I128" i="17"/>
  <c r="J128" i="17"/>
  <c r="K128" i="17"/>
  <c r="L128" i="17"/>
  <c r="G129" i="17"/>
  <c r="H129" i="17"/>
  <c r="I129" i="17"/>
  <c r="J129" i="17"/>
  <c r="K129" i="17"/>
  <c r="L129" i="17"/>
  <c r="G130" i="17"/>
  <c r="H130" i="17"/>
  <c r="I130" i="17"/>
  <c r="J130" i="17"/>
  <c r="K130" i="17"/>
  <c r="L130" i="17"/>
  <c r="G131" i="17"/>
  <c r="H131" i="17"/>
  <c r="I131" i="17"/>
  <c r="J131" i="17"/>
  <c r="K131" i="17"/>
  <c r="L131" i="17"/>
  <c r="G132" i="17"/>
  <c r="H132" i="17"/>
  <c r="I132" i="17"/>
  <c r="J132" i="17"/>
  <c r="K132" i="17"/>
  <c r="L132" i="17"/>
  <c r="G133" i="17"/>
  <c r="H133" i="17"/>
  <c r="I133" i="17"/>
  <c r="J133" i="17"/>
  <c r="K133" i="17"/>
  <c r="L133" i="17"/>
  <c r="G134" i="17"/>
  <c r="H134" i="17"/>
  <c r="I134" i="17"/>
  <c r="J134" i="17"/>
  <c r="K134" i="17"/>
  <c r="L134" i="17"/>
  <c r="G135" i="17"/>
  <c r="H135" i="17"/>
  <c r="I135" i="17"/>
  <c r="J135" i="17"/>
  <c r="K135" i="17"/>
  <c r="L135" i="17"/>
  <c r="G136" i="17"/>
  <c r="H136" i="17"/>
  <c r="I136" i="17"/>
  <c r="J136" i="17"/>
  <c r="K136" i="17"/>
  <c r="L136" i="17"/>
  <c r="G137" i="17"/>
  <c r="H137" i="17"/>
  <c r="I137" i="17"/>
  <c r="J137" i="17"/>
  <c r="K137" i="17"/>
  <c r="L137" i="17"/>
  <c r="G138" i="17"/>
  <c r="H138" i="17"/>
  <c r="I138" i="17"/>
  <c r="J138" i="17"/>
  <c r="K138" i="17"/>
  <c r="L138" i="17"/>
  <c r="G139" i="17"/>
  <c r="H139" i="17"/>
  <c r="I139" i="17"/>
  <c r="J139" i="17"/>
  <c r="K139" i="17"/>
  <c r="L139" i="17"/>
  <c r="G140" i="17"/>
  <c r="H140" i="17"/>
  <c r="I140" i="17"/>
  <c r="J140" i="17"/>
  <c r="K140" i="17"/>
  <c r="L140" i="17"/>
  <c r="G141" i="17"/>
  <c r="H141" i="17"/>
  <c r="I141" i="17"/>
  <c r="J141" i="17"/>
  <c r="K141" i="17"/>
  <c r="L141" i="17"/>
  <c r="G142" i="17"/>
  <c r="H142" i="17"/>
  <c r="I142" i="17"/>
  <c r="J142" i="17"/>
  <c r="K142" i="17"/>
  <c r="L142" i="17"/>
  <c r="G143" i="17"/>
  <c r="H143" i="17"/>
  <c r="I143" i="17"/>
  <c r="J143" i="17"/>
  <c r="K143" i="17"/>
  <c r="L143" i="17"/>
  <c r="G144" i="17"/>
  <c r="H144" i="17"/>
  <c r="I144" i="17"/>
  <c r="J144" i="17"/>
  <c r="K144" i="17"/>
  <c r="L144" i="17"/>
  <c r="G145" i="17"/>
  <c r="H145" i="17"/>
  <c r="I145" i="17"/>
  <c r="J145" i="17"/>
  <c r="K145" i="17"/>
  <c r="L145" i="17"/>
  <c r="G146" i="17"/>
  <c r="H146" i="17"/>
  <c r="I146" i="17"/>
  <c r="J146" i="17"/>
  <c r="K146" i="17"/>
  <c r="L146" i="17"/>
  <c r="G147" i="17"/>
  <c r="H147" i="17"/>
  <c r="I147" i="17"/>
  <c r="J147" i="17"/>
  <c r="K147" i="17"/>
  <c r="L147" i="17"/>
  <c r="G148" i="17"/>
  <c r="H148" i="17"/>
  <c r="I148" i="17"/>
  <c r="J148" i="17"/>
  <c r="K148" i="17"/>
  <c r="L148" i="17"/>
  <c r="G149" i="17"/>
  <c r="H149" i="17"/>
  <c r="I149" i="17"/>
  <c r="J149" i="17"/>
  <c r="K149" i="17"/>
  <c r="L149" i="17"/>
  <c r="G150" i="17"/>
  <c r="H150" i="17"/>
  <c r="I150" i="17"/>
  <c r="J150" i="17"/>
  <c r="K150" i="17"/>
  <c r="L150" i="17"/>
  <c r="G151" i="17"/>
  <c r="H151" i="17"/>
  <c r="I151" i="17"/>
  <c r="J151" i="17"/>
  <c r="K151" i="17"/>
  <c r="L151" i="17"/>
  <c r="G152" i="17"/>
  <c r="H152" i="17"/>
  <c r="I152" i="17"/>
  <c r="J152" i="17"/>
  <c r="K152" i="17"/>
  <c r="L152" i="17"/>
  <c r="G153" i="17"/>
  <c r="H153" i="17"/>
  <c r="I153" i="17"/>
  <c r="J153" i="17"/>
  <c r="K153" i="17"/>
  <c r="L153" i="17"/>
  <c r="G154" i="17"/>
  <c r="H154" i="17"/>
  <c r="I154" i="17"/>
  <c r="J154" i="17"/>
  <c r="K154" i="17"/>
  <c r="L154" i="17"/>
  <c r="G155" i="17"/>
  <c r="H155" i="17"/>
  <c r="I155" i="17"/>
  <c r="J155" i="17"/>
  <c r="K155" i="17"/>
  <c r="L155" i="17"/>
  <c r="G156" i="17"/>
  <c r="H156" i="17"/>
  <c r="I156" i="17"/>
  <c r="J156" i="17"/>
  <c r="K156" i="17"/>
  <c r="L156" i="17"/>
  <c r="G157" i="17"/>
  <c r="H157" i="17"/>
  <c r="I157" i="17"/>
  <c r="J157" i="17"/>
  <c r="K157" i="17"/>
  <c r="L157" i="17"/>
  <c r="G158" i="17"/>
  <c r="H158" i="17"/>
  <c r="I158" i="17"/>
  <c r="J158" i="17"/>
  <c r="K158" i="17"/>
  <c r="L158" i="17"/>
  <c r="G159" i="17"/>
  <c r="H159" i="17"/>
  <c r="I159" i="17"/>
  <c r="J159" i="17"/>
  <c r="K159" i="17"/>
  <c r="L159" i="17"/>
  <c r="G160" i="17"/>
  <c r="H160" i="17"/>
  <c r="I160" i="17"/>
  <c r="J160" i="17"/>
  <c r="K160" i="17"/>
  <c r="L160" i="17"/>
  <c r="G161" i="17"/>
  <c r="H161" i="17"/>
  <c r="I161" i="17"/>
  <c r="J161" i="17"/>
  <c r="K161" i="17"/>
  <c r="L161" i="17"/>
  <c r="G162" i="17"/>
  <c r="H162" i="17"/>
  <c r="I162" i="17"/>
  <c r="J162" i="17"/>
  <c r="K162" i="17"/>
  <c r="L162" i="17"/>
  <c r="G163" i="17"/>
  <c r="H163" i="17"/>
  <c r="I163" i="17"/>
  <c r="J163" i="17"/>
  <c r="K163" i="17"/>
  <c r="L163" i="17"/>
  <c r="G164" i="17"/>
  <c r="H164" i="17"/>
  <c r="I164" i="17"/>
  <c r="J164" i="17"/>
  <c r="K164" i="17"/>
  <c r="L164" i="17"/>
  <c r="G165" i="17"/>
  <c r="H165" i="17"/>
  <c r="I165" i="17"/>
  <c r="J165" i="17"/>
  <c r="K165" i="17"/>
  <c r="L165" i="17"/>
  <c r="G166" i="17"/>
  <c r="H166" i="17"/>
  <c r="I166" i="17"/>
  <c r="J166" i="17"/>
  <c r="K166" i="17"/>
  <c r="L166" i="17"/>
  <c r="G167" i="17"/>
  <c r="H167" i="17"/>
  <c r="I167" i="17"/>
  <c r="J167" i="17"/>
  <c r="K167" i="17"/>
  <c r="L167" i="17"/>
  <c r="G168" i="17"/>
  <c r="H168" i="17"/>
  <c r="I168" i="17"/>
  <c r="J168" i="17"/>
  <c r="K168" i="17"/>
  <c r="L168" i="17"/>
  <c r="G169" i="17"/>
  <c r="H169" i="17"/>
  <c r="I169" i="17"/>
  <c r="J169" i="17"/>
  <c r="K169" i="17"/>
  <c r="L169" i="17"/>
  <c r="G170" i="17"/>
  <c r="H170" i="17"/>
  <c r="I170" i="17"/>
  <c r="J170" i="17"/>
  <c r="K170" i="17"/>
  <c r="L170" i="17"/>
  <c r="G171" i="17"/>
  <c r="H171" i="17"/>
  <c r="I171" i="17"/>
  <c r="J171" i="17"/>
  <c r="K171" i="17"/>
  <c r="L171" i="17"/>
  <c r="G172" i="17"/>
  <c r="H172" i="17"/>
  <c r="I172" i="17"/>
  <c r="J172" i="17"/>
  <c r="K172" i="17"/>
  <c r="L172" i="17"/>
  <c r="G173" i="17"/>
  <c r="H173" i="17"/>
  <c r="I173" i="17"/>
  <c r="J173" i="17"/>
  <c r="K173" i="17"/>
  <c r="L173" i="17"/>
  <c r="G174" i="17"/>
  <c r="H174" i="17"/>
  <c r="I174" i="17"/>
  <c r="J174" i="17"/>
  <c r="K174" i="17"/>
  <c r="L174" i="17"/>
  <c r="G175" i="17"/>
  <c r="H175" i="17"/>
  <c r="I175" i="17"/>
  <c r="J175" i="17"/>
  <c r="K175" i="17"/>
  <c r="L175" i="17"/>
  <c r="G176" i="17"/>
  <c r="H176" i="17"/>
  <c r="I176" i="17"/>
  <c r="J176" i="17"/>
  <c r="K176" i="17"/>
  <c r="L176" i="17"/>
  <c r="G177" i="17"/>
  <c r="H177" i="17"/>
  <c r="I177" i="17"/>
  <c r="J177" i="17"/>
  <c r="K177" i="17"/>
  <c r="L177" i="17"/>
  <c r="G178" i="17"/>
  <c r="H178" i="17"/>
  <c r="I178" i="17"/>
  <c r="J178" i="17"/>
  <c r="K178" i="17"/>
  <c r="L178" i="17"/>
  <c r="G179" i="17"/>
  <c r="H179" i="17"/>
  <c r="I179" i="17"/>
  <c r="J179" i="17"/>
  <c r="K179" i="17"/>
  <c r="L179" i="17"/>
  <c r="G180" i="17"/>
  <c r="H180" i="17"/>
  <c r="I180" i="17"/>
  <c r="J180" i="17"/>
  <c r="K180" i="17"/>
  <c r="L180" i="17"/>
  <c r="G181" i="17"/>
  <c r="H181" i="17"/>
  <c r="I181" i="17"/>
  <c r="J181" i="17"/>
  <c r="K181" i="17"/>
  <c r="L181" i="17"/>
  <c r="G182" i="17"/>
  <c r="H182" i="17"/>
  <c r="I182" i="17"/>
  <c r="J182" i="17"/>
  <c r="K182" i="17"/>
  <c r="L182" i="17"/>
  <c r="G183" i="17"/>
  <c r="H183" i="17"/>
  <c r="I183" i="17"/>
  <c r="J183" i="17"/>
  <c r="K183" i="17"/>
  <c r="L183" i="17"/>
  <c r="G184" i="17"/>
  <c r="H184" i="17"/>
  <c r="I184" i="17"/>
  <c r="J184" i="17"/>
  <c r="K184" i="17"/>
  <c r="L184" i="17"/>
  <c r="G185" i="17"/>
  <c r="H185" i="17"/>
  <c r="I185" i="17"/>
  <c r="J185" i="17"/>
  <c r="K185" i="17"/>
  <c r="L185" i="17"/>
  <c r="G186" i="17"/>
  <c r="H186" i="17"/>
  <c r="I186" i="17"/>
  <c r="J186" i="17"/>
  <c r="K186" i="17"/>
  <c r="L186" i="17"/>
  <c r="G187" i="17"/>
  <c r="H187" i="17"/>
  <c r="I187" i="17"/>
  <c r="J187" i="17"/>
  <c r="K187" i="17"/>
  <c r="L187" i="17"/>
  <c r="G188" i="17"/>
  <c r="H188" i="17"/>
  <c r="I188" i="17"/>
  <c r="J188" i="17"/>
  <c r="K188" i="17"/>
  <c r="L188" i="17"/>
  <c r="G189" i="17"/>
  <c r="H189" i="17"/>
  <c r="I189" i="17"/>
  <c r="J189" i="17"/>
  <c r="K189" i="17"/>
  <c r="L189" i="17"/>
  <c r="G190" i="17"/>
  <c r="H190" i="17"/>
  <c r="I190" i="17"/>
  <c r="J190" i="17"/>
  <c r="K190" i="17"/>
  <c r="L190" i="17"/>
  <c r="G191" i="17"/>
  <c r="H191" i="17"/>
  <c r="I191" i="17"/>
  <c r="J191" i="17"/>
  <c r="K191" i="17"/>
  <c r="L191" i="17"/>
  <c r="G192" i="17"/>
  <c r="H192" i="17"/>
  <c r="I192" i="17"/>
  <c r="J192" i="17"/>
  <c r="K192" i="17"/>
  <c r="L192" i="17"/>
  <c r="G193" i="17"/>
  <c r="H193" i="17"/>
  <c r="I193" i="17"/>
  <c r="J193" i="17"/>
  <c r="K193" i="17"/>
  <c r="L193" i="17"/>
  <c r="G194" i="17"/>
  <c r="H194" i="17"/>
  <c r="I194" i="17"/>
  <c r="J194" i="17"/>
  <c r="K194" i="17"/>
  <c r="L194" i="17"/>
  <c r="G195" i="17"/>
  <c r="H195" i="17"/>
  <c r="I195" i="17"/>
  <c r="J195" i="17"/>
  <c r="K195" i="17"/>
  <c r="L195" i="17"/>
  <c r="G196" i="17"/>
  <c r="H196" i="17"/>
  <c r="I196" i="17"/>
  <c r="J196" i="17"/>
  <c r="K196" i="17"/>
  <c r="L196" i="17"/>
  <c r="G197" i="17"/>
  <c r="H197" i="17"/>
  <c r="I197" i="17"/>
  <c r="J197" i="17"/>
  <c r="K197" i="17"/>
  <c r="L197" i="17"/>
  <c r="G198" i="17"/>
  <c r="H198" i="17"/>
  <c r="I198" i="17"/>
  <c r="J198" i="17"/>
  <c r="K198" i="17"/>
  <c r="L198" i="17"/>
  <c r="G199" i="17"/>
  <c r="H199" i="17"/>
  <c r="I199" i="17"/>
  <c r="J199" i="17"/>
  <c r="K199" i="17"/>
  <c r="L199" i="17"/>
  <c r="G200" i="17"/>
  <c r="H200" i="17"/>
  <c r="I200" i="17"/>
  <c r="J200" i="17"/>
  <c r="K200" i="17"/>
  <c r="L200" i="17"/>
  <c r="G201" i="17"/>
  <c r="H201" i="17"/>
  <c r="I201" i="17"/>
  <c r="J201" i="17"/>
  <c r="K201" i="17"/>
  <c r="L201" i="17"/>
  <c r="G202" i="17"/>
  <c r="H202" i="17"/>
  <c r="I202" i="17"/>
  <c r="J202" i="17"/>
  <c r="K202" i="17"/>
  <c r="L202" i="17"/>
  <c r="G203" i="17"/>
  <c r="H203" i="17"/>
  <c r="I203" i="17"/>
  <c r="J203" i="17"/>
  <c r="K203" i="17"/>
  <c r="L203" i="17"/>
  <c r="G204" i="17"/>
  <c r="H204" i="17"/>
  <c r="I204" i="17"/>
  <c r="J204" i="17"/>
  <c r="K204" i="17"/>
  <c r="L204" i="17"/>
  <c r="G205" i="17"/>
  <c r="H205" i="17"/>
  <c r="I205" i="17"/>
  <c r="J205" i="17"/>
  <c r="K205" i="17"/>
  <c r="L205" i="17"/>
  <c r="G206" i="17"/>
  <c r="H206" i="17"/>
  <c r="I206" i="17"/>
  <c r="J206" i="17"/>
  <c r="K206" i="17"/>
  <c r="L206" i="17"/>
  <c r="G207" i="17"/>
  <c r="H207" i="17"/>
  <c r="I207" i="17"/>
  <c r="J207" i="17"/>
  <c r="K207" i="17"/>
  <c r="L207" i="17"/>
  <c r="G208" i="17"/>
  <c r="H208" i="17"/>
  <c r="I208" i="17"/>
  <c r="J208" i="17"/>
  <c r="K208" i="17"/>
  <c r="L208" i="17"/>
  <c r="G209" i="17"/>
  <c r="H209" i="17"/>
  <c r="I209" i="17"/>
  <c r="J209" i="17"/>
  <c r="K209" i="17"/>
  <c r="L209" i="17"/>
  <c r="G210" i="17"/>
  <c r="H210" i="17"/>
  <c r="I210" i="17"/>
  <c r="J210" i="17"/>
  <c r="K210" i="17"/>
  <c r="L210" i="17"/>
  <c r="G211" i="17"/>
  <c r="H211" i="17"/>
  <c r="I211" i="17"/>
  <c r="J211" i="17"/>
  <c r="K211" i="17"/>
  <c r="L211" i="17"/>
  <c r="G212" i="17"/>
  <c r="H212" i="17"/>
  <c r="I212" i="17"/>
  <c r="J212" i="17"/>
  <c r="K212" i="17"/>
  <c r="L212" i="17"/>
  <c r="G213" i="17"/>
  <c r="H213" i="17"/>
  <c r="I213" i="17"/>
  <c r="J213" i="17"/>
  <c r="K213" i="17"/>
  <c r="L213" i="17"/>
  <c r="G214" i="17"/>
  <c r="H214" i="17"/>
  <c r="I214" i="17"/>
  <c r="J214" i="17"/>
  <c r="K214" i="17"/>
  <c r="L214" i="17"/>
  <c r="G215" i="17"/>
  <c r="H215" i="17"/>
  <c r="I215" i="17"/>
  <c r="J215" i="17"/>
  <c r="K215" i="17"/>
  <c r="L215" i="17"/>
  <c r="G216" i="17"/>
  <c r="H216" i="17"/>
  <c r="I216" i="17"/>
  <c r="J216" i="17"/>
  <c r="K216" i="17"/>
  <c r="L216" i="17"/>
  <c r="G217" i="17"/>
  <c r="H217" i="17"/>
  <c r="I217" i="17"/>
  <c r="J217" i="17"/>
  <c r="K217" i="17"/>
  <c r="L217" i="17"/>
  <c r="G218" i="17"/>
  <c r="H218" i="17"/>
  <c r="I218" i="17"/>
  <c r="J218" i="17"/>
  <c r="K218" i="17"/>
  <c r="L218" i="17"/>
  <c r="G219" i="17"/>
  <c r="H219" i="17"/>
  <c r="I219" i="17"/>
  <c r="J219" i="17"/>
  <c r="K219" i="17"/>
  <c r="L219" i="17"/>
  <c r="G220" i="17"/>
  <c r="H220" i="17"/>
  <c r="I220" i="17"/>
  <c r="J220" i="17"/>
  <c r="K220" i="17"/>
  <c r="L220" i="17"/>
  <c r="G221" i="17"/>
  <c r="H221" i="17"/>
  <c r="I221" i="17"/>
  <c r="J221" i="17"/>
  <c r="K221" i="17"/>
  <c r="L221" i="17"/>
  <c r="G222" i="17"/>
  <c r="H222" i="17"/>
  <c r="I222" i="17"/>
  <c r="J222" i="17"/>
  <c r="K222" i="17"/>
  <c r="L222" i="17"/>
  <c r="G223" i="17"/>
  <c r="H223" i="17"/>
  <c r="I223" i="17"/>
  <c r="J223" i="17"/>
  <c r="K223" i="17"/>
  <c r="L223" i="17"/>
  <c r="G224" i="17"/>
  <c r="H224" i="17"/>
  <c r="I224" i="17"/>
  <c r="J224" i="17"/>
  <c r="K224" i="17"/>
  <c r="L224" i="17"/>
  <c r="G225" i="17"/>
  <c r="H225" i="17"/>
  <c r="I225" i="17"/>
  <c r="J225" i="17"/>
  <c r="K225" i="17"/>
  <c r="L225" i="17"/>
  <c r="G226" i="17"/>
  <c r="H226" i="17"/>
  <c r="I226" i="17"/>
  <c r="J226" i="17"/>
  <c r="K226" i="17"/>
  <c r="L226" i="17"/>
  <c r="G227" i="17"/>
  <c r="H227" i="17"/>
  <c r="I227" i="17"/>
  <c r="J227" i="17"/>
  <c r="K227" i="17"/>
  <c r="L227" i="17"/>
  <c r="G228" i="17"/>
  <c r="H228" i="17"/>
  <c r="I228" i="17"/>
  <c r="J228" i="17"/>
  <c r="K228" i="17"/>
  <c r="L228" i="17"/>
  <c r="G229" i="17"/>
  <c r="H229" i="17"/>
  <c r="I229" i="17"/>
  <c r="J229" i="17"/>
  <c r="K229" i="17"/>
  <c r="L229" i="17"/>
  <c r="G230" i="17"/>
  <c r="H230" i="17"/>
  <c r="I230" i="17"/>
  <c r="J230" i="17"/>
  <c r="K230" i="17"/>
  <c r="L230" i="17"/>
  <c r="G231" i="17"/>
  <c r="H231" i="17"/>
  <c r="I231" i="17"/>
  <c r="J231" i="17"/>
  <c r="K231" i="17"/>
  <c r="L231" i="17"/>
  <c r="G232" i="17"/>
  <c r="H232" i="17"/>
  <c r="I232" i="17"/>
  <c r="J232" i="17"/>
  <c r="K232" i="17"/>
  <c r="L232" i="17"/>
  <c r="G233" i="17"/>
  <c r="H233" i="17"/>
  <c r="I233" i="17"/>
  <c r="J233" i="17"/>
  <c r="K233" i="17"/>
  <c r="L233" i="17"/>
  <c r="G234" i="17"/>
  <c r="H234" i="17"/>
  <c r="I234" i="17"/>
  <c r="J234" i="17"/>
  <c r="K234" i="17"/>
  <c r="L234" i="17"/>
  <c r="G235" i="17"/>
  <c r="H235" i="17"/>
  <c r="I235" i="17"/>
  <c r="J235" i="17"/>
  <c r="K235" i="17"/>
  <c r="L235" i="17"/>
  <c r="G236" i="17"/>
  <c r="H236" i="17"/>
  <c r="I236" i="17"/>
  <c r="J236" i="17"/>
  <c r="K236" i="17"/>
  <c r="L236" i="17"/>
  <c r="G237" i="17"/>
  <c r="H237" i="17"/>
  <c r="I237" i="17"/>
  <c r="J237" i="17"/>
  <c r="K237" i="17"/>
  <c r="L237" i="17"/>
  <c r="G238" i="17"/>
  <c r="H238" i="17"/>
  <c r="I238" i="17"/>
  <c r="J238" i="17"/>
  <c r="K238" i="17"/>
  <c r="L238" i="17"/>
  <c r="G239" i="17"/>
  <c r="H239" i="17"/>
  <c r="I239" i="17"/>
  <c r="J239" i="17"/>
  <c r="K239" i="17"/>
  <c r="L239" i="17"/>
  <c r="G240" i="17"/>
  <c r="H240" i="17"/>
  <c r="I240" i="17"/>
  <c r="J240" i="17"/>
  <c r="K240" i="17"/>
  <c r="L240" i="17"/>
  <c r="G241" i="17"/>
  <c r="H241" i="17"/>
  <c r="I241" i="17"/>
  <c r="J241" i="17"/>
  <c r="K241" i="17"/>
  <c r="L241" i="17"/>
  <c r="G242" i="17"/>
  <c r="H242" i="17"/>
  <c r="I242" i="17"/>
  <c r="J242" i="17"/>
  <c r="K242" i="17"/>
  <c r="L242" i="17"/>
  <c r="G243" i="17"/>
  <c r="H243" i="17"/>
  <c r="I243" i="17"/>
  <c r="J243" i="17"/>
  <c r="K243" i="17"/>
  <c r="L243" i="17"/>
  <c r="G244" i="17"/>
  <c r="H244" i="17"/>
  <c r="I244" i="17"/>
  <c r="J244" i="17"/>
  <c r="K244" i="17"/>
  <c r="L244" i="17"/>
  <c r="G245" i="17"/>
  <c r="H245" i="17"/>
  <c r="I245" i="17"/>
  <c r="J245" i="17"/>
  <c r="K245" i="17"/>
  <c r="L245" i="17"/>
  <c r="G246" i="17"/>
  <c r="H246" i="17"/>
  <c r="I246" i="17"/>
  <c r="J246" i="17"/>
  <c r="K246" i="17"/>
  <c r="L246" i="17"/>
  <c r="G247" i="17"/>
  <c r="H247" i="17"/>
  <c r="I247" i="17"/>
  <c r="J247" i="17"/>
  <c r="K247" i="17"/>
  <c r="L247" i="17"/>
  <c r="G248" i="17"/>
  <c r="H248" i="17"/>
  <c r="I248" i="17"/>
  <c r="J248" i="17"/>
  <c r="K248" i="17"/>
  <c r="L248" i="17"/>
  <c r="G249" i="17"/>
  <c r="H249" i="17"/>
  <c r="I249" i="17"/>
  <c r="J249" i="17"/>
  <c r="K249" i="17"/>
  <c r="L249" i="17"/>
  <c r="G250" i="17"/>
  <c r="H250" i="17"/>
  <c r="I250" i="17"/>
  <c r="J250" i="17"/>
  <c r="K250" i="17"/>
  <c r="L250" i="17"/>
  <c r="G251" i="17"/>
  <c r="H251" i="17"/>
  <c r="I251" i="17"/>
  <c r="J251" i="17"/>
  <c r="K251" i="17"/>
  <c r="L251" i="17"/>
  <c r="G252" i="17"/>
  <c r="H252" i="17"/>
  <c r="I252" i="17"/>
  <c r="J252" i="17"/>
  <c r="K252" i="17"/>
  <c r="L252" i="17"/>
  <c r="G253" i="17"/>
  <c r="H253" i="17"/>
  <c r="I253" i="17"/>
  <c r="J253" i="17"/>
  <c r="K253" i="17"/>
  <c r="L253" i="17"/>
  <c r="G254" i="17"/>
  <c r="H254" i="17"/>
  <c r="I254" i="17"/>
  <c r="J254" i="17"/>
  <c r="K254" i="17"/>
  <c r="L254" i="17"/>
  <c r="G255" i="17"/>
  <c r="H255" i="17"/>
  <c r="I255" i="17"/>
  <c r="J255" i="17"/>
  <c r="K255" i="17"/>
  <c r="L255" i="17"/>
  <c r="G256" i="17"/>
  <c r="H256" i="17"/>
  <c r="I256" i="17"/>
  <c r="J256" i="17"/>
  <c r="K256" i="17"/>
  <c r="L256" i="17"/>
  <c r="G257" i="17"/>
  <c r="H257" i="17"/>
  <c r="I257" i="17"/>
  <c r="J257" i="17"/>
  <c r="K257" i="17"/>
  <c r="L257" i="17"/>
  <c r="G258" i="17"/>
  <c r="H258" i="17"/>
  <c r="I258" i="17"/>
  <c r="J258" i="17"/>
  <c r="K258" i="17"/>
  <c r="L258" i="17"/>
  <c r="G259" i="17"/>
  <c r="H259" i="17"/>
  <c r="I259" i="17"/>
  <c r="J259" i="17"/>
  <c r="K259" i="17"/>
  <c r="L259" i="17"/>
  <c r="G260" i="17"/>
  <c r="H260" i="17"/>
  <c r="I260" i="17"/>
  <c r="J260" i="17"/>
  <c r="K260" i="17"/>
  <c r="L260" i="17"/>
  <c r="G261" i="17"/>
  <c r="H261" i="17"/>
  <c r="I261" i="17"/>
  <c r="J261" i="17"/>
  <c r="K261" i="17"/>
  <c r="L261" i="17"/>
  <c r="G262" i="17"/>
  <c r="H262" i="17"/>
  <c r="I262" i="17"/>
  <c r="J262" i="17"/>
  <c r="K262" i="17"/>
  <c r="L262" i="17"/>
  <c r="G263" i="17"/>
  <c r="H263" i="17"/>
  <c r="I263" i="17"/>
  <c r="J263" i="17"/>
  <c r="K263" i="17"/>
  <c r="L263" i="17"/>
  <c r="G264" i="17"/>
  <c r="H264" i="17"/>
  <c r="I264" i="17"/>
  <c r="J264" i="17"/>
  <c r="K264" i="17"/>
  <c r="L264" i="17"/>
  <c r="G265" i="17"/>
  <c r="H265" i="17"/>
  <c r="I265" i="17"/>
  <c r="J265" i="17"/>
  <c r="K265" i="17"/>
  <c r="L265" i="17"/>
  <c r="G266" i="17"/>
  <c r="H266" i="17"/>
  <c r="I266" i="17"/>
  <c r="J266" i="17"/>
  <c r="K266" i="17"/>
  <c r="L266" i="17"/>
  <c r="G267" i="17"/>
  <c r="H267" i="17"/>
  <c r="I267" i="17"/>
  <c r="J267" i="17"/>
  <c r="K267" i="17"/>
  <c r="L267" i="17"/>
  <c r="G268" i="17"/>
  <c r="H268" i="17"/>
  <c r="I268" i="17"/>
  <c r="J268" i="17"/>
  <c r="K268" i="17"/>
  <c r="L268" i="17"/>
  <c r="G269" i="17"/>
  <c r="H269" i="17"/>
  <c r="I269" i="17"/>
  <c r="J269" i="17"/>
  <c r="K269" i="17"/>
  <c r="L269" i="17"/>
  <c r="G270" i="17"/>
  <c r="H270" i="17"/>
  <c r="I270" i="17"/>
  <c r="J270" i="17"/>
  <c r="K270" i="17"/>
  <c r="L270" i="17"/>
  <c r="G271" i="17"/>
  <c r="H271" i="17"/>
  <c r="I271" i="17"/>
  <c r="J271" i="17"/>
  <c r="K271" i="17"/>
  <c r="L271" i="17"/>
  <c r="G272" i="17"/>
  <c r="H272" i="17"/>
  <c r="I272" i="17"/>
  <c r="J272" i="17"/>
  <c r="K272" i="17"/>
  <c r="L272" i="17"/>
  <c r="G273" i="17"/>
  <c r="H273" i="17"/>
  <c r="I273" i="17"/>
  <c r="J273" i="17"/>
  <c r="K273" i="17"/>
  <c r="L273" i="17"/>
  <c r="G274" i="17"/>
  <c r="H274" i="17"/>
  <c r="I274" i="17"/>
  <c r="J274" i="17"/>
  <c r="K274" i="17"/>
  <c r="L274" i="17"/>
  <c r="G275" i="17"/>
  <c r="H275" i="17"/>
  <c r="I275" i="17"/>
  <c r="J275" i="17"/>
  <c r="K275" i="17"/>
  <c r="L275" i="17"/>
  <c r="G276" i="17"/>
  <c r="H276" i="17"/>
  <c r="I276" i="17"/>
  <c r="J276" i="17"/>
  <c r="K276" i="17"/>
  <c r="L276" i="17"/>
  <c r="G277" i="17"/>
  <c r="H277" i="17"/>
  <c r="I277" i="17"/>
  <c r="J277" i="17"/>
  <c r="K277" i="17"/>
  <c r="L277" i="17"/>
  <c r="G278" i="17"/>
  <c r="H278" i="17"/>
  <c r="I278" i="17"/>
  <c r="J278" i="17"/>
  <c r="K278" i="17"/>
  <c r="L278" i="17"/>
  <c r="G279" i="17"/>
  <c r="H279" i="17"/>
  <c r="I279" i="17"/>
  <c r="J279" i="17"/>
  <c r="K279" i="17"/>
  <c r="L279" i="17"/>
  <c r="G280" i="17"/>
  <c r="H280" i="17"/>
  <c r="I280" i="17"/>
  <c r="J280" i="17"/>
  <c r="K280" i="17"/>
  <c r="L280" i="17"/>
  <c r="G281" i="17"/>
  <c r="H281" i="17"/>
  <c r="I281" i="17"/>
  <c r="J281" i="17"/>
  <c r="K281" i="17"/>
  <c r="L281" i="17"/>
  <c r="G282" i="17"/>
  <c r="H282" i="17"/>
  <c r="I282" i="17"/>
  <c r="J282" i="17"/>
  <c r="K282" i="17"/>
  <c r="L282" i="17"/>
  <c r="G283" i="17"/>
  <c r="H283" i="17"/>
  <c r="I283" i="17"/>
  <c r="J283" i="17"/>
  <c r="K283" i="17"/>
  <c r="L283" i="17"/>
  <c r="G284" i="17"/>
  <c r="H284" i="17"/>
  <c r="I284" i="17"/>
  <c r="J284" i="17"/>
  <c r="K284" i="17"/>
  <c r="L284" i="17"/>
  <c r="G285" i="17"/>
  <c r="H285" i="17"/>
  <c r="I285" i="17"/>
  <c r="J285" i="17"/>
  <c r="K285" i="17"/>
  <c r="L285" i="17"/>
  <c r="G286" i="17"/>
  <c r="H286" i="17"/>
  <c r="I286" i="17"/>
  <c r="J286" i="17"/>
  <c r="K286" i="17"/>
  <c r="L286" i="17"/>
  <c r="G287" i="17"/>
  <c r="H287" i="17"/>
  <c r="I287" i="17"/>
  <c r="J287" i="17"/>
  <c r="K287" i="17"/>
  <c r="L287" i="17"/>
  <c r="G288" i="17"/>
  <c r="H288" i="17"/>
  <c r="I288" i="17"/>
  <c r="J288" i="17"/>
  <c r="K288" i="17"/>
  <c r="L288" i="17"/>
  <c r="G289" i="17"/>
  <c r="H289" i="17"/>
  <c r="I289" i="17"/>
  <c r="J289" i="17"/>
  <c r="K289" i="17"/>
  <c r="L289" i="17"/>
  <c r="G290" i="17"/>
  <c r="H290" i="17"/>
  <c r="I290" i="17"/>
  <c r="J290" i="17"/>
  <c r="K290" i="17"/>
  <c r="L290" i="17"/>
  <c r="G291" i="17"/>
  <c r="H291" i="17"/>
  <c r="I291" i="17"/>
  <c r="J291" i="17"/>
  <c r="K291" i="17"/>
  <c r="L291" i="17"/>
  <c r="G292" i="17"/>
  <c r="H292" i="17"/>
  <c r="I292" i="17"/>
  <c r="J292" i="17"/>
  <c r="K292" i="17"/>
  <c r="L292" i="17"/>
  <c r="G293" i="17"/>
  <c r="H293" i="17"/>
  <c r="I293" i="17"/>
  <c r="J293" i="17"/>
  <c r="K293" i="17"/>
  <c r="L293" i="17"/>
  <c r="G294" i="17"/>
  <c r="H294" i="17"/>
  <c r="I294" i="17"/>
  <c r="J294" i="17"/>
  <c r="K294" i="17"/>
  <c r="L294" i="17"/>
  <c r="G295" i="17"/>
  <c r="H295" i="17"/>
  <c r="I295" i="17"/>
  <c r="J295" i="17"/>
  <c r="K295" i="17"/>
  <c r="L295" i="17"/>
  <c r="G296" i="17"/>
  <c r="H296" i="17"/>
  <c r="I296" i="17"/>
  <c r="J296" i="17"/>
  <c r="K296" i="17"/>
  <c r="L296" i="17"/>
  <c r="G297" i="17"/>
  <c r="H297" i="17"/>
  <c r="I297" i="17"/>
  <c r="J297" i="17"/>
  <c r="K297" i="17"/>
  <c r="L297" i="17"/>
  <c r="G298" i="17"/>
  <c r="H298" i="17"/>
  <c r="I298" i="17"/>
  <c r="J298" i="17"/>
  <c r="K298" i="17"/>
  <c r="L298" i="17"/>
  <c r="G299" i="17"/>
  <c r="H299" i="17"/>
  <c r="I299" i="17"/>
  <c r="J299" i="17"/>
  <c r="K299" i="17"/>
  <c r="L299" i="17"/>
  <c r="G300" i="17"/>
  <c r="H300" i="17"/>
  <c r="I300" i="17"/>
  <c r="J300" i="17"/>
  <c r="K300" i="17"/>
  <c r="L300" i="17"/>
  <c r="G301" i="17"/>
  <c r="H301" i="17"/>
  <c r="I301" i="17"/>
  <c r="J301" i="17"/>
  <c r="K301" i="17"/>
  <c r="L301" i="17"/>
  <c r="G302" i="17"/>
  <c r="H302" i="17"/>
  <c r="I302" i="17"/>
  <c r="J302" i="17"/>
  <c r="K302" i="17"/>
  <c r="L302" i="17"/>
  <c r="G303" i="17"/>
  <c r="H303" i="17"/>
  <c r="I303" i="17"/>
  <c r="J303" i="17"/>
  <c r="K303" i="17"/>
  <c r="L303" i="17"/>
  <c r="G304" i="17"/>
  <c r="H304" i="17"/>
  <c r="I304" i="17"/>
  <c r="J304" i="17"/>
  <c r="K304" i="17"/>
  <c r="L304" i="17"/>
  <c r="G305" i="17"/>
  <c r="H305" i="17"/>
  <c r="I305" i="17"/>
  <c r="J305" i="17"/>
  <c r="K305" i="17"/>
  <c r="L305" i="17"/>
  <c r="G306" i="17"/>
  <c r="H306" i="17"/>
  <c r="I306" i="17"/>
  <c r="J306" i="17"/>
  <c r="K306" i="17"/>
  <c r="L306" i="17"/>
  <c r="G307" i="17"/>
  <c r="H307" i="17"/>
  <c r="I307" i="17"/>
  <c r="J307" i="17"/>
  <c r="K307" i="17"/>
  <c r="L307" i="17"/>
  <c r="G308" i="17"/>
  <c r="H308" i="17"/>
  <c r="I308" i="17"/>
  <c r="J308" i="17"/>
  <c r="K308" i="17"/>
  <c r="L308" i="17"/>
  <c r="G309" i="17"/>
  <c r="H309" i="17"/>
  <c r="I309" i="17"/>
  <c r="J309" i="17"/>
  <c r="K309" i="17"/>
  <c r="L309" i="17"/>
  <c r="G310" i="17"/>
  <c r="H310" i="17"/>
  <c r="I310" i="17"/>
  <c r="J310" i="17"/>
  <c r="K310" i="17"/>
  <c r="L310" i="17"/>
  <c r="G311" i="17"/>
  <c r="H311" i="17"/>
  <c r="I311" i="17"/>
  <c r="J311" i="17"/>
  <c r="K311" i="17"/>
  <c r="L311" i="17"/>
  <c r="G312" i="17"/>
  <c r="H312" i="17"/>
  <c r="I312" i="17"/>
  <c r="J312" i="17"/>
  <c r="K312" i="17"/>
  <c r="L312" i="17"/>
  <c r="G313" i="17"/>
  <c r="H313" i="17"/>
  <c r="I313" i="17"/>
  <c r="J313" i="17"/>
  <c r="K313" i="17"/>
  <c r="L313" i="17"/>
  <c r="G314" i="17"/>
  <c r="H314" i="17"/>
  <c r="I314" i="17"/>
  <c r="J314" i="17"/>
  <c r="K314" i="17"/>
  <c r="L314" i="17"/>
  <c r="G315" i="17"/>
  <c r="H315" i="17"/>
  <c r="I315" i="17"/>
  <c r="J315" i="17"/>
  <c r="K315" i="17"/>
  <c r="L315" i="17"/>
  <c r="G316" i="17"/>
  <c r="H316" i="17"/>
  <c r="I316" i="17"/>
  <c r="J316" i="17"/>
  <c r="K316" i="17"/>
  <c r="L316" i="17"/>
  <c r="G317" i="17"/>
  <c r="H317" i="17"/>
  <c r="I317" i="17"/>
  <c r="J317" i="17"/>
  <c r="K317" i="17"/>
  <c r="L317" i="17"/>
  <c r="G318" i="17"/>
  <c r="H318" i="17"/>
  <c r="I318" i="17"/>
  <c r="J318" i="17"/>
  <c r="K318" i="17"/>
  <c r="L318" i="17"/>
  <c r="G319" i="17"/>
  <c r="H319" i="17"/>
  <c r="I319" i="17"/>
  <c r="J319" i="17"/>
  <c r="K319" i="17"/>
  <c r="L319" i="17"/>
  <c r="G320" i="17"/>
  <c r="H320" i="17"/>
  <c r="I320" i="17"/>
  <c r="J320" i="17"/>
  <c r="K320" i="17"/>
  <c r="L320" i="17"/>
  <c r="G321" i="17"/>
  <c r="H321" i="17"/>
  <c r="I321" i="17"/>
  <c r="J321" i="17"/>
  <c r="K321" i="17"/>
  <c r="L321" i="17"/>
  <c r="G322" i="17"/>
  <c r="H322" i="17"/>
  <c r="I322" i="17"/>
  <c r="J322" i="17"/>
  <c r="K322" i="17"/>
  <c r="L322" i="17"/>
  <c r="G323" i="17"/>
  <c r="H323" i="17"/>
  <c r="I323" i="17"/>
  <c r="J323" i="17"/>
  <c r="K323" i="17"/>
  <c r="L323" i="17"/>
  <c r="G324" i="17"/>
  <c r="H324" i="17"/>
  <c r="I324" i="17"/>
  <c r="J324" i="17"/>
  <c r="K324" i="17"/>
  <c r="L324" i="17"/>
  <c r="G325" i="17"/>
  <c r="H325" i="17"/>
  <c r="I325" i="17"/>
  <c r="J325" i="17"/>
  <c r="K325" i="17"/>
  <c r="L325" i="17"/>
  <c r="G326" i="17"/>
  <c r="H326" i="17"/>
  <c r="I326" i="17"/>
  <c r="J326" i="17"/>
  <c r="K326" i="17"/>
  <c r="L326" i="17"/>
  <c r="G327" i="17"/>
  <c r="H327" i="17"/>
  <c r="I327" i="17"/>
  <c r="J327" i="17"/>
  <c r="K327" i="17"/>
  <c r="L327" i="17"/>
  <c r="G328" i="17"/>
  <c r="H328" i="17"/>
  <c r="I328" i="17"/>
  <c r="J328" i="17"/>
  <c r="K328" i="17"/>
  <c r="L328" i="17"/>
  <c r="G329" i="17"/>
  <c r="H329" i="17"/>
  <c r="I329" i="17"/>
  <c r="J329" i="17"/>
  <c r="K329" i="17"/>
  <c r="L329" i="17"/>
  <c r="G330" i="17"/>
  <c r="H330" i="17"/>
  <c r="I330" i="17"/>
  <c r="J330" i="17"/>
  <c r="K330" i="17"/>
  <c r="L330" i="17"/>
  <c r="G331" i="17"/>
  <c r="H331" i="17"/>
  <c r="I331" i="17"/>
  <c r="J331" i="17"/>
  <c r="K331" i="17"/>
  <c r="L331" i="17"/>
  <c r="G332" i="17"/>
  <c r="H332" i="17"/>
  <c r="I332" i="17"/>
  <c r="J332" i="17"/>
  <c r="K332" i="17"/>
  <c r="L332" i="17"/>
  <c r="G333" i="17"/>
  <c r="H333" i="17"/>
  <c r="I333" i="17"/>
  <c r="J333" i="17"/>
  <c r="K333" i="17"/>
  <c r="L333" i="17"/>
  <c r="G334" i="17"/>
  <c r="H334" i="17"/>
  <c r="I334" i="17"/>
  <c r="J334" i="17"/>
  <c r="K334" i="17"/>
  <c r="L334" i="17"/>
  <c r="G335" i="17"/>
  <c r="H335" i="17"/>
  <c r="I335" i="17"/>
  <c r="J335" i="17"/>
  <c r="K335" i="17"/>
  <c r="L335" i="17"/>
  <c r="G336" i="17"/>
  <c r="H336" i="17"/>
  <c r="I336" i="17"/>
  <c r="J336" i="17"/>
  <c r="K336" i="17"/>
  <c r="L336" i="17"/>
  <c r="G337" i="17"/>
  <c r="H337" i="17"/>
  <c r="I337" i="17"/>
  <c r="J337" i="17"/>
  <c r="K337" i="17"/>
  <c r="L337" i="17"/>
  <c r="G338" i="17"/>
  <c r="H338" i="17"/>
  <c r="I338" i="17"/>
  <c r="J338" i="17"/>
  <c r="K338" i="17"/>
  <c r="L338" i="17"/>
  <c r="G339" i="17"/>
  <c r="H339" i="17"/>
  <c r="I339" i="17"/>
  <c r="J339" i="17"/>
  <c r="K339" i="17"/>
  <c r="L339" i="17"/>
  <c r="G340" i="17"/>
  <c r="H340" i="17"/>
  <c r="I340" i="17"/>
  <c r="J340" i="17"/>
  <c r="K340" i="17"/>
  <c r="L340" i="17"/>
  <c r="G341" i="17"/>
  <c r="H341" i="17"/>
  <c r="I341" i="17"/>
  <c r="J341" i="17"/>
  <c r="K341" i="17"/>
  <c r="L341" i="17"/>
  <c r="G342" i="17"/>
  <c r="H342" i="17"/>
  <c r="I342" i="17"/>
  <c r="J342" i="17"/>
  <c r="K342" i="17"/>
  <c r="L342" i="17"/>
  <c r="G343" i="17"/>
  <c r="H343" i="17"/>
  <c r="I343" i="17"/>
  <c r="J343" i="17"/>
  <c r="K343" i="17"/>
  <c r="L343" i="17"/>
  <c r="G344" i="17"/>
  <c r="H344" i="17"/>
  <c r="I344" i="17"/>
  <c r="J344" i="17"/>
  <c r="K344" i="17"/>
  <c r="L344" i="17"/>
  <c r="G345" i="17"/>
  <c r="H345" i="17"/>
  <c r="I345" i="17"/>
  <c r="J345" i="17"/>
  <c r="K345" i="17"/>
  <c r="L345" i="17"/>
  <c r="G346" i="17"/>
  <c r="H346" i="17"/>
  <c r="I346" i="17"/>
  <c r="J346" i="17"/>
  <c r="K346" i="17"/>
  <c r="L346" i="17"/>
  <c r="G347" i="17"/>
  <c r="H347" i="17"/>
  <c r="I347" i="17"/>
  <c r="J347" i="17"/>
  <c r="K347" i="17"/>
  <c r="L347" i="17"/>
  <c r="G348" i="17"/>
  <c r="H348" i="17"/>
  <c r="I348" i="17"/>
  <c r="J348" i="17"/>
  <c r="K348" i="17"/>
  <c r="L348" i="17"/>
  <c r="G349" i="17"/>
  <c r="H349" i="17"/>
  <c r="I349" i="17"/>
  <c r="J349" i="17"/>
  <c r="K349" i="17"/>
  <c r="L349" i="17"/>
  <c r="G350" i="17"/>
  <c r="H350" i="17"/>
  <c r="I350" i="17"/>
  <c r="J350" i="17"/>
  <c r="K350" i="17"/>
  <c r="L350" i="17"/>
  <c r="G351" i="17"/>
  <c r="H351" i="17"/>
  <c r="I351" i="17"/>
  <c r="J351" i="17"/>
  <c r="K351" i="17"/>
  <c r="L351" i="17"/>
  <c r="G352" i="17"/>
  <c r="H352" i="17"/>
  <c r="I352" i="17"/>
  <c r="J352" i="17"/>
  <c r="K352" i="17"/>
  <c r="L352" i="17"/>
  <c r="G353" i="17"/>
  <c r="H353" i="17"/>
  <c r="I353" i="17"/>
  <c r="J353" i="17"/>
  <c r="K353" i="17"/>
  <c r="L353" i="17"/>
  <c r="G354" i="17"/>
  <c r="H354" i="17"/>
  <c r="I354" i="17"/>
  <c r="J354" i="17"/>
  <c r="K354" i="17"/>
  <c r="L354" i="17"/>
  <c r="G355" i="17"/>
  <c r="H355" i="17"/>
  <c r="I355" i="17"/>
  <c r="J355" i="17"/>
  <c r="K355" i="17"/>
  <c r="L355" i="17"/>
  <c r="G356" i="17"/>
  <c r="H356" i="17"/>
  <c r="I356" i="17"/>
  <c r="J356" i="17"/>
  <c r="K356" i="17"/>
  <c r="L356" i="17"/>
  <c r="G357" i="17"/>
  <c r="H357" i="17"/>
  <c r="I357" i="17"/>
  <c r="J357" i="17"/>
  <c r="K357" i="17"/>
  <c r="L357" i="17"/>
  <c r="G358" i="17"/>
  <c r="H358" i="17"/>
  <c r="I358" i="17"/>
  <c r="J358" i="17"/>
  <c r="K358" i="17"/>
  <c r="L358" i="17"/>
  <c r="G359" i="17"/>
  <c r="H359" i="17"/>
  <c r="I359" i="17"/>
  <c r="J359" i="17"/>
  <c r="K359" i="17"/>
  <c r="L359" i="17"/>
  <c r="G360" i="17"/>
  <c r="H360" i="17"/>
  <c r="I360" i="17"/>
  <c r="J360" i="17"/>
  <c r="K360" i="17"/>
  <c r="L360" i="17"/>
  <c r="G361" i="17"/>
  <c r="H361" i="17"/>
  <c r="I361" i="17"/>
  <c r="J361" i="17"/>
  <c r="K361" i="17"/>
  <c r="L361" i="17"/>
  <c r="G362" i="17"/>
  <c r="H362" i="17"/>
  <c r="I362" i="17"/>
  <c r="J362" i="17"/>
  <c r="K362" i="17"/>
  <c r="L362" i="17"/>
  <c r="G363" i="17"/>
  <c r="H363" i="17"/>
  <c r="I363" i="17"/>
  <c r="J363" i="17"/>
  <c r="K363" i="17"/>
  <c r="L363" i="17"/>
  <c r="G364" i="17"/>
  <c r="H364" i="17"/>
  <c r="I364" i="17"/>
  <c r="J364" i="17"/>
  <c r="K364" i="17"/>
  <c r="L364" i="17"/>
  <c r="G365" i="17"/>
  <c r="H365" i="17"/>
  <c r="I365" i="17"/>
  <c r="J365" i="17"/>
  <c r="K365" i="17"/>
  <c r="L365" i="17"/>
  <c r="G366" i="17"/>
  <c r="H366" i="17"/>
  <c r="I366" i="17"/>
  <c r="J366" i="17"/>
  <c r="K366" i="17"/>
  <c r="L366" i="17"/>
  <c r="G367" i="17"/>
  <c r="H367" i="17"/>
  <c r="I367" i="17"/>
  <c r="J367" i="17"/>
  <c r="K367" i="17"/>
  <c r="L367" i="17"/>
  <c r="G368" i="17"/>
  <c r="H368" i="17"/>
  <c r="I368" i="17"/>
  <c r="J368" i="17"/>
  <c r="K368" i="17"/>
  <c r="L368" i="17"/>
  <c r="G369" i="17"/>
  <c r="H369" i="17"/>
  <c r="I369" i="17"/>
  <c r="J369" i="17"/>
  <c r="K369" i="17"/>
  <c r="L369" i="17"/>
  <c r="G370" i="17"/>
  <c r="H370" i="17"/>
  <c r="I370" i="17"/>
  <c r="J370" i="17"/>
  <c r="K370" i="17"/>
  <c r="L370" i="17"/>
  <c r="G371" i="17"/>
  <c r="H371" i="17"/>
  <c r="I371" i="17"/>
  <c r="J371" i="17"/>
  <c r="K371" i="17"/>
  <c r="L371" i="17"/>
  <c r="G372" i="17"/>
  <c r="H372" i="17"/>
  <c r="I372" i="17"/>
  <c r="J372" i="17"/>
  <c r="K372" i="17"/>
  <c r="L372" i="17"/>
  <c r="G373" i="17"/>
  <c r="H373" i="17"/>
  <c r="I373" i="17"/>
  <c r="J373" i="17"/>
  <c r="K373" i="17"/>
  <c r="L373" i="17"/>
  <c r="G374" i="17"/>
  <c r="H374" i="17"/>
  <c r="I374" i="17"/>
  <c r="J374" i="17"/>
  <c r="K374" i="17"/>
  <c r="L374" i="17"/>
  <c r="G375" i="17"/>
  <c r="H375" i="17"/>
  <c r="I375" i="17"/>
  <c r="J375" i="17"/>
  <c r="K375" i="17"/>
  <c r="L375" i="17"/>
  <c r="G376" i="17"/>
  <c r="H376" i="17"/>
  <c r="I376" i="17"/>
  <c r="J376" i="17"/>
  <c r="K376" i="17"/>
  <c r="L376" i="17"/>
  <c r="G377" i="17"/>
  <c r="H377" i="17"/>
  <c r="I377" i="17"/>
  <c r="J377" i="17"/>
  <c r="K377" i="17"/>
  <c r="L377" i="17"/>
  <c r="G378" i="17"/>
  <c r="H378" i="17"/>
  <c r="I378" i="17"/>
  <c r="J378" i="17"/>
  <c r="K378" i="17"/>
  <c r="L378" i="17"/>
  <c r="G379" i="17"/>
  <c r="H379" i="17"/>
  <c r="I379" i="17"/>
  <c r="J379" i="17"/>
  <c r="K379" i="17"/>
  <c r="L379" i="17"/>
  <c r="G380" i="17"/>
  <c r="H380" i="17"/>
  <c r="I380" i="17"/>
  <c r="J380" i="17"/>
  <c r="K380" i="17"/>
  <c r="L380" i="17"/>
  <c r="G381" i="17"/>
  <c r="H381" i="17"/>
  <c r="I381" i="17"/>
  <c r="J381" i="17"/>
  <c r="K381" i="17"/>
  <c r="L381" i="17"/>
  <c r="G382" i="17"/>
  <c r="H382" i="17"/>
  <c r="I382" i="17"/>
  <c r="J382" i="17"/>
  <c r="K382" i="17"/>
  <c r="L382" i="17"/>
  <c r="G383" i="17"/>
  <c r="H383" i="17"/>
  <c r="I383" i="17"/>
  <c r="J383" i="17"/>
  <c r="K383" i="17"/>
  <c r="L383" i="17"/>
  <c r="G384" i="17"/>
  <c r="H384" i="17"/>
  <c r="I384" i="17"/>
  <c r="J384" i="17"/>
  <c r="K384" i="17"/>
  <c r="L384" i="17"/>
  <c r="G385" i="17"/>
  <c r="H385" i="17"/>
  <c r="I385" i="17"/>
  <c r="J385" i="17"/>
  <c r="K385" i="17"/>
  <c r="L385" i="17"/>
  <c r="G386" i="17"/>
  <c r="H386" i="17"/>
  <c r="I386" i="17"/>
  <c r="J386" i="17"/>
  <c r="K386" i="17"/>
  <c r="L386" i="17"/>
  <c r="G387" i="17"/>
  <c r="H387" i="17"/>
  <c r="I387" i="17"/>
  <c r="J387" i="17"/>
  <c r="K387" i="17"/>
  <c r="L387" i="17"/>
  <c r="G388" i="17"/>
  <c r="H388" i="17"/>
  <c r="I388" i="17"/>
  <c r="J388" i="17"/>
  <c r="K388" i="17"/>
  <c r="L388" i="17"/>
  <c r="G389" i="17"/>
  <c r="H389" i="17"/>
  <c r="I389" i="17"/>
  <c r="J389" i="17"/>
  <c r="K389" i="17"/>
  <c r="L389" i="17"/>
  <c r="G390" i="17"/>
  <c r="H390" i="17"/>
  <c r="I390" i="17"/>
  <c r="J390" i="17"/>
  <c r="K390" i="17"/>
  <c r="L390" i="17"/>
  <c r="G391" i="17"/>
  <c r="H391" i="17"/>
  <c r="I391" i="17"/>
  <c r="J391" i="17"/>
  <c r="K391" i="17"/>
  <c r="L391" i="17"/>
  <c r="G392" i="17"/>
  <c r="H392" i="17"/>
  <c r="I392" i="17"/>
  <c r="J392" i="17"/>
  <c r="K392" i="17"/>
  <c r="L392" i="17"/>
  <c r="G393" i="17"/>
  <c r="H393" i="17"/>
  <c r="I393" i="17"/>
  <c r="J393" i="17"/>
  <c r="K393" i="17"/>
  <c r="L393" i="17"/>
  <c r="G394" i="17"/>
  <c r="H394" i="17"/>
  <c r="I394" i="17"/>
  <c r="J394" i="17"/>
  <c r="K394" i="17"/>
  <c r="L394" i="17"/>
  <c r="G395" i="17"/>
  <c r="H395" i="17"/>
  <c r="I395" i="17"/>
  <c r="J395" i="17"/>
  <c r="K395" i="17"/>
  <c r="L395" i="17"/>
  <c r="G396" i="17"/>
  <c r="H396" i="17"/>
  <c r="I396" i="17"/>
  <c r="J396" i="17"/>
  <c r="K396" i="17"/>
  <c r="L396" i="17"/>
  <c r="G397" i="17"/>
  <c r="H397" i="17"/>
  <c r="I397" i="17"/>
  <c r="J397" i="17"/>
  <c r="K397" i="17"/>
  <c r="L397" i="17"/>
  <c r="G398" i="17"/>
  <c r="H398" i="17"/>
  <c r="I398" i="17"/>
  <c r="J398" i="17"/>
  <c r="K398" i="17"/>
  <c r="L398" i="17"/>
  <c r="G399" i="17"/>
  <c r="H399" i="17"/>
  <c r="I399" i="17"/>
  <c r="J399" i="17"/>
  <c r="K399" i="17"/>
  <c r="L399" i="17"/>
  <c r="G400" i="17"/>
  <c r="H400" i="17"/>
  <c r="I400" i="17"/>
  <c r="J400" i="17"/>
  <c r="K400" i="17"/>
  <c r="L400" i="17"/>
  <c r="G401" i="17"/>
  <c r="H401" i="17"/>
  <c r="I401" i="17"/>
  <c r="J401" i="17"/>
  <c r="K401" i="17"/>
  <c r="L401" i="17"/>
  <c r="G402" i="17"/>
  <c r="H402" i="17"/>
  <c r="I402" i="17"/>
  <c r="J402" i="17"/>
  <c r="K402" i="17"/>
  <c r="L402" i="17"/>
  <c r="G403" i="17"/>
  <c r="H403" i="17"/>
  <c r="I403" i="17"/>
  <c r="J403" i="17"/>
  <c r="K403" i="17"/>
  <c r="L403" i="17"/>
  <c r="G404" i="17"/>
  <c r="H404" i="17"/>
  <c r="I404" i="17"/>
  <c r="J404" i="17"/>
  <c r="K404" i="17"/>
  <c r="L404" i="17"/>
  <c r="G405" i="17"/>
  <c r="H405" i="17"/>
  <c r="I405" i="17"/>
  <c r="J405" i="17"/>
  <c r="K405" i="17"/>
  <c r="L405" i="17"/>
  <c r="G406" i="17"/>
  <c r="H406" i="17"/>
  <c r="I406" i="17"/>
  <c r="J406" i="17"/>
  <c r="K406" i="17"/>
  <c r="L406" i="17"/>
  <c r="G407" i="17"/>
  <c r="H407" i="17"/>
  <c r="I407" i="17"/>
  <c r="J407" i="17"/>
  <c r="K407" i="17"/>
  <c r="L407" i="17"/>
  <c r="G408" i="17"/>
  <c r="H408" i="17"/>
  <c r="I408" i="17"/>
  <c r="J408" i="17"/>
  <c r="K408" i="17"/>
  <c r="L408" i="17"/>
  <c r="G409" i="17"/>
  <c r="H409" i="17"/>
  <c r="I409" i="17"/>
  <c r="J409" i="17"/>
  <c r="K409" i="17"/>
  <c r="L409" i="17"/>
  <c r="G410" i="17"/>
  <c r="H410" i="17"/>
  <c r="I410" i="17"/>
  <c r="J410" i="17"/>
  <c r="K410" i="17"/>
  <c r="L410" i="17"/>
  <c r="G411" i="17"/>
  <c r="H411" i="17"/>
  <c r="I411" i="17"/>
  <c r="J411" i="17"/>
  <c r="K411" i="17"/>
  <c r="L411" i="17"/>
  <c r="G412" i="17"/>
  <c r="H412" i="17"/>
  <c r="I412" i="17"/>
  <c r="J412" i="17"/>
  <c r="K412" i="17"/>
  <c r="L412" i="17"/>
  <c r="G413" i="17"/>
  <c r="H413" i="17"/>
  <c r="I413" i="17"/>
  <c r="J413" i="17"/>
  <c r="K413" i="17"/>
  <c r="L413" i="17"/>
  <c r="G414" i="17"/>
  <c r="H414" i="17"/>
  <c r="I414" i="17"/>
  <c r="J414" i="17"/>
  <c r="K414" i="17"/>
  <c r="L414" i="17"/>
  <c r="G415" i="17"/>
  <c r="H415" i="17"/>
  <c r="I415" i="17"/>
  <c r="J415" i="17"/>
  <c r="K415" i="17"/>
  <c r="L415" i="17"/>
  <c r="G416" i="17"/>
  <c r="H416" i="17"/>
  <c r="I416" i="17"/>
  <c r="J416" i="17"/>
  <c r="K416" i="17"/>
  <c r="L416" i="17"/>
  <c r="G417" i="17"/>
  <c r="H417" i="17"/>
  <c r="I417" i="17"/>
  <c r="J417" i="17"/>
  <c r="K417" i="17"/>
  <c r="L417" i="17"/>
  <c r="G418" i="17"/>
  <c r="H418" i="17"/>
  <c r="I418" i="17"/>
  <c r="J418" i="17"/>
  <c r="K418" i="17"/>
  <c r="L418" i="17"/>
  <c r="G419" i="17"/>
  <c r="H419" i="17"/>
  <c r="I419" i="17"/>
  <c r="J419" i="17"/>
  <c r="K419" i="17"/>
  <c r="L419" i="17"/>
  <c r="G420" i="17"/>
  <c r="H420" i="17"/>
  <c r="I420" i="17"/>
  <c r="J420" i="17"/>
  <c r="K420" i="17"/>
  <c r="L420" i="17"/>
  <c r="G421" i="17"/>
  <c r="H421" i="17"/>
  <c r="I421" i="17"/>
  <c r="J421" i="17"/>
  <c r="K421" i="17"/>
  <c r="L421" i="17"/>
  <c r="G422" i="17"/>
  <c r="H422" i="17"/>
  <c r="I422" i="17"/>
  <c r="J422" i="17"/>
  <c r="K422" i="17"/>
  <c r="L422" i="17"/>
  <c r="G423" i="17"/>
  <c r="H423" i="17"/>
  <c r="I423" i="17"/>
  <c r="J423" i="17"/>
  <c r="K423" i="17"/>
  <c r="L423" i="17"/>
  <c r="G424" i="17"/>
  <c r="H424" i="17"/>
  <c r="I424" i="17"/>
  <c r="J424" i="17"/>
  <c r="K424" i="17"/>
  <c r="L424" i="17"/>
  <c r="G425" i="17"/>
  <c r="H425" i="17"/>
  <c r="I425" i="17"/>
  <c r="J425" i="17"/>
  <c r="K425" i="17"/>
  <c r="L425" i="17"/>
  <c r="G426" i="17"/>
  <c r="H426" i="17"/>
  <c r="I426" i="17"/>
  <c r="J426" i="17"/>
  <c r="K426" i="17"/>
  <c r="L426" i="17"/>
  <c r="G427" i="17"/>
  <c r="H427" i="17"/>
  <c r="I427" i="17"/>
  <c r="J427" i="17"/>
  <c r="K427" i="17"/>
  <c r="L427" i="17"/>
  <c r="G428" i="17"/>
  <c r="H428" i="17"/>
  <c r="I428" i="17"/>
  <c r="J428" i="17"/>
  <c r="K428" i="17"/>
  <c r="L428" i="17"/>
  <c r="G429" i="17"/>
  <c r="H429" i="17"/>
  <c r="I429" i="17"/>
  <c r="J429" i="17"/>
  <c r="K429" i="17"/>
  <c r="L429" i="17"/>
  <c r="G430" i="17"/>
  <c r="H430" i="17"/>
  <c r="I430" i="17"/>
  <c r="J430" i="17"/>
  <c r="K430" i="17"/>
  <c r="L430" i="17"/>
  <c r="G431" i="17"/>
  <c r="H431" i="17"/>
  <c r="I431" i="17"/>
  <c r="J431" i="17"/>
  <c r="K431" i="17"/>
  <c r="L431" i="17"/>
  <c r="G432" i="17"/>
  <c r="H432" i="17"/>
  <c r="I432" i="17"/>
  <c r="J432" i="17"/>
  <c r="K432" i="17"/>
  <c r="L432" i="17"/>
  <c r="G433" i="17"/>
  <c r="H433" i="17"/>
  <c r="I433" i="17"/>
  <c r="J433" i="17"/>
  <c r="K433" i="17"/>
  <c r="L433" i="17"/>
  <c r="G434" i="17"/>
  <c r="H434" i="17"/>
  <c r="I434" i="17"/>
  <c r="J434" i="17"/>
  <c r="K434" i="17"/>
  <c r="L434" i="17"/>
  <c r="G435" i="17"/>
  <c r="H435" i="17"/>
  <c r="I435" i="17"/>
  <c r="J435" i="17"/>
  <c r="K435" i="17"/>
  <c r="L435" i="17"/>
  <c r="G436" i="17"/>
  <c r="H436" i="17"/>
  <c r="I436" i="17"/>
  <c r="J436" i="17"/>
  <c r="K436" i="17"/>
  <c r="L436" i="17"/>
  <c r="G437" i="17"/>
  <c r="H437" i="17"/>
  <c r="I437" i="17"/>
  <c r="J437" i="17"/>
  <c r="K437" i="17"/>
  <c r="L437" i="17"/>
  <c r="G438" i="17"/>
  <c r="H438" i="17"/>
  <c r="I438" i="17"/>
  <c r="J438" i="17"/>
  <c r="K438" i="17"/>
  <c r="L438" i="17"/>
  <c r="G439" i="17"/>
  <c r="H439" i="17"/>
  <c r="I439" i="17"/>
  <c r="J439" i="17"/>
  <c r="K439" i="17"/>
  <c r="L439" i="17"/>
  <c r="G440" i="17"/>
  <c r="H440" i="17"/>
  <c r="I440" i="17"/>
  <c r="J440" i="17"/>
  <c r="K440" i="17"/>
  <c r="L440" i="17"/>
  <c r="G441" i="17"/>
  <c r="H441" i="17"/>
  <c r="I441" i="17"/>
  <c r="J441" i="17"/>
  <c r="K441" i="17"/>
  <c r="L441" i="17"/>
  <c r="G442" i="17"/>
  <c r="H442" i="17"/>
  <c r="I442" i="17"/>
  <c r="J442" i="17"/>
  <c r="K442" i="17"/>
  <c r="L442" i="17"/>
  <c r="G443" i="17"/>
  <c r="H443" i="17"/>
  <c r="I443" i="17"/>
  <c r="J443" i="17"/>
  <c r="K443" i="17"/>
  <c r="L443" i="17"/>
  <c r="G444" i="17"/>
  <c r="H444" i="17"/>
  <c r="I444" i="17"/>
  <c r="J444" i="17"/>
  <c r="K444" i="17"/>
  <c r="L444" i="17"/>
  <c r="G445" i="17"/>
  <c r="H445" i="17"/>
  <c r="I445" i="17"/>
  <c r="J445" i="17"/>
  <c r="K445" i="17"/>
  <c r="L445" i="17"/>
  <c r="G446" i="17"/>
  <c r="H446" i="17"/>
  <c r="I446" i="17"/>
  <c r="J446" i="17"/>
  <c r="K446" i="17"/>
  <c r="L446" i="17"/>
  <c r="G447" i="17"/>
  <c r="H447" i="17"/>
  <c r="I447" i="17"/>
  <c r="J447" i="17"/>
  <c r="K447" i="17"/>
  <c r="L447" i="17"/>
  <c r="G448" i="17"/>
  <c r="H448" i="17"/>
  <c r="I448" i="17"/>
  <c r="J448" i="17"/>
  <c r="K448" i="17"/>
  <c r="L448" i="17"/>
  <c r="G449" i="17"/>
  <c r="H449" i="17"/>
  <c r="I449" i="17"/>
  <c r="J449" i="17"/>
  <c r="K449" i="17"/>
  <c r="L449" i="17"/>
  <c r="G450" i="17"/>
  <c r="H450" i="17"/>
  <c r="I450" i="17"/>
  <c r="J450" i="17"/>
  <c r="K450" i="17"/>
  <c r="L450" i="17"/>
  <c r="G451" i="17"/>
  <c r="H451" i="17"/>
  <c r="I451" i="17"/>
  <c r="J451" i="17"/>
  <c r="K451" i="17"/>
  <c r="L451" i="17"/>
  <c r="G452" i="17"/>
  <c r="H452" i="17"/>
  <c r="I452" i="17"/>
  <c r="J452" i="17"/>
  <c r="K452" i="17"/>
  <c r="L452" i="17"/>
  <c r="G453" i="17"/>
  <c r="H453" i="17"/>
  <c r="I453" i="17"/>
  <c r="J453" i="17"/>
  <c r="K453" i="17"/>
  <c r="L453" i="17"/>
  <c r="G454" i="17"/>
  <c r="H454" i="17"/>
  <c r="I454" i="17"/>
  <c r="J454" i="17"/>
  <c r="K454" i="17"/>
  <c r="L454" i="17"/>
  <c r="G455" i="17"/>
  <c r="H455" i="17"/>
  <c r="I455" i="17"/>
  <c r="J455" i="17"/>
  <c r="K455" i="17"/>
  <c r="L455" i="17"/>
  <c r="G456" i="17"/>
  <c r="H456" i="17"/>
  <c r="I456" i="17"/>
  <c r="J456" i="17"/>
  <c r="K456" i="17"/>
  <c r="L456" i="17"/>
  <c r="G457" i="17"/>
  <c r="H457" i="17"/>
  <c r="I457" i="17"/>
  <c r="J457" i="17"/>
  <c r="K457" i="17"/>
  <c r="L457" i="17"/>
  <c r="G458" i="17"/>
  <c r="H458" i="17"/>
  <c r="I458" i="17"/>
  <c r="J458" i="17"/>
  <c r="K458" i="17"/>
  <c r="L458" i="17"/>
  <c r="G459" i="17"/>
  <c r="H459" i="17"/>
  <c r="I459" i="17"/>
  <c r="J459" i="17"/>
  <c r="K459" i="17"/>
  <c r="L459" i="17"/>
  <c r="G460" i="17"/>
  <c r="H460" i="17"/>
  <c r="I460" i="17"/>
  <c r="J460" i="17"/>
  <c r="K460" i="17"/>
  <c r="L460" i="17"/>
  <c r="G461" i="17"/>
  <c r="H461" i="17"/>
  <c r="I461" i="17"/>
  <c r="J461" i="17"/>
  <c r="K461" i="17"/>
  <c r="L461" i="17"/>
  <c r="G462" i="17"/>
  <c r="H462" i="17"/>
  <c r="I462" i="17"/>
  <c r="J462" i="17"/>
  <c r="K462" i="17"/>
  <c r="L462" i="17"/>
  <c r="G463" i="17"/>
  <c r="H463" i="17"/>
  <c r="I463" i="17"/>
  <c r="J463" i="17"/>
  <c r="K463" i="17"/>
  <c r="L463" i="17"/>
  <c r="G464" i="17"/>
  <c r="H464" i="17"/>
  <c r="I464" i="17"/>
  <c r="J464" i="17"/>
  <c r="K464" i="17"/>
  <c r="L464" i="17"/>
  <c r="G465" i="17"/>
  <c r="H465" i="17"/>
  <c r="I465" i="17"/>
  <c r="J465" i="17"/>
  <c r="K465" i="17"/>
  <c r="L465" i="17"/>
  <c r="G466" i="17"/>
  <c r="H466" i="17"/>
  <c r="I466" i="17"/>
  <c r="J466" i="17"/>
  <c r="K466" i="17"/>
  <c r="L466" i="17"/>
  <c r="G467" i="17"/>
  <c r="H467" i="17"/>
  <c r="I467" i="17"/>
  <c r="J467" i="17"/>
  <c r="K467" i="17"/>
  <c r="L467" i="17"/>
  <c r="G468" i="17"/>
  <c r="H468" i="17"/>
  <c r="I468" i="17"/>
  <c r="J468" i="17"/>
  <c r="K468" i="17"/>
  <c r="L468" i="17"/>
  <c r="G469" i="17"/>
  <c r="H469" i="17"/>
  <c r="I469" i="17"/>
  <c r="J469" i="17"/>
  <c r="K469" i="17"/>
  <c r="L469" i="17"/>
  <c r="G470" i="17"/>
  <c r="H470" i="17"/>
  <c r="I470" i="17"/>
  <c r="J470" i="17"/>
  <c r="K470" i="17"/>
  <c r="L470" i="17"/>
  <c r="G471" i="17"/>
  <c r="H471" i="17"/>
  <c r="I471" i="17"/>
  <c r="J471" i="17"/>
  <c r="K471" i="17"/>
  <c r="L471" i="17"/>
  <c r="G472" i="17"/>
  <c r="H472" i="17"/>
  <c r="I472" i="17"/>
  <c r="J472" i="17"/>
  <c r="K472" i="17"/>
  <c r="L472" i="17"/>
  <c r="G473" i="17"/>
  <c r="H473" i="17"/>
  <c r="I473" i="17"/>
  <c r="J473" i="17"/>
  <c r="K473" i="17"/>
  <c r="L473" i="17"/>
  <c r="G474" i="17"/>
  <c r="H474" i="17"/>
  <c r="I474" i="17"/>
  <c r="J474" i="17"/>
  <c r="K474" i="17"/>
  <c r="L474" i="17"/>
  <c r="G475" i="17"/>
  <c r="H475" i="17"/>
  <c r="I475" i="17"/>
  <c r="J475" i="17"/>
  <c r="K475" i="17"/>
  <c r="L475" i="17"/>
  <c r="G476" i="17"/>
  <c r="H476" i="17"/>
  <c r="I476" i="17"/>
  <c r="J476" i="17"/>
  <c r="K476" i="17"/>
  <c r="L476" i="17"/>
  <c r="G477" i="17"/>
  <c r="H477" i="17"/>
  <c r="I477" i="17"/>
  <c r="J477" i="17"/>
  <c r="K477" i="17"/>
  <c r="L477" i="17"/>
  <c r="G478" i="17"/>
  <c r="H478" i="17"/>
  <c r="I478" i="17"/>
  <c r="J478" i="17"/>
  <c r="K478" i="17"/>
  <c r="L478" i="17"/>
  <c r="G479" i="17"/>
  <c r="H479" i="17"/>
  <c r="I479" i="17"/>
  <c r="J479" i="17"/>
  <c r="K479" i="17"/>
  <c r="L479" i="17"/>
  <c r="G480" i="17"/>
  <c r="H480" i="17"/>
  <c r="I480" i="17"/>
  <c r="J480" i="17"/>
  <c r="K480" i="17"/>
  <c r="L480" i="17"/>
  <c r="G481" i="17"/>
  <c r="H481" i="17"/>
  <c r="I481" i="17"/>
  <c r="J481" i="17"/>
  <c r="K481" i="17"/>
  <c r="L481" i="17"/>
  <c r="G482" i="17"/>
  <c r="H482" i="17"/>
  <c r="I482" i="17"/>
  <c r="J482" i="17"/>
  <c r="K482" i="17"/>
  <c r="L482" i="17"/>
  <c r="G483" i="17"/>
  <c r="H483" i="17"/>
  <c r="I483" i="17"/>
  <c r="J483" i="17"/>
  <c r="K483" i="17"/>
  <c r="L483" i="17"/>
  <c r="G484" i="17"/>
  <c r="H484" i="17"/>
  <c r="I484" i="17"/>
  <c r="J484" i="17"/>
  <c r="K484" i="17"/>
  <c r="L484" i="17"/>
  <c r="G485" i="17"/>
  <c r="H485" i="17"/>
  <c r="I485" i="17"/>
  <c r="J485" i="17"/>
  <c r="K485" i="17"/>
  <c r="L485" i="17"/>
  <c r="G486" i="17"/>
  <c r="H486" i="17"/>
  <c r="I486" i="17"/>
  <c r="J486" i="17"/>
  <c r="K486" i="17"/>
  <c r="L486" i="17"/>
  <c r="G487" i="17"/>
  <c r="H487" i="17"/>
  <c r="I487" i="17"/>
  <c r="J487" i="17"/>
  <c r="K487" i="17"/>
  <c r="L487" i="17"/>
  <c r="G488" i="17"/>
  <c r="H488" i="17"/>
  <c r="I488" i="17"/>
  <c r="J488" i="17"/>
  <c r="K488" i="17"/>
  <c r="L488" i="17"/>
  <c r="G489" i="17"/>
  <c r="H489" i="17"/>
  <c r="I489" i="17"/>
  <c r="J489" i="17"/>
  <c r="K489" i="17"/>
  <c r="L489" i="17"/>
  <c r="G490" i="17"/>
  <c r="H490" i="17"/>
  <c r="I490" i="17"/>
  <c r="J490" i="17"/>
  <c r="K490" i="17"/>
  <c r="L490" i="17"/>
  <c r="G491" i="17"/>
  <c r="H491" i="17"/>
  <c r="I491" i="17"/>
  <c r="J491" i="17"/>
  <c r="K491" i="17"/>
  <c r="L491" i="17"/>
  <c r="G492" i="17"/>
  <c r="H492" i="17"/>
  <c r="I492" i="17"/>
  <c r="J492" i="17"/>
  <c r="K492" i="17"/>
  <c r="L492" i="17"/>
  <c r="G493" i="17"/>
  <c r="H493" i="17"/>
  <c r="I493" i="17"/>
  <c r="J493" i="17"/>
  <c r="K493" i="17"/>
  <c r="L493" i="17"/>
  <c r="G494" i="17"/>
  <c r="H494" i="17"/>
  <c r="I494" i="17"/>
  <c r="J494" i="17"/>
  <c r="K494" i="17"/>
  <c r="L494" i="17"/>
  <c r="G495" i="17"/>
  <c r="H495" i="17"/>
  <c r="I495" i="17"/>
  <c r="J495" i="17"/>
  <c r="K495" i="17"/>
  <c r="L495" i="17"/>
  <c r="G496" i="17"/>
  <c r="H496" i="17"/>
  <c r="I496" i="17"/>
  <c r="J496" i="17"/>
  <c r="K496" i="17"/>
  <c r="L496" i="17"/>
  <c r="G497" i="17"/>
  <c r="H497" i="17"/>
  <c r="I497" i="17"/>
  <c r="J497" i="17"/>
  <c r="K497" i="17"/>
  <c r="L497" i="17"/>
  <c r="G498" i="17"/>
  <c r="H498" i="17"/>
  <c r="I498" i="17"/>
  <c r="J498" i="17"/>
  <c r="K498" i="17"/>
  <c r="L498" i="17"/>
  <c r="G499" i="17"/>
  <c r="H499" i="17"/>
  <c r="I499" i="17"/>
  <c r="J499" i="17"/>
  <c r="K499" i="17"/>
  <c r="L499" i="17"/>
  <c r="G500" i="17"/>
  <c r="H500" i="17"/>
  <c r="I500" i="17"/>
  <c r="J500" i="17"/>
  <c r="K500" i="17"/>
  <c r="L500" i="17"/>
  <c r="G501" i="17"/>
  <c r="H501" i="17"/>
  <c r="I501" i="17"/>
  <c r="J501" i="17"/>
  <c r="K501" i="17"/>
  <c r="L501" i="17"/>
  <c r="G502" i="17"/>
  <c r="H502" i="17"/>
  <c r="I502" i="17"/>
  <c r="J502" i="17"/>
  <c r="K502" i="17"/>
  <c r="L502" i="17"/>
  <c r="G503" i="17"/>
  <c r="H503" i="17"/>
  <c r="I503" i="17"/>
  <c r="J503" i="17"/>
  <c r="K503" i="17"/>
  <c r="L503" i="17"/>
  <c r="G504" i="17"/>
  <c r="H504" i="17"/>
  <c r="I504" i="17"/>
  <c r="J504" i="17"/>
  <c r="K504" i="17"/>
  <c r="L504" i="17"/>
  <c r="G505" i="17"/>
  <c r="H505" i="17"/>
  <c r="I505" i="17"/>
  <c r="J505" i="17"/>
  <c r="K505" i="17"/>
  <c r="L505" i="17"/>
  <c r="G506" i="17"/>
  <c r="H506" i="17"/>
  <c r="I506" i="17"/>
  <c r="J506" i="17"/>
  <c r="K506" i="17"/>
  <c r="L506" i="17"/>
  <c r="G507" i="17"/>
  <c r="H507" i="17"/>
  <c r="I507" i="17"/>
  <c r="J507" i="17"/>
  <c r="K507" i="17"/>
  <c r="L507" i="17"/>
  <c r="G508" i="17"/>
  <c r="H508" i="17"/>
  <c r="I508" i="17"/>
  <c r="J508" i="17"/>
  <c r="K508" i="17"/>
  <c r="L508" i="17"/>
  <c r="G509" i="17"/>
  <c r="H509" i="17"/>
  <c r="I509" i="17"/>
  <c r="J509" i="17"/>
  <c r="K509" i="17"/>
  <c r="L509" i="17"/>
  <c r="G510" i="17"/>
  <c r="H510" i="17"/>
  <c r="I510" i="17"/>
  <c r="J510" i="17"/>
  <c r="K510" i="17"/>
  <c r="L510" i="17"/>
  <c r="G511" i="17"/>
  <c r="H511" i="17"/>
  <c r="I511" i="17"/>
  <c r="J511" i="17"/>
  <c r="K511" i="17"/>
  <c r="L511" i="17"/>
  <c r="G512" i="17"/>
  <c r="H512" i="17"/>
  <c r="I512" i="17"/>
  <c r="J512" i="17"/>
  <c r="K512" i="17"/>
  <c r="L512" i="17"/>
  <c r="G513" i="17"/>
  <c r="H513" i="17"/>
  <c r="I513" i="17"/>
  <c r="J513" i="17"/>
  <c r="K513" i="17"/>
  <c r="L513" i="17"/>
  <c r="G514" i="17"/>
  <c r="H514" i="17"/>
  <c r="I514" i="17"/>
  <c r="J514" i="17"/>
  <c r="K514" i="17"/>
  <c r="L514" i="17"/>
  <c r="G515" i="17"/>
  <c r="H515" i="17"/>
  <c r="I515" i="17"/>
  <c r="J515" i="17"/>
  <c r="K515" i="17"/>
  <c r="L515" i="17"/>
  <c r="G516" i="17"/>
  <c r="H516" i="17"/>
  <c r="I516" i="17"/>
  <c r="J516" i="17"/>
  <c r="K516" i="17"/>
  <c r="L516" i="17"/>
  <c r="G517" i="17"/>
  <c r="H517" i="17"/>
  <c r="I517" i="17"/>
  <c r="J517" i="17"/>
  <c r="K517" i="17"/>
  <c r="L517" i="17"/>
  <c r="G518" i="17"/>
  <c r="H518" i="17"/>
  <c r="I518" i="17"/>
  <c r="J518" i="17"/>
  <c r="K518" i="17"/>
  <c r="L518" i="17"/>
  <c r="G519" i="17"/>
  <c r="H519" i="17"/>
  <c r="I519" i="17"/>
  <c r="J519" i="17"/>
  <c r="K519" i="17"/>
  <c r="L519" i="17"/>
  <c r="G520" i="17"/>
  <c r="H520" i="17"/>
  <c r="I520" i="17"/>
  <c r="J520" i="17"/>
  <c r="K520" i="17"/>
  <c r="L520" i="17"/>
  <c r="G521" i="17"/>
  <c r="H521" i="17"/>
  <c r="I521" i="17"/>
  <c r="J521" i="17"/>
  <c r="K521" i="17"/>
  <c r="L521" i="17"/>
  <c r="G522" i="17"/>
  <c r="H522" i="17"/>
  <c r="I522" i="17"/>
  <c r="J522" i="17"/>
  <c r="K522" i="17"/>
  <c r="L522" i="17"/>
  <c r="X4" i="17"/>
  <c r="Y3" i="17"/>
  <c r="Y4" i="17"/>
  <c r="Z3" i="17"/>
  <c r="Z4" i="17"/>
  <c r="AA3" i="17"/>
  <c r="AA4" i="17"/>
  <c r="AB3" i="17"/>
  <c r="AB4" i="17"/>
  <c r="AC3" i="17"/>
  <c r="AC4" i="17"/>
  <c r="AD3" i="17"/>
  <c r="AD4" i="17"/>
  <c r="AE3" i="17"/>
  <c r="AE4" i="17"/>
  <c r="AF3" i="17"/>
  <c r="AF4" i="17"/>
  <c r="AG3" i="17"/>
  <c r="AG4" i="17"/>
  <c r="AH3" i="17"/>
  <c r="AH4" i="17"/>
  <c r="AI3" i="17"/>
  <c r="AI4" i="17"/>
  <c r="AJ3" i="17"/>
  <c r="AJ4" i="17"/>
  <c r="AK3" i="17"/>
  <c r="AK4" i="17"/>
  <c r="AL3" i="17"/>
  <c r="AL4" i="17"/>
  <c r="AM3" i="17"/>
  <c r="AM4" i="17"/>
  <c r="AN3" i="17"/>
  <c r="AN4" i="17"/>
  <c r="AO3" i="17"/>
  <c r="AO4" i="17"/>
  <c r="AP3" i="17"/>
  <c r="AP4" i="17"/>
  <c r="AQ3" i="17"/>
  <c r="AQ4" i="17"/>
  <c r="AR3" i="17"/>
  <c r="AR4" i="17"/>
  <c r="AS3" i="17"/>
  <c r="AS4" i="17"/>
  <c r="AT3" i="17"/>
  <c r="AT4" i="17"/>
  <c r="AU3" i="17"/>
  <c r="AU4" i="17"/>
  <c r="AV3" i="17"/>
  <c r="AV4" i="17"/>
  <c r="AW3" i="17"/>
  <c r="AW4" i="17"/>
  <c r="AX3" i="17"/>
  <c r="AX4" i="17"/>
  <c r="AY3" i="17"/>
  <c r="AY4" i="17"/>
  <c r="AZ3" i="17"/>
  <c r="AZ4" i="17"/>
  <c r="BA3" i="17"/>
  <c r="BA4" i="17"/>
  <c r="BB3" i="17"/>
  <c r="BB4" i="17"/>
  <c r="BC3" i="17"/>
  <c r="BC4" i="17"/>
  <c r="BD3" i="17"/>
  <c r="BD4" i="17"/>
  <c r="BE3" i="17"/>
  <c r="BE4" i="17"/>
  <c r="BF3" i="17"/>
  <c r="BF4" i="17"/>
  <c r="BG3" i="17"/>
  <c r="BG4" i="17"/>
  <c r="BH3" i="17"/>
  <c r="BH4" i="17"/>
  <c r="BI3" i="17"/>
  <c r="BI4" i="17"/>
  <c r="BJ3" i="17"/>
  <c r="BJ4" i="17"/>
  <c r="BK3" i="17"/>
  <c r="BK4" i="17"/>
  <c r="BL3" i="17"/>
  <c r="BL4" i="17"/>
  <c r="BM3" i="17"/>
  <c r="BM4" i="17"/>
  <c r="BN3" i="17"/>
  <c r="BN4" i="17"/>
  <c r="BO3" i="17"/>
  <c r="BO4" i="17"/>
  <c r="BP3" i="17"/>
  <c r="BP4" i="17"/>
  <c r="BQ3" i="17"/>
  <c r="BQ4" i="17"/>
  <c r="BR3" i="17"/>
  <c r="BR4" i="17"/>
  <c r="BS3" i="17"/>
  <c r="BS4" i="17"/>
  <c r="BT3" i="17"/>
  <c r="BT4" i="17"/>
  <c r="BU3" i="17"/>
  <c r="BU4" i="17"/>
  <c r="BV3" i="17"/>
  <c r="BV4" i="17"/>
  <c r="BW3" i="17"/>
  <c r="BW4" i="17"/>
  <c r="BX3" i="17"/>
  <c r="BX4" i="17"/>
  <c r="BY3" i="17"/>
  <c r="BY4" i="17"/>
  <c r="BZ3" i="17"/>
  <c r="BZ4" i="17"/>
  <c r="CA3" i="17"/>
  <c r="CA4" i="17"/>
  <c r="CB3" i="17"/>
  <c r="CB4" i="17"/>
  <c r="CC3" i="17"/>
  <c r="CC4" i="17"/>
  <c r="Q4" i="17"/>
  <c r="R4" i="17"/>
  <c r="S4" i="17"/>
  <c r="T4" i="17"/>
  <c r="U4" i="17"/>
  <c r="V4" i="17"/>
  <c r="O4" i="17"/>
  <c r="C522" i="17"/>
  <c r="C521" i="17"/>
  <c r="C520" i="17"/>
  <c r="C519" i="17"/>
  <c r="C518" i="17"/>
  <c r="C517" i="17"/>
  <c r="C516" i="17"/>
  <c r="C515" i="17"/>
  <c r="C514" i="17"/>
  <c r="C513" i="17"/>
  <c r="C512" i="17"/>
  <c r="C511" i="17"/>
  <c r="C510" i="17"/>
  <c r="C509" i="17"/>
  <c r="C508" i="17"/>
  <c r="C507" i="17"/>
  <c r="C506" i="17"/>
  <c r="C505" i="17"/>
  <c r="C504" i="17"/>
  <c r="C503" i="17"/>
  <c r="C502" i="17"/>
  <c r="C501" i="17"/>
  <c r="C500" i="17"/>
  <c r="C499" i="17"/>
  <c r="C498" i="17"/>
  <c r="C497" i="17"/>
  <c r="C496" i="17"/>
  <c r="C495" i="17"/>
  <c r="C494" i="17"/>
  <c r="C493" i="17"/>
  <c r="C492" i="17"/>
  <c r="C491" i="17"/>
  <c r="C490" i="17"/>
  <c r="C489" i="17"/>
  <c r="C488" i="17"/>
  <c r="C487" i="17"/>
  <c r="C486" i="17"/>
  <c r="C485" i="17"/>
  <c r="C484" i="17"/>
  <c r="C483" i="17"/>
  <c r="C482" i="17"/>
  <c r="C481" i="17"/>
  <c r="C480" i="17"/>
  <c r="C479" i="17"/>
  <c r="C478" i="17"/>
  <c r="C477" i="17"/>
  <c r="C476" i="17"/>
  <c r="C475" i="17"/>
  <c r="C474" i="17"/>
  <c r="C473" i="17"/>
  <c r="C472" i="17"/>
  <c r="C471" i="17"/>
  <c r="C470" i="17"/>
  <c r="C469" i="17"/>
  <c r="C468" i="17"/>
  <c r="C467" i="17"/>
  <c r="C466" i="17"/>
  <c r="C465" i="17"/>
  <c r="C464" i="17"/>
  <c r="C463" i="17"/>
  <c r="C462" i="17"/>
  <c r="C461" i="17"/>
  <c r="C460" i="17"/>
  <c r="C459" i="17"/>
  <c r="C458" i="17"/>
  <c r="C457" i="17"/>
  <c r="C456" i="17"/>
  <c r="C455" i="17"/>
  <c r="C454" i="17"/>
  <c r="C453" i="17"/>
  <c r="C452" i="17"/>
  <c r="C451" i="17"/>
  <c r="C450" i="17"/>
  <c r="C449" i="17"/>
  <c r="C448" i="17"/>
  <c r="C447" i="17"/>
  <c r="C446" i="17"/>
  <c r="C445" i="17"/>
  <c r="C444" i="17"/>
  <c r="C443" i="17"/>
  <c r="C442" i="17"/>
  <c r="C441" i="17"/>
  <c r="C440" i="17"/>
  <c r="C439" i="17"/>
  <c r="C438" i="17"/>
  <c r="C437" i="17"/>
  <c r="C436" i="17"/>
  <c r="C435" i="17"/>
  <c r="C434" i="17"/>
  <c r="C433" i="17"/>
  <c r="C432" i="17"/>
  <c r="C431" i="17"/>
  <c r="C430" i="17"/>
  <c r="C429" i="17"/>
  <c r="C428" i="17"/>
  <c r="C427" i="17"/>
  <c r="C426" i="17"/>
  <c r="C425" i="17"/>
  <c r="C424" i="17"/>
  <c r="C423" i="17"/>
  <c r="C422" i="17"/>
  <c r="C421" i="17"/>
  <c r="C420" i="17"/>
  <c r="C419" i="17"/>
  <c r="C418" i="17"/>
  <c r="C417" i="17"/>
  <c r="C416" i="17"/>
  <c r="C415" i="17"/>
  <c r="C414" i="17"/>
  <c r="C413" i="17"/>
  <c r="C412" i="17"/>
  <c r="C411" i="17"/>
  <c r="C410" i="17"/>
  <c r="C409" i="17"/>
  <c r="C408" i="17"/>
  <c r="C407" i="17"/>
  <c r="C406" i="17"/>
  <c r="C405" i="17"/>
  <c r="C404" i="17"/>
  <c r="C403" i="17"/>
  <c r="C402" i="17"/>
  <c r="C401" i="17"/>
  <c r="C400" i="17"/>
  <c r="C399" i="17"/>
  <c r="C398" i="17"/>
  <c r="C397" i="17"/>
  <c r="C396" i="17"/>
  <c r="C395" i="17"/>
  <c r="C394" i="17"/>
  <c r="C393" i="17"/>
  <c r="C392" i="17"/>
  <c r="C391" i="17"/>
  <c r="C390" i="17"/>
  <c r="C389" i="17"/>
  <c r="C388" i="17"/>
  <c r="C387" i="17"/>
  <c r="C386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1" i="17"/>
  <c r="C170" i="17"/>
  <c r="C169" i="17"/>
  <c r="C168" i="17"/>
  <c r="C167" i="17"/>
  <c r="C166" i="17"/>
  <c r="C165" i="17"/>
  <c r="C164" i="17"/>
  <c r="C163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2" i="17"/>
  <c r="C3" i="17"/>
  <c r="C4" i="17"/>
  <c r="C5" i="17"/>
  <c r="C6" i="17"/>
  <c r="C7" i="17"/>
  <c r="C8" i="17"/>
  <c r="CC5" i="17"/>
  <c r="CC6" i="17"/>
  <c r="CC7" i="17"/>
  <c r="CC8" i="17"/>
  <c r="CB5" i="17"/>
  <c r="CB6" i="17"/>
  <c r="CB7" i="17"/>
  <c r="CB8" i="17"/>
  <c r="CA5" i="17"/>
  <c r="CA6" i="17"/>
  <c r="CA7" i="17"/>
  <c r="CA8" i="17"/>
  <c r="BZ5" i="17"/>
  <c r="BZ6" i="17"/>
  <c r="BZ7" i="17"/>
  <c r="BZ8" i="17"/>
  <c r="BY5" i="17"/>
  <c r="BY6" i="17"/>
  <c r="BY7" i="17"/>
  <c r="BY8" i="17"/>
  <c r="BX5" i="17"/>
  <c r="BX6" i="17"/>
  <c r="BX7" i="17"/>
  <c r="BX8" i="17"/>
  <c r="BW5" i="17"/>
  <c r="BW6" i="17"/>
  <c r="BW7" i="17"/>
  <c r="BW8" i="17"/>
  <c r="BV5" i="17"/>
  <c r="BV6" i="17"/>
  <c r="BV7" i="17"/>
  <c r="BV8" i="17"/>
  <c r="BU5" i="17"/>
  <c r="BU6" i="17"/>
  <c r="BU7" i="17"/>
  <c r="BU8" i="17"/>
  <c r="BT5" i="17"/>
  <c r="BT6" i="17"/>
  <c r="BT7" i="17"/>
  <c r="BT8" i="17"/>
  <c r="BS5" i="17"/>
  <c r="BS6" i="17"/>
  <c r="BS7" i="17"/>
  <c r="BS8" i="17"/>
  <c r="BR5" i="17"/>
  <c r="BR6" i="17"/>
  <c r="BR7" i="17"/>
  <c r="BR8" i="17"/>
  <c r="BQ5" i="17"/>
  <c r="BQ6" i="17"/>
  <c r="BQ7" i="17"/>
  <c r="BQ8" i="17"/>
  <c r="BP5" i="17"/>
  <c r="BP6" i="17"/>
  <c r="BP7" i="17"/>
  <c r="BP8" i="17"/>
  <c r="BO5" i="17"/>
  <c r="BO6" i="17"/>
  <c r="BO7" i="17"/>
  <c r="BO8" i="17"/>
  <c r="BN5" i="17"/>
  <c r="BN6" i="17"/>
  <c r="BN7" i="17"/>
  <c r="BN8" i="17"/>
  <c r="BM5" i="17"/>
  <c r="BM6" i="17"/>
  <c r="BM7" i="17"/>
  <c r="BM8" i="17"/>
  <c r="BL5" i="17"/>
  <c r="BL6" i="17"/>
  <c r="BL7" i="17"/>
  <c r="BL8" i="17"/>
  <c r="BK5" i="17"/>
  <c r="BK6" i="17"/>
  <c r="BK7" i="17"/>
  <c r="BK8" i="17"/>
  <c r="BJ5" i="17"/>
  <c r="BJ6" i="17"/>
  <c r="BJ7" i="17"/>
  <c r="BJ8" i="17"/>
  <c r="BI5" i="17"/>
  <c r="BI6" i="17"/>
  <c r="BI7" i="17"/>
  <c r="BI8" i="17"/>
  <c r="BH5" i="17"/>
  <c r="BH6" i="17"/>
  <c r="BH7" i="17"/>
  <c r="BH8" i="17"/>
  <c r="BG5" i="17"/>
  <c r="BG6" i="17"/>
  <c r="BG7" i="17"/>
  <c r="BG8" i="17"/>
  <c r="BF5" i="17"/>
  <c r="BF6" i="17"/>
  <c r="BF7" i="17"/>
  <c r="BF8" i="17"/>
  <c r="BE5" i="17"/>
  <c r="BE6" i="17"/>
  <c r="BE7" i="17"/>
  <c r="BE8" i="17"/>
  <c r="BD5" i="17"/>
  <c r="BD6" i="17"/>
  <c r="BD7" i="17"/>
  <c r="BD8" i="17"/>
  <c r="BC5" i="17"/>
  <c r="BC6" i="17"/>
  <c r="BC7" i="17"/>
  <c r="BC8" i="17"/>
  <c r="BB5" i="17"/>
  <c r="BB6" i="17"/>
  <c r="BB7" i="17"/>
  <c r="BB8" i="17"/>
  <c r="BA5" i="17"/>
  <c r="BA6" i="17"/>
  <c r="BA7" i="17"/>
  <c r="BA8" i="17"/>
  <c r="AZ5" i="17"/>
  <c r="AZ6" i="17"/>
  <c r="AZ7" i="17"/>
  <c r="AZ8" i="17"/>
  <c r="AY5" i="17"/>
  <c r="AY6" i="17"/>
  <c r="AY7" i="17"/>
  <c r="AY8" i="17"/>
  <c r="AX5" i="17"/>
  <c r="AX6" i="17"/>
  <c r="AX7" i="17"/>
  <c r="AX8" i="17"/>
  <c r="AW5" i="17"/>
  <c r="AW6" i="17"/>
  <c r="AW7" i="17"/>
  <c r="AW8" i="17"/>
  <c r="AV5" i="17"/>
  <c r="AV6" i="17"/>
  <c r="AV7" i="17"/>
  <c r="AV8" i="17"/>
  <c r="AU5" i="17"/>
  <c r="AU6" i="17"/>
  <c r="AU7" i="17"/>
  <c r="AU8" i="17"/>
  <c r="AT5" i="17"/>
  <c r="AT6" i="17"/>
  <c r="AT7" i="17"/>
  <c r="AT8" i="17"/>
  <c r="AS5" i="17"/>
  <c r="AS6" i="17"/>
  <c r="AS7" i="17"/>
  <c r="AS8" i="17"/>
  <c r="AR5" i="17"/>
  <c r="AR6" i="17"/>
  <c r="AR7" i="17"/>
  <c r="AR8" i="17"/>
  <c r="AQ5" i="17"/>
  <c r="AQ6" i="17"/>
  <c r="AQ7" i="17"/>
  <c r="AQ8" i="17"/>
  <c r="AP5" i="17"/>
  <c r="AP6" i="17"/>
  <c r="AP7" i="17"/>
  <c r="AP8" i="17"/>
  <c r="AO5" i="17"/>
  <c r="AO6" i="17"/>
  <c r="AO7" i="17"/>
  <c r="AO8" i="17"/>
  <c r="AN5" i="17"/>
  <c r="AN6" i="17"/>
  <c r="AN7" i="17"/>
  <c r="AN8" i="17"/>
  <c r="AM5" i="17"/>
  <c r="AM6" i="17"/>
  <c r="AM7" i="17"/>
  <c r="AM8" i="17"/>
  <c r="AL5" i="17"/>
  <c r="AL6" i="17"/>
  <c r="AL7" i="17"/>
  <c r="AL8" i="17"/>
  <c r="AK5" i="17"/>
  <c r="AK6" i="17"/>
  <c r="AK7" i="17"/>
  <c r="AK8" i="17"/>
  <c r="AJ5" i="17"/>
  <c r="AJ6" i="17"/>
  <c r="AJ7" i="17"/>
  <c r="AJ8" i="17"/>
  <c r="AI5" i="17"/>
  <c r="AI6" i="17"/>
  <c r="AI7" i="17"/>
  <c r="AI8" i="17"/>
  <c r="AH5" i="17"/>
  <c r="AH6" i="17"/>
  <c r="AH7" i="17"/>
  <c r="AH8" i="17"/>
  <c r="AG5" i="17"/>
  <c r="AG6" i="17"/>
  <c r="AG7" i="17"/>
  <c r="AG8" i="17"/>
  <c r="AF5" i="17"/>
  <c r="AF6" i="17"/>
  <c r="AF7" i="17"/>
  <c r="AF8" i="17"/>
  <c r="AE5" i="17"/>
  <c r="AE6" i="17"/>
  <c r="AE7" i="17"/>
  <c r="AE8" i="17"/>
  <c r="AD5" i="17"/>
  <c r="AD6" i="17"/>
  <c r="AD7" i="17"/>
  <c r="AD8" i="17"/>
  <c r="AC5" i="17"/>
  <c r="AC6" i="17"/>
  <c r="AC7" i="17"/>
  <c r="AC8" i="17"/>
  <c r="AB5" i="17"/>
  <c r="AB6" i="17"/>
  <c r="AB7" i="17"/>
  <c r="AB8" i="17"/>
  <c r="AA5" i="17"/>
  <c r="AA6" i="17"/>
  <c r="AA7" i="17"/>
  <c r="AA8" i="17"/>
  <c r="Z5" i="17"/>
  <c r="Z6" i="17"/>
  <c r="Z7" i="17"/>
  <c r="Z8" i="17"/>
  <c r="Y5" i="17"/>
  <c r="Y6" i="17"/>
  <c r="Y7" i="17"/>
  <c r="Y8" i="17"/>
  <c r="X5" i="17"/>
  <c r="X6" i="17"/>
  <c r="X7" i="17"/>
  <c r="X8" i="17"/>
  <c r="V8" i="17"/>
  <c r="U8" i="17"/>
  <c r="T8" i="17"/>
  <c r="S8" i="17"/>
  <c r="R8" i="17"/>
  <c r="Q8" i="17"/>
  <c r="N8" i="17"/>
  <c r="V7" i="17"/>
  <c r="U7" i="17"/>
  <c r="T7" i="17"/>
  <c r="S7" i="17"/>
  <c r="R7" i="17"/>
  <c r="Q7" i="17"/>
  <c r="O7" i="17"/>
  <c r="N7" i="17"/>
  <c r="V6" i="17"/>
  <c r="U6" i="17"/>
  <c r="T6" i="17"/>
  <c r="S6" i="17"/>
  <c r="R6" i="17"/>
  <c r="Q6" i="17"/>
  <c r="O6" i="17"/>
  <c r="N6" i="17"/>
  <c r="M6" i="17"/>
  <c r="V5" i="17"/>
  <c r="U5" i="17"/>
  <c r="T5" i="17"/>
  <c r="S5" i="17"/>
  <c r="R5" i="17"/>
  <c r="Q5" i="17"/>
  <c r="O5" i="17"/>
  <c r="N5" i="17"/>
  <c r="M5" i="17"/>
  <c r="N4" i="17"/>
  <c r="V3" i="17"/>
  <c r="U3" i="17"/>
  <c r="T3" i="17"/>
  <c r="S3" i="17"/>
  <c r="R3" i="17"/>
  <c r="Q3" i="17"/>
  <c r="O3" i="17"/>
  <c r="N3" i="17"/>
  <c r="W2" i="17"/>
  <c r="I520" i="16"/>
  <c r="I521" i="16"/>
  <c r="I522" i="16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5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89" i="16"/>
  <c r="I290" i="16"/>
  <c r="I291" i="16"/>
  <c r="I292" i="16"/>
  <c r="I293" i="16"/>
  <c r="I294" i="16"/>
  <c r="I295" i="16"/>
  <c r="I296" i="16"/>
  <c r="I297" i="16"/>
  <c r="I298" i="16"/>
  <c r="I299" i="16"/>
  <c r="I300" i="16"/>
  <c r="I301" i="16"/>
  <c r="I302" i="16"/>
  <c r="I303" i="16"/>
  <c r="I304" i="16"/>
  <c r="I305" i="16"/>
  <c r="I306" i="16"/>
  <c r="I307" i="16"/>
  <c r="I308" i="16"/>
  <c r="I309" i="16"/>
  <c r="I310" i="16"/>
  <c r="I311" i="16"/>
  <c r="I312" i="16"/>
  <c r="I313" i="16"/>
  <c r="I314" i="16"/>
  <c r="I315" i="16"/>
  <c r="I316" i="16"/>
  <c r="I317" i="16"/>
  <c r="I318" i="16"/>
  <c r="I319" i="16"/>
  <c r="I320" i="16"/>
  <c r="I321" i="16"/>
  <c r="I322" i="16"/>
  <c r="I323" i="16"/>
  <c r="I324" i="16"/>
  <c r="I325" i="16"/>
  <c r="I326" i="16"/>
  <c r="I327" i="16"/>
  <c r="I328" i="16"/>
  <c r="I329" i="16"/>
  <c r="I330" i="16"/>
  <c r="I331" i="16"/>
  <c r="I332" i="16"/>
  <c r="I333" i="16"/>
  <c r="I334" i="16"/>
  <c r="I335" i="16"/>
  <c r="I336" i="16"/>
  <c r="I337" i="16"/>
  <c r="I338" i="16"/>
  <c r="I339" i="16"/>
  <c r="I340" i="16"/>
  <c r="I341" i="16"/>
  <c r="I342" i="16"/>
  <c r="I343" i="16"/>
  <c r="I344" i="16"/>
  <c r="I345" i="16"/>
  <c r="I346" i="16"/>
  <c r="I347" i="16"/>
  <c r="I348" i="16"/>
  <c r="I349" i="16"/>
  <c r="I350" i="16"/>
  <c r="I351" i="16"/>
  <c r="I352" i="16"/>
  <c r="I353" i="16"/>
  <c r="I354" i="16"/>
  <c r="I355" i="16"/>
  <c r="I356" i="16"/>
  <c r="I357" i="16"/>
  <c r="I358" i="16"/>
  <c r="I359" i="16"/>
  <c r="I360" i="16"/>
  <c r="I361" i="16"/>
  <c r="I362" i="16"/>
  <c r="I363" i="16"/>
  <c r="I364" i="16"/>
  <c r="I365" i="16"/>
  <c r="I366" i="16"/>
  <c r="I367" i="16"/>
  <c r="I368" i="16"/>
  <c r="I369" i="16"/>
  <c r="I370" i="16"/>
  <c r="I371" i="16"/>
  <c r="I372" i="16"/>
  <c r="I373" i="16"/>
  <c r="I374" i="16"/>
  <c r="I375" i="16"/>
  <c r="I376" i="16"/>
  <c r="I377" i="16"/>
  <c r="I378" i="16"/>
  <c r="I379" i="16"/>
  <c r="I380" i="16"/>
  <c r="I381" i="16"/>
  <c r="I382" i="16"/>
  <c r="I383" i="16"/>
  <c r="I384" i="16"/>
  <c r="I385" i="16"/>
  <c r="I386" i="16"/>
  <c r="I387" i="16"/>
  <c r="I388" i="16"/>
  <c r="I389" i="16"/>
  <c r="I390" i="16"/>
  <c r="I391" i="16"/>
  <c r="I392" i="16"/>
  <c r="I393" i="16"/>
  <c r="I394" i="16"/>
  <c r="I395" i="16"/>
  <c r="I396" i="16"/>
  <c r="I397" i="16"/>
  <c r="I398" i="16"/>
  <c r="I399" i="16"/>
  <c r="I400" i="16"/>
  <c r="I401" i="16"/>
  <c r="I402" i="16"/>
  <c r="I403" i="16"/>
  <c r="I404" i="16"/>
  <c r="I405" i="16"/>
  <c r="I406" i="16"/>
  <c r="I407" i="16"/>
  <c r="I408" i="16"/>
  <c r="I409" i="16"/>
  <c r="I410" i="16"/>
  <c r="I411" i="16"/>
  <c r="I412" i="16"/>
  <c r="I413" i="16"/>
  <c r="I414" i="16"/>
  <c r="I415" i="16"/>
  <c r="I416" i="16"/>
  <c r="I417" i="16"/>
  <c r="I418" i="16"/>
  <c r="I419" i="16"/>
  <c r="I420" i="16"/>
  <c r="I421" i="16"/>
  <c r="I422" i="16"/>
  <c r="I423" i="16"/>
  <c r="I424" i="16"/>
  <c r="I425" i="16"/>
  <c r="I426" i="16"/>
  <c r="I427" i="16"/>
  <c r="I428" i="16"/>
  <c r="I429" i="16"/>
  <c r="I430" i="16"/>
  <c r="I431" i="16"/>
  <c r="I432" i="16"/>
  <c r="I433" i="16"/>
  <c r="I434" i="16"/>
  <c r="I435" i="16"/>
  <c r="I436" i="16"/>
  <c r="I437" i="16"/>
  <c r="I438" i="16"/>
  <c r="I439" i="16"/>
  <c r="I440" i="16"/>
  <c r="I441" i="16"/>
  <c r="I442" i="16"/>
  <c r="I443" i="16"/>
  <c r="I444" i="16"/>
  <c r="I445" i="16"/>
  <c r="I446" i="16"/>
  <c r="I447" i="16"/>
  <c r="I448" i="16"/>
  <c r="I449" i="16"/>
  <c r="I450" i="16"/>
  <c r="I451" i="16"/>
  <c r="I452" i="16"/>
  <c r="I453" i="16"/>
  <c r="I454" i="16"/>
  <c r="I455" i="16"/>
  <c r="I456" i="16"/>
  <c r="I457" i="16"/>
  <c r="I458" i="16"/>
  <c r="I459" i="16"/>
  <c r="I460" i="16"/>
  <c r="I461" i="16"/>
  <c r="I462" i="16"/>
  <c r="I463" i="16"/>
  <c r="I464" i="16"/>
  <c r="I465" i="16"/>
  <c r="I466" i="16"/>
  <c r="I467" i="16"/>
  <c r="I468" i="16"/>
  <c r="I469" i="16"/>
  <c r="I470" i="16"/>
  <c r="I471" i="16"/>
  <c r="I472" i="16"/>
  <c r="I473" i="16"/>
  <c r="I474" i="16"/>
  <c r="I475" i="16"/>
  <c r="I476" i="16"/>
  <c r="I477" i="16"/>
  <c r="I478" i="16"/>
  <c r="I479" i="16"/>
  <c r="I480" i="16"/>
  <c r="I481" i="16"/>
  <c r="I482" i="16"/>
  <c r="I483" i="16"/>
  <c r="I484" i="16"/>
  <c r="I485" i="16"/>
  <c r="I486" i="16"/>
  <c r="I487" i="16"/>
  <c r="I488" i="16"/>
  <c r="I489" i="16"/>
  <c r="I490" i="16"/>
  <c r="I491" i="16"/>
  <c r="I492" i="16"/>
  <c r="I493" i="16"/>
  <c r="I494" i="16"/>
  <c r="I495" i="16"/>
  <c r="I496" i="16"/>
  <c r="I497" i="16"/>
  <c r="I498" i="16"/>
  <c r="I499" i="16"/>
  <c r="I500" i="16"/>
  <c r="I501" i="16"/>
  <c r="I502" i="16"/>
  <c r="I503" i="16"/>
  <c r="I504" i="16"/>
  <c r="I505" i="16"/>
  <c r="I506" i="16"/>
  <c r="I507" i="16"/>
  <c r="I508" i="16"/>
  <c r="I509" i="16"/>
  <c r="I510" i="16"/>
  <c r="I511" i="16"/>
  <c r="I512" i="16"/>
  <c r="I513" i="16"/>
  <c r="I514" i="16"/>
  <c r="I515" i="16"/>
  <c r="I516" i="16"/>
  <c r="I517" i="16"/>
  <c r="I518" i="16"/>
  <c r="I519" i="16"/>
  <c r="H263" i="16"/>
  <c r="H262" i="16"/>
  <c r="H261" i="16"/>
  <c r="H260" i="16"/>
  <c r="H259" i="16"/>
  <c r="H258" i="16"/>
  <c r="H257" i="16"/>
  <c r="H256" i="16"/>
  <c r="H255" i="16"/>
  <c r="I2" i="16"/>
  <c r="G522" i="15"/>
  <c r="G521" i="15"/>
  <c r="G520" i="15"/>
  <c r="G519" i="15"/>
  <c r="G518" i="15"/>
  <c r="G517" i="15"/>
  <c r="G516" i="15"/>
  <c r="G515" i="15"/>
  <c r="G514" i="15"/>
  <c r="G513" i="15"/>
  <c r="G512" i="15"/>
  <c r="G511" i="15"/>
  <c r="G510" i="15"/>
  <c r="G509" i="15"/>
  <c r="G508" i="15"/>
  <c r="G507" i="15"/>
  <c r="G506" i="15"/>
  <c r="G505" i="15"/>
  <c r="G504" i="15"/>
  <c r="G503" i="15"/>
  <c r="G502" i="15"/>
  <c r="G501" i="15"/>
  <c r="G500" i="15"/>
  <c r="G499" i="15"/>
  <c r="G498" i="15"/>
  <c r="G497" i="15"/>
  <c r="G496" i="15"/>
  <c r="G495" i="15"/>
  <c r="G494" i="15"/>
  <c r="G493" i="15"/>
  <c r="G492" i="15"/>
  <c r="G491" i="15"/>
  <c r="G490" i="15"/>
  <c r="G489" i="15"/>
  <c r="G488" i="15"/>
  <c r="G487" i="15"/>
  <c r="G486" i="15"/>
  <c r="G485" i="15"/>
  <c r="G484" i="15"/>
  <c r="G483" i="15"/>
  <c r="G482" i="15"/>
  <c r="G481" i="15"/>
  <c r="G480" i="15"/>
  <c r="G479" i="15"/>
  <c r="G478" i="15"/>
  <c r="G477" i="15"/>
  <c r="G476" i="15"/>
  <c r="G475" i="15"/>
  <c r="G474" i="15"/>
  <c r="G473" i="15"/>
  <c r="G472" i="15"/>
  <c r="G471" i="15"/>
  <c r="G470" i="15"/>
  <c r="G469" i="15"/>
  <c r="G468" i="15"/>
  <c r="G467" i="15"/>
  <c r="G466" i="15"/>
  <c r="G465" i="15"/>
  <c r="G464" i="15"/>
  <c r="G463" i="15"/>
  <c r="G462" i="15"/>
  <c r="G461" i="15"/>
  <c r="G460" i="15"/>
  <c r="G459" i="15"/>
  <c r="G458" i="15"/>
  <c r="G457" i="15"/>
  <c r="G456" i="15"/>
  <c r="G455" i="15"/>
  <c r="G454" i="15"/>
  <c r="G453" i="15"/>
  <c r="G452" i="15"/>
  <c r="G451" i="15"/>
  <c r="G450" i="15"/>
  <c r="G449" i="15"/>
  <c r="G448" i="15"/>
  <c r="G447" i="15"/>
  <c r="G446" i="15"/>
  <c r="G445" i="15"/>
  <c r="G444" i="15"/>
  <c r="G443" i="15"/>
  <c r="G442" i="15"/>
  <c r="G441" i="15"/>
  <c r="G440" i="15"/>
  <c r="G439" i="15"/>
  <c r="G438" i="15"/>
  <c r="G437" i="15"/>
  <c r="G436" i="15"/>
  <c r="G435" i="15"/>
  <c r="G434" i="15"/>
  <c r="G433" i="15"/>
  <c r="G432" i="15"/>
  <c r="G431" i="15"/>
  <c r="G430" i="15"/>
  <c r="G429" i="15"/>
  <c r="G428" i="15"/>
  <c r="G427" i="15"/>
  <c r="G426" i="15"/>
  <c r="G425" i="15"/>
  <c r="G424" i="15"/>
  <c r="G423" i="15"/>
  <c r="G422" i="15"/>
  <c r="G421" i="15"/>
  <c r="G420" i="15"/>
  <c r="G419" i="15"/>
  <c r="G418" i="15"/>
  <c r="G417" i="15"/>
  <c r="G416" i="15"/>
  <c r="G415" i="15"/>
  <c r="G414" i="15"/>
  <c r="G413" i="15"/>
  <c r="G412" i="15"/>
  <c r="G411" i="15"/>
  <c r="G410" i="15"/>
  <c r="G409" i="15"/>
  <c r="G408" i="15"/>
  <c r="G407" i="15"/>
  <c r="G406" i="15"/>
  <c r="G405" i="15"/>
  <c r="G404" i="15"/>
  <c r="G403" i="15"/>
  <c r="G402" i="15"/>
  <c r="G401" i="15"/>
  <c r="G400" i="15"/>
  <c r="G399" i="15"/>
  <c r="G398" i="15"/>
  <c r="G397" i="15"/>
  <c r="G396" i="15"/>
  <c r="G395" i="15"/>
  <c r="G394" i="15"/>
  <c r="G393" i="15"/>
  <c r="G392" i="15"/>
  <c r="G391" i="15"/>
  <c r="G390" i="15"/>
  <c r="G389" i="15"/>
  <c r="G388" i="15"/>
  <c r="G387" i="15"/>
  <c r="G386" i="15"/>
  <c r="G385" i="15"/>
  <c r="G384" i="15"/>
  <c r="G383" i="15"/>
  <c r="G382" i="15"/>
  <c r="G381" i="15"/>
  <c r="G380" i="15"/>
  <c r="G379" i="15"/>
  <c r="G378" i="15"/>
  <c r="G377" i="15"/>
  <c r="G376" i="15"/>
  <c r="G375" i="15"/>
  <c r="G374" i="15"/>
  <c r="G373" i="15"/>
  <c r="G372" i="15"/>
  <c r="G371" i="15"/>
  <c r="G370" i="15"/>
  <c r="G369" i="15"/>
  <c r="G368" i="15"/>
  <c r="G367" i="15"/>
  <c r="G366" i="15"/>
  <c r="G365" i="15"/>
  <c r="G364" i="15"/>
  <c r="G363" i="15"/>
  <c r="G362" i="15"/>
  <c r="G361" i="15"/>
  <c r="G360" i="15"/>
  <c r="G359" i="15"/>
  <c r="G358" i="15"/>
  <c r="G357" i="15"/>
  <c r="G356" i="15"/>
  <c r="G355" i="15"/>
  <c r="G354" i="15"/>
  <c r="G353" i="15"/>
  <c r="G352" i="15"/>
  <c r="G351" i="15"/>
  <c r="G350" i="15"/>
  <c r="G349" i="15"/>
  <c r="G348" i="15"/>
  <c r="G347" i="15"/>
  <c r="G346" i="15"/>
  <c r="G345" i="15"/>
  <c r="G344" i="15"/>
  <c r="G343" i="15"/>
  <c r="G342" i="15"/>
  <c r="G341" i="15"/>
  <c r="G340" i="15"/>
  <c r="G339" i="15"/>
  <c r="G338" i="15"/>
  <c r="G337" i="15"/>
  <c r="G336" i="15"/>
  <c r="G335" i="15"/>
  <c r="G334" i="15"/>
  <c r="G333" i="15"/>
  <c r="G332" i="15"/>
  <c r="G331" i="15"/>
  <c r="G330" i="15"/>
  <c r="G329" i="15"/>
  <c r="G328" i="15"/>
  <c r="G327" i="15"/>
  <c r="G326" i="15"/>
  <c r="G325" i="15"/>
  <c r="G324" i="15"/>
  <c r="G323" i="15"/>
  <c r="G322" i="15"/>
  <c r="G321" i="15"/>
  <c r="G320" i="15"/>
  <c r="G319" i="15"/>
  <c r="G318" i="15"/>
  <c r="G317" i="15"/>
  <c r="G316" i="15"/>
  <c r="G315" i="15"/>
  <c r="G314" i="15"/>
  <c r="G313" i="15"/>
  <c r="G312" i="15"/>
  <c r="G311" i="15"/>
  <c r="G310" i="15"/>
  <c r="G309" i="15"/>
  <c r="G308" i="15"/>
  <c r="G307" i="15"/>
  <c r="G306" i="15"/>
  <c r="G305" i="15"/>
  <c r="G304" i="15"/>
  <c r="G303" i="15"/>
  <c r="G302" i="15"/>
  <c r="G301" i="15"/>
  <c r="G300" i="15"/>
  <c r="G299" i="15"/>
  <c r="G298" i="15"/>
  <c r="G297" i="15"/>
  <c r="G296" i="15"/>
  <c r="G295" i="15"/>
  <c r="G294" i="15"/>
  <c r="G293" i="15"/>
  <c r="G292" i="15"/>
  <c r="G291" i="15"/>
  <c r="G290" i="15"/>
  <c r="G289" i="15"/>
  <c r="G288" i="15"/>
  <c r="G287" i="15"/>
  <c r="G286" i="15"/>
  <c r="G285" i="15"/>
  <c r="G284" i="15"/>
  <c r="G283" i="15"/>
  <c r="G282" i="15"/>
  <c r="G281" i="15"/>
  <c r="G280" i="15"/>
  <c r="G279" i="15"/>
  <c r="G278" i="15"/>
  <c r="G277" i="15"/>
  <c r="G276" i="15"/>
  <c r="G275" i="15"/>
  <c r="G274" i="15"/>
  <c r="G273" i="15"/>
  <c r="G272" i="15"/>
  <c r="G271" i="15"/>
  <c r="G270" i="15"/>
  <c r="G269" i="15"/>
  <c r="G268" i="15"/>
  <c r="G267" i="15"/>
  <c r="G266" i="15"/>
  <c r="G265" i="15"/>
  <c r="G264" i="15"/>
  <c r="G263" i="15"/>
  <c r="G262" i="15"/>
  <c r="G261" i="15"/>
  <c r="G260" i="15"/>
  <c r="G259" i="15"/>
  <c r="G258" i="15"/>
  <c r="G257" i="15"/>
  <c r="G256" i="15"/>
  <c r="G255" i="15"/>
  <c r="G254" i="15"/>
  <c r="G253" i="15"/>
  <c r="G252" i="15"/>
  <c r="G251" i="15"/>
  <c r="G250" i="15"/>
  <c r="G249" i="15"/>
  <c r="G248" i="15"/>
  <c r="G247" i="15"/>
  <c r="G246" i="15"/>
  <c r="G245" i="15"/>
  <c r="G244" i="15"/>
  <c r="G243" i="15"/>
  <c r="G242" i="15"/>
  <c r="G241" i="15"/>
  <c r="G240" i="15"/>
  <c r="G239" i="15"/>
  <c r="G238" i="15"/>
  <c r="G237" i="15"/>
  <c r="G236" i="15"/>
  <c r="G235" i="15"/>
  <c r="G234" i="15"/>
  <c r="G233" i="15"/>
  <c r="G232" i="15"/>
  <c r="G231" i="15"/>
  <c r="G230" i="15"/>
  <c r="G229" i="15"/>
  <c r="G228" i="15"/>
  <c r="G227" i="15"/>
  <c r="G226" i="15"/>
  <c r="G225" i="15"/>
  <c r="G224" i="15"/>
  <c r="G223" i="15"/>
  <c r="G222" i="15"/>
  <c r="G221" i="15"/>
  <c r="G220" i="15"/>
  <c r="G219" i="15"/>
  <c r="G218" i="15"/>
  <c r="G217" i="15"/>
  <c r="G216" i="15"/>
  <c r="G215" i="15"/>
  <c r="G214" i="15"/>
  <c r="G213" i="15"/>
  <c r="G212" i="15"/>
  <c r="G211" i="15"/>
  <c r="G210" i="15"/>
  <c r="G209" i="15"/>
  <c r="G208" i="15"/>
  <c r="G207" i="15"/>
  <c r="G206" i="15"/>
  <c r="G205" i="15"/>
  <c r="G204" i="15"/>
  <c r="G203" i="15"/>
  <c r="G202" i="15"/>
  <c r="G201" i="15"/>
  <c r="G200" i="15"/>
  <c r="G199" i="15"/>
  <c r="G198" i="15"/>
  <c r="G197" i="15"/>
  <c r="G196" i="15"/>
  <c r="G195" i="15"/>
  <c r="G194" i="15"/>
  <c r="G193" i="15"/>
  <c r="G192" i="15"/>
  <c r="G191" i="15"/>
  <c r="G190" i="15"/>
  <c r="G189" i="15"/>
  <c r="G188" i="15"/>
  <c r="G187" i="15"/>
  <c r="G186" i="15"/>
  <c r="G185" i="15"/>
  <c r="G184" i="15"/>
  <c r="G183" i="15"/>
  <c r="G182" i="15"/>
  <c r="G181" i="15"/>
  <c r="G180" i="15"/>
  <c r="G179" i="15"/>
  <c r="G178" i="15"/>
  <c r="G177" i="15"/>
  <c r="G176" i="15"/>
  <c r="G175" i="15"/>
  <c r="G174" i="15"/>
  <c r="G173" i="15"/>
  <c r="G172" i="15"/>
  <c r="G171" i="15"/>
  <c r="G170" i="15"/>
  <c r="G169" i="15"/>
  <c r="G168" i="15"/>
  <c r="G167" i="15"/>
  <c r="G166" i="15"/>
  <c r="G165" i="15"/>
  <c r="G164" i="15"/>
  <c r="G163" i="15"/>
  <c r="G162" i="15"/>
  <c r="G161" i="15"/>
  <c r="G160" i="15"/>
  <c r="G159" i="15"/>
  <c r="G158" i="15"/>
  <c r="G157" i="15"/>
  <c r="G156" i="15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Q8" i="14"/>
  <c r="G3" i="14"/>
  <c r="H3" i="14"/>
  <c r="I3" i="14"/>
  <c r="J3" i="14"/>
  <c r="K3" i="14"/>
  <c r="L3" i="14"/>
  <c r="G4" i="14"/>
  <c r="H4" i="14"/>
  <c r="I4" i="14"/>
  <c r="J4" i="14"/>
  <c r="K4" i="14"/>
  <c r="L4" i="14"/>
  <c r="G5" i="14"/>
  <c r="H5" i="14"/>
  <c r="I5" i="14"/>
  <c r="J5" i="14"/>
  <c r="K5" i="14"/>
  <c r="L5" i="14"/>
  <c r="G6" i="14"/>
  <c r="H6" i="14"/>
  <c r="I6" i="14"/>
  <c r="J6" i="14"/>
  <c r="K6" i="14"/>
  <c r="L6" i="14"/>
  <c r="G7" i="14"/>
  <c r="H7" i="14"/>
  <c r="I7" i="14"/>
  <c r="J7" i="14"/>
  <c r="K7" i="14"/>
  <c r="L7" i="14"/>
  <c r="G8" i="14"/>
  <c r="H8" i="14"/>
  <c r="I8" i="14"/>
  <c r="J8" i="14"/>
  <c r="K8" i="14"/>
  <c r="L8" i="14"/>
  <c r="G9" i="14"/>
  <c r="H9" i="14"/>
  <c r="I9" i="14"/>
  <c r="J9" i="14"/>
  <c r="K9" i="14"/>
  <c r="L9" i="14"/>
  <c r="G10" i="14"/>
  <c r="H10" i="14"/>
  <c r="I10" i="14"/>
  <c r="J10" i="14"/>
  <c r="K10" i="14"/>
  <c r="L10" i="14"/>
  <c r="G11" i="14"/>
  <c r="H11" i="14"/>
  <c r="I11" i="14"/>
  <c r="J11" i="14"/>
  <c r="K11" i="14"/>
  <c r="L11" i="14"/>
  <c r="G12" i="14"/>
  <c r="H12" i="14"/>
  <c r="I12" i="14"/>
  <c r="J12" i="14"/>
  <c r="K12" i="14"/>
  <c r="L12" i="14"/>
  <c r="G13" i="14"/>
  <c r="H13" i="14"/>
  <c r="I13" i="14"/>
  <c r="J13" i="14"/>
  <c r="K13" i="14"/>
  <c r="L13" i="14"/>
  <c r="G14" i="14"/>
  <c r="H14" i="14"/>
  <c r="I14" i="14"/>
  <c r="J14" i="14"/>
  <c r="K14" i="14"/>
  <c r="L14" i="14"/>
  <c r="G15" i="14"/>
  <c r="H15" i="14"/>
  <c r="I15" i="14"/>
  <c r="J15" i="14"/>
  <c r="K15" i="14"/>
  <c r="L15" i="14"/>
  <c r="G16" i="14"/>
  <c r="H16" i="14"/>
  <c r="I16" i="14"/>
  <c r="J16" i="14"/>
  <c r="K16" i="14"/>
  <c r="L16" i="14"/>
  <c r="G17" i="14"/>
  <c r="H17" i="14"/>
  <c r="I17" i="14"/>
  <c r="J17" i="14"/>
  <c r="K17" i="14"/>
  <c r="L17" i="14"/>
  <c r="G18" i="14"/>
  <c r="H18" i="14"/>
  <c r="I18" i="14"/>
  <c r="J18" i="14"/>
  <c r="K18" i="14"/>
  <c r="L18" i="14"/>
  <c r="G19" i="14"/>
  <c r="H19" i="14"/>
  <c r="I19" i="14"/>
  <c r="J19" i="14"/>
  <c r="K19" i="14"/>
  <c r="L19" i="14"/>
  <c r="G20" i="14"/>
  <c r="H20" i="14"/>
  <c r="I20" i="14"/>
  <c r="J20" i="14"/>
  <c r="K20" i="14"/>
  <c r="L20" i="14"/>
  <c r="G21" i="14"/>
  <c r="H21" i="14"/>
  <c r="I21" i="14"/>
  <c r="J21" i="14"/>
  <c r="K21" i="14"/>
  <c r="L21" i="14"/>
  <c r="G22" i="14"/>
  <c r="H22" i="14"/>
  <c r="I22" i="14"/>
  <c r="J22" i="14"/>
  <c r="K22" i="14"/>
  <c r="L22" i="14"/>
  <c r="G23" i="14"/>
  <c r="H23" i="14"/>
  <c r="I23" i="14"/>
  <c r="J23" i="14"/>
  <c r="K23" i="14"/>
  <c r="L23" i="14"/>
  <c r="G24" i="14"/>
  <c r="H24" i="14"/>
  <c r="I24" i="14"/>
  <c r="J24" i="14"/>
  <c r="K24" i="14"/>
  <c r="L24" i="14"/>
  <c r="G25" i="14"/>
  <c r="H25" i="14"/>
  <c r="I25" i="14"/>
  <c r="J25" i="14"/>
  <c r="K25" i="14"/>
  <c r="L25" i="14"/>
  <c r="G26" i="14"/>
  <c r="H26" i="14"/>
  <c r="I26" i="14"/>
  <c r="J26" i="14"/>
  <c r="K26" i="14"/>
  <c r="L26" i="14"/>
  <c r="G27" i="14"/>
  <c r="H27" i="14"/>
  <c r="I27" i="14"/>
  <c r="J27" i="14"/>
  <c r="K27" i="14"/>
  <c r="L27" i="14"/>
  <c r="G28" i="14"/>
  <c r="H28" i="14"/>
  <c r="I28" i="14"/>
  <c r="J28" i="14"/>
  <c r="K28" i="14"/>
  <c r="L28" i="14"/>
  <c r="G29" i="14"/>
  <c r="H29" i="14"/>
  <c r="I29" i="14"/>
  <c r="J29" i="14"/>
  <c r="K29" i="14"/>
  <c r="L29" i="14"/>
  <c r="G30" i="14"/>
  <c r="H30" i="14"/>
  <c r="I30" i="14"/>
  <c r="J30" i="14"/>
  <c r="K30" i="14"/>
  <c r="L30" i="14"/>
  <c r="G31" i="14"/>
  <c r="H31" i="14"/>
  <c r="I31" i="14"/>
  <c r="J31" i="14"/>
  <c r="K31" i="14"/>
  <c r="L31" i="14"/>
  <c r="G32" i="14"/>
  <c r="H32" i="14"/>
  <c r="I32" i="14"/>
  <c r="J32" i="14"/>
  <c r="K32" i="14"/>
  <c r="L32" i="14"/>
  <c r="G33" i="14"/>
  <c r="H33" i="14"/>
  <c r="I33" i="14"/>
  <c r="J33" i="14"/>
  <c r="K33" i="14"/>
  <c r="L33" i="14"/>
  <c r="G34" i="14"/>
  <c r="H34" i="14"/>
  <c r="I34" i="14"/>
  <c r="J34" i="14"/>
  <c r="K34" i="14"/>
  <c r="L34" i="14"/>
  <c r="G35" i="14"/>
  <c r="H35" i="14"/>
  <c r="I35" i="14"/>
  <c r="J35" i="14"/>
  <c r="K35" i="14"/>
  <c r="L35" i="14"/>
  <c r="G36" i="14"/>
  <c r="H36" i="14"/>
  <c r="I36" i="14"/>
  <c r="J36" i="14"/>
  <c r="K36" i="14"/>
  <c r="L36" i="14"/>
  <c r="G37" i="14"/>
  <c r="H37" i="14"/>
  <c r="I37" i="14"/>
  <c r="J37" i="14"/>
  <c r="K37" i="14"/>
  <c r="L37" i="14"/>
  <c r="G38" i="14"/>
  <c r="H38" i="14"/>
  <c r="I38" i="14"/>
  <c r="J38" i="14"/>
  <c r="K38" i="14"/>
  <c r="L38" i="14"/>
  <c r="G39" i="14"/>
  <c r="H39" i="14"/>
  <c r="I39" i="14"/>
  <c r="J39" i="14"/>
  <c r="K39" i="14"/>
  <c r="L39" i="14"/>
  <c r="G40" i="14"/>
  <c r="H40" i="14"/>
  <c r="I40" i="14"/>
  <c r="J40" i="14"/>
  <c r="K40" i="14"/>
  <c r="L40" i="14"/>
  <c r="G41" i="14"/>
  <c r="H41" i="14"/>
  <c r="I41" i="14"/>
  <c r="J41" i="14"/>
  <c r="K41" i="14"/>
  <c r="L41" i="14"/>
  <c r="G42" i="14"/>
  <c r="H42" i="14"/>
  <c r="I42" i="14"/>
  <c r="J42" i="14"/>
  <c r="K42" i="14"/>
  <c r="L42" i="14"/>
  <c r="G43" i="14"/>
  <c r="H43" i="14"/>
  <c r="I43" i="14"/>
  <c r="J43" i="14"/>
  <c r="K43" i="14"/>
  <c r="L43" i="14"/>
  <c r="G44" i="14"/>
  <c r="H44" i="14"/>
  <c r="I44" i="14"/>
  <c r="J44" i="14"/>
  <c r="K44" i="14"/>
  <c r="L44" i="14"/>
  <c r="G45" i="14"/>
  <c r="H45" i="14"/>
  <c r="I45" i="14"/>
  <c r="J45" i="14"/>
  <c r="K45" i="14"/>
  <c r="L45" i="14"/>
  <c r="G46" i="14"/>
  <c r="H46" i="14"/>
  <c r="I46" i="14"/>
  <c r="J46" i="14"/>
  <c r="K46" i="14"/>
  <c r="L46" i="14"/>
  <c r="G47" i="14"/>
  <c r="H47" i="14"/>
  <c r="I47" i="14"/>
  <c r="J47" i="14"/>
  <c r="K47" i="14"/>
  <c r="L47" i="14"/>
  <c r="G48" i="14"/>
  <c r="H48" i="14"/>
  <c r="I48" i="14"/>
  <c r="J48" i="14"/>
  <c r="K48" i="14"/>
  <c r="L48" i="14"/>
  <c r="G49" i="14"/>
  <c r="H49" i="14"/>
  <c r="I49" i="14"/>
  <c r="J49" i="14"/>
  <c r="K49" i="14"/>
  <c r="L49" i="14"/>
  <c r="G50" i="14"/>
  <c r="H50" i="14"/>
  <c r="I50" i="14"/>
  <c r="J50" i="14"/>
  <c r="K50" i="14"/>
  <c r="L50" i="14"/>
  <c r="G51" i="14"/>
  <c r="H51" i="14"/>
  <c r="I51" i="14"/>
  <c r="J51" i="14"/>
  <c r="K51" i="14"/>
  <c r="L51" i="14"/>
  <c r="G52" i="14"/>
  <c r="H52" i="14"/>
  <c r="I52" i="14"/>
  <c r="J52" i="14"/>
  <c r="K52" i="14"/>
  <c r="L52" i="14"/>
  <c r="G53" i="14"/>
  <c r="H53" i="14"/>
  <c r="I53" i="14"/>
  <c r="J53" i="14"/>
  <c r="K53" i="14"/>
  <c r="L53" i="14"/>
  <c r="G54" i="14"/>
  <c r="H54" i="14"/>
  <c r="I54" i="14"/>
  <c r="J54" i="14"/>
  <c r="K54" i="14"/>
  <c r="L54" i="14"/>
  <c r="G55" i="14"/>
  <c r="H55" i="14"/>
  <c r="I55" i="14"/>
  <c r="J55" i="14"/>
  <c r="K55" i="14"/>
  <c r="L55" i="14"/>
  <c r="G56" i="14"/>
  <c r="H56" i="14"/>
  <c r="I56" i="14"/>
  <c r="J56" i="14"/>
  <c r="K56" i="14"/>
  <c r="L56" i="14"/>
  <c r="G57" i="14"/>
  <c r="H57" i="14"/>
  <c r="I57" i="14"/>
  <c r="J57" i="14"/>
  <c r="K57" i="14"/>
  <c r="L57" i="14"/>
  <c r="G58" i="14"/>
  <c r="H58" i="14"/>
  <c r="I58" i="14"/>
  <c r="J58" i="14"/>
  <c r="K58" i="14"/>
  <c r="L58" i="14"/>
  <c r="G59" i="14"/>
  <c r="H59" i="14"/>
  <c r="I59" i="14"/>
  <c r="J59" i="14"/>
  <c r="K59" i="14"/>
  <c r="L59" i="14"/>
  <c r="G60" i="14"/>
  <c r="H60" i="14"/>
  <c r="I60" i="14"/>
  <c r="J60" i="14"/>
  <c r="K60" i="14"/>
  <c r="L60" i="14"/>
  <c r="G61" i="14"/>
  <c r="H61" i="14"/>
  <c r="I61" i="14"/>
  <c r="J61" i="14"/>
  <c r="K61" i="14"/>
  <c r="L61" i="14"/>
  <c r="G62" i="14"/>
  <c r="H62" i="14"/>
  <c r="I62" i="14"/>
  <c r="J62" i="14"/>
  <c r="K62" i="14"/>
  <c r="L62" i="14"/>
  <c r="G63" i="14"/>
  <c r="H63" i="14"/>
  <c r="I63" i="14"/>
  <c r="J63" i="14"/>
  <c r="K63" i="14"/>
  <c r="L63" i="14"/>
  <c r="G64" i="14"/>
  <c r="H64" i="14"/>
  <c r="I64" i="14"/>
  <c r="J64" i="14"/>
  <c r="K64" i="14"/>
  <c r="L64" i="14"/>
  <c r="G65" i="14"/>
  <c r="H65" i="14"/>
  <c r="I65" i="14"/>
  <c r="J65" i="14"/>
  <c r="K65" i="14"/>
  <c r="L65" i="14"/>
  <c r="G66" i="14"/>
  <c r="H66" i="14"/>
  <c r="I66" i="14"/>
  <c r="J66" i="14"/>
  <c r="K66" i="14"/>
  <c r="L66" i="14"/>
  <c r="G67" i="14"/>
  <c r="H67" i="14"/>
  <c r="I67" i="14"/>
  <c r="J67" i="14"/>
  <c r="K67" i="14"/>
  <c r="L67" i="14"/>
  <c r="G68" i="14"/>
  <c r="H68" i="14"/>
  <c r="I68" i="14"/>
  <c r="J68" i="14"/>
  <c r="K68" i="14"/>
  <c r="L68" i="14"/>
  <c r="G69" i="14"/>
  <c r="H69" i="14"/>
  <c r="I69" i="14"/>
  <c r="J69" i="14"/>
  <c r="K69" i="14"/>
  <c r="L69" i="14"/>
  <c r="G70" i="14"/>
  <c r="H70" i="14"/>
  <c r="I70" i="14"/>
  <c r="J70" i="14"/>
  <c r="K70" i="14"/>
  <c r="L70" i="14"/>
  <c r="G71" i="14"/>
  <c r="H71" i="14"/>
  <c r="I71" i="14"/>
  <c r="J71" i="14"/>
  <c r="K71" i="14"/>
  <c r="L71" i="14"/>
  <c r="G72" i="14"/>
  <c r="H72" i="14"/>
  <c r="I72" i="14"/>
  <c r="J72" i="14"/>
  <c r="K72" i="14"/>
  <c r="L72" i="14"/>
  <c r="G73" i="14"/>
  <c r="H73" i="14"/>
  <c r="I73" i="14"/>
  <c r="J73" i="14"/>
  <c r="K73" i="14"/>
  <c r="L73" i="14"/>
  <c r="G74" i="14"/>
  <c r="H74" i="14"/>
  <c r="I74" i="14"/>
  <c r="J74" i="14"/>
  <c r="K74" i="14"/>
  <c r="L74" i="14"/>
  <c r="G75" i="14"/>
  <c r="H75" i="14"/>
  <c r="I75" i="14"/>
  <c r="J75" i="14"/>
  <c r="K75" i="14"/>
  <c r="L75" i="14"/>
  <c r="G76" i="14"/>
  <c r="H76" i="14"/>
  <c r="I76" i="14"/>
  <c r="J76" i="14"/>
  <c r="K76" i="14"/>
  <c r="L76" i="14"/>
  <c r="G77" i="14"/>
  <c r="H77" i="14"/>
  <c r="I77" i="14"/>
  <c r="J77" i="14"/>
  <c r="K77" i="14"/>
  <c r="L77" i="14"/>
  <c r="G78" i="14"/>
  <c r="H78" i="14"/>
  <c r="I78" i="14"/>
  <c r="J78" i="14"/>
  <c r="K78" i="14"/>
  <c r="L78" i="14"/>
  <c r="G79" i="14"/>
  <c r="H79" i="14"/>
  <c r="I79" i="14"/>
  <c r="J79" i="14"/>
  <c r="K79" i="14"/>
  <c r="L79" i="14"/>
  <c r="G80" i="14"/>
  <c r="H80" i="14"/>
  <c r="I80" i="14"/>
  <c r="J80" i="14"/>
  <c r="K80" i="14"/>
  <c r="L80" i="14"/>
  <c r="G81" i="14"/>
  <c r="H81" i="14"/>
  <c r="I81" i="14"/>
  <c r="J81" i="14"/>
  <c r="K81" i="14"/>
  <c r="L81" i="14"/>
  <c r="G82" i="14"/>
  <c r="H82" i="14"/>
  <c r="I82" i="14"/>
  <c r="J82" i="14"/>
  <c r="K82" i="14"/>
  <c r="L82" i="14"/>
  <c r="G83" i="14"/>
  <c r="H83" i="14"/>
  <c r="I83" i="14"/>
  <c r="J83" i="14"/>
  <c r="K83" i="14"/>
  <c r="L83" i="14"/>
  <c r="G84" i="14"/>
  <c r="H84" i="14"/>
  <c r="I84" i="14"/>
  <c r="J84" i="14"/>
  <c r="K84" i="14"/>
  <c r="L84" i="14"/>
  <c r="G85" i="14"/>
  <c r="H85" i="14"/>
  <c r="I85" i="14"/>
  <c r="J85" i="14"/>
  <c r="K85" i="14"/>
  <c r="L85" i="14"/>
  <c r="G86" i="14"/>
  <c r="H86" i="14"/>
  <c r="I86" i="14"/>
  <c r="J86" i="14"/>
  <c r="K86" i="14"/>
  <c r="L86" i="14"/>
  <c r="G87" i="14"/>
  <c r="H87" i="14"/>
  <c r="I87" i="14"/>
  <c r="J87" i="14"/>
  <c r="K87" i="14"/>
  <c r="L87" i="14"/>
  <c r="G88" i="14"/>
  <c r="H88" i="14"/>
  <c r="I88" i="14"/>
  <c r="J88" i="14"/>
  <c r="K88" i="14"/>
  <c r="L88" i="14"/>
  <c r="G89" i="14"/>
  <c r="H89" i="14"/>
  <c r="I89" i="14"/>
  <c r="J89" i="14"/>
  <c r="K89" i="14"/>
  <c r="L89" i="14"/>
  <c r="G90" i="14"/>
  <c r="H90" i="14"/>
  <c r="I90" i="14"/>
  <c r="J90" i="14"/>
  <c r="K90" i="14"/>
  <c r="L90" i="14"/>
  <c r="G91" i="14"/>
  <c r="H91" i="14"/>
  <c r="I91" i="14"/>
  <c r="J91" i="14"/>
  <c r="K91" i="14"/>
  <c r="L91" i="14"/>
  <c r="G92" i="14"/>
  <c r="H92" i="14"/>
  <c r="I92" i="14"/>
  <c r="J92" i="14"/>
  <c r="K92" i="14"/>
  <c r="L92" i="14"/>
  <c r="G93" i="14"/>
  <c r="H93" i="14"/>
  <c r="I93" i="14"/>
  <c r="J93" i="14"/>
  <c r="K93" i="14"/>
  <c r="L93" i="14"/>
  <c r="G94" i="14"/>
  <c r="H94" i="14"/>
  <c r="I94" i="14"/>
  <c r="J94" i="14"/>
  <c r="K94" i="14"/>
  <c r="L94" i="14"/>
  <c r="G95" i="14"/>
  <c r="H95" i="14"/>
  <c r="I95" i="14"/>
  <c r="J95" i="14"/>
  <c r="K95" i="14"/>
  <c r="L95" i="14"/>
  <c r="G96" i="14"/>
  <c r="H96" i="14"/>
  <c r="I96" i="14"/>
  <c r="J96" i="14"/>
  <c r="K96" i="14"/>
  <c r="L96" i="14"/>
  <c r="G97" i="14"/>
  <c r="H97" i="14"/>
  <c r="I97" i="14"/>
  <c r="J97" i="14"/>
  <c r="K97" i="14"/>
  <c r="L97" i="14"/>
  <c r="G98" i="14"/>
  <c r="H98" i="14"/>
  <c r="I98" i="14"/>
  <c r="J98" i="14"/>
  <c r="K98" i="14"/>
  <c r="L98" i="14"/>
  <c r="G99" i="14"/>
  <c r="H99" i="14"/>
  <c r="I99" i="14"/>
  <c r="J99" i="14"/>
  <c r="K99" i="14"/>
  <c r="L99" i="14"/>
  <c r="G100" i="14"/>
  <c r="H100" i="14"/>
  <c r="I100" i="14"/>
  <c r="J100" i="14"/>
  <c r="K100" i="14"/>
  <c r="L100" i="14"/>
  <c r="G101" i="14"/>
  <c r="H101" i="14"/>
  <c r="I101" i="14"/>
  <c r="J101" i="14"/>
  <c r="K101" i="14"/>
  <c r="L101" i="14"/>
  <c r="G102" i="14"/>
  <c r="H102" i="14"/>
  <c r="I102" i="14"/>
  <c r="J102" i="14"/>
  <c r="K102" i="14"/>
  <c r="L102" i="14"/>
  <c r="G103" i="14"/>
  <c r="H103" i="14"/>
  <c r="I103" i="14"/>
  <c r="J103" i="14"/>
  <c r="K103" i="14"/>
  <c r="L103" i="14"/>
  <c r="G104" i="14"/>
  <c r="H104" i="14"/>
  <c r="I104" i="14"/>
  <c r="J104" i="14"/>
  <c r="K104" i="14"/>
  <c r="L104" i="14"/>
  <c r="G105" i="14"/>
  <c r="H105" i="14"/>
  <c r="I105" i="14"/>
  <c r="J105" i="14"/>
  <c r="K105" i="14"/>
  <c r="L105" i="14"/>
  <c r="G106" i="14"/>
  <c r="H106" i="14"/>
  <c r="I106" i="14"/>
  <c r="J106" i="14"/>
  <c r="K106" i="14"/>
  <c r="L106" i="14"/>
  <c r="G107" i="14"/>
  <c r="H107" i="14"/>
  <c r="I107" i="14"/>
  <c r="J107" i="14"/>
  <c r="K107" i="14"/>
  <c r="L107" i="14"/>
  <c r="G108" i="14"/>
  <c r="H108" i="14"/>
  <c r="I108" i="14"/>
  <c r="J108" i="14"/>
  <c r="K108" i="14"/>
  <c r="L108" i="14"/>
  <c r="G109" i="14"/>
  <c r="H109" i="14"/>
  <c r="I109" i="14"/>
  <c r="J109" i="14"/>
  <c r="K109" i="14"/>
  <c r="L109" i="14"/>
  <c r="G110" i="14"/>
  <c r="H110" i="14"/>
  <c r="I110" i="14"/>
  <c r="J110" i="14"/>
  <c r="K110" i="14"/>
  <c r="L110" i="14"/>
  <c r="G111" i="14"/>
  <c r="H111" i="14"/>
  <c r="I111" i="14"/>
  <c r="J111" i="14"/>
  <c r="K111" i="14"/>
  <c r="L111" i="14"/>
  <c r="G112" i="14"/>
  <c r="H112" i="14"/>
  <c r="I112" i="14"/>
  <c r="J112" i="14"/>
  <c r="K112" i="14"/>
  <c r="L112" i="14"/>
  <c r="G113" i="14"/>
  <c r="H113" i="14"/>
  <c r="I113" i="14"/>
  <c r="J113" i="14"/>
  <c r="K113" i="14"/>
  <c r="L113" i="14"/>
  <c r="G114" i="14"/>
  <c r="H114" i="14"/>
  <c r="I114" i="14"/>
  <c r="J114" i="14"/>
  <c r="K114" i="14"/>
  <c r="L114" i="14"/>
  <c r="G115" i="14"/>
  <c r="H115" i="14"/>
  <c r="I115" i="14"/>
  <c r="J115" i="14"/>
  <c r="K115" i="14"/>
  <c r="L115" i="14"/>
  <c r="G116" i="14"/>
  <c r="H116" i="14"/>
  <c r="I116" i="14"/>
  <c r="J116" i="14"/>
  <c r="K116" i="14"/>
  <c r="L116" i="14"/>
  <c r="G117" i="14"/>
  <c r="H117" i="14"/>
  <c r="I117" i="14"/>
  <c r="J117" i="14"/>
  <c r="K117" i="14"/>
  <c r="L117" i="14"/>
  <c r="G118" i="14"/>
  <c r="H118" i="14"/>
  <c r="I118" i="14"/>
  <c r="J118" i="14"/>
  <c r="K118" i="14"/>
  <c r="L118" i="14"/>
  <c r="G119" i="14"/>
  <c r="H119" i="14"/>
  <c r="I119" i="14"/>
  <c r="J119" i="14"/>
  <c r="K119" i="14"/>
  <c r="L119" i="14"/>
  <c r="G120" i="14"/>
  <c r="H120" i="14"/>
  <c r="I120" i="14"/>
  <c r="J120" i="14"/>
  <c r="K120" i="14"/>
  <c r="L120" i="14"/>
  <c r="G121" i="14"/>
  <c r="H121" i="14"/>
  <c r="I121" i="14"/>
  <c r="J121" i="14"/>
  <c r="K121" i="14"/>
  <c r="L121" i="14"/>
  <c r="G122" i="14"/>
  <c r="H122" i="14"/>
  <c r="I122" i="14"/>
  <c r="J122" i="14"/>
  <c r="K122" i="14"/>
  <c r="L122" i="14"/>
  <c r="G123" i="14"/>
  <c r="H123" i="14"/>
  <c r="I123" i="14"/>
  <c r="J123" i="14"/>
  <c r="K123" i="14"/>
  <c r="L123" i="14"/>
  <c r="G124" i="14"/>
  <c r="H124" i="14"/>
  <c r="I124" i="14"/>
  <c r="J124" i="14"/>
  <c r="K124" i="14"/>
  <c r="L124" i="14"/>
  <c r="G125" i="14"/>
  <c r="H125" i="14"/>
  <c r="I125" i="14"/>
  <c r="J125" i="14"/>
  <c r="K125" i="14"/>
  <c r="L125" i="14"/>
  <c r="G126" i="14"/>
  <c r="H126" i="14"/>
  <c r="I126" i="14"/>
  <c r="J126" i="14"/>
  <c r="K126" i="14"/>
  <c r="L126" i="14"/>
  <c r="G127" i="14"/>
  <c r="H127" i="14"/>
  <c r="I127" i="14"/>
  <c r="J127" i="14"/>
  <c r="K127" i="14"/>
  <c r="L127" i="14"/>
  <c r="G128" i="14"/>
  <c r="H128" i="14"/>
  <c r="I128" i="14"/>
  <c r="J128" i="14"/>
  <c r="K128" i="14"/>
  <c r="L128" i="14"/>
  <c r="G129" i="14"/>
  <c r="H129" i="14"/>
  <c r="I129" i="14"/>
  <c r="J129" i="14"/>
  <c r="K129" i="14"/>
  <c r="L129" i="14"/>
  <c r="G130" i="14"/>
  <c r="H130" i="14"/>
  <c r="I130" i="14"/>
  <c r="J130" i="14"/>
  <c r="K130" i="14"/>
  <c r="L130" i="14"/>
  <c r="G131" i="14"/>
  <c r="H131" i="14"/>
  <c r="I131" i="14"/>
  <c r="J131" i="14"/>
  <c r="K131" i="14"/>
  <c r="L131" i="14"/>
  <c r="G132" i="14"/>
  <c r="H132" i="14"/>
  <c r="I132" i="14"/>
  <c r="J132" i="14"/>
  <c r="K132" i="14"/>
  <c r="L132" i="14"/>
  <c r="G133" i="14"/>
  <c r="H133" i="14"/>
  <c r="I133" i="14"/>
  <c r="J133" i="14"/>
  <c r="K133" i="14"/>
  <c r="L133" i="14"/>
  <c r="G134" i="14"/>
  <c r="H134" i="14"/>
  <c r="I134" i="14"/>
  <c r="J134" i="14"/>
  <c r="K134" i="14"/>
  <c r="L134" i="14"/>
  <c r="G135" i="14"/>
  <c r="H135" i="14"/>
  <c r="I135" i="14"/>
  <c r="J135" i="14"/>
  <c r="K135" i="14"/>
  <c r="L135" i="14"/>
  <c r="G136" i="14"/>
  <c r="H136" i="14"/>
  <c r="I136" i="14"/>
  <c r="J136" i="14"/>
  <c r="K136" i="14"/>
  <c r="L136" i="14"/>
  <c r="G137" i="14"/>
  <c r="H137" i="14"/>
  <c r="I137" i="14"/>
  <c r="J137" i="14"/>
  <c r="K137" i="14"/>
  <c r="L137" i="14"/>
  <c r="G138" i="14"/>
  <c r="H138" i="14"/>
  <c r="I138" i="14"/>
  <c r="J138" i="14"/>
  <c r="K138" i="14"/>
  <c r="L138" i="14"/>
  <c r="G139" i="14"/>
  <c r="H139" i="14"/>
  <c r="I139" i="14"/>
  <c r="J139" i="14"/>
  <c r="K139" i="14"/>
  <c r="L139" i="14"/>
  <c r="G140" i="14"/>
  <c r="H140" i="14"/>
  <c r="I140" i="14"/>
  <c r="J140" i="14"/>
  <c r="K140" i="14"/>
  <c r="L140" i="14"/>
  <c r="G141" i="14"/>
  <c r="H141" i="14"/>
  <c r="I141" i="14"/>
  <c r="J141" i="14"/>
  <c r="K141" i="14"/>
  <c r="L141" i="14"/>
  <c r="G142" i="14"/>
  <c r="H142" i="14"/>
  <c r="I142" i="14"/>
  <c r="J142" i="14"/>
  <c r="K142" i="14"/>
  <c r="L142" i="14"/>
  <c r="G143" i="14"/>
  <c r="H143" i="14"/>
  <c r="I143" i="14"/>
  <c r="J143" i="14"/>
  <c r="K143" i="14"/>
  <c r="L143" i="14"/>
  <c r="G144" i="14"/>
  <c r="H144" i="14"/>
  <c r="I144" i="14"/>
  <c r="J144" i="14"/>
  <c r="K144" i="14"/>
  <c r="L144" i="14"/>
  <c r="G145" i="14"/>
  <c r="H145" i="14"/>
  <c r="I145" i="14"/>
  <c r="J145" i="14"/>
  <c r="K145" i="14"/>
  <c r="L145" i="14"/>
  <c r="G146" i="14"/>
  <c r="H146" i="14"/>
  <c r="I146" i="14"/>
  <c r="J146" i="14"/>
  <c r="K146" i="14"/>
  <c r="L146" i="14"/>
  <c r="G147" i="14"/>
  <c r="H147" i="14"/>
  <c r="I147" i="14"/>
  <c r="J147" i="14"/>
  <c r="K147" i="14"/>
  <c r="L147" i="14"/>
  <c r="G148" i="14"/>
  <c r="H148" i="14"/>
  <c r="I148" i="14"/>
  <c r="J148" i="14"/>
  <c r="K148" i="14"/>
  <c r="L148" i="14"/>
  <c r="G149" i="14"/>
  <c r="H149" i="14"/>
  <c r="I149" i="14"/>
  <c r="J149" i="14"/>
  <c r="K149" i="14"/>
  <c r="L149" i="14"/>
  <c r="G150" i="14"/>
  <c r="H150" i="14"/>
  <c r="I150" i="14"/>
  <c r="J150" i="14"/>
  <c r="K150" i="14"/>
  <c r="L150" i="14"/>
  <c r="G151" i="14"/>
  <c r="H151" i="14"/>
  <c r="I151" i="14"/>
  <c r="J151" i="14"/>
  <c r="K151" i="14"/>
  <c r="L151" i="14"/>
  <c r="G152" i="14"/>
  <c r="H152" i="14"/>
  <c r="I152" i="14"/>
  <c r="J152" i="14"/>
  <c r="K152" i="14"/>
  <c r="L152" i="14"/>
  <c r="G153" i="14"/>
  <c r="H153" i="14"/>
  <c r="I153" i="14"/>
  <c r="J153" i="14"/>
  <c r="K153" i="14"/>
  <c r="L153" i="14"/>
  <c r="G154" i="14"/>
  <c r="H154" i="14"/>
  <c r="I154" i="14"/>
  <c r="J154" i="14"/>
  <c r="K154" i="14"/>
  <c r="L154" i="14"/>
  <c r="G155" i="14"/>
  <c r="H155" i="14"/>
  <c r="I155" i="14"/>
  <c r="J155" i="14"/>
  <c r="K155" i="14"/>
  <c r="L155" i="14"/>
  <c r="G156" i="14"/>
  <c r="H156" i="14"/>
  <c r="I156" i="14"/>
  <c r="J156" i="14"/>
  <c r="K156" i="14"/>
  <c r="L156" i="14"/>
  <c r="G157" i="14"/>
  <c r="H157" i="14"/>
  <c r="I157" i="14"/>
  <c r="J157" i="14"/>
  <c r="K157" i="14"/>
  <c r="L157" i="14"/>
  <c r="G158" i="14"/>
  <c r="H158" i="14"/>
  <c r="I158" i="14"/>
  <c r="J158" i="14"/>
  <c r="K158" i="14"/>
  <c r="L158" i="14"/>
  <c r="G159" i="14"/>
  <c r="H159" i="14"/>
  <c r="I159" i="14"/>
  <c r="J159" i="14"/>
  <c r="K159" i="14"/>
  <c r="L159" i="14"/>
  <c r="G160" i="14"/>
  <c r="H160" i="14"/>
  <c r="I160" i="14"/>
  <c r="J160" i="14"/>
  <c r="K160" i="14"/>
  <c r="L160" i="14"/>
  <c r="G161" i="14"/>
  <c r="H161" i="14"/>
  <c r="I161" i="14"/>
  <c r="J161" i="14"/>
  <c r="K161" i="14"/>
  <c r="L161" i="14"/>
  <c r="G162" i="14"/>
  <c r="H162" i="14"/>
  <c r="I162" i="14"/>
  <c r="J162" i="14"/>
  <c r="K162" i="14"/>
  <c r="L162" i="14"/>
  <c r="G163" i="14"/>
  <c r="H163" i="14"/>
  <c r="I163" i="14"/>
  <c r="J163" i="14"/>
  <c r="K163" i="14"/>
  <c r="L163" i="14"/>
  <c r="G164" i="14"/>
  <c r="H164" i="14"/>
  <c r="I164" i="14"/>
  <c r="J164" i="14"/>
  <c r="K164" i="14"/>
  <c r="L164" i="14"/>
  <c r="G165" i="14"/>
  <c r="H165" i="14"/>
  <c r="I165" i="14"/>
  <c r="J165" i="14"/>
  <c r="K165" i="14"/>
  <c r="L165" i="14"/>
  <c r="G166" i="14"/>
  <c r="H166" i="14"/>
  <c r="I166" i="14"/>
  <c r="J166" i="14"/>
  <c r="K166" i="14"/>
  <c r="L166" i="14"/>
  <c r="G167" i="14"/>
  <c r="H167" i="14"/>
  <c r="I167" i="14"/>
  <c r="J167" i="14"/>
  <c r="K167" i="14"/>
  <c r="L167" i="14"/>
  <c r="G168" i="14"/>
  <c r="H168" i="14"/>
  <c r="I168" i="14"/>
  <c r="J168" i="14"/>
  <c r="K168" i="14"/>
  <c r="L168" i="14"/>
  <c r="G169" i="14"/>
  <c r="H169" i="14"/>
  <c r="I169" i="14"/>
  <c r="J169" i="14"/>
  <c r="K169" i="14"/>
  <c r="L169" i="14"/>
  <c r="G170" i="14"/>
  <c r="H170" i="14"/>
  <c r="I170" i="14"/>
  <c r="J170" i="14"/>
  <c r="K170" i="14"/>
  <c r="L170" i="14"/>
  <c r="G171" i="14"/>
  <c r="H171" i="14"/>
  <c r="I171" i="14"/>
  <c r="J171" i="14"/>
  <c r="K171" i="14"/>
  <c r="L171" i="14"/>
  <c r="G172" i="14"/>
  <c r="H172" i="14"/>
  <c r="I172" i="14"/>
  <c r="J172" i="14"/>
  <c r="K172" i="14"/>
  <c r="L172" i="14"/>
  <c r="G173" i="14"/>
  <c r="H173" i="14"/>
  <c r="I173" i="14"/>
  <c r="J173" i="14"/>
  <c r="K173" i="14"/>
  <c r="L173" i="14"/>
  <c r="G174" i="14"/>
  <c r="H174" i="14"/>
  <c r="I174" i="14"/>
  <c r="J174" i="14"/>
  <c r="K174" i="14"/>
  <c r="L174" i="14"/>
  <c r="G175" i="14"/>
  <c r="H175" i="14"/>
  <c r="I175" i="14"/>
  <c r="J175" i="14"/>
  <c r="K175" i="14"/>
  <c r="L175" i="14"/>
  <c r="G176" i="14"/>
  <c r="H176" i="14"/>
  <c r="I176" i="14"/>
  <c r="J176" i="14"/>
  <c r="K176" i="14"/>
  <c r="L176" i="14"/>
  <c r="G177" i="14"/>
  <c r="H177" i="14"/>
  <c r="I177" i="14"/>
  <c r="J177" i="14"/>
  <c r="K177" i="14"/>
  <c r="L177" i="14"/>
  <c r="G178" i="14"/>
  <c r="H178" i="14"/>
  <c r="I178" i="14"/>
  <c r="J178" i="14"/>
  <c r="K178" i="14"/>
  <c r="L178" i="14"/>
  <c r="G179" i="14"/>
  <c r="H179" i="14"/>
  <c r="I179" i="14"/>
  <c r="J179" i="14"/>
  <c r="K179" i="14"/>
  <c r="L179" i="14"/>
  <c r="G180" i="14"/>
  <c r="H180" i="14"/>
  <c r="I180" i="14"/>
  <c r="J180" i="14"/>
  <c r="K180" i="14"/>
  <c r="L180" i="14"/>
  <c r="G181" i="14"/>
  <c r="H181" i="14"/>
  <c r="I181" i="14"/>
  <c r="J181" i="14"/>
  <c r="K181" i="14"/>
  <c r="L181" i="14"/>
  <c r="G182" i="14"/>
  <c r="H182" i="14"/>
  <c r="I182" i="14"/>
  <c r="J182" i="14"/>
  <c r="K182" i="14"/>
  <c r="L182" i="14"/>
  <c r="G183" i="14"/>
  <c r="H183" i="14"/>
  <c r="I183" i="14"/>
  <c r="J183" i="14"/>
  <c r="K183" i="14"/>
  <c r="L183" i="14"/>
  <c r="G184" i="14"/>
  <c r="H184" i="14"/>
  <c r="I184" i="14"/>
  <c r="J184" i="14"/>
  <c r="K184" i="14"/>
  <c r="L184" i="14"/>
  <c r="G185" i="14"/>
  <c r="H185" i="14"/>
  <c r="I185" i="14"/>
  <c r="J185" i="14"/>
  <c r="K185" i="14"/>
  <c r="L185" i="14"/>
  <c r="G186" i="14"/>
  <c r="H186" i="14"/>
  <c r="I186" i="14"/>
  <c r="J186" i="14"/>
  <c r="K186" i="14"/>
  <c r="L186" i="14"/>
  <c r="G187" i="14"/>
  <c r="H187" i="14"/>
  <c r="I187" i="14"/>
  <c r="J187" i="14"/>
  <c r="K187" i="14"/>
  <c r="L187" i="14"/>
  <c r="G188" i="14"/>
  <c r="H188" i="14"/>
  <c r="I188" i="14"/>
  <c r="J188" i="14"/>
  <c r="K188" i="14"/>
  <c r="L188" i="14"/>
  <c r="G189" i="14"/>
  <c r="H189" i="14"/>
  <c r="I189" i="14"/>
  <c r="J189" i="14"/>
  <c r="K189" i="14"/>
  <c r="L189" i="14"/>
  <c r="G190" i="14"/>
  <c r="H190" i="14"/>
  <c r="I190" i="14"/>
  <c r="J190" i="14"/>
  <c r="K190" i="14"/>
  <c r="L190" i="14"/>
  <c r="G191" i="14"/>
  <c r="H191" i="14"/>
  <c r="I191" i="14"/>
  <c r="J191" i="14"/>
  <c r="K191" i="14"/>
  <c r="L191" i="14"/>
  <c r="G192" i="14"/>
  <c r="H192" i="14"/>
  <c r="I192" i="14"/>
  <c r="J192" i="14"/>
  <c r="K192" i="14"/>
  <c r="L192" i="14"/>
  <c r="G193" i="14"/>
  <c r="H193" i="14"/>
  <c r="I193" i="14"/>
  <c r="J193" i="14"/>
  <c r="K193" i="14"/>
  <c r="L193" i="14"/>
  <c r="G194" i="14"/>
  <c r="H194" i="14"/>
  <c r="I194" i="14"/>
  <c r="J194" i="14"/>
  <c r="K194" i="14"/>
  <c r="L194" i="14"/>
  <c r="G195" i="14"/>
  <c r="H195" i="14"/>
  <c r="I195" i="14"/>
  <c r="J195" i="14"/>
  <c r="K195" i="14"/>
  <c r="L195" i="14"/>
  <c r="G196" i="14"/>
  <c r="H196" i="14"/>
  <c r="I196" i="14"/>
  <c r="J196" i="14"/>
  <c r="K196" i="14"/>
  <c r="L196" i="14"/>
  <c r="G197" i="14"/>
  <c r="H197" i="14"/>
  <c r="I197" i="14"/>
  <c r="J197" i="14"/>
  <c r="K197" i="14"/>
  <c r="L197" i="14"/>
  <c r="G198" i="14"/>
  <c r="H198" i="14"/>
  <c r="I198" i="14"/>
  <c r="J198" i="14"/>
  <c r="K198" i="14"/>
  <c r="L198" i="14"/>
  <c r="G199" i="14"/>
  <c r="H199" i="14"/>
  <c r="I199" i="14"/>
  <c r="J199" i="14"/>
  <c r="K199" i="14"/>
  <c r="L199" i="14"/>
  <c r="G200" i="14"/>
  <c r="H200" i="14"/>
  <c r="I200" i="14"/>
  <c r="J200" i="14"/>
  <c r="K200" i="14"/>
  <c r="L200" i="14"/>
  <c r="G201" i="14"/>
  <c r="H201" i="14"/>
  <c r="I201" i="14"/>
  <c r="J201" i="14"/>
  <c r="K201" i="14"/>
  <c r="L201" i="14"/>
  <c r="G202" i="14"/>
  <c r="H202" i="14"/>
  <c r="I202" i="14"/>
  <c r="J202" i="14"/>
  <c r="K202" i="14"/>
  <c r="L202" i="14"/>
  <c r="G203" i="14"/>
  <c r="H203" i="14"/>
  <c r="I203" i="14"/>
  <c r="J203" i="14"/>
  <c r="K203" i="14"/>
  <c r="L203" i="14"/>
  <c r="G204" i="14"/>
  <c r="H204" i="14"/>
  <c r="I204" i="14"/>
  <c r="J204" i="14"/>
  <c r="K204" i="14"/>
  <c r="L204" i="14"/>
  <c r="G205" i="14"/>
  <c r="H205" i="14"/>
  <c r="I205" i="14"/>
  <c r="J205" i="14"/>
  <c r="K205" i="14"/>
  <c r="L205" i="14"/>
  <c r="G206" i="14"/>
  <c r="H206" i="14"/>
  <c r="I206" i="14"/>
  <c r="J206" i="14"/>
  <c r="K206" i="14"/>
  <c r="L206" i="14"/>
  <c r="G207" i="14"/>
  <c r="H207" i="14"/>
  <c r="I207" i="14"/>
  <c r="J207" i="14"/>
  <c r="K207" i="14"/>
  <c r="L207" i="14"/>
  <c r="G208" i="14"/>
  <c r="H208" i="14"/>
  <c r="I208" i="14"/>
  <c r="J208" i="14"/>
  <c r="K208" i="14"/>
  <c r="L208" i="14"/>
  <c r="G209" i="14"/>
  <c r="H209" i="14"/>
  <c r="I209" i="14"/>
  <c r="J209" i="14"/>
  <c r="K209" i="14"/>
  <c r="L209" i="14"/>
  <c r="G210" i="14"/>
  <c r="H210" i="14"/>
  <c r="I210" i="14"/>
  <c r="J210" i="14"/>
  <c r="K210" i="14"/>
  <c r="L210" i="14"/>
  <c r="G211" i="14"/>
  <c r="H211" i="14"/>
  <c r="I211" i="14"/>
  <c r="J211" i="14"/>
  <c r="K211" i="14"/>
  <c r="L211" i="14"/>
  <c r="G212" i="14"/>
  <c r="H212" i="14"/>
  <c r="I212" i="14"/>
  <c r="J212" i="14"/>
  <c r="K212" i="14"/>
  <c r="L212" i="14"/>
  <c r="G213" i="14"/>
  <c r="H213" i="14"/>
  <c r="I213" i="14"/>
  <c r="J213" i="14"/>
  <c r="K213" i="14"/>
  <c r="L213" i="14"/>
  <c r="G214" i="14"/>
  <c r="H214" i="14"/>
  <c r="I214" i="14"/>
  <c r="J214" i="14"/>
  <c r="K214" i="14"/>
  <c r="L214" i="14"/>
  <c r="G215" i="14"/>
  <c r="H215" i="14"/>
  <c r="I215" i="14"/>
  <c r="J215" i="14"/>
  <c r="K215" i="14"/>
  <c r="L215" i="14"/>
  <c r="G216" i="14"/>
  <c r="H216" i="14"/>
  <c r="I216" i="14"/>
  <c r="J216" i="14"/>
  <c r="K216" i="14"/>
  <c r="L216" i="14"/>
  <c r="G217" i="14"/>
  <c r="H217" i="14"/>
  <c r="I217" i="14"/>
  <c r="J217" i="14"/>
  <c r="K217" i="14"/>
  <c r="L217" i="14"/>
  <c r="G218" i="14"/>
  <c r="H218" i="14"/>
  <c r="I218" i="14"/>
  <c r="J218" i="14"/>
  <c r="K218" i="14"/>
  <c r="L218" i="14"/>
  <c r="G219" i="14"/>
  <c r="H219" i="14"/>
  <c r="I219" i="14"/>
  <c r="J219" i="14"/>
  <c r="K219" i="14"/>
  <c r="L219" i="14"/>
  <c r="G220" i="14"/>
  <c r="H220" i="14"/>
  <c r="I220" i="14"/>
  <c r="J220" i="14"/>
  <c r="K220" i="14"/>
  <c r="L220" i="14"/>
  <c r="G221" i="14"/>
  <c r="H221" i="14"/>
  <c r="I221" i="14"/>
  <c r="J221" i="14"/>
  <c r="K221" i="14"/>
  <c r="L221" i="14"/>
  <c r="G222" i="14"/>
  <c r="H222" i="14"/>
  <c r="I222" i="14"/>
  <c r="J222" i="14"/>
  <c r="K222" i="14"/>
  <c r="L222" i="14"/>
  <c r="G223" i="14"/>
  <c r="H223" i="14"/>
  <c r="I223" i="14"/>
  <c r="J223" i="14"/>
  <c r="K223" i="14"/>
  <c r="L223" i="14"/>
  <c r="G224" i="14"/>
  <c r="H224" i="14"/>
  <c r="I224" i="14"/>
  <c r="J224" i="14"/>
  <c r="K224" i="14"/>
  <c r="L224" i="14"/>
  <c r="G225" i="14"/>
  <c r="H225" i="14"/>
  <c r="I225" i="14"/>
  <c r="J225" i="14"/>
  <c r="K225" i="14"/>
  <c r="L225" i="14"/>
  <c r="G226" i="14"/>
  <c r="H226" i="14"/>
  <c r="I226" i="14"/>
  <c r="J226" i="14"/>
  <c r="K226" i="14"/>
  <c r="L226" i="14"/>
  <c r="G227" i="14"/>
  <c r="H227" i="14"/>
  <c r="I227" i="14"/>
  <c r="J227" i="14"/>
  <c r="K227" i="14"/>
  <c r="L227" i="14"/>
  <c r="G228" i="14"/>
  <c r="H228" i="14"/>
  <c r="I228" i="14"/>
  <c r="J228" i="14"/>
  <c r="K228" i="14"/>
  <c r="L228" i="14"/>
  <c r="G229" i="14"/>
  <c r="H229" i="14"/>
  <c r="I229" i="14"/>
  <c r="J229" i="14"/>
  <c r="K229" i="14"/>
  <c r="L229" i="14"/>
  <c r="G230" i="14"/>
  <c r="H230" i="14"/>
  <c r="I230" i="14"/>
  <c r="J230" i="14"/>
  <c r="K230" i="14"/>
  <c r="L230" i="14"/>
  <c r="G231" i="14"/>
  <c r="H231" i="14"/>
  <c r="I231" i="14"/>
  <c r="J231" i="14"/>
  <c r="K231" i="14"/>
  <c r="L231" i="14"/>
  <c r="G232" i="14"/>
  <c r="H232" i="14"/>
  <c r="I232" i="14"/>
  <c r="J232" i="14"/>
  <c r="K232" i="14"/>
  <c r="L232" i="14"/>
  <c r="G233" i="14"/>
  <c r="H233" i="14"/>
  <c r="I233" i="14"/>
  <c r="J233" i="14"/>
  <c r="K233" i="14"/>
  <c r="L233" i="14"/>
  <c r="G234" i="14"/>
  <c r="H234" i="14"/>
  <c r="I234" i="14"/>
  <c r="J234" i="14"/>
  <c r="K234" i="14"/>
  <c r="L234" i="14"/>
  <c r="G235" i="14"/>
  <c r="H235" i="14"/>
  <c r="I235" i="14"/>
  <c r="J235" i="14"/>
  <c r="K235" i="14"/>
  <c r="L235" i="14"/>
  <c r="G236" i="14"/>
  <c r="H236" i="14"/>
  <c r="I236" i="14"/>
  <c r="J236" i="14"/>
  <c r="K236" i="14"/>
  <c r="L236" i="14"/>
  <c r="G237" i="14"/>
  <c r="H237" i="14"/>
  <c r="I237" i="14"/>
  <c r="J237" i="14"/>
  <c r="K237" i="14"/>
  <c r="L237" i="14"/>
  <c r="G238" i="14"/>
  <c r="H238" i="14"/>
  <c r="I238" i="14"/>
  <c r="J238" i="14"/>
  <c r="K238" i="14"/>
  <c r="L238" i="14"/>
  <c r="G239" i="14"/>
  <c r="H239" i="14"/>
  <c r="I239" i="14"/>
  <c r="J239" i="14"/>
  <c r="K239" i="14"/>
  <c r="L239" i="14"/>
  <c r="G240" i="14"/>
  <c r="H240" i="14"/>
  <c r="I240" i="14"/>
  <c r="J240" i="14"/>
  <c r="K240" i="14"/>
  <c r="L240" i="14"/>
  <c r="G241" i="14"/>
  <c r="H241" i="14"/>
  <c r="I241" i="14"/>
  <c r="J241" i="14"/>
  <c r="K241" i="14"/>
  <c r="L241" i="14"/>
  <c r="G242" i="14"/>
  <c r="H242" i="14"/>
  <c r="I242" i="14"/>
  <c r="J242" i="14"/>
  <c r="K242" i="14"/>
  <c r="L242" i="14"/>
  <c r="G243" i="14"/>
  <c r="H243" i="14"/>
  <c r="I243" i="14"/>
  <c r="J243" i="14"/>
  <c r="K243" i="14"/>
  <c r="L243" i="14"/>
  <c r="G244" i="14"/>
  <c r="H244" i="14"/>
  <c r="I244" i="14"/>
  <c r="J244" i="14"/>
  <c r="K244" i="14"/>
  <c r="L244" i="14"/>
  <c r="G245" i="14"/>
  <c r="H245" i="14"/>
  <c r="I245" i="14"/>
  <c r="J245" i="14"/>
  <c r="K245" i="14"/>
  <c r="L245" i="14"/>
  <c r="G246" i="14"/>
  <c r="H246" i="14"/>
  <c r="I246" i="14"/>
  <c r="J246" i="14"/>
  <c r="K246" i="14"/>
  <c r="L246" i="14"/>
  <c r="G247" i="14"/>
  <c r="H247" i="14"/>
  <c r="I247" i="14"/>
  <c r="J247" i="14"/>
  <c r="K247" i="14"/>
  <c r="L247" i="14"/>
  <c r="G248" i="14"/>
  <c r="H248" i="14"/>
  <c r="I248" i="14"/>
  <c r="J248" i="14"/>
  <c r="K248" i="14"/>
  <c r="L248" i="14"/>
  <c r="G249" i="14"/>
  <c r="H249" i="14"/>
  <c r="I249" i="14"/>
  <c r="J249" i="14"/>
  <c r="K249" i="14"/>
  <c r="L249" i="14"/>
  <c r="G250" i="14"/>
  <c r="H250" i="14"/>
  <c r="I250" i="14"/>
  <c r="J250" i="14"/>
  <c r="K250" i="14"/>
  <c r="L250" i="14"/>
  <c r="G251" i="14"/>
  <c r="H251" i="14"/>
  <c r="I251" i="14"/>
  <c r="J251" i="14"/>
  <c r="K251" i="14"/>
  <c r="L251" i="14"/>
  <c r="G252" i="14"/>
  <c r="H252" i="14"/>
  <c r="I252" i="14"/>
  <c r="J252" i="14"/>
  <c r="K252" i="14"/>
  <c r="L252" i="14"/>
  <c r="G253" i="14"/>
  <c r="H253" i="14"/>
  <c r="I253" i="14"/>
  <c r="J253" i="14"/>
  <c r="K253" i="14"/>
  <c r="L253" i="14"/>
  <c r="G254" i="14"/>
  <c r="H254" i="14"/>
  <c r="I254" i="14"/>
  <c r="J254" i="14"/>
  <c r="K254" i="14"/>
  <c r="L254" i="14"/>
  <c r="G255" i="14"/>
  <c r="H255" i="14"/>
  <c r="I255" i="14"/>
  <c r="J255" i="14"/>
  <c r="K255" i="14"/>
  <c r="L255" i="14"/>
  <c r="G256" i="14"/>
  <c r="H256" i="14"/>
  <c r="I256" i="14"/>
  <c r="J256" i="14"/>
  <c r="K256" i="14"/>
  <c r="L256" i="14"/>
  <c r="G257" i="14"/>
  <c r="H257" i="14"/>
  <c r="I257" i="14"/>
  <c r="J257" i="14"/>
  <c r="K257" i="14"/>
  <c r="L257" i="14"/>
  <c r="G258" i="14"/>
  <c r="H258" i="14"/>
  <c r="I258" i="14"/>
  <c r="J258" i="14"/>
  <c r="K258" i="14"/>
  <c r="L258" i="14"/>
  <c r="G259" i="14"/>
  <c r="H259" i="14"/>
  <c r="I259" i="14"/>
  <c r="J259" i="14"/>
  <c r="K259" i="14"/>
  <c r="L259" i="14"/>
  <c r="G260" i="14"/>
  <c r="H260" i="14"/>
  <c r="I260" i="14"/>
  <c r="J260" i="14"/>
  <c r="K260" i="14"/>
  <c r="L260" i="14"/>
  <c r="G261" i="14"/>
  <c r="H261" i="14"/>
  <c r="I261" i="14"/>
  <c r="J261" i="14"/>
  <c r="K261" i="14"/>
  <c r="L261" i="14"/>
  <c r="G262" i="14"/>
  <c r="H262" i="14"/>
  <c r="I262" i="14"/>
  <c r="J262" i="14"/>
  <c r="K262" i="14"/>
  <c r="L262" i="14"/>
  <c r="G263" i="14"/>
  <c r="H263" i="14"/>
  <c r="I263" i="14"/>
  <c r="J263" i="14"/>
  <c r="K263" i="14"/>
  <c r="L263" i="14"/>
  <c r="G264" i="14"/>
  <c r="H264" i="14"/>
  <c r="I264" i="14"/>
  <c r="J264" i="14"/>
  <c r="K264" i="14"/>
  <c r="L264" i="14"/>
  <c r="G265" i="14"/>
  <c r="H265" i="14"/>
  <c r="I265" i="14"/>
  <c r="J265" i="14"/>
  <c r="K265" i="14"/>
  <c r="L265" i="14"/>
  <c r="G266" i="14"/>
  <c r="H266" i="14"/>
  <c r="I266" i="14"/>
  <c r="J266" i="14"/>
  <c r="K266" i="14"/>
  <c r="L266" i="14"/>
  <c r="G267" i="14"/>
  <c r="H267" i="14"/>
  <c r="I267" i="14"/>
  <c r="J267" i="14"/>
  <c r="K267" i="14"/>
  <c r="L267" i="14"/>
  <c r="G268" i="14"/>
  <c r="H268" i="14"/>
  <c r="I268" i="14"/>
  <c r="J268" i="14"/>
  <c r="K268" i="14"/>
  <c r="L268" i="14"/>
  <c r="G269" i="14"/>
  <c r="H269" i="14"/>
  <c r="I269" i="14"/>
  <c r="J269" i="14"/>
  <c r="K269" i="14"/>
  <c r="L269" i="14"/>
  <c r="G270" i="14"/>
  <c r="H270" i="14"/>
  <c r="I270" i="14"/>
  <c r="J270" i="14"/>
  <c r="K270" i="14"/>
  <c r="L270" i="14"/>
  <c r="G271" i="14"/>
  <c r="H271" i="14"/>
  <c r="I271" i="14"/>
  <c r="J271" i="14"/>
  <c r="K271" i="14"/>
  <c r="L271" i="14"/>
  <c r="G272" i="14"/>
  <c r="H272" i="14"/>
  <c r="I272" i="14"/>
  <c r="J272" i="14"/>
  <c r="K272" i="14"/>
  <c r="L272" i="14"/>
  <c r="G273" i="14"/>
  <c r="H273" i="14"/>
  <c r="I273" i="14"/>
  <c r="J273" i="14"/>
  <c r="K273" i="14"/>
  <c r="L273" i="14"/>
  <c r="G274" i="14"/>
  <c r="H274" i="14"/>
  <c r="I274" i="14"/>
  <c r="J274" i="14"/>
  <c r="K274" i="14"/>
  <c r="L274" i="14"/>
  <c r="G275" i="14"/>
  <c r="H275" i="14"/>
  <c r="I275" i="14"/>
  <c r="J275" i="14"/>
  <c r="K275" i="14"/>
  <c r="L275" i="14"/>
  <c r="G276" i="14"/>
  <c r="H276" i="14"/>
  <c r="I276" i="14"/>
  <c r="J276" i="14"/>
  <c r="K276" i="14"/>
  <c r="L276" i="14"/>
  <c r="G277" i="14"/>
  <c r="H277" i="14"/>
  <c r="I277" i="14"/>
  <c r="J277" i="14"/>
  <c r="K277" i="14"/>
  <c r="L277" i="14"/>
  <c r="G278" i="14"/>
  <c r="H278" i="14"/>
  <c r="I278" i="14"/>
  <c r="J278" i="14"/>
  <c r="K278" i="14"/>
  <c r="L278" i="14"/>
  <c r="G279" i="14"/>
  <c r="H279" i="14"/>
  <c r="I279" i="14"/>
  <c r="J279" i="14"/>
  <c r="K279" i="14"/>
  <c r="L279" i="14"/>
  <c r="G280" i="14"/>
  <c r="H280" i="14"/>
  <c r="I280" i="14"/>
  <c r="J280" i="14"/>
  <c r="K280" i="14"/>
  <c r="L280" i="14"/>
  <c r="G281" i="14"/>
  <c r="H281" i="14"/>
  <c r="I281" i="14"/>
  <c r="J281" i="14"/>
  <c r="K281" i="14"/>
  <c r="L281" i="14"/>
  <c r="G282" i="14"/>
  <c r="H282" i="14"/>
  <c r="I282" i="14"/>
  <c r="J282" i="14"/>
  <c r="K282" i="14"/>
  <c r="L282" i="14"/>
  <c r="G283" i="14"/>
  <c r="H283" i="14"/>
  <c r="I283" i="14"/>
  <c r="J283" i="14"/>
  <c r="K283" i="14"/>
  <c r="L283" i="14"/>
  <c r="G284" i="14"/>
  <c r="H284" i="14"/>
  <c r="I284" i="14"/>
  <c r="J284" i="14"/>
  <c r="K284" i="14"/>
  <c r="L284" i="14"/>
  <c r="G285" i="14"/>
  <c r="H285" i="14"/>
  <c r="I285" i="14"/>
  <c r="J285" i="14"/>
  <c r="K285" i="14"/>
  <c r="L285" i="14"/>
  <c r="G286" i="14"/>
  <c r="H286" i="14"/>
  <c r="I286" i="14"/>
  <c r="J286" i="14"/>
  <c r="K286" i="14"/>
  <c r="L286" i="14"/>
  <c r="G287" i="14"/>
  <c r="H287" i="14"/>
  <c r="I287" i="14"/>
  <c r="J287" i="14"/>
  <c r="K287" i="14"/>
  <c r="L287" i="14"/>
  <c r="G288" i="14"/>
  <c r="H288" i="14"/>
  <c r="I288" i="14"/>
  <c r="J288" i="14"/>
  <c r="K288" i="14"/>
  <c r="L288" i="14"/>
  <c r="G289" i="14"/>
  <c r="H289" i="14"/>
  <c r="I289" i="14"/>
  <c r="J289" i="14"/>
  <c r="K289" i="14"/>
  <c r="L289" i="14"/>
  <c r="G290" i="14"/>
  <c r="H290" i="14"/>
  <c r="I290" i="14"/>
  <c r="J290" i="14"/>
  <c r="K290" i="14"/>
  <c r="L290" i="14"/>
  <c r="G291" i="14"/>
  <c r="H291" i="14"/>
  <c r="I291" i="14"/>
  <c r="J291" i="14"/>
  <c r="K291" i="14"/>
  <c r="L291" i="14"/>
  <c r="G292" i="14"/>
  <c r="H292" i="14"/>
  <c r="I292" i="14"/>
  <c r="J292" i="14"/>
  <c r="K292" i="14"/>
  <c r="L292" i="14"/>
  <c r="G293" i="14"/>
  <c r="H293" i="14"/>
  <c r="I293" i="14"/>
  <c r="J293" i="14"/>
  <c r="K293" i="14"/>
  <c r="L293" i="14"/>
  <c r="G294" i="14"/>
  <c r="H294" i="14"/>
  <c r="I294" i="14"/>
  <c r="J294" i="14"/>
  <c r="K294" i="14"/>
  <c r="L294" i="14"/>
  <c r="G295" i="14"/>
  <c r="H295" i="14"/>
  <c r="I295" i="14"/>
  <c r="J295" i="14"/>
  <c r="K295" i="14"/>
  <c r="L295" i="14"/>
  <c r="G296" i="14"/>
  <c r="H296" i="14"/>
  <c r="I296" i="14"/>
  <c r="J296" i="14"/>
  <c r="K296" i="14"/>
  <c r="L296" i="14"/>
  <c r="G297" i="14"/>
  <c r="H297" i="14"/>
  <c r="I297" i="14"/>
  <c r="J297" i="14"/>
  <c r="K297" i="14"/>
  <c r="L297" i="14"/>
  <c r="G298" i="14"/>
  <c r="H298" i="14"/>
  <c r="I298" i="14"/>
  <c r="J298" i="14"/>
  <c r="K298" i="14"/>
  <c r="L298" i="14"/>
  <c r="G299" i="14"/>
  <c r="H299" i="14"/>
  <c r="I299" i="14"/>
  <c r="J299" i="14"/>
  <c r="K299" i="14"/>
  <c r="L299" i="14"/>
  <c r="G300" i="14"/>
  <c r="H300" i="14"/>
  <c r="I300" i="14"/>
  <c r="J300" i="14"/>
  <c r="K300" i="14"/>
  <c r="L300" i="14"/>
  <c r="G301" i="14"/>
  <c r="H301" i="14"/>
  <c r="I301" i="14"/>
  <c r="J301" i="14"/>
  <c r="K301" i="14"/>
  <c r="L301" i="14"/>
  <c r="G302" i="14"/>
  <c r="H302" i="14"/>
  <c r="I302" i="14"/>
  <c r="J302" i="14"/>
  <c r="K302" i="14"/>
  <c r="L302" i="14"/>
  <c r="G303" i="14"/>
  <c r="H303" i="14"/>
  <c r="I303" i="14"/>
  <c r="J303" i="14"/>
  <c r="K303" i="14"/>
  <c r="L303" i="14"/>
  <c r="G304" i="14"/>
  <c r="H304" i="14"/>
  <c r="I304" i="14"/>
  <c r="J304" i="14"/>
  <c r="K304" i="14"/>
  <c r="L304" i="14"/>
  <c r="G305" i="14"/>
  <c r="H305" i="14"/>
  <c r="I305" i="14"/>
  <c r="J305" i="14"/>
  <c r="K305" i="14"/>
  <c r="L305" i="14"/>
  <c r="G306" i="14"/>
  <c r="H306" i="14"/>
  <c r="I306" i="14"/>
  <c r="J306" i="14"/>
  <c r="K306" i="14"/>
  <c r="L306" i="14"/>
  <c r="G307" i="14"/>
  <c r="H307" i="14"/>
  <c r="I307" i="14"/>
  <c r="J307" i="14"/>
  <c r="K307" i="14"/>
  <c r="L307" i="14"/>
  <c r="G308" i="14"/>
  <c r="H308" i="14"/>
  <c r="I308" i="14"/>
  <c r="J308" i="14"/>
  <c r="K308" i="14"/>
  <c r="L308" i="14"/>
  <c r="G309" i="14"/>
  <c r="H309" i="14"/>
  <c r="I309" i="14"/>
  <c r="J309" i="14"/>
  <c r="K309" i="14"/>
  <c r="L309" i="14"/>
  <c r="G310" i="14"/>
  <c r="H310" i="14"/>
  <c r="I310" i="14"/>
  <c r="J310" i="14"/>
  <c r="K310" i="14"/>
  <c r="L310" i="14"/>
  <c r="G311" i="14"/>
  <c r="H311" i="14"/>
  <c r="I311" i="14"/>
  <c r="J311" i="14"/>
  <c r="K311" i="14"/>
  <c r="L311" i="14"/>
  <c r="G312" i="14"/>
  <c r="H312" i="14"/>
  <c r="I312" i="14"/>
  <c r="J312" i="14"/>
  <c r="K312" i="14"/>
  <c r="L312" i="14"/>
  <c r="G313" i="14"/>
  <c r="H313" i="14"/>
  <c r="I313" i="14"/>
  <c r="J313" i="14"/>
  <c r="K313" i="14"/>
  <c r="L313" i="14"/>
  <c r="G314" i="14"/>
  <c r="H314" i="14"/>
  <c r="I314" i="14"/>
  <c r="J314" i="14"/>
  <c r="K314" i="14"/>
  <c r="L314" i="14"/>
  <c r="G315" i="14"/>
  <c r="H315" i="14"/>
  <c r="I315" i="14"/>
  <c r="J315" i="14"/>
  <c r="K315" i="14"/>
  <c r="L315" i="14"/>
  <c r="G316" i="14"/>
  <c r="H316" i="14"/>
  <c r="I316" i="14"/>
  <c r="J316" i="14"/>
  <c r="K316" i="14"/>
  <c r="L316" i="14"/>
  <c r="G317" i="14"/>
  <c r="H317" i="14"/>
  <c r="I317" i="14"/>
  <c r="J317" i="14"/>
  <c r="K317" i="14"/>
  <c r="L317" i="14"/>
  <c r="G318" i="14"/>
  <c r="H318" i="14"/>
  <c r="I318" i="14"/>
  <c r="J318" i="14"/>
  <c r="K318" i="14"/>
  <c r="L318" i="14"/>
  <c r="G319" i="14"/>
  <c r="H319" i="14"/>
  <c r="I319" i="14"/>
  <c r="J319" i="14"/>
  <c r="K319" i="14"/>
  <c r="L319" i="14"/>
  <c r="G320" i="14"/>
  <c r="H320" i="14"/>
  <c r="I320" i="14"/>
  <c r="J320" i="14"/>
  <c r="K320" i="14"/>
  <c r="L320" i="14"/>
  <c r="G321" i="14"/>
  <c r="H321" i="14"/>
  <c r="I321" i="14"/>
  <c r="J321" i="14"/>
  <c r="K321" i="14"/>
  <c r="L321" i="14"/>
  <c r="G322" i="14"/>
  <c r="H322" i="14"/>
  <c r="I322" i="14"/>
  <c r="J322" i="14"/>
  <c r="K322" i="14"/>
  <c r="L322" i="14"/>
  <c r="G323" i="14"/>
  <c r="H323" i="14"/>
  <c r="I323" i="14"/>
  <c r="J323" i="14"/>
  <c r="K323" i="14"/>
  <c r="L323" i="14"/>
  <c r="G324" i="14"/>
  <c r="H324" i="14"/>
  <c r="I324" i="14"/>
  <c r="J324" i="14"/>
  <c r="K324" i="14"/>
  <c r="L324" i="14"/>
  <c r="G325" i="14"/>
  <c r="H325" i="14"/>
  <c r="I325" i="14"/>
  <c r="J325" i="14"/>
  <c r="K325" i="14"/>
  <c r="L325" i="14"/>
  <c r="G326" i="14"/>
  <c r="H326" i="14"/>
  <c r="I326" i="14"/>
  <c r="J326" i="14"/>
  <c r="K326" i="14"/>
  <c r="L326" i="14"/>
  <c r="G327" i="14"/>
  <c r="H327" i="14"/>
  <c r="I327" i="14"/>
  <c r="J327" i="14"/>
  <c r="K327" i="14"/>
  <c r="L327" i="14"/>
  <c r="G328" i="14"/>
  <c r="H328" i="14"/>
  <c r="I328" i="14"/>
  <c r="J328" i="14"/>
  <c r="K328" i="14"/>
  <c r="L328" i="14"/>
  <c r="G329" i="14"/>
  <c r="H329" i="14"/>
  <c r="I329" i="14"/>
  <c r="J329" i="14"/>
  <c r="K329" i="14"/>
  <c r="L329" i="14"/>
  <c r="G330" i="14"/>
  <c r="H330" i="14"/>
  <c r="I330" i="14"/>
  <c r="J330" i="14"/>
  <c r="K330" i="14"/>
  <c r="L330" i="14"/>
  <c r="G331" i="14"/>
  <c r="H331" i="14"/>
  <c r="I331" i="14"/>
  <c r="J331" i="14"/>
  <c r="K331" i="14"/>
  <c r="L331" i="14"/>
  <c r="G332" i="14"/>
  <c r="H332" i="14"/>
  <c r="I332" i="14"/>
  <c r="J332" i="14"/>
  <c r="K332" i="14"/>
  <c r="L332" i="14"/>
  <c r="G333" i="14"/>
  <c r="H333" i="14"/>
  <c r="I333" i="14"/>
  <c r="J333" i="14"/>
  <c r="K333" i="14"/>
  <c r="L333" i="14"/>
  <c r="G334" i="14"/>
  <c r="H334" i="14"/>
  <c r="I334" i="14"/>
  <c r="J334" i="14"/>
  <c r="K334" i="14"/>
  <c r="L334" i="14"/>
  <c r="G335" i="14"/>
  <c r="H335" i="14"/>
  <c r="I335" i="14"/>
  <c r="J335" i="14"/>
  <c r="K335" i="14"/>
  <c r="L335" i="14"/>
  <c r="G336" i="14"/>
  <c r="H336" i="14"/>
  <c r="I336" i="14"/>
  <c r="J336" i="14"/>
  <c r="K336" i="14"/>
  <c r="L336" i="14"/>
  <c r="G337" i="14"/>
  <c r="H337" i="14"/>
  <c r="I337" i="14"/>
  <c r="J337" i="14"/>
  <c r="K337" i="14"/>
  <c r="L337" i="14"/>
  <c r="G338" i="14"/>
  <c r="H338" i="14"/>
  <c r="I338" i="14"/>
  <c r="J338" i="14"/>
  <c r="K338" i="14"/>
  <c r="L338" i="14"/>
  <c r="G339" i="14"/>
  <c r="H339" i="14"/>
  <c r="I339" i="14"/>
  <c r="J339" i="14"/>
  <c r="K339" i="14"/>
  <c r="L339" i="14"/>
  <c r="G340" i="14"/>
  <c r="H340" i="14"/>
  <c r="I340" i="14"/>
  <c r="J340" i="14"/>
  <c r="K340" i="14"/>
  <c r="L340" i="14"/>
  <c r="G341" i="14"/>
  <c r="H341" i="14"/>
  <c r="I341" i="14"/>
  <c r="J341" i="14"/>
  <c r="K341" i="14"/>
  <c r="L341" i="14"/>
  <c r="G342" i="14"/>
  <c r="H342" i="14"/>
  <c r="I342" i="14"/>
  <c r="J342" i="14"/>
  <c r="K342" i="14"/>
  <c r="L342" i="14"/>
  <c r="G343" i="14"/>
  <c r="H343" i="14"/>
  <c r="I343" i="14"/>
  <c r="J343" i="14"/>
  <c r="K343" i="14"/>
  <c r="L343" i="14"/>
  <c r="G344" i="14"/>
  <c r="H344" i="14"/>
  <c r="I344" i="14"/>
  <c r="J344" i="14"/>
  <c r="K344" i="14"/>
  <c r="L344" i="14"/>
  <c r="G345" i="14"/>
  <c r="H345" i="14"/>
  <c r="I345" i="14"/>
  <c r="J345" i="14"/>
  <c r="K345" i="14"/>
  <c r="L345" i="14"/>
  <c r="G346" i="14"/>
  <c r="H346" i="14"/>
  <c r="I346" i="14"/>
  <c r="J346" i="14"/>
  <c r="K346" i="14"/>
  <c r="L346" i="14"/>
  <c r="G347" i="14"/>
  <c r="H347" i="14"/>
  <c r="I347" i="14"/>
  <c r="J347" i="14"/>
  <c r="K347" i="14"/>
  <c r="L347" i="14"/>
  <c r="G348" i="14"/>
  <c r="H348" i="14"/>
  <c r="I348" i="14"/>
  <c r="J348" i="14"/>
  <c r="K348" i="14"/>
  <c r="L348" i="14"/>
  <c r="G349" i="14"/>
  <c r="H349" i="14"/>
  <c r="I349" i="14"/>
  <c r="J349" i="14"/>
  <c r="K349" i="14"/>
  <c r="L349" i="14"/>
  <c r="G350" i="14"/>
  <c r="H350" i="14"/>
  <c r="I350" i="14"/>
  <c r="J350" i="14"/>
  <c r="K350" i="14"/>
  <c r="L350" i="14"/>
  <c r="G351" i="14"/>
  <c r="H351" i="14"/>
  <c r="I351" i="14"/>
  <c r="J351" i="14"/>
  <c r="K351" i="14"/>
  <c r="L351" i="14"/>
  <c r="G352" i="14"/>
  <c r="H352" i="14"/>
  <c r="I352" i="14"/>
  <c r="J352" i="14"/>
  <c r="K352" i="14"/>
  <c r="L352" i="14"/>
  <c r="G353" i="14"/>
  <c r="H353" i="14"/>
  <c r="I353" i="14"/>
  <c r="J353" i="14"/>
  <c r="K353" i="14"/>
  <c r="L353" i="14"/>
  <c r="G354" i="14"/>
  <c r="H354" i="14"/>
  <c r="I354" i="14"/>
  <c r="J354" i="14"/>
  <c r="K354" i="14"/>
  <c r="L354" i="14"/>
  <c r="G355" i="14"/>
  <c r="H355" i="14"/>
  <c r="I355" i="14"/>
  <c r="J355" i="14"/>
  <c r="K355" i="14"/>
  <c r="L355" i="14"/>
  <c r="G356" i="14"/>
  <c r="H356" i="14"/>
  <c r="I356" i="14"/>
  <c r="J356" i="14"/>
  <c r="K356" i="14"/>
  <c r="L356" i="14"/>
  <c r="G357" i="14"/>
  <c r="H357" i="14"/>
  <c r="I357" i="14"/>
  <c r="J357" i="14"/>
  <c r="K357" i="14"/>
  <c r="L357" i="14"/>
  <c r="G358" i="14"/>
  <c r="H358" i="14"/>
  <c r="I358" i="14"/>
  <c r="J358" i="14"/>
  <c r="K358" i="14"/>
  <c r="L358" i="14"/>
  <c r="G359" i="14"/>
  <c r="H359" i="14"/>
  <c r="I359" i="14"/>
  <c r="J359" i="14"/>
  <c r="K359" i="14"/>
  <c r="L359" i="14"/>
  <c r="G360" i="14"/>
  <c r="H360" i="14"/>
  <c r="I360" i="14"/>
  <c r="J360" i="14"/>
  <c r="K360" i="14"/>
  <c r="L360" i="14"/>
  <c r="G361" i="14"/>
  <c r="H361" i="14"/>
  <c r="I361" i="14"/>
  <c r="J361" i="14"/>
  <c r="K361" i="14"/>
  <c r="L361" i="14"/>
  <c r="G362" i="14"/>
  <c r="H362" i="14"/>
  <c r="I362" i="14"/>
  <c r="J362" i="14"/>
  <c r="K362" i="14"/>
  <c r="L362" i="14"/>
  <c r="G363" i="14"/>
  <c r="H363" i="14"/>
  <c r="I363" i="14"/>
  <c r="J363" i="14"/>
  <c r="K363" i="14"/>
  <c r="L363" i="14"/>
  <c r="G364" i="14"/>
  <c r="H364" i="14"/>
  <c r="I364" i="14"/>
  <c r="J364" i="14"/>
  <c r="K364" i="14"/>
  <c r="L364" i="14"/>
  <c r="G365" i="14"/>
  <c r="H365" i="14"/>
  <c r="I365" i="14"/>
  <c r="J365" i="14"/>
  <c r="K365" i="14"/>
  <c r="L365" i="14"/>
  <c r="G366" i="14"/>
  <c r="H366" i="14"/>
  <c r="I366" i="14"/>
  <c r="J366" i="14"/>
  <c r="K366" i="14"/>
  <c r="L366" i="14"/>
  <c r="G367" i="14"/>
  <c r="H367" i="14"/>
  <c r="I367" i="14"/>
  <c r="J367" i="14"/>
  <c r="K367" i="14"/>
  <c r="L367" i="14"/>
  <c r="G368" i="14"/>
  <c r="H368" i="14"/>
  <c r="I368" i="14"/>
  <c r="J368" i="14"/>
  <c r="K368" i="14"/>
  <c r="L368" i="14"/>
  <c r="G369" i="14"/>
  <c r="H369" i="14"/>
  <c r="I369" i="14"/>
  <c r="J369" i="14"/>
  <c r="K369" i="14"/>
  <c r="L369" i="14"/>
  <c r="G370" i="14"/>
  <c r="H370" i="14"/>
  <c r="I370" i="14"/>
  <c r="J370" i="14"/>
  <c r="K370" i="14"/>
  <c r="L370" i="14"/>
  <c r="G371" i="14"/>
  <c r="H371" i="14"/>
  <c r="I371" i="14"/>
  <c r="J371" i="14"/>
  <c r="K371" i="14"/>
  <c r="L371" i="14"/>
  <c r="G372" i="14"/>
  <c r="H372" i="14"/>
  <c r="I372" i="14"/>
  <c r="J372" i="14"/>
  <c r="K372" i="14"/>
  <c r="L372" i="14"/>
  <c r="G373" i="14"/>
  <c r="H373" i="14"/>
  <c r="I373" i="14"/>
  <c r="J373" i="14"/>
  <c r="K373" i="14"/>
  <c r="L373" i="14"/>
  <c r="G374" i="14"/>
  <c r="H374" i="14"/>
  <c r="I374" i="14"/>
  <c r="J374" i="14"/>
  <c r="K374" i="14"/>
  <c r="L374" i="14"/>
  <c r="G375" i="14"/>
  <c r="H375" i="14"/>
  <c r="I375" i="14"/>
  <c r="J375" i="14"/>
  <c r="K375" i="14"/>
  <c r="L375" i="14"/>
  <c r="G376" i="14"/>
  <c r="H376" i="14"/>
  <c r="I376" i="14"/>
  <c r="J376" i="14"/>
  <c r="K376" i="14"/>
  <c r="L376" i="14"/>
  <c r="G377" i="14"/>
  <c r="H377" i="14"/>
  <c r="I377" i="14"/>
  <c r="J377" i="14"/>
  <c r="K377" i="14"/>
  <c r="L377" i="14"/>
  <c r="G378" i="14"/>
  <c r="H378" i="14"/>
  <c r="I378" i="14"/>
  <c r="J378" i="14"/>
  <c r="K378" i="14"/>
  <c r="L378" i="14"/>
  <c r="G379" i="14"/>
  <c r="H379" i="14"/>
  <c r="I379" i="14"/>
  <c r="J379" i="14"/>
  <c r="K379" i="14"/>
  <c r="L379" i="14"/>
  <c r="G380" i="14"/>
  <c r="H380" i="14"/>
  <c r="I380" i="14"/>
  <c r="J380" i="14"/>
  <c r="K380" i="14"/>
  <c r="L380" i="14"/>
  <c r="G381" i="14"/>
  <c r="H381" i="14"/>
  <c r="I381" i="14"/>
  <c r="J381" i="14"/>
  <c r="K381" i="14"/>
  <c r="L381" i="14"/>
  <c r="G382" i="14"/>
  <c r="H382" i="14"/>
  <c r="I382" i="14"/>
  <c r="J382" i="14"/>
  <c r="K382" i="14"/>
  <c r="L382" i="14"/>
  <c r="G383" i="14"/>
  <c r="H383" i="14"/>
  <c r="I383" i="14"/>
  <c r="J383" i="14"/>
  <c r="K383" i="14"/>
  <c r="L383" i="14"/>
  <c r="G384" i="14"/>
  <c r="H384" i="14"/>
  <c r="I384" i="14"/>
  <c r="J384" i="14"/>
  <c r="K384" i="14"/>
  <c r="L384" i="14"/>
  <c r="G385" i="14"/>
  <c r="H385" i="14"/>
  <c r="I385" i="14"/>
  <c r="J385" i="14"/>
  <c r="K385" i="14"/>
  <c r="L385" i="14"/>
  <c r="G386" i="14"/>
  <c r="H386" i="14"/>
  <c r="I386" i="14"/>
  <c r="J386" i="14"/>
  <c r="K386" i="14"/>
  <c r="L386" i="14"/>
  <c r="G387" i="14"/>
  <c r="H387" i="14"/>
  <c r="I387" i="14"/>
  <c r="J387" i="14"/>
  <c r="K387" i="14"/>
  <c r="L387" i="14"/>
  <c r="G388" i="14"/>
  <c r="H388" i="14"/>
  <c r="I388" i="14"/>
  <c r="J388" i="14"/>
  <c r="K388" i="14"/>
  <c r="L388" i="14"/>
  <c r="G389" i="14"/>
  <c r="H389" i="14"/>
  <c r="I389" i="14"/>
  <c r="J389" i="14"/>
  <c r="K389" i="14"/>
  <c r="L389" i="14"/>
  <c r="G390" i="14"/>
  <c r="H390" i="14"/>
  <c r="I390" i="14"/>
  <c r="J390" i="14"/>
  <c r="K390" i="14"/>
  <c r="L390" i="14"/>
  <c r="G391" i="14"/>
  <c r="H391" i="14"/>
  <c r="I391" i="14"/>
  <c r="J391" i="14"/>
  <c r="K391" i="14"/>
  <c r="L391" i="14"/>
  <c r="G392" i="14"/>
  <c r="H392" i="14"/>
  <c r="I392" i="14"/>
  <c r="J392" i="14"/>
  <c r="K392" i="14"/>
  <c r="L392" i="14"/>
  <c r="G393" i="14"/>
  <c r="H393" i="14"/>
  <c r="I393" i="14"/>
  <c r="J393" i="14"/>
  <c r="K393" i="14"/>
  <c r="L393" i="14"/>
  <c r="G394" i="14"/>
  <c r="H394" i="14"/>
  <c r="I394" i="14"/>
  <c r="J394" i="14"/>
  <c r="K394" i="14"/>
  <c r="L394" i="14"/>
  <c r="G395" i="14"/>
  <c r="H395" i="14"/>
  <c r="I395" i="14"/>
  <c r="J395" i="14"/>
  <c r="K395" i="14"/>
  <c r="L395" i="14"/>
  <c r="G396" i="14"/>
  <c r="H396" i="14"/>
  <c r="I396" i="14"/>
  <c r="J396" i="14"/>
  <c r="K396" i="14"/>
  <c r="L396" i="14"/>
  <c r="G397" i="14"/>
  <c r="H397" i="14"/>
  <c r="I397" i="14"/>
  <c r="J397" i="14"/>
  <c r="K397" i="14"/>
  <c r="L397" i="14"/>
  <c r="G398" i="14"/>
  <c r="H398" i="14"/>
  <c r="I398" i="14"/>
  <c r="J398" i="14"/>
  <c r="K398" i="14"/>
  <c r="L398" i="14"/>
  <c r="G399" i="14"/>
  <c r="H399" i="14"/>
  <c r="I399" i="14"/>
  <c r="J399" i="14"/>
  <c r="K399" i="14"/>
  <c r="L399" i="14"/>
  <c r="G400" i="14"/>
  <c r="H400" i="14"/>
  <c r="I400" i="14"/>
  <c r="J400" i="14"/>
  <c r="K400" i="14"/>
  <c r="L400" i="14"/>
  <c r="G401" i="14"/>
  <c r="H401" i="14"/>
  <c r="I401" i="14"/>
  <c r="J401" i="14"/>
  <c r="K401" i="14"/>
  <c r="L401" i="14"/>
  <c r="G402" i="14"/>
  <c r="H402" i="14"/>
  <c r="I402" i="14"/>
  <c r="J402" i="14"/>
  <c r="K402" i="14"/>
  <c r="L402" i="14"/>
  <c r="G403" i="14"/>
  <c r="H403" i="14"/>
  <c r="I403" i="14"/>
  <c r="J403" i="14"/>
  <c r="K403" i="14"/>
  <c r="L403" i="14"/>
  <c r="G404" i="14"/>
  <c r="H404" i="14"/>
  <c r="I404" i="14"/>
  <c r="J404" i="14"/>
  <c r="K404" i="14"/>
  <c r="L404" i="14"/>
  <c r="G405" i="14"/>
  <c r="H405" i="14"/>
  <c r="I405" i="14"/>
  <c r="J405" i="14"/>
  <c r="K405" i="14"/>
  <c r="L405" i="14"/>
  <c r="G406" i="14"/>
  <c r="H406" i="14"/>
  <c r="I406" i="14"/>
  <c r="J406" i="14"/>
  <c r="K406" i="14"/>
  <c r="L406" i="14"/>
  <c r="G407" i="14"/>
  <c r="H407" i="14"/>
  <c r="I407" i="14"/>
  <c r="J407" i="14"/>
  <c r="K407" i="14"/>
  <c r="L407" i="14"/>
  <c r="G408" i="14"/>
  <c r="H408" i="14"/>
  <c r="I408" i="14"/>
  <c r="J408" i="14"/>
  <c r="K408" i="14"/>
  <c r="L408" i="14"/>
  <c r="G409" i="14"/>
  <c r="H409" i="14"/>
  <c r="I409" i="14"/>
  <c r="J409" i="14"/>
  <c r="K409" i="14"/>
  <c r="L409" i="14"/>
  <c r="G410" i="14"/>
  <c r="H410" i="14"/>
  <c r="I410" i="14"/>
  <c r="J410" i="14"/>
  <c r="K410" i="14"/>
  <c r="L410" i="14"/>
  <c r="G411" i="14"/>
  <c r="H411" i="14"/>
  <c r="I411" i="14"/>
  <c r="J411" i="14"/>
  <c r="K411" i="14"/>
  <c r="L411" i="14"/>
  <c r="G412" i="14"/>
  <c r="H412" i="14"/>
  <c r="I412" i="14"/>
  <c r="J412" i="14"/>
  <c r="K412" i="14"/>
  <c r="L412" i="14"/>
  <c r="G413" i="14"/>
  <c r="H413" i="14"/>
  <c r="I413" i="14"/>
  <c r="J413" i="14"/>
  <c r="K413" i="14"/>
  <c r="L413" i="14"/>
  <c r="G414" i="14"/>
  <c r="H414" i="14"/>
  <c r="I414" i="14"/>
  <c r="J414" i="14"/>
  <c r="K414" i="14"/>
  <c r="L414" i="14"/>
  <c r="G415" i="14"/>
  <c r="H415" i="14"/>
  <c r="I415" i="14"/>
  <c r="J415" i="14"/>
  <c r="K415" i="14"/>
  <c r="L415" i="14"/>
  <c r="G416" i="14"/>
  <c r="H416" i="14"/>
  <c r="I416" i="14"/>
  <c r="J416" i="14"/>
  <c r="K416" i="14"/>
  <c r="L416" i="14"/>
  <c r="G417" i="14"/>
  <c r="H417" i="14"/>
  <c r="I417" i="14"/>
  <c r="J417" i="14"/>
  <c r="K417" i="14"/>
  <c r="L417" i="14"/>
  <c r="G418" i="14"/>
  <c r="H418" i="14"/>
  <c r="I418" i="14"/>
  <c r="J418" i="14"/>
  <c r="K418" i="14"/>
  <c r="L418" i="14"/>
  <c r="G419" i="14"/>
  <c r="H419" i="14"/>
  <c r="I419" i="14"/>
  <c r="J419" i="14"/>
  <c r="K419" i="14"/>
  <c r="L419" i="14"/>
  <c r="G420" i="14"/>
  <c r="H420" i="14"/>
  <c r="I420" i="14"/>
  <c r="J420" i="14"/>
  <c r="K420" i="14"/>
  <c r="L420" i="14"/>
  <c r="G421" i="14"/>
  <c r="H421" i="14"/>
  <c r="I421" i="14"/>
  <c r="J421" i="14"/>
  <c r="K421" i="14"/>
  <c r="L421" i="14"/>
  <c r="G422" i="14"/>
  <c r="H422" i="14"/>
  <c r="I422" i="14"/>
  <c r="J422" i="14"/>
  <c r="K422" i="14"/>
  <c r="L422" i="14"/>
  <c r="G423" i="14"/>
  <c r="H423" i="14"/>
  <c r="I423" i="14"/>
  <c r="J423" i="14"/>
  <c r="K423" i="14"/>
  <c r="L423" i="14"/>
  <c r="G424" i="14"/>
  <c r="H424" i="14"/>
  <c r="I424" i="14"/>
  <c r="J424" i="14"/>
  <c r="K424" i="14"/>
  <c r="L424" i="14"/>
  <c r="G425" i="14"/>
  <c r="H425" i="14"/>
  <c r="I425" i="14"/>
  <c r="J425" i="14"/>
  <c r="K425" i="14"/>
  <c r="L425" i="14"/>
  <c r="G426" i="14"/>
  <c r="H426" i="14"/>
  <c r="I426" i="14"/>
  <c r="J426" i="14"/>
  <c r="K426" i="14"/>
  <c r="L426" i="14"/>
  <c r="G427" i="14"/>
  <c r="H427" i="14"/>
  <c r="I427" i="14"/>
  <c r="J427" i="14"/>
  <c r="K427" i="14"/>
  <c r="L427" i="14"/>
  <c r="G428" i="14"/>
  <c r="H428" i="14"/>
  <c r="I428" i="14"/>
  <c r="J428" i="14"/>
  <c r="K428" i="14"/>
  <c r="L428" i="14"/>
  <c r="G429" i="14"/>
  <c r="H429" i="14"/>
  <c r="I429" i="14"/>
  <c r="J429" i="14"/>
  <c r="K429" i="14"/>
  <c r="L429" i="14"/>
  <c r="G430" i="14"/>
  <c r="H430" i="14"/>
  <c r="I430" i="14"/>
  <c r="J430" i="14"/>
  <c r="K430" i="14"/>
  <c r="L430" i="14"/>
  <c r="G431" i="14"/>
  <c r="H431" i="14"/>
  <c r="I431" i="14"/>
  <c r="J431" i="14"/>
  <c r="K431" i="14"/>
  <c r="L431" i="14"/>
  <c r="G432" i="14"/>
  <c r="H432" i="14"/>
  <c r="I432" i="14"/>
  <c r="J432" i="14"/>
  <c r="K432" i="14"/>
  <c r="L432" i="14"/>
  <c r="G433" i="14"/>
  <c r="H433" i="14"/>
  <c r="I433" i="14"/>
  <c r="J433" i="14"/>
  <c r="K433" i="14"/>
  <c r="L433" i="14"/>
  <c r="G434" i="14"/>
  <c r="H434" i="14"/>
  <c r="I434" i="14"/>
  <c r="J434" i="14"/>
  <c r="K434" i="14"/>
  <c r="L434" i="14"/>
  <c r="G435" i="14"/>
  <c r="H435" i="14"/>
  <c r="I435" i="14"/>
  <c r="J435" i="14"/>
  <c r="K435" i="14"/>
  <c r="L435" i="14"/>
  <c r="G436" i="14"/>
  <c r="H436" i="14"/>
  <c r="I436" i="14"/>
  <c r="J436" i="14"/>
  <c r="K436" i="14"/>
  <c r="L436" i="14"/>
  <c r="G437" i="14"/>
  <c r="H437" i="14"/>
  <c r="I437" i="14"/>
  <c r="J437" i="14"/>
  <c r="K437" i="14"/>
  <c r="L437" i="14"/>
  <c r="G438" i="14"/>
  <c r="H438" i="14"/>
  <c r="I438" i="14"/>
  <c r="J438" i="14"/>
  <c r="K438" i="14"/>
  <c r="L438" i="14"/>
  <c r="G439" i="14"/>
  <c r="H439" i="14"/>
  <c r="I439" i="14"/>
  <c r="J439" i="14"/>
  <c r="K439" i="14"/>
  <c r="L439" i="14"/>
  <c r="G440" i="14"/>
  <c r="H440" i="14"/>
  <c r="I440" i="14"/>
  <c r="J440" i="14"/>
  <c r="K440" i="14"/>
  <c r="L440" i="14"/>
  <c r="G441" i="14"/>
  <c r="H441" i="14"/>
  <c r="I441" i="14"/>
  <c r="J441" i="14"/>
  <c r="K441" i="14"/>
  <c r="L441" i="14"/>
  <c r="G442" i="14"/>
  <c r="H442" i="14"/>
  <c r="I442" i="14"/>
  <c r="J442" i="14"/>
  <c r="K442" i="14"/>
  <c r="L442" i="14"/>
  <c r="G443" i="14"/>
  <c r="H443" i="14"/>
  <c r="I443" i="14"/>
  <c r="J443" i="14"/>
  <c r="K443" i="14"/>
  <c r="L443" i="14"/>
  <c r="G444" i="14"/>
  <c r="H444" i="14"/>
  <c r="I444" i="14"/>
  <c r="J444" i="14"/>
  <c r="K444" i="14"/>
  <c r="L444" i="14"/>
  <c r="G445" i="14"/>
  <c r="H445" i="14"/>
  <c r="I445" i="14"/>
  <c r="J445" i="14"/>
  <c r="K445" i="14"/>
  <c r="L445" i="14"/>
  <c r="G446" i="14"/>
  <c r="H446" i="14"/>
  <c r="I446" i="14"/>
  <c r="J446" i="14"/>
  <c r="K446" i="14"/>
  <c r="L446" i="14"/>
  <c r="G447" i="14"/>
  <c r="H447" i="14"/>
  <c r="I447" i="14"/>
  <c r="J447" i="14"/>
  <c r="K447" i="14"/>
  <c r="L447" i="14"/>
  <c r="G448" i="14"/>
  <c r="H448" i="14"/>
  <c r="I448" i="14"/>
  <c r="J448" i="14"/>
  <c r="K448" i="14"/>
  <c r="L448" i="14"/>
  <c r="G449" i="14"/>
  <c r="H449" i="14"/>
  <c r="I449" i="14"/>
  <c r="J449" i="14"/>
  <c r="K449" i="14"/>
  <c r="L449" i="14"/>
  <c r="G450" i="14"/>
  <c r="H450" i="14"/>
  <c r="I450" i="14"/>
  <c r="J450" i="14"/>
  <c r="K450" i="14"/>
  <c r="L450" i="14"/>
  <c r="G451" i="14"/>
  <c r="H451" i="14"/>
  <c r="I451" i="14"/>
  <c r="J451" i="14"/>
  <c r="K451" i="14"/>
  <c r="L451" i="14"/>
  <c r="G452" i="14"/>
  <c r="H452" i="14"/>
  <c r="I452" i="14"/>
  <c r="J452" i="14"/>
  <c r="K452" i="14"/>
  <c r="L452" i="14"/>
  <c r="G453" i="14"/>
  <c r="H453" i="14"/>
  <c r="I453" i="14"/>
  <c r="J453" i="14"/>
  <c r="K453" i="14"/>
  <c r="L453" i="14"/>
  <c r="G454" i="14"/>
  <c r="H454" i="14"/>
  <c r="I454" i="14"/>
  <c r="J454" i="14"/>
  <c r="K454" i="14"/>
  <c r="L454" i="14"/>
  <c r="G455" i="14"/>
  <c r="H455" i="14"/>
  <c r="I455" i="14"/>
  <c r="J455" i="14"/>
  <c r="K455" i="14"/>
  <c r="L455" i="14"/>
  <c r="G456" i="14"/>
  <c r="H456" i="14"/>
  <c r="I456" i="14"/>
  <c r="J456" i="14"/>
  <c r="K456" i="14"/>
  <c r="L456" i="14"/>
  <c r="G457" i="14"/>
  <c r="H457" i="14"/>
  <c r="I457" i="14"/>
  <c r="J457" i="14"/>
  <c r="K457" i="14"/>
  <c r="L457" i="14"/>
  <c r="G458" i="14"/>
  <c r="H458" i="14"/>
  <c r="I458" i="14"/>
  <c r="J458" i="14"/>
  <c r="K458" i="14"/>
  <c r="L458" i="14"/>
  <c r="G459" i="14"/>
  <c r="H459" i="14"/>
  <c r="I459" i="14"/>
  <c r="J459" i="14"/>
  <c r="K459" i="14"/>
  <c r="L459" i="14"/>
  <c r="G460" i="14"/>
  <c r="H460" i="14"/>
  <c r="I460" i="14"/>
  <c r="J460" i="14"/>
  <c r="K460" i="14"/>
  <c r="L460" i="14"/>
  <c r="G461" i="14"/>
  <c r="H461" i="14"/>
  <c r="I461" i="14"/>
  <c r="J461" i="14"/>
  <c r="K461" i="14"/>
  <c r="L461" i="14"/>
  <c r="G462" i="14"/>
  <c r="H462" i="14"/>
  <c r="I462" i="14"/>
  <c r="J462" i="14"/>
  <c r="K462" i="14"/>
  <c r="L462" i="14"/>
  <c r="G463" i="14"/>
  <c r="H463" i="14"/>
  <c r="I463" i="14"/>
  <c r="J463" i="14"/>
  <c r="K463" i="14"/>
  <c r="L463" i="14"/>
  <c r="G464" i="14"/>
  <c r="H464" i="14"/>
  <c r="I464" i="14"/>
  <c r="J464" i="14"/>
  <c r="K464" i="14"/>
  <c r="L464" i="14"/>
  <c r="G465" i="14"/>
  <c r="H465" i="14"/>
  <c r="I465" i="14"/>
  <c r="J465" i="14"/>
  <c r="K465" i="14"/>
  <c r="L465" i="14"/>
  <c r="G466" i="14"/>
  <c r="H466" i="14"/>
  <c r="I466" i="14"/>
  <c r="J466" i="14"/>
  <c r="K466" i="14"/>
  <c r="L466" i="14"/>
  <c r="G467" i="14"/>
  <c r="H467" i="14"/>
  <c r="I467" i="14"/>
  <c r="J467" i="14"/>
  <c r="K467" i="14"/>
  <c r="L467" i="14"/>
  <c r="G468" i="14"/>
  <c r="H468" i="14"/>
  <c r="I468" i="14"/>
  <c r="J468" i="14"/>
  <c r="K468" i="14"/>
  <c r="L468" i="14"/>
  <c r="G469" i="14"/>
  <c r="H469" i="14"/>
  <c r="I469" i="14"/>
  <c r="J469" i="14"/>
  <c r="K469" i="14"/>
  <c r="L469" i="14"/>
  <c r="G470" i="14"/>
  <c r="H470" i="14"/>
  <c r="I470" i="14"/>
  <c r="J470" i="14"/>
  <c r="K470" i="14"/>
  <c r="L470" i="14"/>
  <c r="G471" i="14"/>
  <c r="H471" i="14"/>
  <c r="I471" i="14"/>
  <c r="J471" i="14"/>
  <c r="K471" i="14"/>
  <c r="L471" i="14"/>
  <c r="G472" i="14"/>
  <c r="H472" i="14"/>
  <c r="I472" i="14"/>
  <c r="J472" i="14"/>
  <c r="K472" i="14"/>
  <c r="L472" i="14"/>
  <c r="G473" i="14"/>
  <c r="H473" i="14"/>
  <c r="I473" i="14"/>
  <c r="J473" i="14"/>
  <c r="K473" i="14"/>
  <c r="L473" i="14"/>
  <c r="G474" i="14"/>
  <c r="H474" i="14"/>
  <c r="I474" i="14"/>
  <c r="J474" i="14"/>
  <c r="K474" i="14"/>
  <c r="L474" i="14"/>
  <c r="G475" i="14"/>
  <c r="H475" i="14"/>
  <c r="I475" i="14"/>
  <c r="J475" i="14"/>
  <c r="K475" i="14"/>
  <c r="L475" i="14"/>
  <c r="G476" i="14"/>
  <c r="H476" i="14"/>
  <c r="I476" i="14"/>
  <c r="J476" i="14"/>
  <c r="K476" i="14"/>
  <c r="L476" i="14"/>
  <c r="G477" i="14"/>
  <c r="H477" i="14"/>
  <c r="I477" i="14"/>
  <c r="J477" i="14"/>
  <c r="K477" i="14"/>
  <c r="L477" i="14"/>
  <c r="G478" i="14"/>
  <c r="H478" i="14"/>
  <c r="I478" i="14"/>
  <c r="J478" i="14"/>
  <c r="K478" i="14"/>
  <c r="L478" i="14"/>
  <c r="G479" i="14"/>
  <c r="H479" i="14"/>
  <c r="I479" i="14"/>
  <c r="J479" i="14"/>
  <c r="K479" i="14"/>
  <c r="L479" i="14"/>
  <c r="G480" i="14"/>
  <c r="H480" i="14"/>
  <c r="I480" i="14"/>
  <c r="J480" i="14"/>
  <c r="K480" i="14"/>
  <c r="L480" i="14"/>
  <c r="G481" i="14"/>
  <c r="H481" i="14"/>
  <c r="I481" i="14"/>
  <c r="J481" i="14"/>
  <c r="K481" i="14"/>
  <c r="L481" i="14"/>
  <c r="G482" i="14"/>
  <c r="H482" i="14"/>
  <c r="I482" i="14"/>
  <c r="J482" i="14"/>
  <c r="K482" i="14"/>
  <c r="L482" i="14"/>
  <c r="G483" i="14"/>
  <c r="H483" i="14"/>
  <c r="I483" i="14"/>
  <c r="J483" i="14"/>
  <c r="K483" i="14"/>
  <c r="L483" i="14"/>
  <c r="G484" i="14"/>
  <c r="H484" i="14"/>
  <c r="I484" i="14"/>
  <c r="J484" i="14"/>
  <c r="K484" i="14"/>
  <c r="L484" i="14"/>
  <c r="G485" i="14"/>
  <c r="H485" i="14"/>
  <c r="I485" i="14"/>
  <c r="J485" i="14"/>
  <c r="K485" i="14"/>
  <c r="L485" i="14"/>
  <c r="G486" i="14"/>
  <c r="H486" i="14"/>
  <c r="I486" i="14"/>
  <c r="J486" i="14"/>
  <c r="K486" i="14"/>
  <c r="L486" i="14"/>
  <c r="G487" i="14"/>
  <c r="H487" i="14"/>
  <c r="I487" i="14"/>
  <c r="J487" i="14"/>
  <c r="K487" i="14"/>
  <c r="L487" i="14"/>
  <c r="G488" i="14"/>
  <c r="H488" i="14"/>
  <c r="I488" i="14"/>
  <c r="J488" i="14"/>
  <c r="K488" i="14"/>
  <c r="L488" i="14"/>
  <c r="G489" i="14"/>
  <c r="H489" i="14"/>
  <c r="I489" i="14"/>
  <c r="J489" i="14"/>
  <c r="K489" i="14"/>
  <c r="L489" i="14"/>
  <c r="G490" i="14"/>
  <c r="H490" i="14"/>
  <c r="I490" i="14"/>
  <c r="J490" i="14"/>
  <c r="K490" i="14"/>
  <c r="L490" i="14"/>
  <c r="G491" i="14"/>
  <c r="H491" i="14"/>
  <c r="I491" i="14"/>
  <c r="J491" i="14"/>
  <c r="K491" i="14"/>
  <c r="L491" i="14"/>
  <c r="G492" i="14"/>
  <c r="H492" i="14"/>
  <c r="I492" i="14"/>
  <c r="J492" i="14"/>
  <c r="K492" i="14"/>
  <c r="L492" i="14"/>
  <c r="G493" i="14"/>
  <c r="H493" i="14"/>
  <c r="I493" i="14"/>
  <c r="J493" i="14"/>
  <c r="K493" i="14"/>
  <c r="L493" i="14"/>
  <c r="G494" i="14"/>
  <c r="H494" i="14"/>
  <c r="I494" i="14"/>
  <c r="J494" i="14"/>
  <c r="K494" i="14"/>
  <c r="L494" i="14"/>
  <c r="G495" i="14"/>
  <c r="H495" i="14"/>
  <c r="I495" i="14"/>
  <c r="J495" i="14"/>
  <c r="K495" i="14"/>
  <c r="L495" i="14"/>
  <c r="G496" i="14"/>
  <c r="H496" i="14"/>
  <c r="I496" i="14"/>
  <c r="J496" i="14"/>
  <c r="K496" i="14"/>
  <c r="L496" i="14"/>
  <c r="G497" i="14"/>
  <c r="H497" i="14"/>
  <c r="I497" i="14"/>
  <c r="J497" i="14"/>
  <c r="K497" i="14"/>
  <c r="L497" i="14"/>
  <c r="G498" i="14"/>
  <c r="H498" i="14"/>
  <c r="I498" i="14"/>
  <c r="J498" i="14"/>
  <c r="K498" i="14"/>
  <c r="L498" i="14"/>
  <c r="G499" i="14"/>
  <c r="H499" i="14"/>
  <c r="I499" i="14"/>
  <c r="J499" i="14"/>
  <c r="K499" i="14"/>
  <c r="L499" i="14"/>
  <c r="G500" i="14"/>
  <c r="H500" i="14"/>
  <c r="I500" i="14"/>
  <c r="J500" i="14"/>
  <c r="K500" i="14"/>
  <c r="L500" i="14"/>
  <c r="G501" i="14"/>
  <c r="H501" i="14"/>
  <c r="I501" i="14"/>
  <c r="J501" i="14"/>
  <c r="K501" i="14"/>
  <c r="L501" i="14"/>
  <c r="G502" i="14"/>
  <c r="H502" i="14"/>
  <c r="I502" i="14"/>
  <c r="J502" i="14"/>
  <c r="K502" i="14"/>
  <c r="L502" i="14"/>
  <c r="G503" i="14"/>
  <c r="H503" i="14"/>
  <c r="I503" i="14"/>
  <c r="J503" i="14"/>
  <c r="K503" i="14"/>
  <c r="L503" i="14"/>
  <c r="G504" i="14"/>
  <c r="H504" i="14"/>
  <c r="I504" i="14"/>
  <c r="J504" i="14"/>
  <c r="K504" i="14"/>
  <c r="L504" i="14"/>
  <c r="G505" i="14"/>
  <c r="H505" i="14"/>
  <c r="I505" i="14"/>
  <c r="J505" i="14"/>
  <c r="K505" i="14"/>
  <c r="L505" i="14"/>
  <c r="G506" i="14"/>
  <c r="H506" i="14"/>
  <c r="I506" i="14"/>
  <c r="J506" i="14"/>
  <c r="K506" i="14"/>
  <c r="L506" i="14"/>
  <c r="G507" i="14"/>
  <c r="H507" i="14"/>
  <c r="I507" i="14"/>
  <c r="J507" i="14"/>
  <c r="K507" i="14"/>
  <c r="L507" i="14"/>
  <c r="G508" i="14"/>
  <c r="H508" i="14"/>
  <c r="I508" i="14"/>
  <c r="J508" i="14"/>
  <c r="K508" i="14"/>
  <c r="L508" i="14"/>
  <c r="G509" i="14"/>
  <c r="H509" i="14"/>
  <c r="I509" i="14"/>
  <c r="J509" i="14"/>
  <c r="K509" i="14"/>
  <c r="L509" i="14"/>
  <c r="G510" i="14"/>
  <c r="H510" i="14"/>
  <c r="I510" i="14"/>
  <c r="J510" i="14"/>
  <c r="K510" i="14"/>
  <c r="L510" i="14"/>
  <c r="G511" i="14"/>
  <c r="H511" i="14"/>
  <c r="I511" i="14"/>
  <c r="J511" i="14"/>
  <c r="K511" i="14"/>
  <c r="L511" i="14"/>
  <c r="G512" i="14"/>
  <c r="H512" i="14"/>
  <c r="I512" i="14"/>
  <c r="J512" i="14"/>
  <c r="K512" i="14"/>
  <c r="L512" i="14"/>
  <c r="G513" i="14"/>
  <c r="H513" i="14"/>
  <c r="I513" i="14"/>
  <c r="J513" i="14"/>
  <c r="K513" i="14"/>
  <c r="L513" i="14"/>
  <c r="G514" i="14"/>
  <c r="H514" i="14"/>
  <c r="I514" i="14"/>
  <c r="J514" i="14"/>
  <c r="K514" i="14"/>
  <c r="L514" i="14"/>
  <c r="G515" i="14"/>
  <c r="H515" i="14"/>
  <c r="I515" i="14"/>
  <c r="J515" i="14"/>
  <c r="K515" i="14"/>
  <c r="L515" i="14"/>
  <c r="G516" i="14"/>
  <c r="H516" i="14"/>
  <c r="I516" i="14"/>
  <c r="J516" i="14"/>
  <c r="K516" i="14"/>
  <c r="L516" i="14"/>
  <c r="G517" i="14"/>
  <c r="H517" i="14"/>
  <c r="I517" i="14"/>
  <c r="J517" i="14"/>
  <c r="K517" i="14"/>
  <c r="L517" i="14"/>
  <c r="G518" i="14"/>
  <c r="H518" i="14"/>
  <c r="I518" i="14"/>
  <c r="J518" i="14"/>
  <c r="K518" i="14"/>
  <c r="L518" i="14"/>
  <c r="G519" i="14"/>
  <c r="H519" i="14"/>
  <c r="I519" i="14"/>
  <c r="J519" i="14"/>
  <c r="K519" i="14"/>
  <c r="L519" i="14"/>
  <c r="G520" i="14"/>
  <c r="H520" i="14"/>
  <c r="I520" i="14"/>
  <c r="J520" i="14"/>
  <c r="K520" i="14"/>
  <c r="L520" i="14"/>
  <c r="G521" i="14"/>
  <c r="H521" i="14"/>
  <c r="I521" i="14"/>
  <c r="J521" i="14"/>
  <c r="K521" i="14"/>
  <c r="L521" i="14"/>
  <c r="G522" i="14"/>
  <c r="H522" i="14"/>
  <c r="I522" i="14"/>
  <c r="J522" i="14"/>
  <c r="K522" i="14"/>
  <c r="L522" i="14"/>
  <c r="I512" i="10"/>
  <c r="I513" i="10"/>
  <c r="I514" i="10"/>
  <c r="C2" i="14"/>
  <c r="G2" i="14"/>
  <c r="C3" i="14"/>
  <c r="H2" i="14"/>
  <c r="I2" i="14"/>
  <c r="J2" i="14"/>
  <c r="K2" i="14"/>
  <c r="L2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350" i="14"/>
  <c r="C351" i="14"/>
  <c r="C352" i="14"/>
  <c r="C353" i="14"/>
  <c r="C354" i="14"/>
  <c r="C355" i="14"/>
  <c r="C356" i="14"/>
  <c r="C357" i="14"/>
  <c r="C358" i="14"/>
  <c r="C359" i="14"/>
  <c r="C360" i="14"/>
  <c r="C361" i="14"/>
  <c r="C362" i="14"/>
  <c r="C363" i="14"/>
  <c r="C364" i="14"/>
  <c r="C365" i="14"/>
  <c r="C366" i="14"/>
  <c r="C367" i="14"/>
  <c r="C368" i="14"/>
  <c r="C369" i="14"/>
  <c r="C370" i="14"/>
  <c r="C371" i="14"/>
  <c r="C372" i="14"/>
  <c r="C373" i="14"/>
  <c r="C374" i="14"/>
  <c r="C375" i="14"/>
  <c r="C376" i="14"/>
  <c r="C377" i="14"/>
  <c r="C378" i="14"/>
  <c r="C379" i="14"/>
  <c r="C380" i="14"/>
  <c r="C381" i="14"/>
  <c r="C382" i="14"/>
  <c r="C383" i="14"/>
  <c r="C384" i="14"/>
  <c r="C385" i="14"/>
  <c r="C386" i="14"/>
  <c r="C387" i="14"/>
  <c r="C388" i="14"/>
  <c r="C389" i="14"/>
  <c r="C390" i="14"/>
  <c r="C391" i="14"/>
  <c r="C392" i="14"/>
  <c r="C393" i="14"/>
  <c r="C394" i="14"/>
  <c r="C395" i="14"/>
  <c r="C396" i="14"/>
  <c r="C397" i="14"/>
  <c r="C398" i="14"/>
  <c r="C399" i="14"/>
  <c r="C400" i="14"/>
  <c r="C401" i="14"/>
  <c r="C402" i="14"/>
  <c r="C403" i="14"/>
  <c r="C404" i="14"/>
  <c r="C405" i="14"/>
  <c r="C406" i="14"/>
  <c r="C407" i="14"/>
  <c r="C408" i="14"/>
  <c r="C409" i="14"/>
  <c r="C410" i="14"/>
  <c r="C411" i="14"/>
  <c r="C412" i="14"/>
  <c r="C413" i="14"/>
  <c r="C414" i="14"/>
  <c r="C415" i="14"/>
  <c r="C416" i="14"/>
  <c r="C417" i="14"/>
  <c r="C418" i="14"/>
  <c r="C419" i="14"/>
  <c r="C420" i="14"/>
  <c r="C421" i="14"/>
  <c r="C422" i="14"/>
  <c r="C423" i="14"/>
  <c r="C424" i="14"/>
  <c r="C425" i="14"/>
  <c r="C426" i="14"/>
  <c r="C427" i="14"/>
  <c r="C428" i="14"/>
  <c r="C429" i="14"/>
  <c r="C430" i="14"/>
  <c r="C431" i="14"/>
  <c r="C432" i="14"/>
  <c r="C433" i="14"/>
  <c r="C434" i="14"/>
  <c r="C435" i="14"/>
  <c r="C436" i="14"/>
  <c r="C437" i="14"/>
  <c r="C438" i="14"/>
  <c r="C439" i="14"/>
  <c r="C440" i="14"/>
  <c r="C441" i="14"/>
  <c r="C442" i="14"/>
  <c r="C443" i="14"/>
  <c r="C444" i="14"/>
  <c r="C445" i="14"/>
  <c r="C446" i="14"/>
  <c r="C447" i="14"/>
  <c r="C448" i="14"/>
  <c r="C449" i="14"/>
  <c r="C450" i="14"/>
  <c r="C451" i="14"/>
  <c r="C452" i="14"/>
  <c r="C453" i="14"/>
  <c r="C454" i="14"/>
  <c r="C455" i="14"/>
  <c r="C456" i="14"/>
  <c r="C457" i="14"/>
  <c r="C458" i="14"/>
  <c r="C459" i="14"/>
  <c r="C460" i="14"/>
  <c r="C461" i="14"/>
  <c r="C462" i="14"/>
  <c r="C463" i="14"/>
  <c r="C464" i="14"/>
  <c r="C465" i="14"/>
  <c r="C466" i="14"/>
  <c r="C467" i="14"/>
  <c r="C468" i="14"/>
  <c r="C469" i="14"/>
  <c r="C470" i="14"/>
  <c r="C471" i="14"/>
  <c r="C472" i="14"/>
  <c r="C473" i="14"/>
  <c r="C474" i="14"/>
  <c r="C475" i="14"/>
  <c r="C476" i="14"/>
  <c r="C477" i="14"/>
  <c r="C478" i="14"/>
  <c r="C479" i="14"/>
  <c r="C480" i="14"/>
  <c r="C481" i="14"/>
  <c r="C482" i="14"/>
  <c r="C483" i="14"/>
  <c r="C484" i="14"/>
  <c r="C485" i="14"/>
  <c r="C486" i="14"/>
  <c r="C487" i="14"/>
  <c r="C488" i="14"/>
  <c r="C489" i="14"/>
  <c r="C490" i="14"/>
  <c r="C491" i="14"/>
  <c r="C492" i="14"/>
  <c r="C493" i="14"/>
  <c r="C494" i="14"/>
  <c r="C495" i="14"/>
  <c r="C496" i="14"/>
  <c r="C497" i="14"/>
  <c r="C498" i="14"/>
  <c r="C499" i="14"/>
  <c r="C500" i="14"/>
  <c r="C501" i="14"/>
  <c r="C502" i="14"/>
  <c r="C503" i="14"/>
  <c r="C504" i="14"/>
  <c r="C505" i="14"/>
  <c r="C506" i="14"/>
  <c r="C507" i="14"/>
  <c r="C508" i="14"/>
  <c r="C509" i="14"/>
  <c r="C510" i="14"/>
  <c r="C511" i="14"/>
  <c r="C512" i="14"/>
  <c r="C513" i="14"/>
  <c r="C514" i="14"/>
  <c r="C515" i="14"/>
  <c r="C516" i="14"/>
  <c r="C517" i="14"/>
  <c r="C518" i="14"/>
  <c r="C519" i="14"/>
  <c r="C520" i="14"/>
  <c r="C521" i="14"/>
  <c r="C522" i="14"/>
  <c r="Q3" i="14"/>
  <c r="R3" i="14"/>
  <c r="S3" i="14"/>
  <c r="T3" i="14"/>
  <c r="U3" i="14"/>
  <c r="V3" i="14"/>
  <c r="O3" i="14"/>
  <c r="N71" i="11"/>
  <c r="V8" i="14"/>
  <c r="U8" i="14"/>
  <c r="T8" i="14"/>
  <c r="S8" i="14"/>
  <c r="R8" i="14"/>
  <c r="N8" i="14"/>
  <c r="V7" i="14"/>
  <c r="U7" i="14"/>
  <c r="T7" i="14"/>
  <c r="S7" i="14"/>
  <c r="R7" i="14"/>
  <c r="Q7" i="14"/>
  <c r="O7" i="14"/>
  <c r="N7" i="14"/>
  <c r="V6" i="14"/>
  <c r="U6" i="14"/>
  <c r="T6" i="14"/>
  <c r="S6" i="14"/>
  <c r="R6" i="14"/>
  <c r="Q6" i="14"/>
  <c r="O6" i="14"/>
  <c r="N6" i="14"/>
  <c r="M6" i="14"/>
  <c r="V5" i="14"/>
  <c r="U5" i="14"/>
  <c r="T5" i="14"/>
  <c r="S5" i="14"/>
  <c r="R5" i="14"/>
  <c r="Q5" i="14"/>
  <c r="O5" i="14"/>
  <c r="N5" i="14"/>
  <c r="M5" i="14"/>
  <c r="V4" i="14"/>
  <c r="U4" i="14"/>
  <c r="T4" i="14"/>
  <c r="S4" i="14"/>
  <c r="R4" i="14"/>
  <c r="Q4" i="14"/>
  <c r="O4" i="14"/>
  <c r="N4" i="14"/>
  <c r="N3" i="14"/>
  <c r="W2" i="14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5" i="10"/>
  <c r="I516" i="10"/>
  <c r="I517" i="10"/>
  <c r="I518" i="10"/>
  <c r="I519" i="10"/>
  <c r="I2" i="10"/>
  <c r="H255" i="10"/>
  <c r="H256" i="10"/>
  <c r="H257" i="10"/>
  <c r="H258" i="10"/>
  <c r="H259" i="10"/>
  <c r="H260" i="10"/>
  <c r="H261" i="10"/>
  <c r="H262" i="10"/>
  <c r="H263" i="10"/>
  <c r="C2" i="11"/>
  <c r="C3" i="11"/>
  <c r="C4" i="11"/>
  <c r="C5" i="11"/>
  <c r="G2" i="11"/>
  <c r="H2" i="11"/>
  <c r="I2" i="11"/>
  <c r="J2" i="11"/>
  <c r="K2" i="11"/>
  <c r="L2" i="11"/>
  <c r="G3" i="11"/>
  <c r="H3" i="11"/>
  <c r="I3" i="11"/>
  <c r="J3" i="11"/>
  <c r="K3" i="11"/>
  <c r="L3" i="11"/>
  <c r="G4" i="11"/>
  <c r="H4" i="11"/>
  <c r="I4" i="11"/>
  <c r="J4" i="11"/>
  <c r="K4" i="11"/>
  <c r="L4" i="11"/>
  <c r="G5" i="11"/>
  <c r="H5" i="11"/>
  <c r="I5" i="11"/>
  <c r="J5" i="11"/>
  <c r="K5" i="11"/>
  <c r="L5" i="11"/>
  <c r="C6" i="11"/>
  <c r="G6" i="11"/>
  <c r="H6" i="11"/>
  <c r="I6" i="11"/>
  <c r="J6" i="11"/>
  <c r="K6" i="11"/>
  <c r="L6" i="11"/>
  <c r="C7" i="11"/>
  <c r="G7" i="11"/>
  <c r="H7" i="11"/>
  <c r="I7" i="11"/>
  <c r="J7" i="11"/>
  <c r="K7" i="11"/>
  <c r="L7" i="11"/>
  <c r="C8" i="11"/>
  <c r="G8" i="11"/>
  <c r="H8" i="11"/>
  <c r="I8" i="11"/>
  <c r="J8" i="11"/>
  <c r="K8" i="11"/>
  <c r="L8" i="11"/>
  <c r="C9" i="11"/>
  <c r="G9" i="11"/>
  <c r="H9" i="11"/>
  <c r="I9" i="11"/>
  <c r="J9" i="11"/>
  <c r="K9" i="11"/>
  <c r="L9" i="11"/>
  <c r="C10" i="11"/>
  <c r="G10" i="11"/>
  <c r="H10" i="11"/>
  <c r="I10" i="11"/>
  <c r="J10" i="11"/>
  <c r="K10" i="11"/>
  <c r="L10" i="11"/>
  <c r="C11" i="11"/>
  <c r="G11" i="11"/>
  <c r="H11" i="11"/>
  <c r="I11" i="11"/>
  <c r="J11" i="11"/>
  <c r="K11" i="11"/>
  <c r="L11" i="11"/>
  <c r="C12" i="11"/>
  <c r="G12" i="11"/>
  <c r="H12" i="11"/>
  <c r="I12" i="11"/>
  <c r="J12" i="11"/>
  <c r="K12" i="11"/>
  <c r="L12" i="11"/>
  <c r="C13" i="11"/>
  <c r="G13" i="11"/>
  <c r="H13" i="11"/>
  <c r="I13" i="11"/>
  <c r="J13" i="11"/>
  <c r="K13" i="11"/>
  <c r="L13" i="11"/>
  <c r="C14" i="11"/>
  <c r="G14" i="11"/>
  <c r="H14" i="11"/>
  <c r="I14" i="11"/>
  <c r="J14" i="11"/>
  <c r="K14" i="11"/>
  <c r="L14" i="11"/>
  <c r="C15" i="11"/>
  <c r="G15" i="11"/>
  <c r="H15" i="11"/>
  <c r="I15" i="11"/>
  <c r="J15" i="11"/>
  <c r="K15" i="11"/>
  <c r="L15" i="11"/>
  <c r="C16" i="11"/>
  <c r="G16" i="11"/>
  <c r="H16" i="11"/>
  <c r="I16" i="11"/>
  <c r="J16" i="11"/>
  <c r="K16" i="11"/>
  <c r="L16" i="11"/>
  <c r="C17" i="11"/>
  <c r="G17" i="11"/>
  <c r="H17" i="11"/>
  <c r="I17" i="11"/>
  <c r="J17" i="11"/>
  <c r="K17" i="11"/>
  <c r="L17" i="11"/>
  <c r="C18" i="11"/>
  <c r="G18" i="11"/>
  <c r="H18" i="11"/>
  <c r="I18" i="11"/>
  <c r="J18" i="11"/>
  <c r="K18" i="11"/>
  <c r="L18" i="11"/>
  <c r="C19" i="11"/>
  <c r="G19" i="11"/>
  <c r="H19" i="11"/>
  <c r="I19" i="11"/>
  <c r="J19" i="11"/>
  <c r="K19" i="11"/>
  <c r="L19" i="11"/>
  <c r="C20" i="11"/>
  <c r="G20" i="11"/>
  <c r="H20" i="11"/>
  <c r="I20" i="11"/>
  <c r="J20" i="11"/>
  <c r="K20" i="11"/>
  <c r="L20" i="11"/>
  <c r="C21" i="11"/>
  <c r="G21" i="11"/>
  <c r="H21" i="11"/>
  <c r="I21" i="11"/>
  <c r="J21" i="11"/>
  <c r="K21" i="11"/>
  <c r="L21" i="11"/>
  <c r="C22" i="11"/>
  <c r="G22" i="11"/>
  <c r="H22" i="11"/>
  <c r="I22" i="11"/>
  <c r="J22" i="11"/>
  <c r="K22" i="11"/>
  <c r="L22" i="11"/>
  <c r="C23" i="11"/>
  <c r="G23" i="11"/>
  <c r="H23" i="11"/>
  <c r="I23" i="11"/>
  <c r="J23" i="11"/>
  <c r="K23" i="11"/>
  <c r="L23" i="11"/>
  <c r="C24" i="11"/>
  <c r="G24" i="11"/>
  <c r="H24" i="11"/>
  <c r="I24" i="11"/>
  <c r="J24" i="11"/>
  <c r="K24" i="11"/>
  <c r="L24" i="11"/>
  <c r="C25" i="11"/>
  <c r="G25" i="11"/>
  <c r="H25" i="11"/>
  <c r="I25" i="11"/>
  <c r="J25" i="11"/>
  <c r="K25" i="11"/>
  <c r="L25" i="11"/>
  <c r="C26" i="11"/>
  <c r="G26" i="11"/>
  <c r="H26" i="11"/>
  <c r="I26" i="11"/>
  <c r="J26" i="11"/>
  <c r="K26" i="11"/>
  <c r="L26" i="11"/>
  <c r="C27" i="11"/>
  <c r="G27" i="11"/>
  <c r="H27" i="11"/>
  <c r="I27" i="11"/>
  <c r="J27" i="11"/>
  <c r="K27" i="11"/>
  <c r="L27" i="11"/>
  <c r="C28" i="11"/>
  <c r="G28" i="11"/>
  <c r="H28" i="11"/>
  <c r="I28" i="11"/>
  <c r="J28" i="11"/>
  <c r="K28" i="11"/>
  <c r="L28" i="11"/>
  <c r="C29" i="11"/>
  <c r="G29" i="11"/>
  <c r="H29" i="11"/>
  <c r="I29" i="11"/>
  <c r="J29" i="11"/>
  <c r="K29" i="11"/>
  <c r="L29" i="11"/>
  <c r="C30" i="11"/>
  <c r="G30" i="11"/>
  <c r="H30" i="11"/>
  <c r="I30" i="11"/>
  <c r="J30" i="11"/>
  <c r="K30" i="11"/>
  <c r="L30" i="11"/>
  <c r="C31" i="11"/>
  <c r="G31" i="11"/>
  <c r="H31" i="11"/>
  <c r="I31" i="11"/>
  <c r="J31" i="11"/>
  <c r="K31" i="11"/>
  <c r="L31" i="11"/>
  <c r="C32" i="11"/>
  <c r="G32" i="11"/>
  <c r="H32" i="11"/>
  <c r="I32" i="11"/>
  <c r="J32" i="11"/>
  <c r="K32" i="11"/>
  <c r="L32" i="11"/>
  <c r="C33" i="11"/>
  <c r="G33" i="11"/>
  <c r="H33" i="11"/>
  <c r="I33" i="11"/>
  <c r="J33" i="11"/>
  <c r="K33" i="11"/>
  <c r="L33" i="11"/>
  <c r="C34" i="11"/>
  <c r="G34" i="11"/>
  <c r="H34" i="11"/>
  <c r="I34" i="11"/>
  <c r="J34" i="11"/>
  <c r="K34" i="11"/>
  <c r="L34" i="11"/>
  <c r="C35" i="11"/>
  <c r="G35" i="11"/>
  <c r="H35" i="11"/>
  <c r="I35" i="11"/>
  <c r="J35" i="11"/>
  <c r="K35" i="11"/>
  <c r="L35" i="11"/>
  <c r="C36" i="11"/>
  <c r="G36" i="11"/>
  <c r="H36" i="11"/>
  <c r="I36" i="11"/>
  <c r="J36" i="11"/>
  <c r="K36" i="11"/>
  <c r="L36" i="11"/>
  <c r="C37" i="11"/>
  <c r="G37" i="11"/>
  <c r="H37" i="11"/>
  <c r="I37" i="11"/>
  <c r="J37" i="11"/>
  <c r="K37" i="11"/>
  <c r="L37" i="11"/>
  <c r="C38" i="11"/>
  <c r="G38" i="11"/>
  <c r="H38" i="11"/>
  <c r="I38" i="11"/>
  <c r="J38" i="11"/>
  <c r="K38" i="11"/>
  <c r="L38" i="11"/>
  <c r="C39" i="11"/>
  <c r="G39" i="11"/>
  <c r="H39" i="11"/>
  <c r="I39" i="11"/>
  <c r="J39" i="11"/>
  <c r="K39" i="11"/>
  <c r="L39" i="11"/>
  <c r="C40" i="11"/>
  <c r="G40" i="11"/>
  <c r="H40" i="11"/>
  <c r="I40" i="11"/>
  <c r="J40" i="11"/>
  <c r="K40" i="11"/>
  <c r="L40" i="11"/>
  <c r="C41" i="11"/>
  <c r="G41" i="11"/>
  <c r="H41" i="11"/>
  <c r="I41" i="11"/>
  <c r="J41" i="11"/>
  <c r="K41" i="11"/>
  <c r="L41" i="11"/>
  <c r="C42" i="11"/>
  <c r="G42" i="11"/>
  <c r="H42" i="11"/>
  <c r="I42" i="11"/>
  <c r="J42" i="11"/>
  <c r="K42" i="11"/>
  <c r="L42" i="11"/>
  <c r="C43" i="11"/>
  <c r="G43" i="11"/>
  <c r="H43" i="11"/>
  <c r="I43" i="11"/>
  <c r="J43" i="11"/>
  <c r="K43" i="11"/>
  <c r="L43" i="11"/>
  <c r="C44" i="11"/>
  <c r="G44" i="11"/>
  <c r="H44" i="11"/>
  <c r="I44" i="11"/>
  <c r="J44" i="11"/>
  <c r="K44" i="11"/>
  <c r="L44" i="11"/>
  <c r="C45" i="11"/>
  <c r="G45" i="11"/>
  <c r="H45" i="11"/>
  <c r="I45" i="11"/>
  <c r="J45" i="11"/>
  <c r="K45" i="11"/>
  <c r="L45" i="11"/>
  <c r="C46" i="11"/>
  <c r="G46" i="11"/>
  <c r="H46" i="11"/>
  <c r="I46" i="11"/>
  <c r="J46" i="11"/>
  <c r="K46" i="11"/>
  <c r="L46" i="11"/>
  <c r="C47" i="11"/>
  <c r="G47" i="11"/>
  <c r="H47" i="11"/>
  <c r="I47" i="11"/>
  <c r="J47" i="11"/>
  <c r="K47" i="11"/>
  <c r="L47" i="11"/>
  <c r="C48" i="11"/>
  <c r="G48" i="11"/>
  <c r="H48" i="11"/>
  <c r="I48" i="11"/>
  <c r="J48" i="11"/>
  <c r="K48" i="11"/>
  <c r="L48" i="11"/>
  <c r="C49" i="11"/>
  <c r="G49" i="11"/>
  <c r="H49" i="11"/>
  <c r="I49" i="11"/>
  <c r="J49" i="11"/>
  <c r="K49" i="11"/>
  <c r="L49" i="11"/>
  <c r="C50" i="11"/>
  <c r="G50" i="11"/>
  <c r="H50" i="11"/>
  <c r="I50" i="11"/>
  <c r="J50" i="11"/>
  <c r="K50" i="11"/>
  <c r="L50" i="11"/>
  <c r="C51" i="11"/>
  <c r="G51" i="11"/>
  <c r="H51" i="11"/>
  <c r="I51" i="11"/>
  <c r="J51" i="11"/>
  <c r="K51" i="11"/>
  <c r="L51" i="11"/>
  <c r="C52" i="11"/>
  <c r="G52" i="11"/>
  <c r="H52" i="11"/>
  <c r="I52" i="11"/>
  <c r="J52" i="11"/>
  <c r="K52" i="11"/>
  <c r="L52" i="11"/>
  <c r="C53" i="11"/>
  <c r="G53" i="11"/>
  <c r="H53" i="11"/>
  <c r="I53" i="11"/>
  <c r="J53" i="11"/>
  <c r="K53" i="11"/>
  <c r="L53" i="11"/>
  <c r="C54" i="11"/>
  <c r="G54" i="11"/>
  <c r="H54" i="11"/>
  <c r="I54" i="11"/>
  <c r="J54" i="11"/>
  <c r="K54" i="11"/>
  <c r="L54" i="11"/>
  <c r="C55" i="11"/>
  <c r="G55" i="11"/>
  <c r="H55" i="11"/>
  <c r="I55" i="11"/>
  <c r="J55" i="11"/>
  <c r="K55" i="11"/>
  <c r="L55" i="11"/>
  <c r="C56" i="11"/>
  <c r="G56" i="11"/>
  <c r="H56" i="11"/>
  <c r="I56" i="11"/>
  <c r="J56" i="11"/>
  <c r="K56" i="11"/>
  <c r="L56" i="11"/>
  <c r="C57" i="11"/>
  <c r="G57" i="11"/>
  <c r="H57" i="11"/>
  <c r="I57" i="11"/>
  <c r="J57" i="11"/>
  <c r="K57" i="11"/>
  <c r="L57" i="11"/>
  <c r="C58" i="11"/>
  <c r="G58" i="11"/>
  <c r="H58" i="11"/>
  <c r="I58" i="11"/>
  <c r="J58" i="11"/>
  <c r="K58" i="11"/>
  <c r="L58" i="11"/>
  <c r="C59" i="11"/>
  <c r="G59" i="11"/>
  <c r="H59" i="11"/>
  <c r="I59" i="11"/>
  <c r="J59" i="11"/>
  <c r="K59" i="11"/>
  <c r="L59" i="11"/>
  <c r="C60" i="11"/>
  <c r="G60" i="11"/>
  <c r="H60" i="11"/>
  <c r="I60" i="11"/>
  <c r="J60" i="11"/>
  <c r="K60" i="11"/>
  <c r="L60" i="11"/>
  <c r="C61" i="11"/>
  <c r="G61" i="11"/>
  <c r="H61" i="11"/>
  <c r="I61" i="11"/>
  <c r="J61" i="11"/>
  <c r="K61" i="11"/>
  <c r="L61" i="11"/>
  <c r="C62" i="11"/>
  <c r="G62" i="11"/>
  <c r="H62" i="11"/>
  <c r="I62" i="11"/>
  <c r="J62" i="11"/>
  <c r="K62" i="11"/>
  <c r="L62" i="11"/>
  <c r="C63" i="11"/>
  <c r="G63" i="11"/>
  <c r="H63" i="11"/>
  <c r="I63" i="11"/>
  <c r="J63" i="11"/>
  <c r="K63" i="11"/>
  <c r="L63" i="11"/>
  <c r="C64" i="11"/>
  <c r="G64" i="11"/>
  <c r="H64" i="11"/>
  <c r="I64" i="11"/>
  <c r="J64" i="11"/>
  <c r="K64" i="11"/>
  <c r="L64" i="11"/>
  <c r="C65" i="11"/>
  <c r="G65" i="11"/>
  <c r="H65" i="11"/>
  <c r="I65" i="11"/>
  <c r="J65" i="11"/>
  <c r="K65" i="11"/>
  <c r="L65" i="11"/>
  <c r="C66" i="11"/>
  <c r="G66" i="11"/>
  <c r="H66" i="11"/>
  <c r="I66" i="11"/>
  <c r="J66" i="11"/>
  <c r="K66" i="11"/>
  <c r="L66" i="11"/>
  <c r="C67" i="11"/>
  <c r="G67" i="11"/>
  <c r="H67" i="11"/>
  <c r="I67" i="11"/>
  <c r="J67" i="11"/>
  <c r="K67" i="11"/>
  <c r="L67" i="11"/>
  <c r="C68" i="11"/>
  <c r="G68" i="11"/>
  <c r="H68" i="11"/>
  <c r="I68" i="11"/>
  <c r="J68" i="11"/>
  <c r="K68" i="11"/>
  <c r="L68" i="11"/>
  <c r="C69" i="11"/>
  <c r="G69" i="11"/>
  <c r="H69" i="11"/>
  <c r="I69" i="11"/>
  <c r="J69" i="11"/>
  <c r="K69" i="11"/>
  <c r="L69" i="11"/>
  <c r="C70" i="11"/>
  <c r="G70" i="11"/>
  <c r="H70" i="11"/>
  <c r="I70" i="11"/>
  <c r="J70" i="11"/>
  <c r="K70" i="11"/>
  <c r="L70" i="11"/>
  <c r="C71" i="11"/>
  <c r="G71" i="11"/>
  <c r="H71" i="11"/>
  <c r="I71" i="11"/>
  <c r="J71" i="11"/>
  <c r="K71" i="11"/>
  <c r="L71" i="11"/>
  <c r="C72" i="11"/>
  <c r="G72" i="11"/>
  <c r="H72" i="11"/>
  <c r="I72" i="11"/>
  <c r="J72" i="11"/>
  <c r="K72" i="11"/>
  <c r="L72" i="11"/>
  <c r="C73" i="11"/>
  <c r="G73" i="11"/>
  <c r="H73" i="11"/>
  <c r="I73" i="11"/>
  <c r="J73" i="11"/>
  <c r="K73" i="11"/>
  <c r="L73" i="11"/>
  <c r="C74" i="11"/>
  <c r="G74" i="11"/>
  <c r="H74" i="11"/>
  <c r="I74" i="11"/>
  <c r="J74" i="11"/>
  <c r="K74" i="11"/>
  <c r="L74" i="11"/>
  <c r="C75" i="11"/>
  <c r="G75" i="11"/>
  <c r="H75" i="11"/>
  <c r="I75" i="11"/>
  <c r="J75" i="11"/>
  <c r="K75" i="11"/>
  <c r="L75" i="11"/>
  <c r="C76" i="11"/>
  <c r="G76" i="11"/>
  <c r="H76" i="11"/>
  <c r="I76" i="11"/>
  <c r="J76" i="11"/>
  <c r="K76" i="11"/>
  <c r="L76" i="11"/>
  <c r="C77" i="11"/>
  <c r="G77" i="11"/>
  <c r="H77" i="11"/>
  <c r="I77" i="11"/>
  <c r="J77" i="11"/>
  <c r="K77" i="11"/>
  <c r="L77" i="11"/>
  <c r="C78" i="11"/>
  <c r="G78" i="11"/>
  <c r="H78" i="11"/>
  <c r="I78" i="11"/>
  <c r="J78" i="11"/>
  <c r="K78" i="11"/>
  <c r="L78" i="11"/>
  <c r="C79" i="11"/>
  <c r="G79" i="11"/>
  <c r="H79" i="11"/>
  <c r="I79" i="11"/>
  <c r="J79" i="11"/>
  <c r="K79" i="11"/>
  <c r="L79" i="11"/>
  <c r="C80" i="11"/>
  <c r="G80" i="11"/>
  <c r="H80" i="11"/>
  <c r="I80" i="11"/>
  <c r="J80" i="11"/>
  <c r="K80" i="11"/>
  <c r="L80" i="11"/>
  <c r="C81" i="11"/>
  <c r="G81" i="11"/>
  <c r="H81" i="11"/>
  <c r="I81" i="11"/>
  <c r="J81" i="11"/>
  <c r="K81" i="11"/>
  <c r="L81" i="11"/>
  <c r="C82" i="11"/>
  <c r="G82" i="11"/>
  <c r="H82" i="11"/>
  <c r="I82" i="11"/>
  <c r="J82" i="11"/>
  <c r="K82" i="11"/>
  <c r="L82" i="11"/>
  <c r="C83" i="11"/>
  <c r="G83" i="11"/>
  <c r="H83" i="11"/>
  <c r="I83" i="11"/>
  <c r="J83" i="11"/>
  <c r="K83" i="11"/>
  <c r="L83" i="11"/>
  <c r="C84" i="11"/>
  <c r="G84" i="11"/>
  <c r="H84" i="11"/>
  <c r="I84" i="11"/>
  <c r="J84" i="11"/>
  <c r="K84" i="11"/>
  <c r="L84" i="11"/>
  <c r="C85" i="11"/>
  <c r="G85" i="11"/>
  <c r="H85" i="11"/>
  <c r="I85" i="11"/>
  <c r="J85" i="11"/>
  <c r="K85" i="11"/>
  <c r="L85" i="11"/>
  <c r="C86" i="11"/>
  <c r="G86" i="11"/>
  <c r="H86" i="11"/>
  <c r="I86" i="11"/>
  <c r="J86" i="11"/>
  <c r="K86" i="11"/>
  <c r="L86" i="11"/>
  <c r="C87" i="11"/>
  <c r="G87" i="11"/>
  <c r="H87" i="11"/>
  <c r="I87" i="11"/>
  <c r="J87" i="11"/>
  <c r="K87" i="11"/>
  <c r="L87" i="11"/>
  <c r="C88" i="11"/>
  <c r="G88" i="11"/>
  <c r="H88" i="11"/>
  <c r="I88" i="11"/>
  <c r="J88" i="11"/>
  <c r="K88" i="11"/>
  <c r="L88" i="11"/>
  <c r="C89" i="11"/>
  <c r="G89" i="11"/>
  <c r="H89" i="11"/>
  <c r="I89" i="11"/>
  <c r="J89" i="11"/>
  <c r="K89" i="11"/>
  <c r="L89" i="11"/>
  <c r="C90" i="11"/>
  <c r="G90" i="11"/>
  <c r="H90" i="11"/>
  <c r="I90" i="11"/>
  <c r="J90" i="11"/>
  <c r="K90" i="11"/>
  <c r="L90" i="11"/>
  <c r="C91" i="11"/>
  <c r="G91" i="11"/>
  <c r="H91" i="11"/>
  <c r="I91" i="11"/>
  <c r="J91" i="11"/>
  <c r="K91" i="11"/>
  <c r="L91" i="11"/>
  <c r="C92" i="11"/>
  <c r="G92" i="11"/>
  <c r="H92" i="11"/>
  <c r="I92" i="11"/>
  <c r="J92" i="11"/>
  <c r="K92" i="11"/>
  <c r="L92" i="11"/>
  <c r="C93" i="11"/>
  <c r="G93" i="11"/>
  <c r="H93" i="11"/>
  <c r="I93" i="11"/>
  <c r="J93" i="11"/>
  <c r="K93" i="11"/>
  <c r="L93" i="11"/>
  <c r="C94" i="11"/>
  <c r="G94" i="11"/>
  <c r="H94" i="11"/>
  <c r="I94" i="11"/>
  <c r="J94" i="11"/>
  <c r="K94" i="11"/>
  <c r="L94" i="11"/>
  <c r="C95" i="11"/>
  <c r="G95" i="11"/>
  <c r="H95" i="11"/>
  <c r="I95" i="11"/>
  <c r="J95" i="11"/>
  <c r="K95" i="11"/>
  <c r="L95" i="11"/>
  <c r="C96" i="11"/>
  <c r="G96" i="11"/>
  <c r="H96" i="11"/>
  <c r="I96" i="11"/>
  <c r="J96" i="11"/>
  <c r="K96" i="11"/>
  <c r="L96" i="11"/>
  <c r="C97" i="11"/>
  <c r="G97" i="11"/>
  <c r="H97" i="11"/>
  <c r="I97" i="11"/>
  <c r="J97" i="11"/>
  <c r="K97" i="11"/>
  <c r="L97" i="11"/>
  <c r="C98" i="11"/>
  <c r="G98" i="11"/>
  <c r="H98" i="11"/>
  <c r="I98" i="11"/>
  <c r="J98" i="11"/>
  <c r="K98" i="11"/>
  <c r="L98" i="11"/>
  <c r="C99" i="11"/>
  <c r="G99" i="11"/>
  <c r="H99" i="11"/>
  <c r="I99" i="11"/>
  <c r="J99" i="11"/>
  <c r="K99" i="11"/>
  <c r="L99" i="11"/>
  <c r="C100" i="11"/>
  <c r="G100" i="11"/>
  <c r="H100" i="11"/>
  <c r="I100" i="11"/>
  <c r="J100" i="11"/>
  <c r="K100" i="11"/>
  <c r="L100" i="11"/>
  <c r="C101" i="11"/>
  <c r="G101" i="11"/>
  <c r="H101" i="11"/>
  <c r="I101" i="11"/>
  <c r="J101" i="11"/>
  <c r="K101" i="11"/>
  <c r="L101" i="11"/>
  <c r="C102" i="11"/>
  <c r="G102" i="11"/>
  <c r="H102" i="11"/>
  <c r="I102" i="11"/>
  <c r="J102" i="11"/>
  <c r="K102" i="11"/>
  <c r="L102" i="11"/>
  <c r="C103" i="11"/>
  <c r="G103" i="11"/>
  <c r="H103" i="11"/>
  <c r="I103" i="11"/>
  <c r="J103" i="11"/>
  <c r="K103" i="11"/>
  <c r="L103" i="11"/>
  <c r="C104" i="11"/>
  <c r="G104" i="11"/>
  <c r="H104" i="11"/>
  <c r="I104" i="11"/>
  <c r="J104" i="11"/>
  <c r="K104" i="11"/>
  <c r="L104" i="11"/>
  <c r="C105" i="11"/>
  <c r="G105" i="11"/>
  <c r="H105" i="11"/>
  <c r="I105" i="11"/>
  <c r="J105" i="11"/>
  <c r="K105" i="11"/>
  <c r="L105" i="11"/>
  <c r="C106" i="11"/>
  <c r="G106" i="11"/>
  <c r="H106" i="11"/>
  <c r="I106" i="11"/>
  <c r="J106" i="11"/>
  <c r="K106" i="11"/>
  <c r="L106" i="11"/>
  <c r="C107" i="11"/>
  <c r="G107" i="11"/>
  <c r="H107" i="11"/>
  <c r="I107" i="11"/>
  <c r="J107" i="11"/>
  <c r="K107" i="11"/>
  <c r="L107" i="11"/>
  <c r="C108" i="11"/>
  <c r="G108" i="11"/>
  <c r="H108" i="11"/>
  <c r="I108" i="11"/>
  <c r="J108" i="11"/>
  <c r="K108" i="11"/>
  <c r="L108" i="11"/>
  <c r="C109" i="11"/>
  <c r="G109" i="11"/>
  <c r="H109" i="11"/>
  <c r="I109" i="11"/>
  <c r="J109" i="11"/>
  <c r="K109" i="11"/>
  <c r="L109" i="11"/>
  <c r="C110" i="11"/>
  <c r="G110" i="11"/>
  <c r="H110" i="11"/>
  <c r="I110" i="11"/>
  <c r="J110" i="11"/>
  <c r="K110" i="11"/>
  <c r="L110" i="11"/>
  <c r="C111" i="11"/>
  <c r="G111" i="11"/>
  <c r="H111" i="11"/>
  <c r="I111" i="11"/>
  <c r="J111" i="11"/>
  <c r="K111" i="11"/>
  <c r="L111" i="11"/>
  <c r="C112" i="11"/>
  <c r="G112" i="11"/>
  <c r="H112" i="11"/>
  <c r="I112" i="11"/>
  <c r="J112" i="11"/>
  <c r="K112" i="11"/>
  <c r="L112" i="11"/>
  <c r="C113" i="11"/>
  <c r="G113" i="11"/>
  <c r="H113" i="11"/>
  <c r="I113" i="11"/>
  <c r="J113" i="11"/>
  <c r="K113" i="11"/>
  <c r="L113" i="11"/>
  <c r="C114" i="11"/>
  <c r="G114" i="11"/>
  <c r="H114" i="11"/>
  <c r="I114" i="11"/>
  <c r="J114" i="11"/>
  <c r="K114" i="11"/>
  <c r="L114" i="11"/>
  <c r="C115" i="11"/>
  <c r="G115" i="11"/>
  <c r="H115" i="11"/>
  <c r="I115" i="11"/>
  <c r="J115" i="11"/>
  <c r="K115" i="11"/>
  <c r="L115" i="11"/>
  <c r="C116" i="11"/>
  <c r="G116" i="11"/>
  <c r="H116" i="11"/>
  <c r="I116" i="11"/>
  <c r="J116" i="11"/>
  <c r="K116" i="11"/>
  <c r="L116" i="11"/>
  <c r="C117" i="11"/>
  <c r="G117" i="11"/>
  <c r="H117" i="11"/>
  <c r="I117" i="11"/>
  <c r="J117" i="11"/>
  <c r="K117" i="11"/>
  <c r="L117" i="11"/>
  <c r="C118" i="11"/>
  <c r="G118" i="11"/>
  <c r="H118" i="11"/>
  <c r="I118" i="11"/>
  <c r="J118" i="11"/>
  <c r="K118" i="11"/>
  <c r="L118" i="11"/>
  <c r="C119" i="11"/>
  <c r="G119" i="11"/>
  <c r="H119" i="11"/>
  <c r="I119" i="11"/>
  <c r="J119" i="11"/>
  <c r="K119" i="11"/>
  <c r="L119" i="11"/>
  <c r="C120" i="11"/>
  <c r="G120" i="11"/>
  <c r="H120" i="11"/>
  <c r="I120" i="11"/>
  <c r="J120" i="11"/>
  <c r="K120" i="11"/>
  <c r="L120" i="11"/>
  <c r="C121" i="11"/>
  <c r="G121" i="11"/>
  <c r="H121" i="11"/>
  <c r="I121" i="11"/>
  <c r="J121" i="11"/>
  <c r="K121" i="11"/>
  <c r="L121" i="11"/>
  <c r="C122" i="11"/>
  <c r="G122" i="11"/>
  <c r="H122" i="11"/>
  <c r="I122" i="11"/>
  <c r="J122" i="11"/>
  <c r="K122" i="11"/>
  <c r="L122" i="11"/>
  <c r="C123" i="11"/>
  <c r="G123" i="11"/>
  <c r="H123" i="11"/>
  <c r="I123" i="11"/>
  <c r="J123" i="11"/>
  <c r="K123" i="11"/>
  <c r="L123" i="11"/>
  <c r="C124" i="11"/>
  <c r="G124" i="11"/>
  <c r="H124" i="11"/>
  <c r="I124" i="11"/>
  <c r="J124" i="11"/>
  <c r="K124" i="11"/>
  <c r="L124" i="11"/>
  <c r="C125" i="11"/>
  <c r="G125" i="11"/>
  <c r="H125" i="11"/>
  <c r="I125" i="11"/>
  <c r="J125" i="11"/>
  <c r="K125" i="11"/>
  <c r="L125" i="11"/>
  <c r="C126" i="11"/>
  <c r="G126" i="11"/>
  <c r="H126" i="11"/>
  <c r="I126" i="11"/>
  <c r="J126" i="11"/>
  <c r="K126" i="11"/>
  <c r="L126" i="11"/>
  <c r="C127" i="11"/>
  <c r="G127" i="11"/>
  <c r="H127" i="11"/>
  <c r="I127" i="11"/>
  <c r="J127" i="11"/>
  <c r="K127" i="11"/>
  <c r="L127" i="11"/>
  <c r="C128" i="11"/>
  <c r="G128" i="11"/>
  <c r="H128" i="11"/>
  <c r="I128" i="11"/>
  <c r="J128" i="11"/>
  <c r="K128" i="11"/>
  <c r="L128" i="11"/>
  <c r="C129" i="11"/>
  <c r="G129" i="11"/>
  <c r="H129" i="11"/>
  <c r="I129" i="11"/>
  <c r="J129" i="11"/>
  <c r="K129" i="11"/>
  <c r="L129" i="11"/>
  <c r="C130" i="11"/>
  <c r="G130" i="11"/>
  <c r="H130" i="11"/>
  <c r="I130" i="11"/>
  <c r="J130" i="11"/>
  <c r="K130" i="11"/>
  <c r="L130" i="11"/>
  <c r="C131" i="11"/>
  <c r="G131" i="11"/>
  <c r="H131" i="11"/>
  <c r="I131" i="11"/>
  <c r="J131" i="11"/>
  <c r="K131" i="11"/>
  <c r="L131" i="11"/>
  <c r="C132" i="11"/>
  <c r="G132" i="11"/>
  <c r="H132" i="11"/>
  <c r="I132" i="11"/>
  <c r="J132" i="11"/>
  <c r="K132" i="11"/>
  <c r="L132" i="11"/>
  <c r="C133" i="11"/>
  <c r="G133" i="11"/>
  <c r="H133" i="11"/>
  <c r="I133" i="11"/>
  <c r="J133" i="11"/>
  <c r="K133" i="11"/>
  <c r="L133" i="11"/>
  <c r="C134" i="11"/>
  <c r="G134" i="11"/>
  <c r="H134" i="11"/>
  <c r="I134" i="11"/>
  <c r="J134" i="11"/>
  <c r="K134" i="11"/>
  <c r="L134" i="11"/>
  <c r="C135" i="11"/>
  <c r="G135" i="11"/>
  <c r="H135" i="11"/>
  <c r="I135" i="11"/>
  <c r="J135" i="11"/>
  <c r="K135" i="11"/>
  <c r="L135" i="11"/>
  <c r="C136" i="11"/>
  <c r="G136" i="11"/>
  <c r="H136" i="11"/>
  <c r="I136" i="11"/>
  <c r="J136" i="11"/>
  <c r="K136" i="11"/>
  <c r="L136" i="11"/>
  <c r="C137" i="11"/>
  <c r="G137" i="11"/>
  <c r="H137" i="11"/>
  <c r="I137" i="11"/>
  <c r="J137" i="11"/>
  <c r="K137" i="11"/>
  <c r="L137" i="11"/>
  <c r="C138" i="11"/>
  <c r="G138" i="11"/>
  <c r="H138" i="11"/>
  <c r="I138" i="11"/>
  <c r="J138" i="11"/>
  <c r="K138" i="11"/>
  <c r="L138" i="11"/>
  <c r="C139" i="11"/>
  <c r="G139" i="11"/>
  <c r="H139" i="11"/>
  <c r="I139" i="11"/>
  <c r="J139" i="11"/>
  <c r="K139" i="11"/>
  <c r="L139" i="11"/>
  <c r="C140" i="11"/>
  <c r="G140" i="11"/>
  <c r="H140" i="11"/>
  <c r="I140" i="11"/>
  <c r="J140" i="11"/>
  <c r="K140" i="11"/>
  <c r="L140" i="11"/>
  <c r="C141" i="11"/>
  <c r="G141" i="11"/>
  <c r="H141" i="11"/>
  <c r="I141" i="11"/>
  <c r="J141" i="11"/>
  <c r="K141" i="11"/>
  <c r="L141" i="11"/>
  <c r="C142" i="11"/>
  <c r="G142" i="11"/>
  <c r="H142" i="11"/>
  <c r="I142" i="11"/>
  <c r="J142" i="11"/>
  <c r="K142" i="11"/>
  <c r="L142" i="11"/>
  <c r="C143" i="11"/>
  <c r="G143" i="11"/>
  <c r="H143" i="11"/>
  <c r="I143" i="11"/>
  <c r="J143" i="11"/>
  <c r="K143" i="11"/>
  <c r="L143" i="11"/>
  <c r="C144" i="11"/>
  <c r="G144" i="11"/>
  <c r="H144" i="11"/>
  <c r="I144" i="11"/>
  <c r="J144" i="11"/>
  <c r="K144" i="11"/>
  <c r="L144" i="11"/>
  <c r="C145" i="11"/>
  <c r="G145" i="11"/>
  <c r="H145" i="11"/>
  <c r="I145" i="11"/>
  <c r="J145" i="11"/>
  <c r="K145" i="11"/>
  <c r="L145" i="11"/>
  <c r="C146" i="11"/>
  <c r="G146" i="11"/>
  <c r="H146" i="11"/>
  <c r="I146" i="11"/>
  <c r="J146" i="11"/>
  <c r="K146" i="11"/>
  <c r="L146" i="11"/>
  <c r="C147" i="11"/>
  <c r="G147" i="11"/>
  <c r="H147" i="11"/>
  <c r="I147" i="11"/>
  <c r="J147" i="11"/>
  <c r="K147" i="11"/>
  <c r="L147" i="11"/>
  <c r="C148" i="11"/>
  <c r="G148" i="11"/>
  <c r="H148" i="11"/>
  <c r="I148" i="11"/>
  <c r="J148" i="11"/>
  <c r="K148" i="11"/>
  <c r="L148" i="11"/>
  <c r="C149" i="11"/>
  <c r="G149" i="11"/>
  <c r="H149" i="11"/>
  <c r="I149" i="11"/>
  <c r="J149" i="11"/>
  <c r="K149" i="11"/>
  <c r="L149" i="11"/>
  <c r="C150" i="11"/>
  <c r="G150" i="11"/>
  <c r="H150" i="11"/>
  <c r="I150" i="11"/>
  <c r="J150" i="11"/>
  <c r="K150" i="11"/>
  <c r="L150" i="11"/>
  <c r="C151" i="11"/>
  <c r="G151" i="11"/>
  <c r="H151" i="11"/>
  <c r="I151" i="11"/>
  <c r="J151" i="11"/>
  <c r="K151" i="11"/>
  <c r="L151" i="11"/>
  <c r="C152" i="11"/>
  <c r="G152" i="11"/>
  <c r="H152" i="11"/>
  <c r="I152" i="11"/>
  <c r="J152" i="11"/>
  <c r="K152" i="11"/>
  <c r="L152" i="11"/>
  <c r="C153" i="11"/>
  <c r="G153" i="11"/>
  <c r="H153" i="11"/>
  <c r="I153" i="11"/>
  <c r="J153" i="11"/>
  <c r="K153" i="11"/>
  <c r="L153" i="11"/>
  <c r="C154" i="11"/>
  <c r="G154" i="11"/>
  <c r="H154" i="11"/>
  <c r="I154" i="11"/>
  <c r="J154" i="11"/>
  <c r="K154" i="11"/>
  <c r="L154" i="11"/>
  <c r="C155" i="11"/>
  <c r="G155" i="11"/>
  <c r="H155" i="11"/>
  <c r="I155" i="11"/>
  <c r="J155" i="11"/>
  <c r="K155" i="11"/>
  <c r="L155" i="11"/>
  <c r="C156" i="11"/>
  <c r="G156" i="11"/>
  <c r="H156" i="11"/>
  <c r="I156" i="11"/>
  <c r="J156" i="11"/>
  <c r="K156" i="11"/>
  <c r="L156" i="11"/>
  <c r="C157" i="11"/>
  <c r="G157" i="11"/>
  <c r="H157" i="11"/>
  <c r="I157" i="11"/>
  <c r="J157" i="11"/>
  <c r="K157" i="11"/>
  <c r="L157" i="11"/>
  <c r="C158" i="11"/>
  <c r="G158" i="11"/>
  <c r="H158" i="11"/>
  <c r="I158" i="11"/>
  <c r="J158" i="11"/>
  <c r="K158" i="11"/>
  <c r="L158" i="11"/>
  <c r="C159" i="11"/>
  <c r="G159" i="11"/>
  <c r="H159" i="11"/>
  <c r="I159" i="11"/>
  <c r="J159" i="11"/>
  <c r="K159" i="11"/>
  <c r="L159" i="11"/>
  <c r="C160" i="11"/>
  <c r="G160" i="11"/>
  <c r="H160" i="11"/>
  <c r="I160" i="11"/>
  <c r="J160" i="11"/>
  <c r="K160" i="11"/>
  <c r="L160" i="11"/>
  <c r="C161" i="11"/>
  <c r="G161" i="11"/>
  <c r="H161" i="11"/>
  <c r="I161" i="11"/>
  <c r="J161" i="11"/>
  <c r="K161" i="11"/>
  <c r="L161" i="11"/>
  <c r="C162" i="11"/>
  <c r="G162" i="11"/>
  <c r="H162" i="11"/>
  <c r="I162" i="11"/>
  <c r="J162" i="11"/>
  <c r="K162" i="11"/>
  <c r="L162" i="11"/>
  <c r="C163" i="11"/>
  <c r="G163" i="11"/>
  <c r="H163" i="11"/>
  <c r="I163" i="11"/>
  <c r="J163" i="11"/>
  <c r="K163" i="11"/>
  <c r="L163" i="11"/>
  <c r="C164" i="11"/>
  <c r="G164" i="11"/>
  <c r="H164" i="11"/>
  <c r="I164" i="11"/>
  <c r="J164" i="11"/>
  <c r="K164" i="11"/>
  <c r="L164" i="11"/>
  <c r="C165" i="11"/>
  <c r="G165" i="11"/>
  <c r="H165" i="11"/>
  <c r="I165" i="11"/>
  <c r="J165" i="11"/>
  <c r="K165" i="11"/>
  <c r="L165" i="11"/>
  <c r="C166" i="11"/>
  <c r="G166" i="11"/>
  <c r="H166" i="11"/>
  <c r="I166" i="11"/>
  <c r="J166" i="11"/>
  <c r="K166" i="11"/>
  <c r="L166" i="11"/>
  <c r="C167" i="11"/>
  <c r="G167" i="11"/>
  <c r="H167" i="11"/>
  <c r="I167" i="11"/>
  <c r="J167" i="11"/>
  <c r="K167" i="11"/>
  <c r="L167" i="11"/>
  <c r="C168" i="11"/>
  <c r="G168" i="11"/>
  <c r="H168" i="11"/>
  <c r="I168" i="11"/>
  <c r="J168" i="11"/>
  <c r="K168" i="11"/>
  <c r="L168" i="11"/>
  <c r="C169" i="11"/>
  <c r="G169" i="11"/>
  <c r="H169" i="11"/>
  <c r="I169" i="11"/>
  <c r="J169" i="11"/>
  <c r="K169" i="11"/>
  <c r="L169" i="11"/>
  <c r="C170" i="11"/>
  <c r="G170" i="11"/>
  <c r="H170" i="11"/>
  <c r="I170" i="11"/>
  <c r="J170" i="11"/>
  <c r="K170" i="11"/>
  <c r="L170" i="11"/>
  <c r="C171" i="11"/>
  <c r="G171" i="11"/>
  <c r="H171" i="11"/>
  <c r="I171" i="11"/>
  <c r="J171" i="11"/>
  <c r="K171" i="11"/>
  <c r="L171" i="11"/>
  <c r="C172" i="11"/>
  <c r="G172" i="11"/>
  <c r="H172" i="11"/>
  <c r="I172" i="11"/>
  <c r="J172" i="11"/>
  <c r="K172" i="11"/>
  <c r="L172" i="11"/>
  <c r="C173" i="11"/>
  <c r="G173" i="11"/>
  <c r="H173" i="11"/>
  <c r="I173" i="11"/>
  <c r="J173" i="11"/>
  <c r="K173" i="11"/>
  <c r="L173" i="11"/>
  <c r="C174" i="11"/>
  <c r="G174" i="11"/>
  <c r="H174" i="11"/>
  <c r="I174" i="11"/>
  <c r="J174" i="11"/>
  <c r="K174" i="11"/>
  <c r="L174" i="11"/>
  <c r="C175" i="11"/>
  <c r="G175" i="11"/>
  <c r="H175" i="11"/>
  <c r="I175" i="11"/>
  <c r="J175" i="11"/>
  <c r="K175" i="11"/>
  <c r="L175" i="11"/>
  <c r="C176" i="11"/>
  <c r="G176" i="11"/>
  <c r="H176" i="11"/>
  <c r="I176" i="11"/>
  <c r="J176" i="11"/>
  <c r="K176" i="11"/>
  <c r="L176" i="11"/>
  <c r="C177" i="11"/>
  <c r="G177" i="11"/>
  <c r="H177" i="11"/>
  <c r="I177" i="11"/>
  <c r="J177" i="11"/>
  <c r="K177" i="11"/>
  <c r="L177" i="11"/>
  <c r="C178" i="11"/>
  <c r="G178" i="11"/>
  <c r="H178" i="11"/>
  <c r="I178" i="11"/>
  <c r="J178" i="11"/>
  <c r="K178" i="11"/>
  <c r="L178" i="11"/>
  <c r="C179" i="11"/>
  <c r="G179" i="11"/>
  <c r="H179" i="11"/>
  <c r="I179" i="11"/>
  <c r="J179" i="11"/>
  <c r="K179" i="11"/>
  <c r="L179" i="11"/>
  <c r="C180" i="11"/>
  <c r="G180" i="11"/>
  <c r="H180" i="11"/>
  <c r="I180" i="11"/>
  <c r="J180" i="11"/>
  <c r="K180" i="11"/>
  <c r="L180" i="11"/>
  <c r="C181" i="11"/>
  <c r="G181" i="11"/>
  <c r="H181" i="11"/>
  <c r="I181" i="11"/>
  <c r="J181" i="11"/>
  <c r="K181" i="11"/>
  <c r="L181" i="11"/>
  <c r="C182" i="11"/>
  <c r="G182" i="11"/>
  <c r="H182" i="11"/>
  <c r="I182" i="11"/>
  <c r="J182" i="11"/>
  <c r="K182" i="11"/>
  <c r="L182" i="11"/>
  <c r="C183" i="11"/>
  <c r="G183" i="11"/>
  <c r="H183" i="11"/>
  <c r="I183" i="11"/>
  <c r="J183" i="11"/>
  <c r="K183" i="11"/>
  <c r="L183" i="11"/>
  <c r="C184" i="11"/>
  <c r="G184" i="11"/>
  <c r="H184" i="11"/>
  <c r="I184" i="11"/>
  <c r="J184" i="11"/>
  <c r="K184" i="11"/>
  <c r="L184" i="11"/>
  <c r="C185" i="11"/>
  <c r="G185" i="11"/>
  <c r="H185" i="11"/>
  <c r="I185" i="11"/>
  <c r="J185" i="11"/>
  <c r="K185" i="11"/>
  <c r="L185" i="11"/>
  <c r="C186" i="11"/>
  <c r="G186" i="11"/>
  <c r="H186" i="11"/>
  <c r="I186" i="11"/>
  <c r="J186" i="11"/>
  <c r="K186" i="11"/>
  <c r="L186" i="11"/>
  <c r="C187" i="11"/>
  <c r="G187" i="11"/>
  <c r="H187" i="11"/>
  <c r="I187" i="11"/>
  <c r="J187" i="11"/>
  <c r="K187" i="11"/>
  <c r="L187" i="11"/>
  <c r="C188" i="11"/>
  <c r="G188" i="11"/>
  <c r="H188" i="11"/>
  <c r="I188" i="11"/>
  <c r="J188" i="11"/>
  <c r="K188" i="11"/>
  <c r="L188" i="11"/>
  <c r="C189" i="11"/>
  <c r="G189" i="11"/>
  <c r="H189" i="11"/>
  <c r="I189" i="11"/>
  <c r="J189" i="11"/>
  <c r="K189" i="11"/>
  <c r="L189" i="11"/>
  <c r="C190" i="11"/>
  <c r="G190" i="11"/>
  <c r="H190" i="11"/>
  <c r="I190" i="11"/>
  <c r="J190" i="11"/>
  <c r="K190" i="11"/>
  <c r="L190" i="11"/>
  <c r="C191" i="11"/>
  <c r="G191" i="11"/>
  <c r="H191" i="11"/>
  <c r="I191" i="11"/>
  <c r="J191" i="11"/>
  <c r="K191" i="11"/>
  <c r="L191" i="11"/>
  <c r="C192" i="11"/>
  <c r="G192" i="11"/>
  <c r="H192" i="11"/>
  <c r="I192" i="11"/>
  <c r="J192" i="11"/>
  <c r="K192" i="11"/>
  <c r="L192" i="11"/>
  <c r="C193" i="11"/>
  <c r="G193" i="11"/>
  <c r="H193" i="11"/>
  <c r="I193" i="11"/>
  <c r="J193" i="11"/>
  <c r="K193" i="11"/>
  <c r="L193" i="11"/>
  <c r="C194" i="11"/>
  <c r="G194" i="11"/>
  <c r="H194" i="11"/>
  <c r="I194" i="11"/>
  <c r="J194" i="11"/>
  <c r="K194" i="11"/>
  <c r="L194" i="11"/>
  <c r="C195" i="11"/>
  <c r="G195" i="11"/>
  <c r="H195" i="11"/>
  <c r="I195" i="11"/>
  <c r="J195" i="11"/>
  <c r="K195" i="11"/>
  <c r="L195" i="11"/>
  <c r="C196" i="11"/>
  <c r="G196" i="11"/>
  <c r="H196" i="11"/>
  <c r="I196" i="11"/>
  <c r="J196" i="11"/>
  <c r="K196" i="11"/>
  <c r="L196" i="11"/>
  <c r="C197" i="11"/>
  <c r="G197" i="11"/>
  <c r="H197" i="11"/>
  <c r="I197" i="11"/>
  <c r="J197" i="11"/>
  <c r="K197" i="11"/>
  <c r="L197" i="11"/>
  <c r="C198" i="11"/>
  <c r="G198" i="11"/>
  <c r="H198" i="11"/>
  <c r="I198" i="11"/>
  <c r="J198" i="11"/>
  <c r="K198" i="11"/>
  <c r="L198" i="11"/>
  <c r="C199" i="11"/>
  <c r="G199" i="11"/>
  <c r="H199" i="11"/>
  <c r="I199" i="11"/>
  <c r="J199" i="11"/>
  <c r="K199" i="11"/>
  <c r="L199" i="11"/>
  <c r="C200" i="11"/>
  <c r="G200" i="11"/>
  <c r="H200" i="11"/>
  <c r="I200" i="11"/>
  <c r="J200" i="11"/>
  <c r="K200" i="11"/>
  <c r="L200" i="11"/>
  <c r="C201" i="11"/>
  <c r="G201" i="11"/>
  <c r="H201" i="11"/>
  <c r="I201" i="11"/>
  <c r="J201" i="11"/>
  <c r="K201" i="11"/>
  <c r="L201" i="11"/>
  <c r="C202" i="11"/>
  <c r="G202" i="11"/>
  <c r="H202" i="11"/>
  <c r="I202" i="11"/>
  <c r="J202" i="11"/>
  <c r="K202" i="11"/>
  <c r="L202" i="11"/>
  <c r="C203" i="11"/>
  <c r="G203" i="11"/>
  <c r="H203" i="11"/>
  <c r="I203" i="11"/>
  <c r="J203" i="11"/>
  <c r="K203" i="11"/>
  <c r="L203" i="11"/>
  <c r="C204" i="11"/>
  <c r="G204" i="11"/>
  <c r="H204" i="11"/>
  <c r="I204" i="11"/>
  <c r="J204" i="11"/>
  <c r="K204" i="11"/>
  <c r="L204" i="11"/>
  <c r="C205" i="11"/>
  <c r="G205" i="11"/>
  <c r="H205" i="11"/>
  <c r="I205" i="11"/>
  <c r="J205" i="11"/>
  <c r="K205" i="11"/>
  <c r="L205" i="11"/>
  <c r="C206" i="11"/>
  <c r="G206" i="11"/>
  <c r="H206" i="11"/>
  <c r="I206" i="11"/>
  <c r="J206" i="11"/>
  <c r="K206" i="11"/>
  <c r="L206" i="11"/>
  <c r="C207" i="11"/>
  <c r="G207" i="11"/>
  <c r="H207" i="11"/>
  <c r="I207" i="11"/>
  <c r="J207" i="11"/>
  <c r="K207" i="11"/>
  <c r="L207" i="11"/>
  <c r="C208" i="11"/>
  <c r="G208" i="11"/>
  <c r="H208" i="11"/>
  <c r="I208" i="11"/>
  <c r="J208" i="11"/>
  <c r="K208" i="11"/>
  <c r="L208" i="11"/>
  <c r="C209" i="11"/>
  <c r="G209" i="11"/>
  <c r="H209" i="11"/>
  <c r="I209" i="11"/>
  <c r="J209" i="11"/>
  <c r="K209" i="11"/>
  <c r="L209" i="11"/>
  <c r="C210" i="11"/>
  <c r="G210" i="11"/>
  <c r="H210" i="11"/>
  <c r="I210" i="11"/>
  <c r="J210" i="11"/>
  <c r="K210" i="11"/>
  <c r="L210" i="11"/>
  <c r="C211" i="11"/>
  <c r="G211" i="11"/>
  <c r="H211" i="11"/>
  <c r="I211" i="11"/>
  <c r="J211" i="11"/>
  <c r="K211" i="11"/>
  <c r="L211" i="11"/>
  <c r="C212" i="11"/>
  <c r="G212" i="11"/>
  <c r="H212" i="11"/>
  <c r="I212" i="11"/>
  <c r="J212" i="11"/>
  <c r="K212" i="11"/>
  <c r="L212" i="11"/>
  <c r="C213" i="11"/>
  <c r="G213" i="11"/>
  <c r="H213" i="11"/>
  <c r="I213" i="11"/>
  <c r="J213" i="11"/>
  <c r="K213" i="11"/>
  <c r="L213" i="11"/>
  <c r="C214" i="11"/>
  <c r="G214" i="11"/>
  <c r="H214" i="11"/>
  <c r="I214" i="11"/>
  <c r="J214" i="11"/>
  <c r="K214" i="11"/>
  <c r="L214" i="11"/>
  <c r="C215" i="11"/>
  <c r="G215" i="11"/>
  <c r="H215" i="11"/>
  <c r="I215" i="11"/>
  <c r="J215" i="11"/>
  <c r="K215" i="11"/>
  <c r="L215" i="11"/>
  <c r="C216" i="11"/>
  <c r="G216" i="11"/>
  <c r="H216" i="11"/>
  <c r="I216" i="11"/>
  <c r="J216" i="11"/>
  <c r="K216" i="11"/>
  <c r="L216" i="11"/>
  <c r="C217" i="11"/>
  <c r="G217" i="11"/>
  <c r="H217" i="11"/>
  <c r="I217" i="11"/>
  <c r="J217" i="11"/>
  <c r="K217" i="11"/>
  <c r="L217" i="11"/>
  <c r="C218" i="11"/>
  <c r="G218" i="11"/>
  <c r="H218" i="11"/>
  <c r="I218" i="11"/>
  <c r="J218" i="11"/>
  <c r="K218" i="11"/>
  <c r="L218" i="11"/>
  <c r="C219" i="11"/>
  <c r="G219" i="11"/>
  <c r="H219" i="11"/>
  <c r="I219" i="11"/>
  <c r="J219" i="11"/>
  <c r="K219" i="11"/>
  <c r="L219" i="11"/>
  <c r="C220" i="11"/>
  <c r="G220" i="11"/>
  <c r="H220" i="11"/>
  <c r="I220" i="11"/>
  <c r="J220" i="11"/>
  <c r="K220" i="11"/>
  <c r="L220" i="11"/>
  <c r="C221" i="11"/>
  <c r="G221" i="11"/>
  <c r="H221" i="11"/>
  <c r="I221" i="11"/>
  <c r="J221" i="11"/>
  <c r="K221" i="11"/>
  <c r="L221" i="11"/>
  <c r="C222" i="11"/>
  <c r="G222" i="11"/>
  <c r="H222" i="11"/>
  <c r="I222" i="11"/>
  <c r="J222" i="11"/>
  <c r="K222" i="11"/>
  <c r="L222" i="11"/>
  <c r="C223" i="11"/>
  <c r="G223" i="11"/>
  <c r="H223" i="11"/>
  <c r="I223" i="11"/>
  <c r="J223" i="11"/>
  <c r="K223" i="11"/>
  <c r="L223" i="11"/>
  <c r="C224" i="11"/>
  <c r="G224" i="11"/>
  <c r="H224" i="11"/>
  <c r="I224" i="11"/>
  <c r="J224" i="11"/>
  <c r="K224" i="11"/>
  <c r="L224" i="11"/>
  <c r="C225" i="11"/>
  <c r="G225" i="11"/>
  <c r="H225" i="11"/>
  <c r="I225" i="11"/>
  <c r="J225" i="11"/>
  <c r="K225" i="11"/>
  <c r="L225" i="11"/>
  <c r="C226" i="11"/>
  <c r="G226" i="11"/>
  <c r="H226" i="11"/>
  <c r="I226" i="11"/>
  <c r="J226" i="11"/>
  <c r="K226" i="11"/>
  <c r="L226" i="11"/>
  <c r="C227" i="11"/>
  <c r="G227" i="11"/>
  <c r="H227" i="11"/>
  <c r="I227" i="11"/>
  <c r="J227" i="11"/>
  <c r="K227" i="11"/>
  <c r="L227" i="11"/>
  <c r="C228" i="11"/>
  <c r="G228" i="11"/>
  <c r="H228" i="11"/>
  <c r="I228" i="11"/>
  <c r="J228" i="11"/>
  <c r="K228" i="11"/>
  <c r="L228" i="11"/>
  <c r="C229" i="11"/>
  <c r="G229" i="11"/>
  <c r="H229" i="11"/>
  <c r="I229" i="11"/>
  <c r="J229" i="11"/>
  <c r="K229" i="11"/>
  <c r="L229" i="11"/>
  <c r="C230" i="11"/>
  <c r="G230" i="11"/>
  <c r="H230" i="11"/>
  <c r="I230" i="11"/>
  <c r="J230" i="11"/>
  <c r="K230" i="11"/>
  <c r="L230" i="11"/>
  <c r="C231" i="11"/>
  <c r="G231" i="11"/>
  <c r="H231" i="11"/>
  <c r="I231" i="11"/>
  <c r="J231" i="11"/>
  <c r="K231" i="11"/>
  <c r="L231" i="11"/>
  <c r="C232" i="11"/>
  <c r="G232" i="11"/>
  <c r="H232" i="11"/>
  <c r="I232" i="11"/>
  <c r="J232" i="11"/>
  <c r="K232" i="11"/>
  <c r="L232" i="11"/>
  <c r="C233" i="11"/>
  <c r="G233" i="11"/>
  <c r="H233" i="11"/>
  <c r="I233" i="11"/>
  <c r="J233" i="11"/>
  <c r="K233" i="11"/>
  <c r="L233" i="11"/>
  <c r="C234" i="11"/>
  <c r="G234" i="11"/>
  <c r="H234" i="11"/>
  <c r="I234" i="11"/>
  <c r="J234" i="11"/>
  <c r="K234" i="11"/>
  <c r="L234" i="11"/>
  <c r="C235" i="11"/>
  <c r="G235" i="11"/>
  <c r="H235" i="11"/>
  <c r="I235" i="11"/>
  <c r="J235" i="11"/>
  <c r="K235" i="11"/>
  <c r="L235" i="11"/>
  <c r="C236" i="11"/>
  <c r="G236" i="11"/>
  <c r="H236" i="11"/>
  <c r="I236" i="11"/>
  <c r="J236" i="11"/>
  <c r="K236" i="11"/>
  <c r="L236" i="11"/>
  <c r="C237" i="11"/>
  <c r="G237" i="11"/>
  <c r="H237" i="11"/>
  <c r="I237" i="11"/>
  <c r="J237" i="11"/>
  <c r="K237" i="11"/>
  <c r="L237" i="11"/>
  <c r="C238" i="11"/>
  <c r="G238" i="11"/>
  <c r="H238" i="11"/>
  <c r="I238" i="11"/>
  <c r="J238" i="11"/>
  <c r="K238" i="11"/>
  <c r="L238" i="11"/>
  <c r="C239" i="11"/>
  <c r="G239" i="11"/>
  <c r="H239" i="11"/>
  <c r="I239" i="11"/>
  <c r="J239" i="11"/>
  <c r="K239" i="11"/>
  <c r="L239" i="11"/>
  <c r="C240" i="11"/>
  <c r="G240" i="11"/>
  <c r="H240" i="11"/>
  <c r="I240" i="11"/>
  <c r="J240" i="11"/>
  <c r="K240" i="11"/>
  <c r="L240" i="11"/>
  <c r="C241" i="11"/>
  <c r="G241" i="11"/>
  <c r="H241" i="11"/>
  <c r="I241" i="11"/>
  <c r="J241" i="11"/>
  <c r="K241" i="11"/>
  <c r="L241" i="11"/>
  <c r="C242" i="11"/>
  <c r="G242" i="11"/>
  <c r="H242" i="11"/>
  <c r="I242" i="11"/>
  <c r="J242" i="11"/>
  <c r="K242" i="11"/>
  <c r="L242" i="11"/>
  <c r="C243" i="11"/>
  <c r="G243" i="11"/>
  <c r="H243" i="11"/>
  <c r="I243" i="11"/>
  <c r="J243" i="11"/>
  <c r="K243" i="11"/>
  <c r="L243" i="11"/>
  <c r="C244" i="11"/>
  <c r="G244" i="11"/>
  <c r="H244" i="11"/>
  <c r="I244" i="11"/>
  <c r="J244" i="11"/>
  <c r="K244" i="11"/>
  <c r="L244" i="11"/>
  <c r="C245" i="11"/>
  <c r="G245" i="11"/>
  <c r="H245" i="11"/>
  <c r="I245" i="11"/>
  <c r="J245" i="11"/>
  <c r="K245" i="11"/>
  <c r="L245" i="11"/>
  <c r="C246" i="11"/>
  <c r="G246" i="11"/>
  <c r="H246" i="11"/>
  <c r="I246" i="11"/>
  <c r="J246" i="11"/>
  <c r="K246" i="11"/>
  <c r="L246" i="11"/>
  <c r="C247" i="11"/>
  <c r="G247" i="11"/>
  <c r="H247" i="11"/>
  <c r="I247" i="11"/>
  <c r="J247" i="11"/>
  <c r="K247" i="11"/>
  <c r="L247" i="11"/>
  <c r="C248" i="11"/>
  <c r="G248" i="11"/>
  <c r="H248" i="11"/>
  <c r="I248" i="11"/>
  <c r="J248" i="11"/>
  <c r="K248" i="11"/>
  <c r="L248" i="11"/>
  <c r="C249" i="11"/>
  <c r="G249" i="11"/>
  <c r="H249" i="11"/>
  <c r="I249" i="11"/>
  <c r="J249" i="11"/>
  <c r="K249" i="11"/>
  <c r="L249" i="11"/>
  <c r="C250" i="11"/>
  <c r="G250" i="11"/>
  <c r="H250" i="11"/>
  <c r="I250" i="11"/>
  <c r="J250" i="11"/>
  <c r="K250" i="11"/>
  <c r="L250" i="11"/>
  <c r="C251" i="11"/>
  <c r="G251" i="11"/>
  <c r="H251" i="11"/>
  <c r="I251" i="11"/>
  <c r="J251" i="11"/>
  <c r="K251" i="11"/>
  <c r="L251" i="11"/>
  <c r="C252" i="11"/>
  <c r="G252" i="11"/>
  <c r="H252" i="11"/>
  <c r="I252" i="11"/>
  <c r="J252" i="11"/>
  <c r="K252" i="11"/>
  <c r="L252" i="11"/>
  <c r="C253" i="11"/>
  <c r="G253" i="11"/>
  <c r="H253" i="11"/>
  <c r="I253" i="11"/>
  <c r="J253" i="11"/>
  <c r="K253" i="11"/>
  <c r="L253" i="11"/>
  <c r="C254" i="11"/>
  <c r="G254" i="11"/>
  <c r="H254" i="11"/>
  <c r="I254" i="11"/>
  <c r="J254" i="11"/>
  <c r="K254" i="11"/>
  <c r="L254" i="11"/>
  <c r="C255" i="11"/>
  <c r="G255" i="11"/>
  <c r="H255" i="11"/>
  <c r="I255" i="11"/>
  <c r="J255" i="11"/>
  <c r="K255" i="11"/>
  <c r="L255" i="11"/>
  <c r="C256" i="11"/>
  <c r="G256" i="11"/>
  <c r="H256" i="11"/>
  <c r="I256" i="11"/>
  <c r="J256" i="11"/>
  <c r="K256" i="11"/>
  <c r="L256" i="11"/>
  <c r="C257" i="11"/>
  <c r="G257" i="11"/>
  <c r="H257" i="11"/>
  <c r="I257" i="11"/>
  <c r="J257" i="11"/>
  <c r="K257" i="11"/>
  <c r="L257" i="11"/>
  <c r="C258" i="11"/>
  <c r="G258" i="11"/>
  <c r="H258" i="11"/>
  <c r="I258" i="11"/>
  <c r="J258" i="11"/>
  <c r="K258" i="11"/>
  <c r="L258" i="11"/>
  <c r="C259" i="11"/>
  <c r="G259" i="11"/>
  <c r="H259" i="11"/>
  <c r="I259" i="11"/>
  <c r="J259" i="11"/>
  <c r="K259" i="11"/>
  <c r="L259" i="11"/>
  <c r="C260" i="11"/>
  <c r="G260" i="11"/>
  <c r="H260" i="11"/>
  <c r="I260" i="11"/>
  <c r="J260" i="11"/>
  <c r="K260" i="11"/>
  <c r="L260" i="11"/>
  <c r="C261" i="11"/>
  <c r="G261" i="11"/>
  <c r="H261" i="11"/>
  <c r="I261" i="11"/>
  <c r="J261" i="11"/>
  <c r="K261" i="11"/>
  <c r="L261" i="11"/>
  <c r="C262" i="11"/>
  <c r="G262" i="11"/>
  <c r="H262" i="11"/>
  <c r="I262" i="11"/>
  <c r="J262" i="11"/>
  <c r="K262" i="11"/>
  <c r="L262" i="11"/>
  <c r="C263" i="11"/>
  <c r="G263" i="11"/>
  <c r="H263" i="11"/>
  <c r="I263" i="11"/>
  <c r="J263" i="11"/>
  <c r="K263" i="11"/>
  <c r="L263" i="11"/>
  <c r="C264" i="11"/>
  <c r="G264" i="11"/>
  <c r="H264" i="11"/>
  <c r="I264" i="11"/>
  <c r="J264" i="11"/>
  <c r="K264" i="11"/>
  <c r="L264" i="11"/>
  <c r="C265" i="11"/>
  <c r="G265" i="11"/>
  <c r="H265" i="11"/>
  <c r="I265" i="11"/>
  <c r="J265" i="11"/>
  <c r="K265" i="11"/>
  <c r="L265" i="11"/>
  <c r="C266" i="11"/>
  <c r="G266" i="11"/>
  <c r="H266" i="11"/>
  <c r="I266" i="11"/>
  <c r="J266" i="11"/>
  <c r="K266" i="11"/>
  <c r="L266" i="11"/>
  <c r="C267" i="11"/>
  <c r="G267" i="11"/>
  <c r="H267" i="11"/>
  <c r="I267" i="11"/>
  <c r="J267" i="11"/>
  <c r="K267" i="11"/>
  <c r="L267" i="11"/>
  <c r="C268" i="11"/>
  <c r="G268" i="11"/>
  <c r="H268" i="11"/>
  <c r="I268" i="11"/>
  <c r="J268" i="11"/>
  <c r="K268" i="11"/>
  <c r="L268" i="11"/>
  <c r="C269" i="11"/>
  <c r="G269" i="11"/>
  <c r="H269" i="11"/>
  <c r="I269" i="11"/>
  <c r="J269" i="11"/>
  <c r="K269" i="11"/>
  <c r="L269" i="11"/>
  <c r="C270" i="11"/>
  <c r="G270" i="11"/>
  <c r="H270" i="11"/>
  <c r="I270" i="11"/>
  <c r="J270" i="11"/>
  <c r="K270" i="11"/>
  <c r="L270" i="11"/>
  <c r="C271" i="11"/>
  <c r="G271" i="11"/>
  <c r="H271" i="11"/>
  <c r="I271" i="11"/>
  <c r="J271" i="11"/>
  <c r="K271" i="11"/>
  <c r="L271" i="11"/>
  <c r="C272" i="11"/>
  <c r="G272" i="11"/>
  <c r="H272" i="11"/>
  <c r="I272" i="11"/>
  <c r="J272" i="11"/>
  <c r="K272" i="11"/>
  <c r="L272" i="11"/>
  <c r="C273" i="11"/>
  <c r="G273" i="11"/>
  <c r="H273" i="11"/>
  <c r="I273" i="11"/>
  <c r="J273" i="11"/>
  <c r="K273" i="11"/>
  <c r="L273" i="11"/>
  <c r="C274" i="11"/>
  <c r="G274" i="11"/>
  <c r="H274" i="11"/>
  <c r="I274" i="11"/>
  <c r="J274" i="11"/>
  <c r="K274" i="11"/>
  <c r="L274" i="11"/>
  <c r="C275" i="11"/>
  <c r="G275" i="11"/>
  <c r="H275" i="11"/>
  <c r="I275" i="11"/>
  <c r="J275" i="11"/>
  <c r="K275" i="11"/>
  <c r="L275" i="11"/>
  <c r="C276" i="11"/>
  <c r="G276" i="11"/>
  <c r="H276" i="11"/>
  <c r="I276" i="11"/>
  <c r="J276" i="11"/>
  <c r="K276" i="11"/>
  <c r="L276" i="11"/>
  <c r="C277" i="11"/>
  <c r="G277" i="11"/>
  <c r="H277" i="11"/>
  <c r="I277" i="11"/>
  <c r="J277" i="11"/>
  <c r="K277" i="11"/>
  <c r="L277" i="11"/>
  <c r="C278" i="11"/>
  <c r="G278" i="11"/>
  <c r="H278" i="11"/>
  <c r="I278" i="11"/>
  <c r="J278" i="11"/>
  <c r="K278" i="11"/>
  <c r="L278" i="11"/>
  <c r="C279" i="11"/>
  <c r="G279" i="11"/>
  <c r="H279" i="11"/>
  <c r="I279" i="11"/>
  <c r="J279" i="11"/>
  <c r="K279" i="11"/>
  <c r="L279" i="11"/>
  <c r="C280" i="11"/>
  <c r="G280" i="11"/>
  <c r="H280" i="11"/>
  <c r="I280" i="11"/>
  <c r="J280" i="11"/>
  <c r="K280" i="11"/>
  <c r="L280" i="11"/>
  <c r="C281" i="11"/>
  <c r="G281" i="11"/>
  <c r="H281" i="11"/>
  <c r="I281" i="11"/>
  <c r="J281" i="11"/>
  <c r="K281" i="11"/>
  <c r="L281" i="11"/>
  <c r="C282" i="11"/>
  <c r="G282" i="11"/>
  <c r="H282" i="11"/>
  <c r="I282" i="11"/>
  <c r="J282" i="11"/>
  <c r="K282" i="11"/>
  <c r="L282" i="11"/>
  <c r="C283" i="11"/>
  <c r="G283" i="11"/>
  <c r="H283" i="11"/>
  <c r="I283" i="11"/>
  <c r="J283" i="11"/>
  <c r="K283" i="11"/>
  <c r="L283" i="11"/>
  <c r="C284" i="11"/>
  <c r="G284" i="11"/>
  <c r="H284" i="11"/>
  <c r="I284" i="11"/>
  <c r="J284" i="11"/>
  <c r="K284" i="11"/>
  <c r="L284" i="11"/>
  <c r="C285" i="11"/>
  <c r="G285" i="11"/>
  <c r="H285" i="11"/>
  <c r="I285" i="11"/>
  <c r="J285" i="11"/>
  <c r="K285" i="11"/>
  <c r="L285" i="11"/>
  <c r="C286" i="11"/>
  <c r="G286" i="11"/>
  <c r="H286" i="11"/>
  <c r="I286" i="11"/>
  <c r="J286" i="11"/>
  <c r="K286" i="11"/>
  <c r="L286" i="11"/>
  <c r="C287" i="11"/>
  <c r="G287" i="11"/>
  <c r="H287" i="11"/>
  <c r="I287" i="11"/>
  <c r="J287" i="11"/>
  <c r="K287" i="11"/>
  <c r="L287" i="11"/>
  <c r="C288" i="11"/>
  <c r="G288" i="11"/>
  <c r="H288" i="11"/>
  <c r="I288" i="11"/>
  <c r="J288" i="11"/>
  <c r="K288" i="11"/>
  <c r="L288" i="11"/>
  <c r="C289" i="11"/>
  <c r="G289" i="11"/>
  <c r="H289" i="11"/>
  <c r="I289" i="11"/>
  <c r="J289" i="11"/>
  <c r="K289" i="11"/>
  <c r="L289" i="11"/>
  <c r="C290" i="11"/>
  <c r="G290" i="11"/>
  <c r="H290" i="11"/>
  <c r="I290" i="11"/>
  <c r="J290" i="11"/>
  <c r="K290" i="11"/>
  <c r="L290" i="11"/>
  <c r="C291" i="11"/>
  <c r="G291" i="11"/>
  <c r="H291" i="11"/>
  <c r="I291" i="11"/>
  <c r="J291" i="11"/>
  <c r="K291" i="11"/>
  <c r="L291" i="11"/>
  <c r="C292" i="11"/>
  <c r="G292" i="11"/>
  <c r="H292" i="11"/>
  <c r="I292" i="11"/>
  <c r="J292" i="11"/>
  <c r="K292" i="11"/>
  <c r="L292" i="11"/>
  <c r="C293" i="11"/>
  <c r="G293" i="11"/>
  <c r="H293" i="11"/>
  <c r="I293" i="11"/>
  <c r="J293" i="11"/>
  <c r="K293" i="11"/>
  <c r="L293" i="11"/>
  <c r="C294" i="11"/>
  <c r="G294" i="11"/>
  <c r="H294" i="11"/>
  <c r="I294" i="11"/>
  <c r="J294" i="11"/>
  <c r="K294" i="11"/>
  <c r="L294" i="11"/>
  <c r="C295" i="11"/>
  <c r="G295" i="11"/>
  <c r="H295" i="11"/>
  <c r="I295" i="11"/>
  <c r="J295" i="11"/>
  <c r="K295" i="11"/>
  <c r="L295" i="11"/>
  <c r="C296" i="11"/>
  <c r="G296" i="11"/>
  <c r="H296" i="11"/>
  <c r="I296" i="11"/>
  <c r="J296" i="11"/>
  <c r="K296" i="11"/>
  <c r="L296" i="11"/>
  <c r="C297" i="11"/>
  <c r="G297" i="11"/>
  <c r="H297" i="11"/>
  <c r="I297" i="11"/>
  <c r="J297" i="11"/>
  <c r="K297" i="11"/>
  <c r="L297" i="11"/>
  <c r="C298" i="11"/>
  <c r="G298" i="11"/>
  <c r="H298" i="11"/>
  <c r="I298" i="11"/>
  <c r="J298" i="11"/>
  <c r="K298" i="11"/>
  <c r="L298" i="11"/>
  <c r="C299" i="11"/>
  <c r="G299" i="11"/>
  <c r="H299" i="11"/>
  <c r="I299" i="11"/>
  <c r="J299" i="11"/>
  <c r="K299" i="11"/>
  <c r="L299" i="11"/>
  <c r="C300" i="11"/>
  <c r="G300" i="11"/>
  <c r="H300" i="11"/>
  <c r="I300" i="11"/>
  <c r="J300" i="11"/>
  <c r="K300" i="11"/>
  <c r="L300" i="11"/>
  <c r="C301" i="11"/>
  <c r="G301" i="11"/>
  <c r="H301" i="11"/>
  <c r="I301" i="11"/>
  <c r="J301" i="11"/>
  <c r="K301" i="11"/>
  <c r="L301" i="11"/>
  <c r="C302" i="11"/>
  <c r="G302" i="11"/>
  <c r="H302" i="11"/>
  <c r="I302" i="11"/>
  <c r="J302" i="11"/>
  <c r="K302" i="11"/>
  <c r="L302" i="11"/>
  <c r="C303" i="11"/>
  <c r="G303" i="11"/>
  <c r="H303" i="11"/>
  <c r="I303" i="11"/>
  <c r="J303" i="11"/>
  <c r="K303" i="11"/>
  <c r="L303" i="11"/>
  <c r="C304" i="11"/>
  <c r="G304" i="11"/>
  <c r="H304" i="11"/>
  <c r="I304" i="11"/>
  <c r="J304" i="11"/>
  <c r="K304" i="11"/>
  <c r="L304" i="11"/>
  <c r="C305" i="11"/>
  <c r="G305" i="11"/>
  <c r="H305" i="11"/>
  <c r="I305" i="11"/>
  <c r="J305" i="11"/>
  <c r="K305" i="11"/>
  <c r="L305" i="11"/>
  <c r="C306" i="11"/>
  <c r="G306" i="11"/>
  <c r="H306" i="11"/>
  <c r="I306" i="11"/>
  <c r="J306" i="11"/>
  <c r="K306" i="11"/>
  <c r="L306" i="11"/>
  <c r="C307" i="11"/>
  <c r="G307" i="11"/>
  <c r="H307" i="11"/>
  <c r="I307" i="11"/>
  <c r="J307" i="11"/>
  <c r="K307" i="11"/>
  <c r="L307" i="11"/>
  <c r="C308" i="11"/>
  <c r="G308" i="11"/>
  <c r="H308" i="11"/>
  <c r="I308" i="11"/>
  <c r="J308" i="11"/>
  <c r="K308" i="11"/>
  <c r="L308" i="11"/>
  <c r="C309" i="11"/>
  <c r="G309" i="11"/>
  <c r="H309" i="11"/>
  <c r="I309" i="11"/>
  <c r="J309" i="11"/>
  <c r="K309" i="11"/>
  <c r="L309" i="11"/>
  <c r="C310" i="11"/>
  <c r="G310" i="11"/>
  <c r="H310" i="11"/>
  <c r="I310" i="11"/>
  <c r="J310" i="11"/>
  <c r="K310" i="11"/>
  <c r="L310" i="11"/>
  <c r="C311" i="11"/>
  <c r="G311" i="11"/>
  <c r="H311" i="11"/>
  <c r="I311" i="11"/>
  <c r="J311" i="11"/>
  <c r="K311" i="11"/>
  <c r="L311" i="11"/>
  <c r="C312" i="11"/>
  <c r="G312" i="11"/>
  <c r="H312" i="11"/>
  <c r="I312" i="11"/>
  <c r="J312" i="11"/>
  <c r="K312" i="11"/>
  <c r="L312" i="11"/>
  <c r="C313" i="11"/>
  <c r="G313" i="11"/>
  <c r="H313" i="11"/>
  <c r="I313" i="11"/>
  <c r="J313" i="11"/>
  <c r="K313" i="11"/>
  <c r="L313" i="11"/>
  <c r="C314" i="11"/>
  <c r="G314" i="11"/>
  <c r="H314" i="11"/>
  <c r="I314" i="11"/>
  <c r="J314" i="11"/>
  <c r="K314" i="11"/>
  <c r="L314" i="11"/>
  <c r="C315" i="11"/>
  <c r="G315" i="11"/>
  <c r="H315" i="11"/>
  <c r="I315" i="11"/>
  <c r="J315" i="11"/>
  <c r="K315" i="11"/>
  <c r="L315" i="11"/>
  <c r="C316" i="11"/>
  <c r="G316" i="11"/>
  <c r="H316" i="11"/>
  <c r="I316" i="11"/>
  <c r="J316" i="11"/>
  <c r="K316" i="11"/>
  <c r="L316" i="11"/>
  <c r="C317" i="11"/>
  <c r="G317" i="11"/>
  <c r="H317" i="11"/>
  <c r="I317" i="11"/>
  <c r="J317" i="11"/>
  <c r="K317" i="11"/>
  <c r="L317" i="11"/>
  <c r="C318" i="11"/>
  <c r="G318" i="11"/>
  <c r="H318" i="11"/>
  <c r="I318" i="11"/>
  <c r="J318" i="11"/>
  <c r="K318" i="11"/>
  <c r="L318" i="11"/>
  <c r="C319" i="11"/>
  <c r="G319" i="11"/>
  <c r="H319" i="11"/>
  <c r="I319" i="11"/>
  <c r="J319" i="11"/>
  <c r="K319" i="11"/>
  <c r="L319" i="11"/>
  <c r="C320" i="11"/>
  <c r="G320" i="11"/>
  <c r="H320" i="11"/>
  <c r="I320" i="11"/>
  <c r="J320" i="11"/>
  <c r="K320" i="11"/>
  <c r="L320" i="11"/>
  <c r="C321" i="11"/>
  <c r="G321" i="11"/>
  <c r="H321" i="11"/>
  <c r="I321" i="11"/>
  <c r="J321" i="11"/>
  <c r="K321" i="11"/>
  <c r="L321" i="11"/>
  <c r="C322" i="11"/>
  <c r="G322" i="11"/>
  <c r="H322" i="11"/>
  <c r="I322" i="11"/>
  <c r="J322" i="11"/>
  <c r="K322" i="11"/>
  <c r="L322" i="11"/>
  <c r="C323" i="11"/>
  <c r="G323" i="11"/>
  <c r="H323" i="11"/>
  <c r="I323" i="11"/>
  <c r="J323" i="11"/>
  <c r="K323" i="11"/>
  <c r="L323" i="11"/>
  <c r="C324" i="11"/>
  <c r="G324" i="11"/>
  <c r="H324" i="11"/>
  <c r="I324" i="11"/>
  <c r="J324" i="11"/>
  <c r="K324" i="11"/>
  <c r="L324" i="11"/>
  <c r="C325" i="11"/>
  <c r="G325" i="11"/>
  <c r="H325" i="11"/>
  <c r="I325" i="11"/>
  <c r="J325" i="11"/>
  <c r="K325" i="11"/>
  <c r="L325" i="11"/>
  <c r="C326" i="11"/>
  <c r="G326" i="11"/>
  <c r="H326" i="11"/>
  <c r="I326" i="11"/>
  <c r="J326" i="11"/>
  <c r="K326" i="11"/>
  <c r="L326" i="11"/>
  <c r="C327" i="11"/>
  <c r="G327" i="11"/>
  <c r="H327" i="11"/>
  <c r="I327" i="11"/>
  <c r="J327" i="11"/>
  <c r="K327" i="11"/>
  <c r="L327" i="11"/>
  <c r="C328" i="11"/>
  <c r="G328" i="11"/>
  <c r="H328" i="11"/>
  <c r="I328" i="11"/>
  <c r="J328" i="11"/>
  <c r="K328" i="11"/>
  <c r="L328" i="11"/>
  <c r="C329" i="11"/>
  <c r="G329" i="11"/>
  <c r="H329" i="11"/>
  <c r="I329" i="11"/>
  <c r="J329" i="11"/>
  <c r="K329" i="11"/>
  <c r="L329" i="11"/>
  <c r="C330" i="11"/>
  <c r="G330" i="11"/>
  <c r="H330" i="11"/>
  <c r="I330" i="11"/>
  <c r="J330" i="11"/>
  <c r="K330" i="11"/>
  <c r="L330" i="11"/>
  <c r="C331" i="11"/>
  <c r="G331" i="11"/>
  <c r="H331" i="11"/>
  <c r="I331" i="11"/>
  <c r="J331" i="11"/>
  <c r="K331" i="11"/>
  <c r="L331" i="11"/>
  <c r="C332" i="11"/>
  <c r="G332" i="11"/>
  <c r="H332" i="11"/>
  <c r="I332" i="11"/>
  <c r="J332" i="11"/>
  <c r="K332" i="11"/>
  <c r="L332" i="11"/>
  <c r="C333" i="11"/>
  <c r="G333" i="11"/>
  <c r="H333" i="11"/>
  <c r="I333" i="11"/>
  <c r="J333" i="11"/>
  <c r="K333" i="11"/>
  <c r="L333" i="11"/>
  <c r="C334" i="11"/>
  <c r="G334" i="11"/>
  <c r="H334" i="11"/>
  <c r="I334" i="11"/>
  <c r="J334" i="11"/>
  <c r="K334" i="11"/>
  <c r="L334" i="11"/>
  <c r="C335" i="11"/>
  <c r="G335" i="11"/>
  <c r="H335" i="11"/>
  <c r="I335" i="11"/>
  <c r="J335" i="11"/>
  <c r="K335" i="11"/>
  <c r="L335" i="11"/>
  <c r="C336" i="11"/>
  <c r="G336" i="11"/>
  <c r="H336" i="11"/>
  <c r="I336" i="11"/>
  <c r="J336" i="11"/>
  <c r="K336" i="11"/>
  <c r="L336" i="11"/>
  <c r="C337" i="11"/>
  <c r="G337" i="11"/>
  <c r="H337" i="11"/>
  <c r="I337" i="11"/>
  <c r="J337" i="11"/>
  <c r="K337" i="11"/>
  <c r="L337" i="11"/>
  <c r="C338" i="11"/>
  <c r="G338" i="11"/>
  <c r="H338" i="11"/>
  <c r="I338" i="11"/>
  <c r="J338" i="11"/>
  <c r="K338" i="11"/>
  <c r="L338" i="11"/>
  <c r="C339" i="11"/>
  <c r="G339" i="11"/>
  <c r="H339" i="11"/>
  <c r="I339" i="11"/>
  <c r="J339" i="11"/>
  <c r="K339" i="11"/>
  <c r="L339" i="11"/>
  <c r="C340" i="11"/>
  <c r="G340" i="11"/>
  <c r="H340" i="11"/>
  <c r="I340" i="11"/>
  <c r="J340" i="11"/>
  <c r="K340" i="11"/>
  <c r="L340" i="11"/>
  <c r="C341" i="11"/>
  <c r="G341" i="11"/>
  <c r="H341" i="11"/>
  <c r="I341" i="11"/>
  <c r="J341" i="11"/>
  <c r="K341" i="11"/>
  <c r="L341" i="11"/>
  <c r="C342" i="11"/>
  <c r="G342" i="11"/>
  <c r="H342" i="11"/>
  <c r="I342" i="11"/>
  <c r="J342" i="11"/>
  <c r="K342" i="11"/>
  <c r="L342" i="11"/>
  <c r="C343" i="11"/>
  <c r="G343" i="11"/>
  <c r="H343" i="11"/>
  <c r="I343" i="11"/>
  <c r="J343" i="11"/>
  <c r="K343" i="11"/>
  <c r="L343" i="11"/>
  <c r="C344" i="11"/>
  <c r="G344" i="11"/>
  <c r="H344" i="11"/>
  <c r="I344" i="11"/>
  <c r="J344" i="11"/>
  <c r="K344" i="11"/>
  <c r="L344" i="11"/>
  <c r="C345" i="11"/>
  <c r="G345" i="11"/>
  <c r="H345" i="11"/>
  <c r="I345" i="11"/>
  <c r="J345" i="11"/>
  <c r="K345" i="11"/>
  <c r="L345" i="11"/>
  <c r="C346" i="11"/>
  <c r="G346" i="11"/>
  <c r="H346" i="11"/>
  <c r="I346" i="11"/>
  <c r="J346" i="11"/>
  <c r="K346" i="11"/>
  <c r="L346" i="11"/>
  <c r="C347" i="11"/>
  <c r="G347" i="11"/>
  <c r="H347" i="11"/>
  <c r="I347" i="11"/>
  <c r="J347" i="11"/>
  <c r="K347" i="11"/>
  <c r="L347" i="11"/>
  <c r="C348" i="11"/>
  <c r="G348" i="11"/>
  <c r="H348" i="11"/>
  <c r="I348" i="11"/>
  <c r="J348" i="11"/>
  <c r="K348" i="11"/>
  <c r="L348" i="11"/>
  <c r="C349" i="11"/>
  <c r="G349" i="11"/>
  <c r="H349" i="11"/>
  <c r="I349" i="11"/>
  <c r="J349" i="11"/>
  <c r="K349" i="11"/>
  <c r="L349" i="11"/>
  <c r="C350" i="11"/>
  <c r="G350" i="11"/>
  <c r="H350" i="11"/>
  <c r="I350" i="11"/>
  <c r="J350" i="11"/>
  <c r="K350" i="11"/>
  <c r="L350" i="11"/>
  <c r="C351" i="11"/>
  <c r="G351" i="11"/>
  <c r="H351" i="11"/>
  <c r="I351" i="11"/>
  <c r="J351" i="11"/>
  <c r="K351" i="11"/>
  <c r="L351" i="11"/>
  <c r="C352" i="11"/>
  <c r="G352" i="11"/>
  <c r="H352" i="11"/>
  <c r="I352" i="11"/>
  <c r="J352" i="11"/>
  <c r="K352" i="11"/>
  <c r="L352" i="11"/>
  <c r="C353" i="11"/>
  <c r="G353" i="11"/>
  <c r="H353" i="11"/>
  <c r="I353" i="11"/>
  <c r="J353" i="11"/>
  <c r="K353" i="11"/>
  <c r="L353" i="11"/>
  <c r="C354" i="11"/>
  <c r="G354" i="11"/>
  <c r="H354" i="11"/>
  <c r="I354" i="11"/>
  <c r="J354" i="11"/>
  <c r="K354" i="11"/>
  <c r="L354" i="11"/>
  <c r="C355" i="11"/>
  <c r="G355" i="11"/>
  <c r="H355" i="11"/>
  <c r="I355" i="11"/>
  <c r="J355" i="11"/>
  <c r="K355" i="11"/>
  <c r="L355" i="11"/>
  <c r="C356" i="11"/>
  <c r="G356" i="11"/>
  <c r="H356" i="11"/>
  <c r="I356" i="11"/>
  <c r="J356" i="11"/>
  <c r="K356" i="11"/>
  <c r="L356" i="11"/>
  <c r="C357" i="11"/>
  <c r="G357" i="11"/>
  <c r="H357" i="11"/>
  <c r="I357" i="11"/>
  <c r="J357" i="11"/>
  <c r="K357" i="11"/>
  <c r="L357" i="11"/>
  <c r="C358" i="11"/>
  <c r="G358" i="11"/>
  <c r="H358" i="11"/>
  <c r="I358" i="11"/>
  <c r="J358" i="11"/>
  <c r="K358" i="11"/>
  <c r="L358" i="11"/>
  <c r="C359" i="11"/>
  <c r="G359" i="11"/>
  <c r="H359" i="11"/>
  <c r="I359" i="11"/>
  <c r="J359" i="11"/>
  <c r="K359" i="11"/>
  <c r="L359" i="11"/>
  <c r="C360" i="11"/>
  <c r="G360" i="11"/>
  <c r="H360" i="11"/>
  <c r="I360" i="11"/>
  <c r="J360" i="11"/>
  <c r="K360" i="11"/>
  <c r="L360" i="11"/>
  <c r="C361" i="11"/>
  <c r="G361" i="11"/>
  <c r="H361" i="11"/>
  <c r="I361" i="11"/>
  <c r="J361" i="11"/>
  <c r="K361" i="11"/>
  <c r="L361" i="11"/>
  <c r="C362" i="11"/>
  <c r="G362" i="11"/>
  <c r="H362" i="11"/>
  <c r="I362" i="11"/>
  <c r="J362" i="11"/>
  <c r="K362" i="11"/>
  <c r="L362" i="11"/>
  <c r="C363" i="11"/>
  <c r="G363" i="11"/>
  <c r="H363" i="11"/>
  <c r="I363" i="11"/>
  <c r="J363" i="11"/>
  <c r="K363" i="11"/>
  <c r="L363" i="11"/>
  <c r="C364" i="11"/>
  <c r="G364" i="11"/>
  <c r="H364" i="11"/>
  <c r="I364" i="11"/>
  <c r="J364" i="11"/>
  <c r="K364" i="11"/>
  <c r="L364" i="11"/>
  <c r="C365" i="11"/>
  <c r="G365" i="11"/>
  <c r="H365" i="11"/>
  <c r="I365" i="11"/>
  <c r="J365" i="11"/>
  <c r="K365" i="11"/>
  <c r="L365" i="11"/>
  <c r="C366" i="11"/>
  <c r="G366" i="11"/>
  <c r="H366" i="11"/>
  <c r="I366" i="11"/>
  <c r="J366" i="11"/>
  <c r="K366" i="11"/>
  <c r="L366" i="11"/>
  <c r="C367" i="11"/>
  <c r="G367" i="11"/>
  <c r="H367" i="11"/>
  <c r="I367" i="11"/>
  <c r="J367" i="11"/>
  <c r="K367" i="11"/>
  <c r="L367" i="11"/>
  <c r="C368" i="11"/>
  <c r="G368" i="11"/>
  <c r="H368" i="11"/>
  <c r="I368" i="11"/>
  <c r="J368" i="11"/>
  <c r="K368" i="11"/>
  <c r="L368" i="11"/>
  <c r="C369" i="11"/>
  <c r="G369" i="11"/>
  <c r="H369" i="11"/>
  <c r="I369" i="11"/>
  <c r="J369" i="11"/>
  <c r="K369" i="11"/>
  <c r="L369" i="11"/>
  <c r="C370" i="11"/>
  <c r="G370" i="11"/>
  <c r="H370" i="11"/>
  <c r="I370" i="11"/>
  <c r="J370" i="11"/>
  <c r="K370" i="11"/>
  <c r="L370" i="11"/>
  <c r="C371" i="11"/>
  <c r="G371" i="11"/>
  <c r="H371" i="11"/>
  <c r="I371" i="11"/>
  <c r="J371" i="11"/>
  <c r="K371" i="11"/>
  <c r="L371" i="11"/>
  <c r="C372" i="11"/>
  <c r="G372" i="11"/>
  <c r="H372" i="11"/>
  <c r="I372" i="11"/>
  <c r="J372" i="11"/>
  <c r="K372" i="11"/>
  <c r="L372" i="11"/>
  <c r="C373" i="11"/>
  <c r="G373" i="11"/>
  <c r="H373" i="11"/>
  <c r="I373" i="11"/>
  <c r="J373" i="11"/>
  <c r="K373" i="11"/>
  <c r="L373" i="11"/>
  <c r="C374" i="11"/>
  <c r="G374" i="11"/>
  <c r="H374" i="11"/>
  <c r="I374" i="11"/>
  <c r="J374" i="11"/>
  <c r="K374" i="11"/>
  <c r="L374" i="11"/>
  <c r="C375" i="11"/>
  <c r="G375" i="11"/>
  <c r="H375" i="11"/>
  <c r="I375" i="11"/>
  <c r="J375" i="11"/>
  <c r="K375" i="11"/>
  <c r="L375" i="11"/>
  <c r="C376" i="11"/>
  <c r="G376" i="11"/>
  <c r="H376" i="11"/>
  <c r="I376" i="11"/>
  <c r="J376" i="11"/>
  <c r="K376" i="11"/>
  <c r="L376" i="11"/>
  <c r="C377" i="11"/>
  <c r="G377" i="11"/>
  <c r="H377" i="11"/>
  <c r="I377" i="11"/>
  <c r="J377" i="11"/>
  <c r="K377" i="11"/>
  <c r="L377" i="11"/>
  <c r="C378" i="11"/>
  <c r="G378" i="11"/>
  <c r="H378" i="11"/>
  <c r="I378" i="11"/>
  <c r="J378" i="11"/>
  <c r="K378" i="11"/>
  <c r="L378" i="11"/>
  <c r="C379" i="11"/>
  <c r="G379" i="11"/>
  <c r="H379" i="11"/>
  <c r="I379" i="11"/>
  <c r="J379" i="11"/>
  <c r="K379" i="11"/>
  <c r="L379" i="11"/>
  <c r="C380" i="11"/>
  <c r="G380" i="11"/>
  <c r="H380" i="11"/>
  <c r="I380" i="11"/>
  <c r="J380" i="11"/>
  <c r="K380" i="11"/>
  <c r="L380" i="11"/>
  <c r="C381" i="11"/>
  <c r="G381" i="11"/>
  <c r="H381" i="11"/>
  <c r="I381" i="11"/>
  <c r="J381" i="11"/>
  <c r="K381" i="11"/>
  <c r="L381" i="11"/>
  <c r="C382" i="11"/>
  <c r="G382" i="11"/>
  <c r="H382" i="11"/>
  <c r="I382" i="11"/>
  <c r="J382" i="11"/>
  <c r="K382" i="11"/>
  <c r="L382" i="11"/>
  <c r="C383" i="11"/>
  <c r="G383" i="11"/>
  <c r="H383" i="11"/>
  <c r="I383" i="11"/>
  <c r="J383" i="11"/>
  <c r="K383" i="11"/>
  <c r="L383" i="11"/>
  <c r="C384" i="11"/>
  <c r="G384" i="11"/>
  <c r="H384" i="11"/>
  <c r="I384" i="11"/>
  <c r="J384" i="11"/>
  <c r="K384" i="11"/>
  <c r="L384" i="11"/>
  <c r="C385" i="11"/>
  <c r="G385" i="11"/>
  <c r="H385" i="11"/>
  <c r="I385" i="11"/>
  <c r="J385" i="11"/>
  <c r="K385" i="11"/>
  <c r="L385" i="11"/>
  <c r="C386" i="11"/>
  <c r="G386" i="11"/>
  <c r="H386" i="11"/>
  <c r="I386" i="11"/>
  <c r="J386" i="11"/>
  <c r="K386" i="11"/>
  <c r="L386" i="11"/>
  <c r="C387" i="11"/>
  <c r="G387" i="11"/>
  <c r="H387" i="11"/>
  <c r="I387" i="11"/>
  <c r="J387" i="11"/>
  <c r="K387" i="11"/>
  <c r="L387" i="11"/>
  <c r="C388" i="11"/>
  <c r="G388" i="11"/>
  <c r="H388" i="11"/>
  <c r="I388" i="11"/>
  <c r="J388" i="11"/>
  <c r="K388" i="11"/>
  <c r="L388" i="11"/>
  <c r="C389" i="11"/>
  <c r="G389" i="11"/>
  <c r="H389" i="11"/>
  <c r="I389" i="11"/>
  <c r="J389" i="11"/>
  <c r="K389" i="11"/>
  <c r="L389" i="11"/>
  <c r="C390" i="11"/>
  <c r="G390" i="11"/>
  <c r="H390" i="11"/>
  <c r="I390" i="11"/>
  <c r="J390" i="11"/>
  <c r="K390" i="11"/>
  <c r="L390" i="11"/>
  <c r="C391" i="11"/>
  <c r="G391" i="11"/>
  <c r="H391" i="11"/>
  <c r="I391" i="11"/>
  <c r="J391" i="11"/>
  <c r="K391" i="11"/>
  <c r="L391" i="11"/>
  <c r="C392" i="11"/>
  <c r="G392" i="11"/>
  <c r="H392" i="11"/>
  <c r="I392" i="11"/>
  <c r="J392" i="11"/>
  <c r="K392" i="11"/>
  <c r="L392" i="11"/>
  <c r="C393" i="11"/>
  <c r="G393" i="11"/>
  <c r="H393" i="11"/>
  <c r="I393" i="11"/>
  <c r="J393" i="11"/>
  <c r="K393" i="11"/>
  <c r="L393" i="11"/>
  <c r="C394" i="11"/>
  <c r="G394" i="11"/>
  <c r="H394" i="11"/>
  <c r="I394" i="11"/>
  <c r="J394" i="11"/>
  <c r="K394" i="11"/>
  <c r="L394" i="11"/>
  <c r="C395" i="11"/>
  <c r="G395" i="11"/>
  <c r="H395" i="11"/>
  <c r="I395" i="11"/>
  <c r="J395" i="11"/>
  <c r="K395" i="11"/>
  <c r="L395" i="11"/>
  <c r="C396" i="11"/>
  <c r="G396" i="11"/>
  <c r="H396" i="11"/>
  <c r="I396" i="11"/>
  <c r="J396" i="11"/>
  <c r="K396" i="11"/>
  <c r="L396" i="11"/>
  <c r="C397" i="11"/>
  <c r="G397" i="11"/>
  <c r="H397" i="11"/>
  <c r="I397" i="11"/>
  <c r="J397" i="11"/>
  <c r="K397" i="11"/>
  <c r="L397" i="11"/>
  <c r="C398" i="11"/>
  <c r="G398" i="11"/>
  <c r="H398" i="11"/>
  <c r="I398" i="11"/>
  <c r="J398" i="11"/>
  <c r="K398" i="11"/>
  <c r="L398" i="11"/>
  <c r="C399" i="11"/>
  <c r="G399" i="11"/>
  <c r="H399" i="11"/>
  <c r="I399" i="11"/>
  <c r="J399" i="11"/>
  <c r="K399" i="11"/>
  <c r="L399" i="11"/>
  <c r="C400" i="11"/>
  <c r="G400" i="11"/>
  <c r="H400" i="11"/>
  <c r="I400" i="11"/>
  <c r="J400" i="11"/>
  <c r="K400" i="11"/>
  <c r="L400" i="11"/>
  <c r="C401" i="11"/>
  <c r="G401" i="11"/>
  <c r="H401" i="11"/>
  <c r="I401" i="11"/>
  <c r="J401" i="11"/>
  <c r="K401" i="11"/>
  <c r="L401" i="11"/>
  <c r="C402" i="11"/>
  <c r="G402" i="11"/>
  <c r="H402" i="11"/>
  <c r="I402" i="11"/>
  <c r="J402" i="11"/>
  <c r="K402" i="11"/>
  <c r="L402" i="11"/>
  <c r="C403" i="11"/>
  <c r="G403" i="11"/>
  <c r="H403" i="11"/>
  <c r="I403" i="11"/>
  <c r="J403" i="11"/>
  <c r="K403" i="11"/>
  <c r="L403" i="11"/>
  <c r="C404" i="11"/>
  <c r="G404" i="11"/>
  <c r="H404" i="11"/>
  <c r="I404" i="11"/>
  <c r="J404" i="11"/>
  <c r="K404" i="11"/>
  <c r="L404" i="11"/>
  <c r="C405" i="11"/>
  <c r="G405" i="11"/>
  <c r="H405" i="11"/>
  <c r="I405" i="11"/>
  <c r="J405" i="11"/>
  <c r="K405" i="11"/>
  <c r="L405" i="11"/>
  <c r="C406" i="11"/>
  <c r="G406" i="11"/>
  <c r="H406" i="11"/>
  <c r="I406" i="11"/>
  <c r="J406" i="11"/>
  <c r="K406" i="11"/>
  <c r="L406" i="11"/>
  <c r="C407" i="11"/>
  <c r="G407" i="11"/>
  <c r="H407" i="11"/>
  <c r="I407" i="11"/>
  <c r="J407" i="11"/>
  <c r="K407" i="11"/>
  <c r="L407" i="11"/>
  <c r="C408" i="11"/>
  <c r="G408" i="11"/>
  <c r="H408" i="11"/>
  <c r="I408" i="11"/>
  <c r="J408" i="11"/>
  <c r="K408" i="11"/>
  <c r="L408" i="11"/>
  <c r="C409" i="11"/>
  <c r="G409" i="11"/>
  <c r="H409" i="11"/>
  <c r="I409" i="11"/>
  <c r="J409" i="11"/>
  <c r="K409" i="11"/>
  <c r="L409" i="11"/>
  <c r="C410" i="11"/>
  <c r="G410" i="11"/>
  <c r="H410" i="11"/>
  <c r="I410" i="11"/>
  <c r="J410" i="11"/>
  <c r="K410" i="11"/>
  <c r="L410" i="11"/>
  <c r="C411" i="11"/>
  <c r="G411" i="11"/>
  <c r="H411" i="11"/>
  <c r="I411" i="11"/>
  <c r="J411" i="11"/>
  <c r="K411" i="11"/>
  <c r="L411" i="11"/>
  <c r="C412" i="11"/>
  <c r="G412" i="11"/>
  <c r="H412" i="11"/>
  <c r="I412" i="11"/>
  <c r="J412" i="11"/>
  <c r="K412" i="11"/>
  <c r="L412" i="11"/>
  <c r="C413" i="11"/>
  <c r="G413" i="11"/>
  <c r="H413" i="11"/>
  <c r="I413" i="11"/>
  <c r="J413" i="11"/>
  <c r="K413" i="11"/>
  <c r="L413" i="11"/>
  <c r="C414" i="11"/>
  <c r="G414" i="11"/>
  <c r="H414" i="11"/>
  <c r="I414" i="11"/>
  <c r="J414" i="11"/>
  <c r="K414" i="11"/>
  <c r="L414" i="11"/>
  <c r="C415" i="11"/>
  <c r="G415" i="11"/>
  <c r="H415" i="11"/>
  <c r="I415" i="11"/>
  <c r="J415" i="11"/>
  <c r="K415" i="11"/>
  <c r="L415" i="11"/>
  <c r="C416" i="11"/>
  <c r="G416" i="11"/>
  <c r="H416" i="11"/>
  <c r="I416" i="11"/>
  <c r="J416" i="11"/>
  <c r="K416" i="11"/>
  <c r="L416" i="11"/>
  <c r="C417" i="11"/>
  <c r="G417" i="11"/>
  <c r="H417" i="11"/>
  <c r="I417" i="11"/>
  <c r="J417" i="11"/>
  <c r="K417" i="11"/>
  <c r="L417" i="11"/>
  <c r="C418" i="11"/>
  <c r="G418" i="11"/>
  <c r="H418" i="11"/>
  <c r="I418" i="11"/>
  <c r="J418" i="11"/>
  <c r="K418" i="11"/>
  <c r="L418" i="11"/>
  <c r="C419" i="11"/>
  <c r="G419" i="11"/>
  <c r="H419" i="11"/>
  <c r="I419" i="11"/>
  <c r="J419" i="11"/>
  <c r="K419" i="11"/>
  <c r="L419" i="11"/>
  <c r="C420" i="11"/>
  <c r="G420" i="11"/>
  <c r="H420" i="11"/>
  <c r="I420" i="11"/>
  <c r="J420" i="11"/>
  <c r="K420" i="11"/>
  <c r="L420" i="11"/>
  <c r="C421" i="11"/>
  <c r="G421" i="11"/>
  <c r="H421" i="11"/>
  <c r="I421" i="11"/>
  <c r="J421" i="11"/>
  <c r="K421" i="11"/>
  <c r="L421" i="11"/>
  <c r="C422" i="11"/>
  <c r="G422" i="11"/>
  <c r="H422" i="11"/>
  <c r="I422" i="11"/>
  <c r="J422" i="11"/>
  <c r="K422" i="11"/>
  <c r="L422" i="11"/>
  <c r="C423" i="11"/>
  <c r="G423" i="11"/>
  <c r="H423" i="11"/>
  <c r="I423" i="11"/>
  <c r="J423" i="11"/>
  <c r="K423" i="11"/>
  <c r="L423" i="11"/>
  <c r="C424" i="11"/>
  <c r="G424" i="11"/>
  <c r="H424" i="11"/>
  <c r="I424" i="11"/>
  <c r="J424" i="11"/>
  <c r="K424" i="11"/>
  <c r="L424" i="11"/>
  <c r="C425" i="11"/>
  <c r="G425" i="11"/>
  <c r="H425" i="11"/>
  <c r="I425" i="11"/>
  <c r="J425" i="11"/>
  <c r="K425" i="11"/>
  <c r="L425" i="11"/>
  <c r="C426" i="11"/>
  <c r="G426" i="11"/>
  <c r="H426" i="11"/>
  <c r="I426" i="11"/>
  <c r="J426" i="11"/>
  <c r="K426" i="11"/>
  <c r="L426" i="11"/>
  <c r="C427" i="11"/>
  <c r="G427" i="11"/>
  <c r="H427" i="11"/>
  <c r="I427" i="11"/>
  <c r="J427" i="11"/>
  <c r="K427" i="11"/>
  <c r="L427" i="11"/>
  <c r="C428" i="11"/>
  <c r="G428" i="11"/>
  <c r="H428" i="11"/>
  <c r="I428" i="11"/>
  <c r="J428" i="11"/>
  <c r="K428" i="11"/>
  <c r="L428" i="11"/>
  <c r="C429" i="11"/>
  <c r="G429" i="11"/>
  <c r="H429" i="11"/>
  <c r="I429" i="11"/>
  <c r="J429" i="11"/>
  <c r="K429" i="11"/>
  <c r="L429" i="11"/>
  <c r="C430" i="11"/>
  <c r="G430" i="11"/>
  <c r="H430" i="11"/>
  <c r="I430" i="11"/>
  <c r="J430" i="11"/>
  <c r="K430" i="11"/>
  <c r="L430" i="11"/>
  <c r="C431" i="11"/>
  <c r="G431" i="11"/>
  <c r="H431" i="11"/>
  <c r="I431" i="11"/>
  <c r="J431" i="11"/>
  <c r="K431" i="11"/>
  <c r="L431" i="11"/>
  <c r="C432" i="11"/>
  <c r="G432" i="11"/>
  <c r="H432" i="11"/>
  <c r="I432" i="11"/>
  <c r="J432" i="11"/>
  <c r="K432" i="11"/>
  <c r="L432" i="11"/>
  <c r="C433" i="11"/>
  <c r="G433" i="11"/>
  <c r="H433" i="11"/>
  <c r="I433" i="11"/>
  <c r="J433" i="11"/>
  <c r="K433" i="11"/>
  <c r="L433" i="11"/>
  <c r="C434" i="11"/>
  <c r="G434" i="11"/>
  <c r="H434" i="11"/>
  <c r="I434" i="11"/>
  <c r="J434" i="11"/>
  <c r="K434" i="11"/>
  <c r="L434" i="11"/>
  <c r="C435" i="11"/>
  <c r="G435" i="11"/>
  <c r="H435" i="11"/>
  <c r="I435" i="11"/>
  <c r="J435" i="11"/>
  <c r="K435" i="11"/>
  <c r="L435" i="11"/>
  <c r="C436" i="11"/>
  <c r="G436" i="11"/>
  <c r="H436" i="11"/>
  <c r="I436" i="11"/>
  <c r="J436" i="11"/>
  <c r="K436" i="11"/>
  <c r="L436" i="11"/>
  <c r="C437" i="11"/>
  <c r="G437" i="11"/>
  <c r="H437" i="11"/>
  <c r="I437" i="11"/>
  <c r="J437" i="11"/>
  <c r="K437" i="11"/>
  <c r="L437" i="11"/>
  <c r="C438" i="11"/>
  <c r="G438" i="11"/>
  <c r="H438" i="11"/>
  <c r="I438" i="11"/>
  <c r="J438" i="11"/>
  <c r="K438" i="11"/>
  <c r="L438" i="11"/>
  <c r="C439" i="11"/>
  <c r="G439" i="11"/>
  <c r="H439" i="11"/>
  <c r="I439" i="11"/>
  <c r="J439" i="11"/>
  <c r="K439" i="11"/>
  <c r="L439" i="11"/>
  <c r="C440" i="11"/>
  <c r="G440" i="11"/>
  <c r="H440" i="11"/>
  <c r="I440" i="11"/>
  <c r="J440" i="11"/>
  <c r="K440" i="11"/>
  <c r="L440" i="11"/>
  <c r="C441" i="11"/>
  <c r="G441" i="11"/>
  <c r="H441" i="11"/>
  <c r="I441" i="11"/>
  <c r="J441" i="11"/>
  <c r="K441" i="11"/>
  <c r="L441" i="11"/>
  <c r="C442" i="11"/>
  <c r="G442" i="11"/>
  <c r="H442" i="11"/>
  <c r="I442" i="11"/>
  <c r="J442" i="11"/>
  <c r="K442" i="11"/>
  <c r="L442" i="11"/>
  <c r="C443" i="11"/>
  <c r="G443" i="11"/>
  <c r="H443" i="11"/>
  <c r="I443" i="11"/>
  <c r="J443" i="11"/>
  <c r="K443" i="11"/>
  <c r="L443" i="11"/>
  <c r="C444" i="11"/>
  <c r="G444" i="11"/>
  <c r="H444" i="11"/>
  <c r="I444" i="11"/>
  <c r="J444" i="11"/>
  <c r="K444" i="11"/>
  <c r="L444" i="11"/>
  <c r="C445" i="11"/>
  <c r="G445" i="11"/>
  <c r="H445" i="11"/>
  <c r="I445" i="11"/>
  <c r="J445" i="11"/>
  <c r="K445" i="11"/>
  <c r="L445" i="11"/>
  <c r="C446" i="11"/>
  <c r="G446" i="11"/>
  <c r="H446" i="11"/>
  <c r="I446" i="11"/>
  <c r="J446" i="11"/>
  <c r="K446" i="11"/>
  <c r="L446" i="11"/>
  <c r="C447" i="11"/>
  <c r="G447" i="11"/>
  <c r="H447" i="11"/>
  <c r="I447" i="11"/>
  <c r="J447" i="11"/>
  <c r="K447" i="11"/>
  <c r="L447" i="11"/>
  <c r="C448" i="11"/>
  <c r="G448" i="11"/>
  <c r="H448" i="11"/>
  <c r="I448" i="11"/>
  <c r="J448" i="11"/>
  <c r="K448" i="11"/>
  <c r="L448" i="11"/>
  <c r="C449" i="11"/>
  <c r="G449" i="11"/>
  <c r="H449" i="11"/>
  <c r="I449" i="11"/>
  <c r="J449" i="11"/>
  <c r="K449" i="11"/>
  <c r="L449" i="11"/>
  <c r="C450" i="11"/>
  <c r="G450" i="11"/>
  <c r="H450" i="11"/>
  <c r="I450" i="11"/>
  <c r="J450" i="11"/>
  <c r="K450" i="11"/>
  <c r="L450" i="11"/>
  <c r="C451" i="11"/>
  <c r="G451" i="11"/>
  <c r="H451" i="11"/>
  <c r="I451" i="11"/>
  <c r="J451" i="11"/>
  <c r="K451" i="11"/>
  <c r="L451" i="11"/>
  <c r="C452" i="11"/>
  <c r="G452" i="11"/>
  <c r="H452" i="11"/>
  <c r="I452" i="11"/>
  <c r="J452" i="11"/>
  <c r="K452" i="11"/>
  <c r="L452" i="11"/>
  <c r="C453" i="11"/>
  <c r="G453" i="11"/>
  <c r="H453" i="11"/>
  <c r="I453" i="11"/>
  <c r="J453" i="11"/>
  <c r="K453" i="11"/>
  <c r="L453" i="11"/>
  <c r="C454" i="11"/>
  <c r="G454" i="11"/>
  <c r="H454" i="11"/>
  <c r="I454" i="11"/>
  <c r="J454" i="11"/>
  <c r="K454" i="11"/>
  <c r="L454" i="11"/>
  <c r="C455" i="11"/>
  <c r="G455" i="11"/>
  <c r="H455" i="11"/>
  <c r="I455" i="11"/>
  <c r="J455" i="11"/>
  <c r="K455" i="11"/>
  <c r="L455" i="11"/>
  <c r="C456" i="11"/>
  <c r="G456" i="11"/>
  <c r="H456" i="11"/>
  <c r="I456" i="11"/>
  <c r="J456" i="11"/>
  <c r="K456" i="11"/>
  <c r="L456" i="11"/>
  <c r="C457" i="11"/>
  <c r="G457" i="11"/>
  <c r="H457" i="11"/>
  <c r="I457" i="11"/>
  <c r="J457" i="11"/>
  <c r="K457" i="11"/>
  <c r="L457" i="11"/>
  <c r="C458" i="11"/>
  <c r="G458" i="11"/>
  <c r="H458" i="11"/>
  <c r="I458" i="11"/>
  <c r="J458" i="11"/>
  <c r="K458" i="11"/>
  <c r="L458" i="11"/>
  <c r="C459" i="11"/>
  <c r="G459" i="11"/>
  <c r="H459" i="11"/>
  <c r="I459" i="11"/>
  <c r="J459" i="11"/>
  <c r="K459" i="11"/>
  <c r="L459" i="11"/>
  <c r="C460" i="11"/>
  <c r="G460" i="11"/>
  <c r="H460" i="11"/>
  <c r="I460" i="11"/>
  <c r="J460" i="11"/>
  <c r="K460" i="11"/>
  <c r="L460" i="11"/>
  <c r="C461" i="11"/>
  <c r="G461" i="11"/>
  <c r="H461" i="11"/>
  <c r="I461" i="11"/>
  <c r="J461" i="11"/>
  <c r="K461" i="11"/>
  <c r="L461" i="11"/>
  <c r="C462" i="11"/>
  <c r="G462" i="11"/>
  <c r="H462" i="11"/>
  <c r="I462" i="11"/>
  <c r="J462" i="11"/>
  <c r="K462" i="11"/>
  <c r="L462" i="11"/>
  <c r="C463" i="11"/>
  <c r="G463" i="11"/>
  <c r="H463" i="11"/>
  <c r="I463" i="11"/>
  <c r="J463" i="11"/>
  <c r="K463" i="11"/>
  <c r="L463" i="11"/>
  <c r="C464" i="11"/>
  <c r="G464" i="11"/>
  <c r="H464" i="11"/>
  <c r="I464" i="11"/>
  <c r="J464" i="11"/>
  <c r="K464" i="11"/>
  <c r="L464" i="11"/>
  <c r="C465" i="11"/>
  <c r="G465" i="11"/>
  <c r="H465" i="11"/>
  <c r="I465" i="11"/>
  <c r="J465" i="11"/>
  <c r="K465" i="11"/>
  <c r="L465" i="11"/>
  <c r="C466" i="11"/>
  <c r="G466" i="11"/>
  <c r="H466" i="11"/>
  <c r="I466" i="11"/>
  <c r="J466" i="11"/>
  <c r="K466" i="11"/>
  <c r="L466" i="11"/>
  <c r="C467" i="11"/>
  <c r="G467" i="11"/>
  <c r="H467" i="11"/>
  <c r="I467" i="11"/>
  <c r="J467" i="11"/>
  <c r="K467" i="11"/>
  <c r="L467" i="11"/>
  <c r="C468" i="11"/>
  <c r="G468" i="11"/>
  <c r="H468" i="11"/>
  <c r="I468" i="11"/>
  <c r="J468" i="11"/>
  <c r="K468" i="11"/>
  <c r="L468" i="11"/>
  <c r="C469" i="11"/>
  <c r="G469" i="11"/>
  <c r="H469" i="11"/>
  <c r="I469" i="11"/>
  <c r="J469" i="11"/>
  <c r="K469" i="11"/>
  <c r="L469" i="11"/>
  <c r="C470" i="11"/>
  <c r="G470" i="11"/>
  <c r="H470" i="11"/>
  <c r="I470" i="11"/>
  <c r="J470" i="11"/>
  <c r="K470" i="11"/>
  <c r="L470" i="11"/>
  <c r="C471" i="11"/>
  <c r="G471" i="11"/>
  <c r="H471" i="11"/>
  <c r="I471" i="11"/>
  <c r="J471" i="11"/>
  <c r="K471" i="11"/>
  <c r="L471" i="11"/>
  <c r="C472" i="11"/>
  <c r="G472" i="11"/>
  <c r="H472" i="11"/>
  <c r="I472" i="11"/>
  <c r="J472" i="11"/>
  <c r="K472" i="11"/>
  <c r="L472" i="11"/>
  <c r="C473" i="11"/>
  <c r="G473" i="11"/>
  <c r="H473" i="11"/>
  <c r="I473" i="11"/>
  <c r="J473" i="11"/>
  <c r="K473" i="11"/>
  <c r="L473" i="11"/>
  <c r="C474" i="11"/>
  <c r="G474" i="11"/>
  <c r="H474" i="11"/>
  <c r="I474" i="11"/>
  <c r="J474" i="11"/>
  <c r="K474" i="11"/>
  <c r="L474" i="11"/>
  <c r="C475" i="11"/>
  <c r="G475" i="11"/>
  <c r="H475" i="11"/>
  <c r="I475" i="11"/>
  <c r="J475" i="11"/>
  <c r="K475" i="11"/>
  <c r="L475" i="11"/>
  <c r="C476" i="11"/>
  <c r="G476" i="11"/>
  <c r="H476" i="11"/>
  <c r="I476" i="11"/>
  <c r="J476" i="11"/>
  <c r="K476" i="11"/>
  <c r="L476" i="11"/>
  <c r="C477" i="11"/>
  <c r="G477" i="11"/>
  <c r="H477" i="11"/>
  <c r="I477" i="11"/>
  <c r="J477" i="11"/>
  <c r="K477" i="11"/>
  <c r="L477" i="11"/>
  <c r="C478" i="11"/>
  <c r="G478" i="11"/>
  <c r="H478" i="11"/>
  <c r="I478" i="11"/>
  <c r="J478" i="11"/>
  <c r="K478" i="11"/>
  <c r="L478" i="11"/>
  <c r="C479" i="11"/>
  <c r="G479" i="11"/>
  <c r="H479" i="11"/>
  <c r="I479" i="11"/>
  <c r="J479" i="11"/>
  <c r="K479" i="11"/>
  <c r="L479" i="11"/>
  <c r="C480" i="11"/>
  <c r="G480" i="11"/>
  <c r="H480" i="11"/>
  <c r="I480" i="11"/>
  <c r="J480" i="11"/>
  <c r="K480" i="11"/>
  <c r="L480" i="11"/>
  <c r="C481" i="11"/>
  <c r="G481" i="11"/>
  <c r="H481" i="11"/>
  <c r="I481" i="11"/>
  <c r="J481" i="11"/>
  <c r="K481" i="11"/>
  <c r="L481" i="11"/>
  <c r="C482" i="11"/>
  <c r="G482" i="11"/>
  <c r="H482" i="11"/>
  <c r="I482" i="11"/>
  <c r="J482" i="11"/>
  <c r="K482" i="11"/>
  <c r="L482" i="11"/>
  <c r="C483" i="11"/>
  <c r="G483" i="11"/>
  <c r="H483" i="11"/>
  <c r="I483" i="11"/>
  <c r="J483" i="11"/>
  <c r="K483" i="11"/>
  <c r="L483" i="11"/>
  <c r="C484" i="11"/>
  <c r="G484" i="11"/>
  <c r="H484" i="11"/>
  <c r="I484" i="11"/>
  <c r="J484" i="11"/>
  <c r="K484" i="11"/>
  <c r="L484" i="11"/>
  <c r="C485" i="11"/>
  <c r="G485" i="11"/>
  <c r="H485" i="11"/>
  <c r="I485" i="11"/>
  <c r="J485" i="11"/>
  <c r="K485" i="11"/>
  <c r="L485" i="11"/>
  <c r="C486" i="11"/>
  <c r="G486" i="11"/>
  <c r="H486" i="11"/>
  <c r="I486" i="11"/>
  <c r="J486" i="11"/>
  <c r="K486" i="11"/>
  <c r="L486" i="11"/>
  <c r="C487" i="11"/>
  <c r="G487" i="11"/>
  <c r="H487" i="11"/>
  <c r="I487" i="11"/>
  <c r="J487" i="11"/>
  <c r="K487" i="11"/>
  <c r="L487" i="11"/>
  <c r="C488" i="11"/>
  <c r="G488" i="11"/>
  <c r="H488" i="11"/>
  <c r="I488" i="11"/>
  <c r="J488" i="11"/>
  <c r="K488" i="11"/>
  <c r="L488" i="11"/>
  <c r="C489" i="11"/>
  <c r="G489" i="11"/>
  <c r="H489" i="11"/>
  <c r="I489" i="11"/>
  <c r="J489" i="11"/>
  <c r="K489" i="11"/>
  <c r="L489" i="11"/>
  <c r="C490" i="11"/>
  <c r="G490" i="11"/>
  <c r="H490" i="11"/>
  <c r="I490" i="11"/>
  <c r="J490" i="11"/>
  <c r="K490" i="11"/>
  <c r="L490" i="11"/>
  <c r="C491" i="11"/>
  <c r="G491" i="11"/>
  <c r="H491" i="11"/>
  <c r="I491" i="11"/>
  <c r="J491" i="11"/>
  <c r="K491" i="11"/>
  <c r="L491" i="11"/>
  <c r="C492" i="11"/>
  <c r="G492" i="11"/>
  <c r="H492" i="11"/>
  <c r="I492" i="11"/>
  <c r="J492" i="11"/>
  <c r="K492" i="11"/>
  <c r="L492" i="11"/>
  <c r="C493" i="11"/>
  <c r="G493" i="11"/>
  <c r="H493" i="11"/>
  <c r="I493" i="11"/>
  <c r="J493" i="11"/>
  <c r="K493" i="11"/>
  <c r="L493" i="11"/>
  <c r="C494" i="11"/>
  <c r="G494" i="11"/>
  <c r="H494" i="11"/>
  <c r="I494" i="11"/>
  <c r="J494" i="11"/>
  <c r="K494" i="11"/>
  <c r="L494" i="11"/>
  <c r="C495" i="11"/>
  <c r="G495" i="11"/>
  <c r="H495" i="11"/>
  <c r="I495" i="11"/>
  <c r="J495" i="11"/>
  <c r="K495" i="11"/>
  <c r="L495" i="11"/>
  <c r="C496" i="11"/>
  <c r="G496" i="11"/>
  <c r="H496" i="11"/>
  <c r="I496" i="11"/>
  <c r="J496" i="11"/>
  <c r="K496" i="11"/>
  <c r="L496" i="11"/>
  <c r="C497" i="11"/>
  <c r="G497" i="11"/>
  <c r="H497" i="11"/>
  <c r="I497" i="11"/>
  <c r="J497" i="11"/>
  <c r="K497" i="11"/>
  <c r="L497" i="11"/>
  <c r="C498" i="11"/>
  <c r="G498" i="11"/>
  <c r="H498" i="11"/>
  <c r="I498" i="11"/>
  <c r="J498" i="11"/>
  <c r="K498" i="11"/>
  <c r="L498" i="11"/>
  <c r="C499" i="11"/>
  <c r="G499" i="11"/>
  <c r="H499" i="11"/>
  <c r="I499" i="11"/>
  <c r="J499" i="11"/>
  <c r="K499" i="11"/>
  <c r="L499" i="11"/>
  <c r="C500" i="11"/>
  <c r="G500" i="11"/>
  <c r="H500" i="11"/>
  <c r="I500" i="11"/>
  <c r="J500" i="11"/>
  <c r="K500" i="11"/>
  <c r="L500" i="11"/>
  <c r="C501" i="11"/>
  <c r="G501" i="11"/>
  <c r="H501" i="11"/>
  <c r="I501" i="11"/>
  <c r="J501" i="11"/>
  <c r="K501" i="11"/>
  <c r="L501" i="11"/>
  <c r="C502" i="11"/>
  <c r="G502" i="11"/>
  <c r="H502" i="11"/>
  <c r="I502" i="11"/>
  <c r="J502" i="11"/>
  <c r="K502" i="11"/>
  <c r="L502" i="11"/>
  <c r="C503" i="11"/>
  <c r="G503" i="11"/>
  <c r="H503" i="11"/>
  <c r="I503" i="11"/>
  <c r="J503" i="11"/>
  <c r="K503" i="11"/>
  <c r="L503" i="11"/>
  <c r="C504" i="11"/>
  <c r="G504" i="11"/>
  <c r="H504" i="11"/>
  <c r="I504" i="11"/>
  <c r="J504" i="11"/>
  <c r="K504" i="11"/>
  <c r="L504" i="11"/>
  <c r="C505" i="11"/>
  <c r="G505" i="11"/>
  <c r="H505" i="11"/>
  <c r="I505" i="11"/>
  <c r="J505" i="11"/>
  <c r="K505" i="11"/>
  <c r="L505" i="11"/>
  <c r="C506" i="11"/>
  <c r="G506" i="11"/>
  <c r="H506" i="11"/>
  <c r="I506" i="11"/>
  <c r="J506" i="11"/>
  <c r="K506" i="11"/>
  <c r="L506" i="11"/>
  <c r="C507" i="11"/>
  <c r="G507" i="11"/>
  <c r="H507" i="11"/>
  <c r="I507" i="11"/>
  <c r="J507" i="11"/>
  <c r="K507" i="11"/>
  <c r="L507" i="11"/>
  <c r="C508" i="11"/>
  <c r="G508" i="11"/>
  <c r="H508" i="11"/>
  <c r="I508" i="11"/>
  <c r="J508" i="11"/>
  <c r="K508" i="11"/>
  <c r="L508" i="11"/>
  <c r="C509" i="11"/>
  <c r="G509" i="11"/>
  <c r="H509" i="11"/>
  <c r="I509" i="11"/>
  <c r="J509" i="11"/>
  <c r="K509" i="11"/>
  <c r="L509" i="11"/>
  <c r="C510" i="11"/>
  <c r="G510" i="11"/>
  <c r="H510" i="11"/>
  <c r="I510" i="11"/>
  <c r="J510" i="11"/>
  <c r="K510" i="11"/>
  <c r="L510" i="11"/>
  <c r="C511" i="11"/>
  <c r="G511" i="11"/>
  <c r="H511" i="11"/>
  <c r="I511" i="11"/>
  <c r="J511" i="11"/>
  <c r="K511" i="11"/>
  <c r="L511" i="11"/>
  <c r="C512" i="11"/>
  <c r="G512" i="11"/>
  <c r="H512" i="11"/>
  <c r="I512" i="11"/>
  <c r="J512" i="11"/>
  <c r="K512" i="11"/>
  <c r="L512" i="11"/>
  <c r="C513" i="11"/>
  <c r="G513" i="11"/>
  <c r="H513" i="11"/>
  <c r="I513" i="11"/>
  <c r="J513" i="11"/>
  <c r="K513" i="11"/>
  <c r="L513" i="11"/>
  <c r="C514" i="11"/>
  <c r="G514" i="11"/>
  <c r="H514" i="11"/>
  <c r="I514" i="11"/>
  <c r="J514" i="11"/>
  <c r="K514" i="11"/>
  <c r="L514" i="11"/>
  <c r="C515" i="11"/>
  <c r="G515" i="11"/>
  <c r="H515" i="11"/>
  <c r="I515" i="11"/>
  <c r="J515" i="11"/>
  <c r="K515" i="11"/>
  <c r="L515" i="11"/>
  <c r="C516" i="11"/>
  <c r="G516" i="11"/>
  <c r="H516" i="11"/>
  <c r="I516" i="11"/>
  <c r="J516" i="11"/>
  <c r="K516" i="11"/>
  <c r="L516" i="11"/>
  <c r="C517" i="11"/>
  <c r="G517" i="11"/>
  <c r="H517" i="11"/>
  <c r="I517" i="11"/>
  <c r="J517" i="11"/>
  <c r="K517" i="11"/>
  <c r="L517" i="11"/>
  <c r="C518" i="11"/>
  <c r="G518" i="11"/>
  <c r="H518" i="11"/>
  <c r="I518" i="11"/>
  <c r="J518" i="11"/>
  <c r="K518" i="11"/>
  <c r="L518" i="11"/>
  <c r="C519" i="11"/>
  <c r="G519" i="11"/>
  <c r="H519" i="11"/>
  <c r="I519" i="11"/>
  <c r="J519" i="11"/>
  <c r="K519" i="11"/>
  <c r="L519" i="11"/>
  <c r="C520" i="11"/>
  <c r="G520" i="11"/>
  <c r="H520" i="11"/>
  <c r="I520" i="11"/>
  <c r="J520" i="11"/>
  <c r="K520" i="11"/>
  <c r="L520" i="11"/>
  <c r="C521" i="11"/>
  <c r="G521" i="11"/>
  <c r="H521" i="11"/>
  <c r="I521" i="11"/>
  <c r="J521" i="11"/>
  <c r="K521" i="11"/>
  <c r="L521" i="11"/>
  <c r="C522" i="11"/>
  <c r="G522" i="11"/>
  <c r="H522" i="11"/>
  <c r="I522" i="11"/>
  <c r="J522" i="11"/>
  <c r="K522" i="11"/>
  <c r="L522" i="11"/>
  <c r="C523" i="11"/>
  <c r="G523" i="11"/>
  <c r="H523" i="11"/>
  <c r="I523" i="11"/>
  <c r="J523" i="11"/>
  <c r="K523" i="11"/>
  <c r="L523" i="11"/>
  <c r="C524" i="11"/>
  <c r="G524" i="11"/>
  <c r="H524" i="11"/>
  <c r="I524" i="11"/>
  <c r="J524" i="11"/>
  <c r="K524" i="11"/>
  <c r="L524" i="11"/>
  <c r="C525" i="11"/>
  <c r="G525" i="11"/>
  <c r="H525" i="11"/>
  <c r="I525" i="11"/>
  <c r="J525" i="11"/>
  <c r="K525" i="11"/>
  <c r="L525" i="11"/>
  <c r="C526" i="11"/>
  <c r="G526" i="11"/>
  <c r="H526" i="11"/>
  <c r="I526" i="11"/>
  <c r="J526" i="11"/>
  <c r="K526" i="11"/>
  <c r="L526" i="11"/>
  <c r="C527" i="11"/>
  <c r="G527" i="11"/>
  <c r="H527" i="11"/>
  <c r="I527" i="11"/>
  <c r="J527" i="11"/>
  <c r="K527" i="11"/>
  <c r="L527" i="11"/>
  <c r="C528" i="11"/>
  <c r="G528" i="11"/>
  <c r="H528" i="11"/>
  <c r="I528" i="11"/>
  <c r="J528" i="11"/>
  <c r="K528" i="11"/>
  <c r="L528" i="11"/>
  <c r="C529" i="11"/>
  <c r="G529" i="11"/>
  <c r="H529" i="11"/>
  <c r="I529" i="11"/>
  <c r="J529" i="11"/>
  <c r="K529" i="11"/>
  <c r="L529" i="11"/>
  <c r="C530" i="11"/>
  <c r="G530" i="11"/>
  <c r="H530" i="11"/>
  <c r="I530" i="11"/>
  <c r="J530" i="11"/>
  <c r="K530" i="11"/>
  <c r="L530" i="11"/>
  <c r="C531" i="11"/>
  <c r="G531" i="11"/>
  <c r="H531" i="11"/>
  <c r="I531" i="11"/>
  <c r="J531" i="11"/>
  <c r="K531" i="11"/>
  <c r="L531" i="11"/>
  <c r="C532" i="11"/>
  <c r="G532" i="11"/>
  <c r="H532" i="11"/>
  <c r="I532" i="11"/>
  <c r="J532" i="11"/>
  <c r="K532" i="11"/>
  <c r="L532" i="11"/>
  <c r="C533" i="11"/>
  <c r="G533" i="11"/>
  <c r="H533" i="11"/>
  <c r="I533" i="11"/>
  <c r="J533" i="11"/>
  <c r="K533" i="11"/>
  <c r="L533" i="11"/>
  <c r="C534" i="11"/>
  <c r="G534" i="11"/>
  <c r="H534" i="11"/>
  <c r="I534" i="11"/>
  <c r="J534" i="11"/>
  <c r="K534" i="11"/>
  <c r="L534" i="11"/>
  <c r="C535" i="11"/>
  <c r="G535" i="11"/>
  <c r="H535" i="11"/>
  <c r="I535" i="11"/>
  <c r="J535" i="11"/>
  <c r="K535" i="11"/>
  <c r="L535" i="11"/>
  <c r="C536" i="11"/>
  <c r="G536" i="11"/>
  <c r="H536" i="11"/>
  <c r="I536" i="11"/>
  <c r="J536" i="11"/>
  <c r="K536" i="11"/>
  <c r="L536" i="11"/>
  <c r="C537" i="11"/>
  <c r="G537" i="11"/>
  <c r="H537" i="11"/>
  <c r="I537" i="11"/>
  <c r="J537" i="11"/>
  <c r="K537" i="11"/>
  <c r="L537" i="11"/>
  <c r="C538" i="11"/>
  <c r="G538" i="11"/>
  <c r="H538" i="11"/>
  <c r="I538" i="11"/>
  <c r="J538" i="11"/>
  <c r="K538" i="11"/>
  <c r="L538" i="11"/>
  <c r="C539" i="11"/>
  <c r="G539" i="11"/>
  <c r="H539" i="11"/>
  <c r="I539" i="11"/>
  <c r="J539" i="11"/>
  <c r="K539" i="11"/>
  <c r="L539" i="11"/>
  <c r="C540" i="11"/>
  <c r="G540" i="11"/>
  <c r="H540" i="11"/>
  <c r="I540" i="11"/>
  <c r="J540" i="11"/>
  <c r="K540" i="11"/>
  <c r="L540" i="11"/>
  <c r="AL3" i="11"/>
  <c r="AL4" i="11"/>
  <c r="AL5" i="11"/>
  <c r="AL6" i="11"/>
  <c r="AL7" i="11"/>
  <c r="AL8" i="11"/>
  <c r="X3" i="11"/>
  <c r="X4" i="11"/>
  <c r="X5" i="11"/>
  <c r="Y3" i="11"/>
  <c r="Y4" i="11"/>
  <c r="Y5" i="11"/>
  <c r="Z3" i="11"/>
  <c r="Z4" i="11"/>
  <c r="Z5" i="11"/>
  <c r="AA3" i="11"/>
  <c r="AA4" i="11"/>
  <c r="AA5" i="11"/>
  <c r="AB3" i="11"/>
  <c r="AB4" i="11"/>
  <c r="AB5" i="11"/>
  <c r="AC3" i="11"/>
  <c r="AC4" i="11"/>
  <c r="AC5" i="11"/>
  <c r="AD3" i="11"/>
  <c r="AD4" i="11"/>
  <c r="AD5" i="11"/>
  <c r="AE3" i="11"/>
  <c r="AE4" i="11"/>
  <c r="AE5" i="11"/>
  <c r="AF3" i="11"/>
  <c r="AF4" i="11"/>
  <c r="AF5" i="11"/>
  <c r="AG3" i="11"/>
  <c r="AG4" i="11"/>
  <c r="AG5" i="11"/>
  <c r="AH3" i="11"/>
  <c r="AH4" i="11"/>
  <c r="AH5" i="11"/>
  <c r="AI3" i="11"/>
  <c r="AI4" i="11"/>
  <c r="AI5" i="11"/>
  <c r="AJ3" i="11"/>
  <c r="AJ4" i="11"/>
  <c r="AJ5" i="11"/>
  <c r="AK3" i="11"/>
  <c r="AK4" i="11"/>
  <c r="AK5" i="11"/>
  <c r="AM3" i="11"/>
  <c r="AM4" i="11"/>
  <c r="AM5" i="11"/>
  <c r="AN3" i="11"/>
  <c r="AN4" i="11"/>
  <c r="AN5" i="11"/>
  <c r="AO3" i="11"/>
  <c r="AO4" i="11"/>
  <c r="AO5" i="11"/>
  <c r="AP3" i="11"/>
  <c r="AP4" i="11"/>
  <c r="AP5" i="11"/>
  <c r="AQ3" i="11"/>
  <c r="AQ4" i="11"/>
  <c r="AQ5" i="11"/>
  <c r="AR3" i="11"/>
  <c r="AR4" i="11"/>
  <c r="AR5" i="11"/>
  <c r="AS3" i="11"/>
  <c r="AS4" i="11"/>
  <c r="AS5" i="11"/>
  <c r="AT3" i="11"/>
  <c r="AT4" i="11"/>
  <c r="AT5" i="11"/>
  <c r="AU3" i="11"/>
  <c r="AU4" i="11"/>
  <c r="AU5" i="11"/>
  <c r="AV3" i="11"/>
  <c r="AV4" i="11"/>
  <c r="AV5" i="11"/>
  <c r="AW3" i="11"/>
  <c r="AW4" i="11"/>
  <c r="AW5" i="11"/>
  <c r="AX3" i="11"/>
  <c r="AX4" i="11"/>
  <c r="AX5" i="11"/>
  <c r="AY3" i="11"/>
  <c r="AY4" i="11"/>
  <c r="AY5" i="11"/>
  <c r="AZ3" i="11"/>
  <c r="AZ4" i="11"/>
  <c r="AZ5" i="11"/>
  <c r="BA3" i="11"/>
  <c r="BA4" i="11"/>
  <c r="BA5" i="11"/>
  <c r="BB3" i="11"/>
  <c r="BB4" i="11"/>
  <c r="BB5" i="11"/>
  <c r="BC3" i="11"/>
  <c r="BC4" i="11"/>
  <c r="BC5" i="11"/>
  <c r="BD3" i="11"/>
  <c r="BD4" i="11"/>
  <c r="BD5" i="11"/>
  <c r="BE3" i="11"/>
  <c r="BE4" i="11"/>
  <c r="BE5" i="11"/>
  <c r="BF3" i="11"/>
  <c r="BF4" i="11"/>
  <c r="BF5" i="11"/>
  <c r="BG3" i="11"/>
  <c r="BG4" i="11"/>
  <c r="BG5" i="11"/>
  <c r="BH3" i="11"/>
  <c r="BH4" i="11"/>
  <c r="BH5" i="11"/>
  <c r="BI3" i="11"/>
  <c r="BI4" i="11"/>
  <c r="BI5" i="11"/>
  <c r="BJ3" i="11"/>
  <c r="BJ4" i="11"/>
  <c r="BJ5" i="11"/>
  <c r="BK3" i="11"/>
  <c r="BK4" i="11"/>
  <c r="BK5" i="11"/>
  <c r="BL3" i="11"/>
  <c r="BL4" i="11"/>
  <c r="BL5" i="11"/>
  <c r="BM3" i="11"/>
  <c r="BM4" i="11"/>
  <c r="BM5" i="11"/>
  <c r="BN3" i="11"/>
  <c r="BN4" i="11"/>
  <c r="BN5" i="11"/>
  <c r="BO3" i="11"/>
  <c r="BO4" i="11"/>
  <c r="BO5" i="11"/>
  <c r="BP3" i="11"/>
  <c r="BP4" i="11"/>
  <c r="BP5" i="11"/>
  <c r="BQ3" i="11"/>
  <c r="BQ4" i="11"/>
  <c r="BQ5" i="11"/>
  <c r="BR3" i="11"/>
  <c r="BR4" i="11"/>
  <c r="BR5" i="11"/>
  <c r="BS3" i="11"/>
  <c r="BS4" i="11"/>
  <c r="BS5" i="11"/>
  <c r="BT3" i="11"/>
  <c r="BT4" i="11"/>
  <c r="BT5" i="11"/>
  <c r="BU3" i="11"/>
  <c r="BU4" i="11"/>
  <c r="BU5" i="11"/>
  <c r="BV3" i="11"/>
  <c r="BV4" i="11"/>
  <c r="BV5" i="11"/>
  <c r="BW3" i="11"/>
  <c r="BW4" i="11"/>
  <c r="BW5" i="11"/>
  <c r="BX3" i="11"/>
  <c r="BX4" i="11"/>
  <c r="BX5" i="11"/>
  <c r="BY3" i="11"/>
  <c r="BY4" i="11"/>
  <c r="BY5" i="11"/>
  <c r="BZ3" i="11"/>
  <c r="BZ4" i="11"/>
  <c r="BZ5" i="11"/>
  <c r="CA3" i="11"/>
  <c r="CA4" i="11"/>
  <c r="CA5" i="11"/>
  <c r="CB3" i="11"/>
  <c r="CB4" i="11"/>
  <c r="CB5" i="11"/>
  <c r="CC3" i="11"/>
  <c r="CC4" i="11"/>
  <c r="CC5" i="11"/>
  <c r="CD3" i="11"/>
  <c r="CD4" i="11"/>
  <c r="CD5" i="11"/>
  <c r="CE3" i="11"/>
  <c r="CE4" i="11"/>
  <c r="CE5" i="11"/>
  <c r="CF3" i="11"/>
  <c r="CF4" i="11"/>
  <c r="CF5" i="11"/>
  <c r="CG3" i="11"/>
  <c r="CG4" i="11"/>
  <c r="CG5" i="11"/>
  <c r="CH3" i="11"/>
  <c r="CH4" i="11"/>
  <c r="CH5" i="11"/>
  <c r="CI3" i="11"/>
  <c r="CI4" i="11"/>
  <c r="CI5" i="11"/>
  <c r="CJ3" i="11"/>
  <c r="CJ4" i="11"/>
  <c r="CJ5" i="11"/>
  <c r="R5" i="11"/>
  <c r="S5" i="11"/>
  <c r="T5" i="11"/>
  <c r="U5" i="11"/>
  <c r="V5" i="11"/>
  <c r="M5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M6" i="11"/>
  <c r="AN6" i="11"/>
  <c r="AO6" i="11"/>
  <c r="AP6" i="11"/>
  <c r="AQ6" i="11"/>
  <c r="AR6" i="11"/>
  <c r="AS6" i="11"/>
  <c r="AT6" i="11"/>
  <c r="AU6" i="11"/>
  <c r="AV6" i="11"/>
  <c r="AW6" i="11"/>
  <c r="AX6" i="11"/>
  <c r="AY6" i="11"/>
  <c r="AZ6" i="11"/>
  <c r="BA6" i="11"/>
  <c r="BB6" i="11"/>
  <c r="BC6" i="11"/>
  <c r="BD6" i="11"/>
  <c r="BE6" i="11"/>
  <c r="BF6" i="11"/>
  <c r="BG6" i="11"/>
  <c r="BH6" i="11"/>
  <c r="BI6" i="11"/>
  <c r="BJ6" i="11"/>
  <c r="BK6" i="11"/>
  <c r="BL6" i="11"/>
  <c r="BM6" i="11"/>
  <c r="BN6" i="11"/>
  <c r="BO6" i="11"/>
  <c r="BP6" i="11"/>
  <c r="BQ6" i="11"/>
  <c r="BR6" i="11"/>
  <c r="BS6" i="11"/>
  <c r="BT6" i="11"/>
  <c r="BU6" i="11"/>
  <c r="BV6" i="11"/>
  <c r="BW6" i="11"/>
  <c r="BX6" i="11"/>
  <c r="BY6" i="11"/>
  <c r="BZ6" i="11"/>
  <c r="CA6" i="11"/>
  <c r="CB6" i="11"/>
  <c r="CC6" i="11"/>
  <c r="CD6" i="11"/>
  <c r="CE6" i="11"/>
  <c r="CF6" i="11"/>
  <c r="CG6" i="11"/>
  <c r="CH6" i="11"/>
  <c r="CI6" i="11"/>
  <c r="CJ6" i="11"/>
  <c r="T6" i="11"/>
  <c r="U6" i="11"/>
  <c r="V6" i="11"/>
  <c r="N6" i="11"/>
  <c r="M6" i="11"/>
  <c r="X7" i="11"/>
  <c r="X8" i="11"/>
  <c r="Y7" i="11"/>
  <c r="Y8" i="11"/>
  <c r="Z7" i="11"/>
  <c r="Z8" i="11"/>
  <c r="AA7" i="11"/>
  <c r="AA8" i="11"/>
  <c r="AB7" i="11"/>
  <c r="AB8" i="11"/>
  <c r="AC7" i="11"/>
  <c r="AC8" i="11"/>
  <c r="AD7" i="11"/>
  <c r="AD8" i="11"/>
  <c r="AE7" i="11"/>
  <c r="AE8" i="11"/>
  <c r="AF7" i="11"/>
  <c r="AF8" i="11"/>
  <c r="AG7" i="11"/>
  <c r="AG8" i="11"/>
  <c r="AH7" i="11"/>
  <c r="AH8" i="11"/>
  <c r="AI7" i="11"/>
  <c r="AI8" i="11"/>
  <c r="AJ7" i="11"/>
  <c r="AJ8" i="11"/>
  <c r="AK7" i="11"/>
  <c r="AK8" i="11"/>
  <c r="AM7" i="11"/>
  <c r="AM8" i="11"/>
  <c r="AN7" i="11"/>
  <c r="AN8" i="11"/>
  <c r="AO7" i="11"/>
  <c r="AO8" i="11"/>
  <c r="AP7" i="11"/>
  <c r="AP8" i="11"/>
  <c r="AQ7" i="11"/>
  <c r="AQ8" i="11"/>
  <c r="AR7" i="11"/>
  <c r="AR8" i="11"/>
  <c r="AS7" i="11"/>
  <c r="AS8" i="11"/>
  <c r="AT7" i="11"/>
  <c r="AT8" i="11"/>
  <c r="AU7" i="11"/>
  <c r="AU8" i="11"/>
  <c r="AV7" i="11"/>
  <c r="AV8" i="11"/>
  <c r="AW7" i="11"/>
  <c r="AW8" i="11"/>
  <c r="AX7" i="11"/>
  <c r="AX8" i="11"/>
  <c r="AY7" i="11"/>
  <c r="AY8" i="11"/>
  <c r="AZ7" i="11"/>
  <c r="AZ8" i="11"/>
  <c r="BA7" i="11"/>
  <c r="BA8" i="11"/>
  <c r="BB7" i="11"/>
  <c r="BB8" i="11"/>
  <c r="BC7" i="11"/>
  <c r="BC8" i="11"/>
  <c r="BD7" i="11"/>
  <c r="BD8" i="11"/>
  <c r="BE7" i="11"/>
  <c r="BE8" i="11"/>
  <c r="BF7" i="11"/>
  <c r="BF8" i="11"/>
  <c r="BG7" i="11"/>
  <c r="BG8" i="11"/>
  <c r="BH7" i="11"/>
  <c r="BH8" i="11"/>
  <c r="BI7" i="11"/>
  <c r="BI8" i="11"/>
  <c r="BJ7" i="11"/>
  <c r="BJ8" i="11"/>
  <c r="BK7" i="11"/>
  <c r="BK8" i="11"/>
  <c r="BL7" i="11"/>
  <c r="BL8" i="11"/>
  <c r="BM7" i="11"/>
  <c r="BM8" i="11"/>
  <c r="BN7" i="11"/>
  <c r="BN8" i="11"/>
  <c r="BO7" i="11"/>
  <c r="BO8" i="11"/>
  <c r="BP7" i="11"/>
  <c r="BP8" i="11"/>
  <c r="BQ7" i="11"/>
  <c r="BQ8" i="11"/>
  <c r="BR7" i="11"/>
  <c r="BR8" i="11"/>
  <c r="BS7" i="11"/>
  <c r="BS8" i="11"/>
  <c r="BT7" i="11"/>
  <c r="BT8" i="11"/>
  <c r="BU7" i="11"/>
  <c r="BU8" i="11"/>
  <c r="BV7" i="11"/>
  <c r="BV8" i="11"/>
  <c r="BW7" i="11"/>
  <c r="BW8" i="11"/>
  <c r="BX7" i="11"/>
  <c r="BX8" i="11"/>
  <c r="BY7" i="11"/>
  <c r="BY8" i="11"/>
  <c r="BZ7" i="11"/>
  <c r="BZ8" i="11"/>
  <c r="CA7" i="11"/>
  <c r="CA8" i="11"/>
  <c r="CB7" i="11"/>
  <c r="CB8" i="11"/>
  <c r="CC7" i="11"/>
  <c r="CC8" i="11"/>
  <c r="CD7" i="11"/>
  <c r="CD8" i="11"/>
  <c r="CE7" i="11"/>
  <c r="CE8" i="11"/>
  <c r="CF7" i="11"/>
  <c r="CF8" i="11"/>
  <c r="CG7" i="11"/>
  <c r="CG8" i="11"/>
  <c r="CH7" i="11"/>
  <c r="CH8" i="11"/>
  <c r="CI7" i="11"/>
  <c r="CI8" i="11"/>
  <c r="CJ7" i="11"/>
  <c r="CJ8" i="11"/>
  <c r="T8" i="11"/>
  <c r="U8" i="11"/>
  <c r="V8" i="11"/>
  <c r="N8" i="11"/>
  <c r="T4" i="11"/>
  <c r="U4" i="11"/>
  <c r="V4" i="11"/>
  <c r="N4" i="11"/>
  <c r="N5" i="11"/>
  <c r="T7" i="11"/>
  <c r="U7" i="11"/>
  <c r="V7" i="11"/>
  <c r="N7" i="11"/>
  <c r="T3" i="11"/>
  <c r="U3" i="11"/>
  <c r="V3" i="11"/>
  <c r="N3" i="11"/>
  <c r="S4" i="11"/>
  <c r="S6" i="11"/>
  <c r="S7" i="11"/>
  <c r="S8" i="11"/>
  <c r="S3" i="11"/>
  <c r="R4" i="11"/>
  <c r="R6" i="11"/>
  <c r="R7" i="11"/>
  <c r="R8" i="11"/>
  <c r="R3" i="11"/>
  <c r="Q4" i="11"/>
  <c r="Q5" i="11"/>
  <c r="Q6" i="11"/>
  <c r="Q7" i="11"/>
  <c r="Q8" i="11"/>
  <c r="Q3" i="11"/>
  <c r="O4" i="11"/>
  <c r="O5" i="11"/>
  <c r="O6" i="11"/>
  <c r="O7" i="11"/>
  <c r="O3" i="11"/>
  <c r="W2" i="11"/>
  <c r="G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F108" i="3"/>
  <c r="F109" i="3"/>
  <c r="F107" i="3"/>
  <c r="F75" i="3"/>
  <c r="F7" i="3"/>
  <c r="F8" i="3"/>
  <c r="F10" i="3"/>
  <c r="F11" i="3"/>
  <c r="F12" i="3"/>
  <c r="F15" i="3"/>
  <c r="F17" i="3"/>
  <c r="F18" i="3"/>
  <c r="F19" i="3"/>
  <c r="F21" i="3"/>
  <c r="F22" i="3"/>
  <c r="F24" i="3"/>
  <c r="F27" i="3"/>
  <c r="F30" i="3"/>
  <c r="F31" i="3"/>
  <c r="F32" i="3"/>
  <c r="F33" i="3"/>
  <c r="F35" i="3"/>
  <c r="F38" i="3"/>
  <c r="F40" i="3"/>
  <c r="F43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3" i="3"/>
  <c r="F64" i="3"/>
  <c r="F65" i="3"/>
  <c r="F69" i="3"/>
  <c r="F70" i="3"/>
  <c r="F74" i="3"/>
  <c r="F76" i="3"/>
  <c r="F77" i="3"/>
  <c r="F79" i="3"/>
  <c r="F81" i="3"/>
  <c r="F84" i="3"/>
  <c r="F86" i="3"/>
  <c r="F87" i="3"/>
  <c r="F89" i="3"/>
  <c r="F90" i="3"/>
  <c r="F91" i="3"/>
  <c r="F92" i="3"/>
  <c r="F93" i="3"/>
  <c r="F94" i="3"/>
  <c r="F97" i="3"/>
  <c r="F100" i="3"/>
  <c r="F102" i="3"/>
  <c r="F105" i="3"/>
  <c r="F3" i="3"/>
  <c r="F2" i="3"/>
</calcChain>
</file>

<file path=xl/sharedStrings.xml><?xml version="1.0" encoding="utf-8"?>
<sst xmlns="http://schemas.openxmlformats.org/spreadsheetml/2006/main" count="14380" uniqueCount="953">
  <si>
    <t>1t2t</t>
  </si>
  <si>
    <t>1t2f</t>
  </si>
  <si>
    <t>1f</t>
  </si>
  <si>
    <t>Class</t>
  </si>
  <si>
    <t>Method name</t>
  </si>
  <si>
    <t>Method id</t>
  </si>
  <si>
    <t>getLines</t>
  </si>
  <si>
    <t>Path</t>
  </si>
  <si>
    <t>Full time</t>
  </si>
  <si>
    <t>getTextBounds</t>
  </si>
  <si>
    <t>max</t>
  </si>
  <si>
    <t>min</t>
  </si>
  <si>
    <t>unsats</t>
  </si>
  <si>
    <t>addPadding</t>
  </si>
  <si>
    <t>no branches</t>
  </si>
  <si>
    <t>correctHorizontaly</t>
  </si>
  <si>
    <t>no good branches</t>
  </si>
  <si>
    <t>correctVericaly</t>
  </si>
  <si>
    <t>isInsideBounds</t>
  </si>
  <si>
    <t>without loop</t>
  </si>
  <si>
    <t>run time without loops</t>
  </si>
  <si>
    <t>7000?</t>
  </si>
  <si>
    <t>getCirlcePath</t>
  </si>
  <si>
    <t>less</t>
  </si>
  <si>
    <t>0 unsats</t>
  </si>
  <si>
    <t>0 unsats without loops</t>
  </si>
  <si>
    <t>getNormalPath</t>
  </si>
  <si>
    <t>getArrow</t>
  </si>
  <si>
    <t>Base64</t>
  </si>
  <si>
    <t>getBytes</t>
  </si>
  <si>
    <t>encode</t>
  </si>
  <si>
    <t>fillElementWithBigIteger</t>
  </si>
  <si>
    <t>decode</t>
  </si>
  <si>
    <t>isWhite</t>
  </si>
  <si>
    <t>IsPad</t>
  </si>
  <si>
    <t>small</t>
  </si>
  <si>
    <t>decodeInternal</t>
  </si>
  <si>
    <t>but more likely thre is no paritions inside the loop</t>
  </si>
  <si>
    <t>removeWhiteSpacd</t>
  </si>
  <si>
    <t>decdoe</t>
  </si>
  <si>
    <t>Class11</t>
  </si>
  <si>
    <t>method210</t>
  </si>
  <si>
    <t>method211</t>
  </si>
  <si>
    <t>has branches but not if-else parts</t>
  </si>
  <si>
    <t>method212</t>
  </si>
  <si>
    <t>if cond on counter which is init 0</t>
  </si>
  <si>
    <t>there are loops</t>
  </si>
  <si>
    <t>method 213</t>
  </si>
  <si>
    <t>method215</t>
  </si>
  <si>
    <t>method216</t>
  </si>
  <si>
    <t>method217</t>
  </si>
  <si>
    <t>per of code 10, diff 5 and no loops</t>
  </si>
  <si>
    <t>method218</t>
  </si>
  <si>
    <t>method219</t>
  </si>
  <si>
    <t>method220</t>
  </si>
  <si>
    <t>per of code 5, diff 3</t>
  </si>
  <si>
    <t>method 221</t>
  </si>
  <si>
    <t>per of code 10, diff 5 and no loops, with 8 per of code -&gt; 703, did those still hight, so it also about the paths theseves</t>
  </si>
  <si>
    <t>Class13</t>
  </si>
  <si>
    <t>method226</t>
  </si>
  <si>
    <t>method232</t>
  </si>
  <si>
    <t>mainly nested loops</t>
  </si>
  <si>
    <t>client</t>
  </si>
  <si>
    <t>processMenuClick</t>
  </si>
  <si>
    <t>calcCameraPos</t>
  </si>
  <si>
    <t>method85</t>
  </si>
  <si>
    <t>method108</t>
  </si>
  <si>
    <t>determineMenuSize</t>
  </si>
  <si>
    <t>method120</t>
  </si>
  <si>
    <t>methdo142</t>
  </si>
  <si>
    <t>throws an stack overflow - this is because had or in the loop's conditions, removed or, but now goes into inf loop</t>
  </si>
  <si>
    <t>prec 7, bracnDiff 5, some paths are not reachable - they have exceptions that makes 3 outgoing trans on not 2, so remed try/catch</t>
  </si>
  <si>
    <t>GeoEngine</t>
  </si>
  <si>
    <t>GeoData</t>
  </si>
  <si>
    <t>getZ</t>
  </si>
  <si>
    <t>moveCheck</t>
  </si>
  <si>
    <t>prec 7, diff 5</t>
  </si>
  <si>
    <t>getRegionOffse</t>
  </si>
  <si>
    <t>no</t>
  </si>
  <si>
    <t>getBlock</t>
  </si>
  <si>
    <t>getCell</t>
  </si>
  <si>
    <t>prec 3, diff 10</t>
  </si>
  <si>
    <t>nCanMoveNext</t>
  </si>
  <si>
    <t>nLOS</t>
  </si>
  <si>
    <t>nGetNSWE</t>
  </si>
  <si>
    <t>checkNSWE</t>
  </si>
  <si>
    <t>FastBlurFilter</t>
  </si>
  <si>
    <t>blur</t>
  </si>
  <si>
    <t>ImageData</t>
  </si>
  <si>
    <t>getPixel</t>
  </si>
  <si>
    <t>getPixels</t>
  </si>
  <si>
    <t>setAlpha</t>
  </si>
  <si>
    <t>setAlphas</t>
  </si>
  <si>
    <t>setPixel</t>
  </si>
  <si>
    <t>setPixels</t>
  </si>
  <si>
    <t>getMSBOffset</t>
  </si>
  <si>
    <t>only has paths when loop is not skipped</t>
  </si>
  <si>
    <t>prec 3, diff 21</t>
  </si>
  <si>
    <t>closestMatch</t>
  </si>
  <si>
    <t>convertPad</t>
  </si>
  <si>
    <t>blit</t>
  </si>
  <si>
    <t>all blits have tablshitch</t>
  </si>
  <si>
    <t>runs too long</t>
  </si>
  <si>
    <t>getChannelShift</t>
  </si>
  <si>
    <t>getChannelWidth</t>
  </si>
  <si>
    <t>buildPreciseGradientChannel</t>
  </si>
  <si>
    <t>buildDitheredGradientChannel</t>
  </si>
  <si>
    <t>InfBlocks</t>
  </si>
  <si>
    <t>InfCodes</t>
  </si>
  <si>
    <t>InfTree</t>
  </si>
  <si>
    <t>MapViewer</t>
  </si>
  <si>
    <t>QRCodeDataBlockReader</t>
  </si>
  <si>
    <t>StructurePanel</t>
  </si>
  <si>
    <t>TileRenderor</t>
  </si>
  <si>
    <t>WorldController</t>
  </si>
  <si>
    <t>proc</t>
  </si>
  <si>
    <t>has switch table - stack overflow</t>
  </si>
  <si>
    <t>huft_build</t>
  </si>
  <si>
    <t>no good branches outside of loops</t>
  </si>
  <si>
    <t>stack overflow - two return conditions from loops?</t>
  </si>
  <si>
    <t>paintRoutes</t>
  </si>
  <si>
    <t>paint</t>
  </si>
  <si>
    <t>init</t>
  </si>
  <si>
    <t>really small method</t>
  </si>
  <si>
    <t>getNextBits</t>
  </si>
  <si>
    <t>prec 3, diff 100</t>
  </si>
  <si>
    <t>no good branches even inside loops</t>
  </si>
  <si>
    <t>getKanjiString</t>
  </si>
  <si>
    <t>calculateTranslateConstant</t>
  </si>
  <si>
    <t>has table switch, no path when loops is skipped</t>
  </si>
  <si>
    <t>drawRoute</t>
  </si>
  <si>
    <t>drawTile</t>
  </si>
  <si>
    <t>not good cond lots of table switches - rewirte?</t>
  </si>
  <si>
    <t>method324</t>
  </si>
  <si>
    <t>TIFFaxEncoder</t>
  </si>
  <si>
    <t>decode2D</t>
  </si>
  <si>
    <t>7 with loops</t>
  </si>
  <si>
    <t>TIFFFaxDecoder</t>
  </si>
  <si>
    <t>4 unsat and 6 stmt</t>
  </si>
  <si>
    <t>decodeT6</t>
  </si>
  <si>
    <t>only has paths when loops is not skipped, 4 unsats with 5 paths</t>
  </si>
  <si>
    <t>setToBlack</t>
  </si>
  <si>
    <t>decodeBlackCodeWord</t>
  </si>
  <si>
    <t>readEOL</t>
  </si>
  <si>
    <t>getNextChangingElement</t>
  </si>
  <si>
    <t>prec 3, diff 60</t>
  </si>
  <si>
    <t>nextNBits</t>
  </si>
  <si>
    <t>prec 3, diff 6</t>
  </si>
  <si>
    <t>nextLesser than 8 bits</t>
  </si>
  <si>
    <t>small method</t>
  </si>
  <si>
    <t>nextState</t>
  </si>
  <si>
    <t>nexState</t>
  </si>
  <si>
    <t>add1DBits</t>
  </si>
  <si>
    <t>add2Bits</t>
  </si>
  <si>
    <t>addEOL</t>
  </si>
  <si>
    <t>addEOFB</t>
  </si>
  <si>
    <t>encode1D</t>
  </si>
  <si>
    <t>encodeRLE</t>
  </si>
  <si>
    <t>encodeT4</t>
  </si>
  <si>
    <t>no good cond outside of loop, with loops has stack overflow because two cond statements for the loops exit</t>
  </si>
  <si>
    <t>encodeT6</t>
  </si>
  <si>
    <t>no good branches outside of loop, with loops have self-ref to node 8 - my code cannot handle an arbitry exit from the program, only when it is the only one cond stmt -- need to work on it. orec 10, diff 6, prec 6 had 24 paths and some were quite fast</t>
  </si>
  <si>
    <t>%Diff</t>
  </si>
  <si>
    <t xml:space="preserve"> </t>
  </si>
  <si>
    <t>methods</t>
  </si>
  <si>
    <t>BallonFactory</t>
  </si>
  <si>
    <t>Has cond in loops</t>
  </si>
  <si>
    <t>Prec</t>
  </si>
  <si>
    <t>Diff</t>
  </si>
  <si>
    <t>yes</t>
  </si>
  <si>
    <t xml:space="preserve">Paths </t>
  </si>
  <si>
    <t>Path with loops</t>
  </si>
  <si>
    <t>Prec of code %</t>
  </si>
  <si>
    <t>Diff between branches % of code</t>
  </si>
  <si>
    <t>the same</t>
  </si>
  <si>
    <t>with 3 percent we get 46 and 53 paths</t>
  </si>
  <si>
    <t>22 loops!</t>
  </si>
  <si>
    <t>decodeWhiteCodeWord</t>
  </si>
  <si>
    <t>the same -- takes about 9 min to run without loops</t>
  </si>
  <si>
    <t>1f2t</t>
  </si>
  <si>
    <t>1f2f</t>
  </si>
  <si>
    <t>sat/sat</t>
  </si>
  <si>
    <t>sat/unsat</t>
  </si>
  <si>
    <t>unsat/sat</t>
  </si>
  <si>
    <t>unsat/unsat</t>
  </si>
  <si>
    <t>%</t>
  </si>
  <si>
    <t>Path Id</t>
  </si>
  <si>
    <t>Path Time</t>
  </si>
  <si>
    <t>test.BallonFactory</t>
  </si>
  <si>
    <t>1t3f4f</t>
  </si>
  <si>
    <t>1f2t3f4f</t>
  </si>
  <si>
    <t>1t3t5f6f</t>
  </si>
  <si>
    <t>1t3f4t5f6f</t>
  </si>
  <si>
    <t>1f2t3t5f6f</t>
  </si>
  <si>
    <t>1t3t5t</t>
  </si>
  <si>
    <t>1f2t3f4t5f6f</t>
  </si>
  <si>
    <t>1t3t5f6t</t>
  </si>
  <si>
    <t>1t3f4t5t</t>
  </si>
  <si>
    <t>1f2t3t5t</t>
  </si>
  <si>
    <t>1f2t3t5f6t</t>
  </si>
  <si>
    <t>1f2t3f4t5t</t>
  </si>
  <si>
    <t>1t3f4t5f6t</t>
  </si>
  <si>
    <t>1f2t3f4t5f6t</t>
  </si>
  <si>
    <t>1t</t>
  </si>
  <si>
    <t>1f2f3t</t>
  </si>
  <si>
    <t>1f2f3f4f</t>
  </si>
  <si>
    <t>1t5t7t</t>
  </si>
  <si>
    <t>1f2t3t4t</t>
  </si>
  <si>
    <t>1f2t3t4f</t>
  </si>
  <si>
    <t>1f2t3f</t>
  </si>
  <si>
    <t>1t5t7f8f10t</t>
  </si>
  <si>
    <t>1t5f</t>
  </si>
  <si>
    <t>1t5t7f8f10f</t>
  </si>
  <si>
    <t>1t5t7f8t10t</t>
  </si>
  <si>
    <t>1t5t7f8t10f</t>
  </si>
  <si>
    <t>1f2f3f4t</t>
  </si>
  <si>
    <t>class</t>
  </si>
  <si>
    <t>method</t>
  </si>
  <si>
    <t>paths</t>
  </si>
  <si>
    <t>test.Base64</t>
  </si>
  <si>
    <t>test.Class11</t>
  </si>
  <si>
    <t>test.Class13</t>
  </si>
  <si>
    <t>test.client</t>
  </si>
  <si>
    <t>test.GeoEngine</t>
  </si>
  <si>
    <t>test.FastBlurFilter</t>
  </si>
  <si>
    <t>test.ImageData</t>
  </si>
  <si>
    <t>test.MapViewer</t>
  </si>
  <si>
    <t>test.QRCodeDataBlockReader</t>
  </si>
  <si>
    <t>test.StructurePanel</t>
  </si>
  <si>
    <t>test.TileRenderor</t>
  </si>
  <si>
    <t>test.WorldController</t>
  </si>
  <si>
    <t>test.TIFFFaxDecoder</t>
  </si>
  <si>
    <t>% of sat</t>
  </si>
  <si>
    <t>1t2f3f</t>
  </si>
  <si>
    <t>1t2f3t</t>
  </si>
  <si>
    <t>2f</t>
  </si>
  <si>
    <t>2t3f</t>
  </si>
  <si>
    <t>2t3t14t</t>
  </si>
  <si>
    <t>2t3t14f</t>
  </si>
  <si>
    <t>1t2t3t</t>
  </si>
  <si>
    <t>1t2t3f4f</t>
  </si>
  <si>
    <t>1t2t3f4t5t7t10t</t>
  </si>
  <si>
    <t>1t2t3f4t5t7t10f11t</t>
  </si>
  <si>
    <t>1t2t3f4t5t7f8t10t</t>
  </si>
  <si>
    <t>1t2t3f4t5t7f8f9f</t>
  </si>
  <si>
    <t>1t2t3f4t5f6f7t10t</t>
  </si>
  <si>
    <t>1t2t3f4t5f6f7f8t10t</t>
  </si>
  <si>
    <t>1t2t3f4t5f6f7t10f11t</t>
  </si>
  <si>
    <t>1t2t3f4t5t7t10f11f12f</t>
  </si>
  <si>
    <t>1t2t3f4t5f6f7f8f9f</t>
  </si>
  <si>
    <t>1t2t3f4t5t7f8t10f11t</t>
  </si>
  <si>
    <t>1t2t3f4t5t7f8t10f11f12f</t>
  </si>
  <si>
    <t>1t2t3f4t5f6f7t10f11f12f</t>
  </si>
  <si>
    <t>1t2t3f4t5f6f7f8t10f11t</t>
  </si>
  <si>
    <t>1t2t3f4t5f6f7f8t10f11f12f</t>
  </si>
  <si>
    <t>1t2t3f4t5t7f8f9t13t</t>
  </si>
  <si>
    <t>1t2t3f4t5f6t13t</t>
  </si>
  <si>
    <t>1t2t3f4t5f6f7f8f9t13t</t>
  </si>
  <si>
    <t>1t2t3f4t5t7f8f9t13f14t</t>
  </si>
  <si>
    <t>1t2t3f4t5t7t10f11f12t13t</t>
  </si>
  <si>
    <t>1t2t3f4t5f6f7f8f9t13f14t</t>
  </si>
  <si>
    <t>1t2t3f4t5f6t13f14t</t>
  </si>
  <si>
    <t>1t2t3f4t5t7f8f9t13f14f15t</t>
  </si>
  <si>
    <t>1t2t3f4t5f6t13f14f15t</t>
  </si>
  <si>
    <t>1t2t3f4t5f6f7f8f9t13f14f15t</t>
  </si>
  <si>
    <t>1t2t3f4t5t7f8t10f11f12t13f14t</t>
  </si>
  <si>
    <t>1t2t3f4t5t7f8t10f11f12t13f14f15t</t>
  </si>
  <si>
    <t>1t2t3f4t5f6f7t10f11f12t13t</t>
  </si>
  <si>
    <t>1t2t3f4t5f6f7f8t10f11f12t13t</t>
  </si>
  <si>
    <t>1t2t3f4t5t7t10f11f12t13f14t</t>
  </si>
  <si>
    <t>1t2t3f4t5f6f7t10f11f12t13f14t</t>
  </si>
  <si>
    <t>1t2t3f4t5t7t10f11f12t13f14f15t</t>
  </si>
  <si>
    <t>1t2t3f4t5f6f7t10f11f12t13f14f15t</t>
  </si>
  <si>
    <t>1t2t3f4t5t7f8t10f11f12t13t</t>
  </si>
  <si>
    <t>1t2t3f4t5f6f7f8t10f11f12t13f14t</t>
  </si>
  <si>
    <t>1t2t3f4t5f6f7f8t10f11f12t13f14f15t</t>
  </si>
  <si>
    <t>1t2t3f4t5t7f8f9t13f14f15f</t>
  </si>
  <si>
    <t>1t2t3f4t5f6t13f14f15f</t>
  </si>
  <si>
    <t>1t2t3f4t5f6f7f8f9t13f14f15f</t>
  </si>
  <si>
    <t>1t2t3f4t5f6f7t10f11f12t13f14f15f</t>
  </si>
  <si>
    <t>1t2t3f4t5t7f8t10f11f12t13f14f15f</t>
  </si>
  <si>
    <t>1t2t3f4t5f6f7f8t10f11f12t13f14f15f</t>
  </si>
  <si>
    <t>1t2t3f4t5t7t10f11f12t13f14f15f</t>
  </si>
  <si>
    <t>1t2t3f4t</t>
  </si>
  <si>
    <t>1t2t3f4f5t</t>
  </si>
  <si>
    <t>1t2t3f4f5f8f9f</t>
  </si>
  <si>
    <t>1t2t3f4f5f8f9t10t12t15t</t>
  </si>
  <si>
    <t>1t2t3f4f5f8f9t10f11f12t15t</t>
  </si>
  <si>
    <t>1t2t3f4f5f8f9t10t12f13t15t</t>
  </si>
  <si>
    <t>1t2t3f4f5f8f9t10f11t</t>
  </si>
  <si>
    <t>1t2t3f4f5f8f9t10t12t15f16f17f</t>
  </si>
  <si>
    <t>1t2t3f4f5f8f9t10t12f13f14t</t>
  </si>
  <si>
    <t>1t2t3f4f5f8f9t10f11f12f13t15t</t>
  </si>
  <si>
    <t>1t2t3f4f5f8f9t10f11f12f13f14t</t>
  </si>
  <si>
    <t>1t2t3f4f5f8f9t10f11f12f13f14f</t>
  </si>
  <si>
    <t>1t2t3f4f5f8f9t10f11f12t15f16f17f</t>
  </si>
  <si>
    <t>1t2t3f4f5f8f9t10f11f12t15f16f17t</t>
  </si>
  <si>
    <t>1t2t3f4f5f8f9t10t12f13t15f16f17t</t>
  </si>
  <si>
    <t>1t2t3f4f5f8t</t>
  </si>
  <si>
    <t>1t2t3f4f5f8f9t10t12f13t15f16f17f</t>
  </si>
  <si>
    <t>1t2t3f4f5f8f9t10t12t15f16t</t>
  </si>
  <si>
    <t>1t2t3f4f5f8f9t10t12f13t15f16t</t>
  </si>
  <si>
    <t>1t2t3f4f5f8f9t10f11f12t15f16t</t>
  </si>
  <si>
    <t>1t2t3f4f5f8f9t10f11f12f13t15f16f17f</t>
  </si>
  <si>
    <t>1t2t3f4f5f8f9t10t12t15f16f17t</t>
  </si>
  <si>
    <t>1t2t3f4f5f8f9t10f11f12f13t15f16f17t</t>
  </si>
  <si>
    <t>1t2t3f4f5f8f9t10f11f12f13t15f16t</t>
  </si>
  <si>
    <t>1t2t3f4f5f8f9t10t12f13f14f</t>
  </si>
  <si>
    <t>1f7t9t12t</t>
  </si>
  <si>
    <t>1f7t9f10t12t</t>
  </si>
  <si>
    <t>1f7f8f9t12t</t>
  </si>
  <si>
    <t>1t2f7t9t12t</t>
  </si>
  <si>
    <t>1f7f8t</t>
  </si>
  <si>
    <t>1f7f8f9f10t12t</t>
  </si>
  <si>
    <t>1f7t9f10f</t>
  </si>
  <si>
    <t>1t2f7t9f10t12t</t>
  </si>
  <si>
    <t>1t2f7f8f9t12t</t>
  </si>
  <si>
    <t>1f7f8f9f10f</t>
  </si>
  <si>
    <t>1t2f7f8f9f10t12t</t>
  </si>
  <si>
    <t>1t2f7f8t</t>
  </si>
  <si>
    <t>1t2f7t9f10f</t>
  </si>
  <si>
    <t>1f7t9t12f</t>
  </si>
  <si>
    <t>1t2f7f8f9f10f</t>
  </si>
  <si>
    <t>1f7f8f9t12f</t>
  </si>
  <si>
    <t>1f7t9f10t12f</t>
  </si>
  <si>
    <t>1t2f7t9t12f</t>
  </si>
  <si>
    <t>1f7f8f9f10t12f</t>
  </si>
  <si>
    <t>1t2f7t9f10t12f</t>
  </si>
  <si>
    <t>1t2f7f8f9t12f</t>
  </si>
  <si>
    <t>1t2f7f8f9f10t12f</t>
  </si>
  <si>
    <t>1t2t7t9t12t</t>
  </si>
  <si>
    <t>1t2t7t9f10t12t</t>
  </si>
  <si>
    <t>1t2t7f8f9t12t</t>
  </si>
  <si>
    <t>1t2t7f8f9f10t12t</t>
  </si>
  <si>
    <t>1t2t7f8t</t>
  </si>
  <si>
    <t>1t2t7t9f10f</t>
  </si>
  <si>
    <t>1t2t7f8f9f10f</t>
  </si>
  <si>
    <t>1t2t7t9t12f</t>
  </si>
  <si>
    <t>1t2t7f8f9t12f</t>
  </si>
  <si>
    <t>1t2t7t9f10t12f</t>
  </si>
  <si>
    <t>1t2t7f8f9f10t12f</t>
  </si>
  <si>
    <t>1f7t</t>
  </si>
  <si>
    <t>1f7f</t>
  </si>
  <si>
    <t>2t</t>
  </si>
  <si>
    <t>1t3f4f40f41t52f</t>
  </si>
  <si>
    <t>1t3f4f40f41t52t</t>
  </si>
  <si>
    <t>1t3f4f40t</t>
  </si>
  <si>
    <t>1t3f4f40f41f</t>
  </si>
  <si>
    <t>1t3f4t13f40f41f</t>
  </si>
  <si>
    <t>1t3f4t13f40f41t52t</t>
  </si>
  <si>
    <t>1t3f4t13f40t</t>
  </si>
  <si>
    <t>1t3f4t13f40f41t52f</t>
  </si>
  <si>
    <t>1f3f4f40f41f</t>
  </si>
  <si>
    <t>1f3f4f40t</t>
  </si>
  <si>
    <t>1f3f4f40f41t52f</t>
  </si>
  <si>
    <t>1f3f4f40f41t52t</t>
  </si>
  <si>
    <t>1f3f4t13f40f41t52t</t>
  </si>
  <si>
    <t>1f3f4t13f40f41f</t>
  </si>
  <si>
    <t>1f3f4t13f40f41t52f</t>
  </si>
  <si>
    <t>1f3f4t13f40t</t>
  </si>
  <si>
    <t>1t3t40f41f</t>
  </si>
  <si>
    <t>1t3t40f41t52f</t>
  </si>
  <si>
    <t>1t3t40t</t>
  </si>
  <si>
    <t>1f3t40f41f</t>
  </si>
  <si>
    <t>1f3t40f41t52f</t>
  </si>
  <si>
    <t>1f3t40t</t>
  </si>
  <si>
    <t>1t3f4t13t40f41f</t>
  </si>
  <si>
    <t>1t3f4t13t40f41t52f</t>
  </si>
  <si>
    <t>1t3f4t13t40t</t>
  </si>
  <si>
    <t>1t3f4t13t40f41t52t</t>
  </si>
  <si>
    <t>1f3f4t13t40f41t52f</t>
  </si>
  <si>
    <t>1f3f4t13t40t</t>
  </si>
  <si>
    <t>1f3f4t13t40f41t52t</t>
  </si>
  <si>
    <t>1f3f4t13t40f41f</t>
  </si>
  <si>
    <t>1t3t40f41t52t</t>
  </si>
  <si>
    <t>1f3t40f41t52t</t>
  </si>
  <si>
    <t>1t2t4t7t14t21t28t</t>
  </si>
  <si>
    <t>1t2f4t7t14t21t28t</t>
  </si>
  <si>
    <t>1t2t4t7f</t>
  </si>
  <si>
    <t>1t2t4t7t14f</t>
  </si>
  <si>
    <t>1t2t4t7t14t21f</t>
  </si>
  <si>
    <t>1t2f4t7f</t>
  </si>
  <si>
    <t>1t2t4t7t14t21t28f</t>
  </si>
  <si>
    <t>1t2f4t7t14f</t>
  </si>
  <si>
    <t>1t2f4t7t14t21f</t>
  </si>
  <si>
    <t>1t2f4t7t14t21t28f</t>
  </si>
  <si>
    <t>1t2t4f</t>
  </si>
  <si>
    <t>1t2f4f</t>
  </si>
  <si>
    <t>1t2t6t11t</t>
  </si>
  <si>
    <t>1t2t6t11f12t</t>
  </si>
  <si>
    <t>1t2t6t11f12f13t</t>
  </si>
  <si>
    <t>1t2f6t11t</t>
  </si>
  <si>
    <t>1t2t6f11t</t>
  </si>
  <si>
    <t>1t2t6t11f12f13f</t>
  </si>
  <si>
    <t>1t2f6t11f12t</t>
  </si>
  <si>
    <t>1t2f6t11f12f13t</t>
  </si>
  <si>
    <t>1t2t6f11f12f13t</t>
  </si>
  <si>
    <t>1t2f6f11t</t>
  </si>
  <si>
    <t>1t2f6t11f12f13f</t>
  </si>
  <si>
    <t>1t2t6f11f12f13f</t>
  </si>
  <si>
    <t>1t2f6f11f12t</t>
  </si>
  <si>
    <t>1t2t6f11f12t</t>
  </si>
  <si>
    <t>1t2f6f11f12f13t</t>
  </si>
  <si>
    <t>1t2f6f11f12f13f</t>
  </si>
  <si>
    <t>5f</t>
  </si>
  <si>
    <t>5t6f3f4f</t>
  </si>
  <si>
    <t>5t6f3t</t>
  </si>
  <si>
    <t>5t6f3f4t</t>
  </si>
  <si>
    <t>5t6t3f4f</t>
  </si>
  <si>
    <t>5t6t3t</t>
  </si>
  <si>
    <t>5t6t3f4t</t>
  </si>
  <si>
    <t>6t35t</t>
  </si>
  <si>
    <t>6t35f36t</t>
  </si>
  <si>
    <t>6t35f36f37t</t>
  </si>
  <si>
    <t>6t35f36f37f38t</t>
  </si>
  <si>
    <t>6t35f36f37f38f39t</t>
  </si>
  <si>
    <t>6t35f36f37f38f39f40t</t>
  </si>
  <si>
    <t>6t35f36f37f38f39f40f41t</t>
  </si>
  <si>
    <t>6t35f36f37f38f39f40f41f42t</t>
  </si>
  <si>
    <t>6t35f36f37f38f39f40f41f42f43t</t>
  </si>
  <si>
    <t>6t35f36f37f38f39f40f41f42f43f44t</t>
  </si>
  <si>
    <t>6t35f36f37f38f39f40f41f42f43f44f45f46t</t>
  </si>
  <si>
    <t>6t35f36f37f38f39f40f41f42f43f44f45t</t>
  </si>
  <si>
    <t>6t35f36f37f38f39f40f41f42f43f44f45f46f47f48t</t>
  </si>
  <si>
    <t>6t35f36f37f38f39f40f41f42f43f44f45f46f47f48f</t>
  </si>
  <si>
    <t>6t35f36f37f38f39f40f41f42f43f44f45f46f47t</t>
  </si>
  <si>
    <t>6f</t>
  </si>
  <si>
    <t>46f57f</t>
  </si>
  <si>
    <t>46t</t>
  </si>
  <si>
    <t>46f57t</t>
  </si>
  <si>
    <t>1t9t10t</t>
  </si>
  <si>
    <t>1t9f</t>
  </si>
  <si>
    <t>1t9t10f</t>
  </si>
  <si>
    <t>1f2f9f</t>
  </si>
  <si>
    <t>1f2f9t10t</t>
  </si>
  <si>
    <t>1f2f9t10f</t>
  </si>
  <si>
    <t>1f2t9t10t</t>
  </si>
  <si>
    <t>1f2t9f</t>
  </si>
  <si>
    <t>1f2t9t10f</t>
  </si>
  <si>
    <t>7f</t>
  </si>
  <si>
    <t>7t</t>
  </si>
  <si>
    <t>1f2f3f4f5f6f</t>
  </si>
  <si>
    <t>1f2f3f4f5f6t</t>
  </si>
  <si>
    <t>1f2f3f4f5t</t>
  </si>
  <si>
    <t>1t7t</t>
  </si>
  <si>
    <t>1t7f</t>
  </si>
  <si>
    <t>2t3t4f</t>
  </si>
  <si>
    <t>2t3t4t7t</t>
  </si>
  <si>
    <t>2t3t4t7f8f</t>
  </si>
  <si>
    <t>2t3t4t7f8t</t>
  </si>
  <si>
    <t>1t2t5t</t>
  </si>
  <si>
    <t>1t2t5f6f</t>
  </si>
  <si>
    <t>1t2t5f6t10f</t>
  </si>
  <si>
    <t>1t2t5f6t10t11t12t</t>
  </si>
  <si>
    <t>1t2t5f6t10t11f</t>
  </si>
  <si>
    <t>1t2t5f6t10t11t12f13t</t>
  </si>
  <si>
    <t>1t2t5f6t10t11t12f13f14f</t>
  </si>
  <si>
    <t>1t2t5f6t10t11t12f13f14t</t>
  </si>
  <si>
    <t>1t2t4t</t>
  </si>
  <si>
    <t>1t2t4f5f</t>
  </si>
  <si>
    <t>1t2t4f5t</t>
  </si>
  <si>
    <t>1t2f3t4f5f</t>
  </si>
  <si>
    <t>1t2t4t6f7f</t>
  </si>
  <si>
    <t>1t2t4f5t6f7f</t>
  </si>
  <si>
    <t>1t2f3t4t6f7f</t>
  </si>
  <si>
    <t>1t2t4t6t8t</t>
  </si>
  <si>
    <t>1t2f3t4f5t6f7f</t>
  </si>
  <si>
    <t>1t2t4t6t8f9t</t>
  </si>
  <si>
    <t>1t2t4f5t6t8t</t>
  </si>
  <si>
    <t>1t2t4t6t8f9f</t>
  </si>
  <si>
    <t>1t2t4t6f7t8t</t>
  </si>
  <si>
    <t>1t2f3t4t6t8t</t>
  </si>
  <si>
    <t>1t2t4f5t6f7t8t</t>
  </si>
  <si>
    <t>1t2f3t4t6t8f9t</t>
  </si>
  <si>
    <t>1t2t4t6f7t8f9t</t>
  </si>
  <si>
    <t>1t2f3t4t6t8f9f</t>
  </si>
  <si>
    <t>1t2t4f5t6t8f9f</t>
  </si>
  <si>
    <t>1t2t4t6f7t8f9f</t>
  </si>
  <si>
    <t>1t2f3t4t6f7t8t</t>
  </si>
  <si>
    <t>1t2t4f5t6t8f9t</t>
  </si>
  <si>
    <t>1t2f3t4f5t6t8t</t>
  </si>
  <si>
    <t>1t2f3t4f5t6t8f9f</t>
  </si>
  <si>
    <t>1t2f3t4t6f7t8f9t</t>
  </si>
  <si>
    <t>1t2f3t4f5t6t8f9t</t>
  </si>
  <si>
    <t>1t2t4f5t6f7t8f9t</t>
  </si>
  <si>
    <t>1t2f3t4t6f7t8f9f</t>
  </si>
  <si>
    <t>1t2f3t4f5t6f7t8t</t>
  </si>
  <si>
    <t>1t2t4f5t6f7t8f9f</t>
  </si>
  <si>
    <t>1t2f3t4f5t6f7t8f9f</t>
  </si>
  <si>
    <t>1t2f3t4f5t6f7t8f9t</t>
  </si>
  <si>
    <t>1t5t7t8t10f</t>
  </si>
  <si>
    <t>1t5t7f</t>
  </si>
  <si>
    <t>1t5t7t8f</t>
  </si>
  <si>
    <t>1t5t7t8t10t11f</t>
  </si>
  <si>
    <t>1f5t7t8t10f</t>
  </si>
  <si>
    <t>1f5f</t>
  </si>
  <si>
    <t>1f5t7f</t>
  </si>
  <si>
    <t>1f5t7t8f</t>
  </si>
  <si>
    <t>1t5t7t8t10t11t12f</t>
  </si>
  <si>
    <t>1f5t7t8t10t11f</t>
  </si>
  <si>
    <t>1t5t7t8t10t11t12t</t>
  </si>
  <si>
    <t>1f5t7t8t10t11t12f</t>
  </si>
  <si>
    <t>1f5t7t8t10t11t12t</t>
  </si>
  <si>
    <t>7t8t15t20t27t</t>
  </si>
  <si>
    <t>7t8t15f</t>
  </si>
  <si>
    <t>7t8f</t>
  </si>
  <si>
    <t>7t8t15t20f</t>
  </si>
  <si>
    <t>7t8t15t20t27f</t>
  </si>
  <si>
    <t>7t8t15t20t27t30t33t36t</t>
  </si>
  <si>
    <t>7t8t15t20t27t30f</t>
  </si>
  <si>
    <t>7t8t15t20t27t30t33f</t>
  </si>
  <si>
    <t>7t8t15t20t27t30t33t36f</t>
  </si>
  <si>
    <t>1f2f3f4f5f</t>
  </si>
  <si>
    <t>2f3t7f</t>
  </si>
  <si>
    <t>2t7t</t>
  </si>
  <si>
    <t>2t7f</t>
  </si>
  <si>
    <t>2f3f4t7f</t>
  </si>
  <si>
    <t>2f3t7t</t>
  </si>
  <si>
    <t>2f3f4f5f7f</t>
  </si>
  <si>
    <t>2f3f4t7t</t>
  </si>
  <si>
    <t>2f3f4f5t7t</t>
  </si>
  <si>
    <t>2f3f4f5t7f</t>
  </si>
  <si>
    <t>2f3f4f5f7t</t>
  </si>
  <si>
    <t>5t7t8t10f</t>
  </si>
  <si>
    <t>5t7t8f9t</t>
  </si>
  <si>
    <t>5f6t</t>
  </si>
  <si>
    <t>5t7t8t10t11t12t13t</t>
  </si>
  <si>
    <t>5t7f</t>
  </si>
  <si>
    <t>5f6f</t>
  </si>
  <si>
    <t>5t7t8f9f</t>
  </si>
  <si>
    <t>5t7t8t10t11f</t>
  </si>
  <si>
    <t>5t7t8t10t11t12f</t>
  </si>
  <si>
    <t>5t7t8t10t11t12t13f</t>
  </si>
  <si>
    <t>7t8t13t17t24t</t>
  </si>
  <si>
    <t>7t8t13t17f</t>
  </si>
  <si>
    <t>7t8t13f</t>
  </si>
  <si>
    <t>7t8t13t17t24f</t>
  </si>
  <si>
    <t>7t8t13t17t24t27t30t33t</t>
  </si>
  <si>
    <t>7t8t13t17t24t27f</t>
  </si>
  <si>
    <t>7t8t13t17t24t27t30f</t>
  </si>
  <si>
    <t>7t8t13t17t24t27t30t33f</t>
  </si>
  <si>
    <t>1f2f3f</t>
  </si>
  <si>
    <t>1t4t</t>
  </si>
  <si>
    <t>1t4f5f8f</t>
  </si>
  <si>
    <t>1t3t6t</t>
  </si>
  <si>
    <t>1t3f</t>
  </si>
  <si>
    <t>1t3t6f</t>
  </si>
  <si>
    <t>1f2t4t</t>
  </si>
  <si>
    <t>1t5f6f</t>
  </si>
  <si>
    <t>1f2t4f</t>
  </si>
  <si>
    <t>1t5f6t</t>
  </si>
  <si>
    <t>1t7t13f</t>
  </si>
  <si>
    <t>1t7t13t19f</t>
  </si>
  <si>
    <t>1t7t13t19t</t>
  </si>
  <si>
    <t>1t3t5t8t</t>
  </si>
  <si>
    <t>1t3t5f</t>
  </si>
  <si>
    <t>1t3t5t8f</t>
  </si>
  <si>
    <t>1t6t12t</t>
  </si>
  <si>
    <t>1f2t5f</t>
  </si>
  <si>
    <t>1t6t12f</t>
  </si>
  <si>
    <t>1t6f7f</t>
  </si>
  <si>
    <t>1f2f3t5f</t>
  </si>
  <si>
    <t>1f2f3f4t5f</t>
  </si>
  <si>
    <t>1f2t5t12t</t>
  </si>
  <si>
    <t>1f2f3f4t5t12t</t>
  </si>
  <si>
    <t>1f2t5t12f</t>
  </si>
  <si>
    <t>1f2f3f4t5t12f</t>
  </si>
  <si>
    <t>1f2f3t5t12f</t>
  </si>
  <si>
    <t>1f2f3t5t12t</t>
  </si>
  <si>
    <t>1t6f7t8f9f</t>
  </si>
  <si>
    <t>1t6f7t8t12t</t>
  </si>
  <si>
    <t>1t6f7t8t12f</t>
  </si>
  <si>
    <t>1t6f7t8f9t12t</t>
  </si>
  <si>
    <t>1t6f7t8f9t12f</t>
  </si>
  <si>
    <t>1f2f8t9t</t>
  </si>
  <si>
    <t>1f2f8f</t>
  </si>
  <si>
    <t>1f2f8t9f</t>
  </si>
  <si>
    <t>1t4f5f8t9t</t>
  </si>
  <si>
    <t>1t4f5f8t9f</t>
  </si>
  <si>
    <t>1f2t3f8t9t</t>
  </si>
  <si>
    <t>1f2t3t8t9t</t>
  </si>
  <si>
    <t>1f2t3f8f</t>
  </si>
  <si>
    <t>1f2t3f8t9f</t>
  </si>
  <si>
    <t>1f2t3t8t9f</t>
  </si>
  <si>
    <t>1t4f5t6f8t9t</t>
  </si>
  <si>
    <t>1f2t3t8f</t>
  </si>
  <si>
    <t>1t4f5t6t8t9t</t>
  </si>
  <si>
    <t>1t4f5t6t8f</t>
  </si>
  <si>
    <t>1t4f5t6t8t9f</t>
  </si>
  <si>
    <t>1t4f5t6f8f</t>
  </si>
  <si>
    <t>1t4f5t6f8t9f</t>
  </si>
  <si>
    <t>1t3t</t>
  </si>
  <si>
    <t>1f2t5t</t>
  </si>
  <si>
    <t>1f2f5t</t>
  </si>
  <si>
    <t>1f2f5f</t>
  </si>
  <si>
    <t>1t3f4f5t</t>
  </si>
  <si>
    <t>1t3f4f5f</t>
  </si>
  <si>
    <t>1t3f4t5f</t>
  </si>
  <si>
    <t>test.TIFFFaxEncoder</t>
  </si>
  <si>
    <t>2f3f</t>
  </si>
  <si>
    <t>2f3t4t</t>
  </si>
  <si>
    <t>2f3t4f</t>
  </si>
  <si>
    <t>2t3t4t</t>
  </si>
  <si>
    <t>% ful time</t>
  </si>
  <si>
    <t>under 20%</t>
  </si>
  <si>
    <t>under 40%</t>
  </si>
  <si>
    <t>under 60%</t>
  </si>
  <si>
    <t>at 100%</t>
  </si>
  <si>
    <t>id</t>
  </si>
  <si>
    <t>count 100%</t>
  </si>
  <si>
    <t>&gt;=75 &lt; 100</t>
  </si>
  <si>
    <t>&gt;=50 &lt; 75</t>
  </si>
  <si>
    <t>&gt;=25 &lt; 50</t>
  </si>
  <si>
    <t>&gt;0 &lt;25</t>
  </si>
  <si>
    <t>total</t>
  </si>
  <si>
    <t>test.Class11_1_</t>
  </si>
  <si>
    <t>test.Class11_3_</t>
  </si>
  <si>
    <t>test.Class11_2_</t>
  </si>
  <si>
    <t>test.Class11_10_</t>
  </si>
  <si>
    <t>test.BallonFactory_1_</t>
  </si>
  <si>
    <t>test.BallonFactory_2_</t>
  </si>
  <si>
    <t>test.BallonFactory_6_</t>
  </si>
  <si>
    <t>test.BallonFactory_9_</t>
  </si>
  <si>
    <t>test.Base64_2_</t>
  </si>
  <si>
    <t>test.Base64_4_</t>
  </si>
  <si>
    <t>test.Base64_13_</t>
  </si>
  <si>
    <t>test.Base64_16_</t>
  </si>
  <si>
    <t>test.Base64_18_</t>
  </si>
  <si>
    <t>test.Base64_19_</t>
  </si>
  <si>
    <t>test.Base64_20_</t>
  </si>
  <si>
    <t>test.Class11_11_</t>
  </si>
  <si>
    <t>test.Class11_12_</t>
  </si>
  <si>
    <t>test.Class13_1_</t>
  </si>
  <si>
    <t>test.client_1_</t>
  </si>
  <si>
    <t>test.client_3_</t>
  </si>
  <si>
    <t>test.client_4_</t>
  </si>
  <si>
    <t>test.client_6_</t>
  </si>
  <si>
    <t>test.client_7_</t>
  </si>
  <si>
    <t>test.GeoEngine_3_</t>
  </si>
  <si>
    <t>test.GeoEngine_7_</t>
  </si>
  <si>
    <t>test.GeoEngine_8_</t>
  </si>
  <si>
    <t>test.GeoEngine_9_</t>
  </si>
  <si>
    <t>test.GeoEngine_10_</t>
  </si>
  <si>
    <t>test.FastBlurFilter_3_</t>
  </si>
  <si>
    <t>test.ImageData_2_</t>
  </si>
  <si>
    <t>test.ImageData_3_</t>
  </si>
  <si>
    <t>test.ImageData_4_</t>
  </si>
  <si>
    <t>test.ImageData_5_</t>
  </si>
  <si>
    <t>test.ImageData_6_</t>
  </si>
  <si>
    <t>test.ImageData_7_</t>
  </si>
  <si>
    <t>test.ImageData_8_</t>
  </si>
  <si>
    <t>test.ImageData_9_</t>
  </si>
  <si>
    <t>test.ImageData_10_</t>
  </si>
  <si>
    <t>test.ImageData_11_</t>
  </si>
  <si>
    <t>test.ImageData_13_</t>
  </si>
  <si>
    <t>test.ImageData_15_</t>
  </si>
  <si>
    <t>test.ImageData_16_</t>
  </si>
  <si>
    <t>test.ImageData_20_</t>
  </si>
  <si>
    <t>test.ImageData_21_</t>
  </si>
  <si>
    <t>test.MapViewer_2_</t>
  </si>
  <si>
    <t>test.MapViewer_3_</t>
  </si>
  <si>
    <t>test.QRCodeDataBlockReader_0_</t>
  </si>
  <si>
    <t>test.QRCodeDataBlockReader_1_</t>
  </si>
  <si>
    <t>test.StructurePanel_1_</t>
  </si>
  <si>
    <t>test.TileRenderor_3_</t>
  </si>
  <si>
    <t>test.WorldController_1_</t>
  </si>
  <si>
    <t>test.TIFFFaxDecoder_4_</t>
  </si>
  <si>
    <t>test.TIFFFaxDecoder_5_</t>
  </si>
  <si>
    <t>test.TIFFFaxDecoder_7_</t>
  </si>
  <si>
    <t>test.TIFFFaxDecoder_8_</t>
  </si>
  <si>
    <t>test.TIFFFaxDecoder_9_</t>
  </si>
  <si>
    <t>test.TIFFFaxDecoder_10_</t>
  </si>
  <si>
    <t>test.TIFFFaxDecoder_11_</t>
  </si>
  <si>
    <t>test.TIFFFaxDecoder_12_</t>
  </si>
  <si>
    <t>test.TIFFFaxDecoder_13_</t>
  </si>
  <si>
    <t>test.TIFFFaxEncoder_2_</t>
  </si>
  <si>
    <t>test.TIFFFaxEncoder_6_</t>
  </si>
  <si>
    <t>test.TIFFFaxEncoder_8_</t>
  </si>
  <si>
    <t>test.TIFFFaxEncoder_11_</t>
  </si>
  <si>
    <t>time % of full</t>
  </si>
  <si>
    <t>% sat of full</t>
  </si>
  <si>
    <t>under 80%</t>
  </si>
  <si>
    <t>over 100%</t>
  </si>
  <si>
    <t>over 50% info</t>
  </si>
  <si>
    <t>test.Class11_7_</t>
  </si>
  <si>
    <t>1f2f3t34f35t37f38f</t>
  </si>
  <si>
    <t>1f2f3t34f35t37t</t>
  </si>
  <si>
    <t>1f2f3t34f35t37f38t</t>
  </si>
  <si>
    <t>1f2f3t34f35f36f37f38f</t>
  </si>
  <si>
    <t>1f2f3t34f35f36f37f38t</t>
  </si>
  <si>
    <t>1f2f3t34f35f36f37t</t>
  </si>
  <si>
    <t>1f2f3t34t</t>
  </si>
  <si>
    <t>1f2f3t34f35f36t</t>
  </si>
  <si>
    <t>2t5f</t>
  </si>
  <si>
    <t>2t5t</t>
  </si>
  <si>
    <t>% full</t>
  </si>
  <si>
    <t>test.ImageData_14_</t>
  </si>
  <si>
    <t>it has some problems with dynamic libaries - bitshifts and stuff</t>
  </si>
  <si>
    <t>dom9</t>
  </si>
  <si>
    <t>dom4</t>
  </si>
  <si>
    <t>dom5</t>
  </si>
  <si>
    <t>the same even though shows 11 rows some are not reachable</t>
  </si>
  <si>
    <t>test.BallonFactory      1</t>
  </si>
  <si>
    <t>test.BallonFactory      2</t>
  </si>
  <si>
    <t>test.BallonFactory      6</t>
  </si>
  <si>
    <t>test.BallonFactory      7</t>
  </si>
  <si>
    <t>test.BallonFactory      9</t>
  </si>
  <si>
    <t>test.Base64     2</t>
  </si>
  <si>
    <t>test.Base64     4</t>
  </si>
  <si>
    <t>test.Base64     13</t>
  </si>
  <si>
    <t>test.Base64     16</t>
  </si>
  <si>
    <t>test.Base64     18</t>
  </si>
  <si>
    <t>test.Base64     19</t>
  </si>
  <si>
    <t>test.Base64     20</t>
  </si>
  <si>
    <t>test.Class11    1</t>
  </si>
  <si>
    <t>test.Class11    2</t>
  </si>
  <si>
    <t>test.Class11    3</t>
  </si>
  <si>
    <t>test.Class11    6</t>
  </si>
  <si>
    <t>test.Class11    7</t>
  </si>
  <si>
    <t>test.Class11    10</t>
  </si>
  <si>
    <t>test.Class11    11</t>
  </si>
  <si>
    <t>test.Class11    12</t>
  </si>
  <si>
    <t>test.Class13    1</t>
  </si>
  <si>
    <t>test.client     1</t>
  </si>
  <si>
    <t>test.client     3</t>
  </si>
  <si>
    <t>test.client     4</t>
  </si>
  <si>
    <t>test.client     6</t>
  </si>
  <si>
    <t>test.client     7</t>
  </si>
  <si>
    <t>test.GeoEngine  3</t>
  </si>
  <si>
    <t>test.GeoEngine  7</t>
  </si>
  <si>
    <t>test.GeoEngine  8</t>
  </si>
  <si>
    <t>test.GeoEngine  9</t>
  </si>
  <si>
    <t>test.GeoEngine  10</t>
  </si>
  <si>
    <t>test.FastBlurFilter     3</t>
  </si>
  <si>
    <t>test.ImageData  2</t>
  </si>
  <si>
    <t>test.ImageData  3</t>
  </si>
  <si>
    <t>test.ImageData  4</t>
  </si>
  <si>
    <t>test.ImageData  5</t>
  </si>
  <si>
    <t>test.ImageData  6</t>
  </si>
  <si>
    <t>test.ImageData  7</t>
  </si>
  <si>
    <t>test.ImageData  8</t>
  </si>
  <si>
    <t>test.ImageData  9</t>
  </si>
  <si>
    <t>test.ImageData  10</t>
  </si>
  <si>
    <t>test.ImageData  11</t>
  </si>
  <si>
    <t>test.ImageData  13</t>
  </si>
  <si>
    <t>test.ImageData  14</t>
  </si>
  <si>
    <t>test.ImageData  15</t>
  </si>
  <si>
    <t>test.ImageData  16</t>
  </si>
  <si>
    <t>test.ImageData  20</t>
  </si>
  <si>
    <t>test.ImageData  21</t>
  </si>
  <si>
    <t>test.MapViewer  2</t>
  </si>
  <si>
    <t>test.MapViewer  3</t>
  </si>
  <si>
    <t>test.QRCodeDataBlockReader      0</t>
  </si>
  <si>
    <t>test.QRCodeDataBlockReader      1</t>
  </si>
  <si>
    <t>test.StructurePanel     1</t>
  </si>
  <si>
    <t>test.TileRenderor       3</t>
  </si>
  <si>
    <t>test.WorldController    1</t>
  </si>
  <si>
    <t>test.TIFFFaxDecoder     4</t>
  </si>
  <si>
    <t>test.TIFFFaxDecoder     5</t>
  </si>
  <si>
    <t>test.TIFFFaxDecoder     7</t>
  </si>
  <si>
    <t>test.TIFFFaxDecoder     8</t>
  </si>
  <si>
    <t>test.TIFFFaxDecoder     9</t>
  </si>
  <si>
    <t>test.TIFFFaxDecoder     10</t>
  </si>
  <si>
    <t>test.TIFFFaxDecoder     11</t>
  </si>
  <si>
    <t>test.TIFFFaxDecoder     12</t>
  </si>
  <si>
    <t>test.TIFFFaxDecoder     13</t>
  </si>
  <si>
    <t>test.TIFFFaxEncoder     2</t>
  </si>
  <si>
    <t>test.TIFFFaxEncoder     6</t>
  </si>
  <si>
    <t>test.TIFFFaxEncoder     8</t>
  </si>
  <si>
    <t>test.TIFFFaxEncoder     11</t>
  </si>
  <si>
    <t>1t2t3t4t</t>
  </si>
  <si>
    <t>1f2f3t4f5f</t>
  </si>
  <si>
    <t>1t2f3t4t</t>
  </si>
  <si>
    <t>1f2f3t4t</t>
  </si>
  <si>
    <t>1t2t3t4f5f</t>
  </si>
  <si>
    <t>1f2t3t4f5f</t>
  </si>
  <si>
    <t>1f2f3t4f5t</t>
  </si>
  <si>
    <t>1t2f3t4f5t</t>
  </si>
  <si>
    <t>1f2t3t4f5t</t>
  </si>
  <si>
    <t>1t2t3t4f5t</t>
  </si>
  <si>
    <t>1t2t3f</t>
  </si>
  <si>
    <t>2t9t16t23t</t>
  </si>
  <si>
    <t>2t9f16f23f</t>
  </si>
  <si>
    <t>2t9f16f23t</t>
  </si>
  <si>
    <t>2t9t16f23t</t>
  </si>
  <si>
    <t>2t9f16t23f</t>
  </si>
  <si>
    <t>2t9f16t23t</t>
  </si>
  <si>
    <t>2t9t16t23f</t>
  </si>
  <si>
    <t>2t9t16f23f</t>
  </si>
  <si>
    <t>2f9t16t23f</t>
  </si>
  <si>
    <t>2f9t16f23f</t>
  </si>
  <si>
    <t>2f9t16t23t</t>
  </si>
  <si>
    <t>2f9t16f23t</t>
  </si>
  <si>
    <t>2f9f16t23f</t>
  </si>
  <si>
    <t>2f9f16t23t</t>
  </si>
  <si>
    <t>2f9f16f23f</t>
  </si>
  <si>
    <t>2f9f16f23t</t>
  </si>
  <si>
    <t>1t2t3f4t5f6f7f8f13t</t>
  </si>
  <si>
    <t>1t2t3f4t5t7f8f13f14t</t>
  </si>
  <si>
    <t>1t2t3f4t5f6f7f8f13f14t</t>
  </si>
  <si>
    <t>1t2t3f4t5t7f8f13f14f15t</t>
  </si>
  <si>
    <t>1t2t3f4t5f6f7f8f13f14f15t</t>
  </si>
  <si>
    <t>1t2t3f4t5t7f8f13f14f15f16f</t>
  </si>
  <si>
    <t>1t2t3f4t5f6f7f8f13f14f15f16f</t>
  </si>
  <si>
    <t>1t2t3f4t5f6t13f14f15f16f</t>
  </si>
  <si>
    <t>1t2t3f4t5t7f8f13t</t>
  </si>
  <si>
    <t>1t2t3f4t5t7f8f13f14f15f16t</t>
  </si>
  <si>
    <t>1t2t3f4t5f6t13f14f15f16t</t>
  </si>
  <si>
    <t>1t2t3f4t5f6f7f8f13f14f15f16t</t>
  </si>
  <si>
    <t>1t2t3f4t5t7f8t10f</t>
  </si>
  <si>
    <t>1t2t3f4t5f6f7t10f</t>
  </si>
  <si>
    <t>1t2t3f4t5t7t10f</t>
  </si>
  <si>
    <t>1t2t3f4t5f6f7f8t10f</t>
  </si>
  <si>
    <t>1t2t3f4f5f6f</t>
  </si>
  <si>
    <t>1t2t3f4f5f6t8t</t>
  </si>
  <si>
    <t>1t2t3f4f5f6t8f9f</t>
  </si>
  <si>
    <t>1t2t3f4f5f6t8f9t10t12f13t15t</t>
  </si>
  <si>
    <t>1t2t3f4f5f6t8f9t10t12f13f14f</t>
  </si>
  <si>
    <t>1t2t3f4f5f6t8f9t10t12t15f16t</t>
  </si>
  <si>
    <t>1t2t3f4f5f6t8f9t10f11f12t15t</t>
  </si>
  <si>
    <t>1t2t3f4f5f6t8f9t10t12t15t</t>
  </si>
  <si>
    <t>1t2t3f4f5f6t8f9t10f11f12f13t15t</t>
  </si>
  <si>
    <t>1t2t3f4f5f6t8f9t10f11f12f13f14f</t>
  </si>
  <si>
    <t>1t2t3f4f5f6t8f9t10t12t15f16f17f</t>
  </si>
  <si>
    <t>1t2t3f4f5f6t8f9t10t12f13t15f16t</t>
  </si>
  <si>
    <t>1t2t3f4f5f6t8f9t10t12f13t15f16f17f</t>
  </si>
  <si>
    <t>1t2t3f4f5f6t8f9t10f11t</t>
  </si>
  <si>
    <t>1t2t3f4f5f6t8f9t10f11f12f13f14t</t>
  </si>
  <si>
    <t>1t2t3f4f5f6t8f9t10f11f12t15f16f17f</t>
  </si>
  <si>
    <t>1t2t3f4f5f6t8f9t10f11f12f13t15f16t</t>
  </si>
  <si>
    <t>1t2t3f4f5f6t8f9t10f11f12t15f16t</t>
  </si>
  <si>
    <t>1t2t3f4f5f6t8f9t10t12t15f16f17t</t>
  </si>
  <si>
    <t>1t2t3f4f5f6t8f9t10f11f12f13t15f16f17f</t>
  </si>
  <si>
    <t>1t2t3f4f5f6t8f9t10t12f13t15f16f17t</t>
  </si>
  <si>
    <t>1t2t3f4f5f6t8f9t10f11f12f13t15f16f17t</t>
  </si>
  <si>
    <t>1t2t3f4f5f6t8f9t10f11f12t15f16f17t</t>
  </si>
  <si>
    <t>1t2t3f4f5f6t8f9t10t12f13f14t</t>
  </si>
  <si>
    <t>1t2t4t5t7f8f9t12t</t>
  </si>
  <si>
    <t>1t2t4t5t7f8t</t>
  </si>
  <si>
    <t>1t2t4t5t7f8f9f10t12t</t>
  </si>
  <si>
    <t>1t2t4t5t7t9f10f</t>
  </si>
  <si>
    <t>1t2t4t5t7f8f9f10f</t>
  </si>
  <si>
    <t>1t2t4t5t7t9t12f</t>
  </si>
  <si>
    <t>1t2t4t5t7f8f9t12f</t>
  </si>
  <si>
    <t>1t2t4t5t7t9f10t12f</t>
  </si>
  <si>
    <t>1t2t4t5t7t9t12t</t>
  </si>
  <si>
    <t>1t2t4t5t7t9f10t12t</t>
  </si>
  <si>
    <t>1t2t4t5f7t9t12t</t>
  </si>
  <si>
    <t>1t2t4t5f7t9f10t12t</t>
  </si>
  <si>
    <t>1t2t4t5f7f8f9t12t</t>
  </si>
  <si>
    <t>1t2t4t5f7f8f9f10t12t</t>
  </si>
  <si>
    <t>1t2t4t5t7f8f9f10t12f</t>
  </si>
  <si>
    <t>1t2t4t5f7f8t</t>
  </si>
  <si>
    <t>1t2t4t5f7t9f10f</t>
  </si>
  <si>
    <t>1t2t4t5f7f8f9f10f</t>
  </si>
  <si>
    <t>1t2t4t5f7t9f10t12f</t>
  </si>
  <si>
    <t>1t2t4t5f7f8f9t12f</t>
  </si>
  <si>
    <t>1t2t4t5f7f8f9f10t12f</t>
  </si>
  <si>
    <t>1t2t4t5f7t9t12f</t>
  </si>
  <si>
    <t>7t8f10t</t>
  </si>
  <si>
    <t>7t8t15f16t</t>
  </si>
  <si>
    <t>7t8f10f</t>
  </si>
  <si>
    <t>7t8t15f16f</t>
  </si>
  <si>
    <t>7t8t15t20f23f</t>
  </si>
  <si>
    <t>7t8t15t20f23t</t>
  </si>
  <si>
    <t>7t8t13t17f19t20t</t>
  </si>
  <si>
    <t>7t8t13t17f19f20t</t>
  </si>
  <si>
    <t>7t8f9f</t>
  </si>
  <si>
    <t>7t8f9t</t>
  </si>
  <si>
    <t>7t8t13t17f19t20f</t>
  </si>
  <si>
    <t>7t8t13t17f19f20f</t>
  </si>
  <si>
    <t>7t8t13t17f19t</t>
  </si>
  <si>
    <t>7t8t13t17f19f</t>
  </si>
  <si>
    <t>1f2f3t34f35f36t76f77f</t>
  </si>
  <si>
    <t>1f2f3t34t76f77f</t>
  </si>
  <si>
    <t>1f2f3t34f35f36t76t</t>
  </si>
  <si>
    <t>1f2f3t34t76t</t>
  </si>
  <si>
    <t>1f2f3t34t76f77t</t>
  </si>
  <si>
    <t>1f2f3t34f35f36t76f77t</t>
  </si>
  <si>
    <t>1t5t</t>
  </si>
  <si>
    <t>4t</t>
  </si>
  <si>
    <t>4f</t>
  </si>
  <si>
    <t>1t4f5t8f</t>
  </si>
  <si>
    <t>1t4f5t8t</t>
  </si>
  <si>
    <t>1t4f5f8t</t>
  </si>
  <si>
    <t>1t7f8t</t>
  </si>
  <si>
    <t>1t7t13f14t</t>
  </si>
  <si>
    <t>1t7t13t19t25t</t>
  </si>
  <si>
    <t>1t7t13t19f20t</t>
  </si>
  <si>
    <t>1t7t13t19t25f26t</t>
  </si>
  <si>
    <t>1t7f8f9t</t>
  </si>
  <si>
    <t>1t7f8f9f</t>
  </si>
  <si>
    <t>1t7t13f14f15f</t>
  </si>
  <si>
    <t>1t7t13t19t25f26f27t</t>
  </si>
  <si>
    <t>1t7t13f14f15t</t>
  </si>
  <si>
    <t>1t7t13t19f20f21f</t>
  </si>
  <si>
    <t>1t7t13t19f20f21t</t>
  </si>
  <si>
    <t>1t7t13t19t25f26f27f</t>
  </si>
  <si>
    <t>1t2f3t5f6t</t>
  </si>
  <si>
    <t>1t2f3t5t7t</t>
  </si>
  <si>
    <t>1t2f3t5f6f</t>
  </si>
  <si>
    <t>1t2f3t5t7f</t>
  </si>
  <si>
    <t>1t3f4t</t>
  </si>
  <si>
    <t>1t3t5t8f9f</t>
  </si>
  <si>
    <t>1t3t5t8f9t18f</t>
  </si>
  <si>
    <t>1t3t5t8f9t18t</t>
  </si>
  <si>
    <t>1f2t3t</t>
  </si>
  <si>
    <t>1t6f7t8t10t12f</t>
  </si>
  <si>
    <t>1t6f7t8t10f</t>
  </si>
  <si>
    <t>1t6f7t8t10t12t</t>
  </si>
  <si>
    <t>1t6f7t8f9t10t12f</t>
  </si>
  <si>
    <t>1t6f7t8f9t10f</t>
  </si>
  <si>
    <t>1t6f7t8f9t10t12t</t>
  </si>
  <si>
    <t>2f3t</t>
  </si>
  <si>
    <t>2t5t7t</t>
  </si>
  <si>
    <t>2t5t7f</t>
  </si>
  <si>
    <t>2f4f7f</t>
  </si>
  <si>
    <t>2t4f7f</t>
  </si>
  <si>
    <t>2f4t5f6f7f</t>
  </si>
  <si>
    <t>2f4f7t8f</t>
  </si>
  <si>
    <t>2t4t5f6f7f</t>
  </si>
  <si>
    <t>2f4f7t8t</t>
  </si>
  <si>
    <t>2f4t5t7f</t>
  </si>
  <si>
    <t>2t4f7t8f</t>
  </si>
  <si>
    <t>2f4t5f6t7f</t>
  </si>
  <si>
    <t>2f4t5f6f7t8f</t>
  </si>
  <si>
    <t>2t4f7t8t</t>
  </si>
  <si>
    <t>2f4t5f6f7t8t</t>
  </si>
  <si>
    <t>2t4t5f6t7f</t>
  </si>
  <si>
    <t>2f4t5t7t8f</t>
  </si>
  <si>
    <t>2t4t5f6f7t8f</t>
  </si>
  <si>
    <t>2f4t5f6t7t8f</t>
  </si>
  <si>
    <t>2t4t5f6f7t8t</t>
  </si>
  <si>
    <t>2f4t5t7t8t</t>
  </si>
  <si>
    <t>2t4t5t7t8f</t>
  </si>
  <si>
    <t>2t4t5t7f</t>
  </si>
  <si>
    <t>2f4t5f6t7t8t</t>
  </si>
  <si>
    <t>2t4t5t7t8t</t>
  </si>
  <si>
    <t>2t4t5f6t7t8t</t>
  </si>
  <si>
    <t>2t4t5f6t7t8f</t>
  </si>
  <si>
    <t>%full</t>
  </si>
  <si>
    <t>With loops</t>
  </si>
  <si>
    <t>Without loops</t>
  </si>
  <si>
    <t>test.BallonFactory_7_</t>
  </si>
  <si>
    <t>test.Class11_6_</t>
  </si>
  <si>
    <t>dom9 Loops</t>
  </si>
  <si>
    <t>test.TileRenderor_3</t>
  </si>
  <si>
    <t>text.TileRenderor_3_</t>
  </si>
  <si>
    <t>dom4 Loops</t>
  </si>
  <si>
    <t>dom5 Loops</t>
  </si>
  <si>
    <t>Large</t>
  </si>
  <si>
    <t>Medium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</si>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</sst>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2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16" fontId="0" fillId="0" borderId="0" xfId="0" applyNumberFormat="1"/>
    <xf numFmtId="0" fontId="3" fillId="0" borderId="0" xfId="0" applyFont="1"/>
    <xf numFmtId="0" fontId="0" fillId="2" borderId="0" xfId="0" applyFill="1"/>
    <xf numFmtId="2" fontId="0" fillId="0" borderId="0" xfId="0" applyNumberFormat="1"/>
    <xf numFmtId="2" fontId="0" fillId="2" borderId="0" xfId="0" applyNumberFormat="1" applyFill="1"/>
    <xf numFmtId="0" fontId="0" fillId="3" borderId="0" xfId="0" applyFill="1"/>
    <xf numFmtId="9" fontId="0" fillId="0" borderId="0" xfId="0" applyNumberFormat="1"/>
    <xf numFmtId="1" fontId="0" fillId="0" borderId="0" xfId="0" applyNumberFormat="1"/>
    <xf numFmtId="0" fontId="0" fillId="0" borderId="0" xfId="0" applyFill="1"/>
    <xf numFmtId="0" fontId="3" fillId="0" borderId="0" xfId="0" applyFont="1" applyFill="1"/>
    <xf numFmtId="9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0" fontId="0" fillId="4" borderId="0" xfId="0" applyFill="1"/>
    <xf numFmtId="2" fontId="0" fillId="4" borderId="0" xfId="0" applyNumberFormat="1" applyFill="1"/>
  </cellXfs>
  <cellStyles count="5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 dom5 Loop'!$Q$2</c:f>
              <c:strCache>
                <c:ptCount val="1"/>
                <c:pt idx="0">
                  <c:v>0.00</c:v>
                </c:pt>
              </c:strCache>
            </c:strRef>
          </c:tx>
          <c:invertIfNegative val="0"/>
          <c:cat>
            <c:strRef>
              <c:f>'Compare dom5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 Loop'!$Q$3:$Q$8</c:f>
              <c:numCache>
                <c:formatCode>0</c:formatCode>
                <c:ptCount val="6"/>
                <c:pt idx="0">
                  <c:v>13.0</c:v>
                </c:pt>
                <c:pt idx="1">
                  <c:v>7.0</c:v>
                </c:pt>
                <c:pt idx="2">
                  <c:v>4.0</c:v>
                </c:pt>
                <c:pt idx="3">
                  <c:v>3.0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'Compare dom5 Loop'!$R$2</c:f>
              <c:strCache>
                <c:ptCount val="1"/>
                <c:pt idx="0">
                  <c:v>&gt;0 &lt;25</c:v>
                </c:pt>
              </c:strCache>
            </c:strRef>
          </c:tx>
          <c:invertIfNegative val="0"/>
          <c:cat>
            <c:strRef>
              <c:f>'Compare dom5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 Loop'!$R$3:$R$8</c:f>
              <c:numCache>
                <c:formatCode>0</c:formatCode>
                <c:ptCount val="6"/>
                <c:pt idx="0">
                  <c:v>6.0</c:v>
                </c:pt>
                <c:pt idx="1">
                  <c:v>3.0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'Compare dom5 Loop'!$S$2</c:f>
              <c:strCache>
                <c:ptCount val="1"/>
                <c:pt idx="0">
                  <c:v>&gt;=25 &lt; 50</c:v>
                </c:pt>
              </c:strCache>
            </c:strRef>
          </c:tx>
          <c:invertIfNegative val="0"/>
          <c:cat>
            <c:strRef>
              <c:f>'Compare dom5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 Loop'!$S$3:$S$8</c:f>
              <c:numCache>
                <c:formatCode>0</c:formatCode>
                <c:ptCount val="6"/>
                <c:pt idx="0">
                  <c:v>6.0</c:v>
                </c:pt>
                <c:pt idx="1">
                  <c:v>6.0</c:v>
                </c:pt>
                <c:pt idx="2">
                  <c:v>3.0</c:v>
                </c:pt>
                <c:pt idx="3">
                  <c:v>1.0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'Compare dom5 Loop'!$T$2</c:f>
              <c:strCache>
                <c:ptCount val="1"/>
                <c:pt idx="0">
                  <c:v>&gt;=50 &lt; 75</c:v>
                </c:pt>
              </c:strCache>
            </c:strRef>
          </c:tx>
          <c:invertIfNegative val="0"/>
          <c:cat>
            <c:strRef>
              <c:f>'Compare dom5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 Loop'!$T$3:$T$8</c:f>
              <c:numCache>
                <c:formatCode>0</c:formatCode>
                <c:ptCount val="6"/>
                <c:pt idx="0">
                  <c:v>2.0</c:v>
                </c:pt>
                <c:pt idx="1">
                  <c:v>7.0</c:v>
                </c:pt>
                <c:pt idx="2">
                  <c:v>7.0</c:v>
                </c:pt>
                <c:pt idx="3">
                  <c:v>3.0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'Compare dom5 Loop'!$U$2</c:f>
              <c:strCache>
                <c:ptCount val="1"/>
                <c:pt idx="0">
                  <c:v>&gt;=75 &lt; 100</c:v>
                </c:pt>
              </c:strCache>
            </c:strRef>
          </c:tx>
          <c:invertIfNegative val="0"/>
          <c:cat>
            <c:strRef>
              <c:f>'Compare dom5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 Loop'!$U$3:$U$8</c:f>
              <c:numCache>
                <c:formatCode>0</c:formatCode>
                <c:ptCount val="6"/>
                <c:pt idx="0">
                  <c:v>0.0</c:v>
                </c:pt>
                <c:pt idx="1">
                  <c:v>2.0</c:v>
                </c:pt>
                <c:pt idx="2">
                  <c:v>9.0</c:v>
                </c:pt>
                <c:pt idx="3">
                  <c:v>11.0</c:v>
                </c:pt>
                <c:pt idx="4">
                  <c:v>10.0</c:v>
                </c:pt>
                <c:pt idx="5">
                  <c:v>10.0</c:v>
                </c:pt>
              </c:numCache>
            </c:numRef>
          </c:val>
        </c:ser>
        <c:ser>
          <c:idx val="5"/>
          <c:order val="5"/>
          <c:tx>
            <c:strRef>
              <c:f>'Compare dom5 Loop'!$V$2</c:f>
              <c:strCache>
                <c:ptCount val="1"/>
                <c:pt idx="0">
                  <c:v>count 100%</c:v>
                </c:pt>
              </c:strCache>
            </c:strRef>
          </c:tx>
          <c:invertIfNegative val="0"/>
          <c:cat>
            <c:strRef>
              <c:f>'Compare dom5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 Loop'!$V$3:$V$8</c:f>
              <c:numCache>
                <c:formatCode>0</c:formatCode>
                <c:ptCount val="6"/>
                <c:pt idx="0">
                  <c:v>0.0</c:v>
                </c:pt>
                <c:pt idx="1">
                  <c:v>2.0</c:v>
                </c:pt>
                <c:pt idx="2">
                  <c:v>4.0</c:v>
                </c:pt>
                <c:pt idx="3">
                  <c:v>9.0</c:v>
                </c:pt>
                <c:pt idx="4">
                  <c:v>17.0</c:v>
                </c:pt>
                <c:pt idx="5">
                  <c:v>17.0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26275928"/>
        <c:axId val="-2126281064"/>
      </c:barChart>
      <c:catAx>
        <c:axId val="-2126275928"/>
        <c:scaling>
          <c:orientation val="minMax"/>
        </c:scaling>
        <c:delete val="0"/>
        <c:axPos val="b"/>
        <c:majorTickMark val="out"/>
        <c:minorTickMark val="none"/>
        <c:tickLblPos val="nextTo"/>
        <c:crossAx val="-2126281064"/>
        <c:crosses val="autoZero"/>
        <c:auto val="1"/>
        <c:lblAlgn val="ctr"/>
        <c:lblOffset val="100"/>
        <c:noMultiLvlLbl val="0"/>
      </c:catAx>
      <c:valAx>
        <c:axId val="-21262810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-2126275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 dom4 Loop '!$Q$2</c:f>
              <c:strCache>
                <c:ptCount val="1"/>
                <c:pt idx="0">
                  <c:v>0.00</c:v>
                </c:pt>
              </c:strCache>
            </c:strRef>
          </c:tx>
          <c:invertIfNegative val="0"/>
          <c:cat>
            <c:strRef>
              <c:f>'Compare dom4 Loop 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 Loop '!$Q$3:$Q$8</c:f>
              <c:numCache>
                <c:formatCode>0</c:formatCode>
                <c:ptCount val="6"/>
                <c:pt idx="0">
                  <c:v>12.0</c:v>
                </c:pt>
                <c:pt idx="1">
                  <c:v>5.0</c:v>
                </c:pt>
                <c:pt idx="2">
                  <c:v>3.0</c:v>
                </c:pt>
                <c:pt idx="3">
                  <c:v>2.0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'Compare dom4 Loop '!$R$2</c:f>
              <c:strCache>
                <c:ptCount val="1"/>
                <c:pt idx="0">
                  <c:v>&gt;0 &lt;25</c:v>
                </c:pt>
              </c:strCache>
            </c:strRef>
          </c:tx>
          <c:invertIfNegative val="0"/>
          <c:cat>
            <c:strRef>
              <c:f>'Compare dom4 Loop 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 Loop '!$R$3:$R$8</c:f>
              <c:numCache>
                <c:formatCode>0</c:formatCode>
                <c:ptCount val="6"/>
                <c:pt idx="0">
                  <c:v>6.0</c:v>
                </c:pt>
                <c:pt idx="1">
                  <c:v>3.0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'Compare dom4 Loop '!$S$2</c:f>
              <c:strCache>
                <c:ptCount val="1"/>
                <c:pt idx="0">
                  <c:v>&gt;=25 &lt; 50</c:v>
                </c:pt>
              </c:strCache>
            </c:strRef>
          </c:tx>
          <c:invertIfNegative val="0"/>
          <c:cat>
            <c:strRef>
              <c:f>'Compare dom4 Loop 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 Loop '!$S$3:$S$8</c:f>
              <c:numCache>
                <c:formatCode>0</c:formatCode>
                <c:ptCount val="6"/>
                <c:pt idx="0">
                  <c:v>3.0</c:v>
                </c:pt>
                <c:pt idx="1">
                  <c:v>6.0</c:v>
                </c:pt>
                <c:pt idx="2">
                  <c:v>3.0</c:v>
                </c:pt>
                <c:pt idx="3">
                  <c:v>1.0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'Compare dom4 Loop '!$T$2</c:f>
              <c:strCache>
                <c:ptCount val="1"/>
                <c:pt idx="0">
                  <c:v>&gt;=50 &lt; 75</c:v>
                </c:pt>
              </c:strCache>
            </c:strRef>
          </c:tx>
          <c:invertIfNegative val="0"/>
          <c:cat>
            <c:strRef>
              <c:f>'Compare dom4 Loop 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 Loop '!$T$3:$T$8</c:f>
              <c:numCache>
                <c:formatCode>0</c:formatCode>
                <c:ptCount val="6"/>
                <c:pt idx="0">
                  <c:v>6.0</c:v>
                </c:pt>
                <c:pt idx="1">
                  <c:v>7.0</c:v>
                </c:pt>
                <c:pt idx="2">
                  <c:v>8.0</c:v>
                </c:pt>
                <c:pt idx="3">
                  <c:v>5.0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'Compare dom4 Loop '!$U$2</c:f>
              <c:strCache>
                <c:ptCount val="1"/>
                <c:pt idx="0">
                  <c:v>&gt;=75 &lt; 100</c:v>
                </c:pt>
              </c:strCache>
            </c:strRef>
          </c:tx>
          <c:invertIfNegative val="0"/>
          <c:cat>
            <c:strRef>
              <c:f>'Compare dom4 Loop 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 Loop '!$U$3:$U$8</c:f>
              <c:numCache>
                <c:formatCode>0</c:formatCode>
                <c:ptCount val="6"/>
                <c:pt idx="0">
                  <c:v>0.0</c:v>
                </c:pt>
                <c:pt idx="1">
                  <c:v>3.0</c:v>
                </c:pt>
                <c:pt idx="2">
                  <c:v>7.0</c:v>
                </c:pt>
                <c:pt idx="3">
                  <c:v>8.0</c:v>
                </c:pt>
                <c:pt idx="4">
                  <c:v>8.0</c:v>
                </c:pt>
                <c:pt idx="5">
                  <c:v>8.0</c:v>
                </c:pt>
              </c:numCache>
            </c:numRef>
          </c:val>
        </c:ser>
        <c:ser>
          <c:idx val="5"/>
          <c:order val="5"/>
          <c:tx>
            <c:strRef>
              <c:f>'Compare dom4 Loop '!$V$2</c:f>
              <c:strCache>
                <c:ptCount val="1"/>
                <c:pt idx="0">
                  <c:v>count 100%</c:v>
                </c:pt>
              </c:strCache>
            </c:strRef>
          </c:tx>
          <c:invertIfNegative val="0"/>
          <c:cat>
            <c:strRef>
              <c:f>'Compare dom4 Loop 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 Loop '!$V$3:$V$8</c:f>
              <c:numCache>
                <c:formatCode>0</c:formatCode>
                <c:ptCount val="6"/>
                <c:pt idx="0">
                  <c:v>0.0</c:v>
                </c:pt>
                <c:pt idx="1">
                  <c:v>3.0</c:v>
                </c:pt>
                <c:pt idx="2">
                  <c:v>6.0</c:v>
                </c:pt>
                <c:pt idx="3">
                  <c:v>11.0</c:v>
                </c:pt>
                <c:pt idx="4">
                  <c:v>19.0</c:v>
                </c:pt>
                <c:pt idx="5">
                  <c:v>19.0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25664712"/>
        <c:axId val="-2125661512"/>
      </c:barChart>
      <c:catAx>
        <c:axId val="-2125664712"/>
        <c:scaling>
          <c:orientation val="minMax"/>
        </c:scaling>
        <c:delete val="0"/>
        <c:axPos val="b"/>
        <c:majorTickMark val="out"/>
        <c:minorTickMark val="none"/>
        <c:tickLblPos val="nextTo"/>
        <c:crossAx val="-2125661512"/>
        <c:crosses val="autoZero"/>
        <c:auto val="1"/>
        <c:lblAlgn val="ctr"/>
        <c:lblOffset val="100"/>
        <c:noMultiLvlLbl val="0"/>
      </c:catAx>
      <c:valAx>
        <c:axId val="-21256615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-21256647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 dom9 Loop'!$Q$2</c:f>
              <c:strCache>
                <c:ptCount val="1"/>
                <c:pt idx="0">
                  <c:v>0.00</c:v>
                </c:pt>
              </c:strCache>
            </c:strRef>
          </c:tx>
          <c:invertIfNegative val="0"/>
          <c:cat>
            <c:strRef>
              <c:f>'Compare dom9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 Loop'!$Q$3:$Q$8</c:f>
              <c:numCache>
                <c:formatCode>0</c:formatCode>
                <c:ptCount val="6"/>
                <c:pt idx="0">
                  <c:v>12.0</c:v>
                </c:pt>
                <c:pt idx="1">
                  <c:v>5.0</c:v>
                </c:pt>
                <c:pt idx="2">
                  <c:v>3.0</c:v>
                </c:pt>
                <c:pt idx="3">
                  <c:v>2.0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'Compare dom9 Loop'!$R$2</c:f>
              <c:strCache>
                <c:ptCount val="1"/>
                <c:pt idx="0">
                  <c:v>&gt;0 &lt;25</c:v>
                </c:pt>
              </c:strCache>
            </c:strRef>
          </c:tx>
          <c:invertIfNegative val="0"/>
          <c:cat>
            <c:strRef>
              <c:f>'Compare dom9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 Loop'!$R$3:$R$8</c:f>
              <c:numCache>
                <c:formatCode>0</c:formatCode>
                <c:ptCount val="6"/>
                <c:pt idx="0">
                  <c:v>5.0</c:v>
                </c:pt>
                <c:pt idx="1">
                  <c:v>3.0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'Compare dom9 Loop'!$S$2</c:f>
              <c:strCache>
                <c:ptCount val="1"/>
                <c:pt idx="0">
                  <c:v>&gt;=25 &lt; 50</c:v>
                </c:pt>
              </c:strCache>
            </c:strRef>
          </c:tx>
          <c:invertIfNegative val="0"/>
          <c:cat>
            <c:strRef>
              <c:f>'Compare dom9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 Loop'!$S$3:$S$8</c:f>
              <c:numCache>
                <c:formatCode>0</c:formatCode>
                <c:ptCount val="6"/>
                <c:pt idx="0">
                  <c:v>4.0</c:v>
                </c:pt>
                <c:pt idx="1">
                  <c:v>6.0</c:v>
                </c:pt>
                <c:pt idx="2">
                  <c:v>4.0</c:v>
                </c:pt>
                <c:pt idx="3">
                  <c:v>2.0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'Compare dom9 Loop'!$T$2</c:f>
              <c:strCache>
                <c:ptCount val="1"/>
                <c:pt idx="0">
                  <c:v>&gt;=50 &lt; 75</c:v>
                </c:pt>
              </c:strCache>
            </c:strRef>
          </c:tx>
          <c:invertIfNegative val="0"/>
          <c:cat>
            <c:strRef>
              <c:f>'Compare dom9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 Loop'!$T$3:$T$8</c:f>
              <c:numCache>
                <c:formatCode>0</c:formatCode>
                <c:ptCount val="6"/>
                <c:pt idx="0">
                  <c:v>6.0</c:v>
                </c:pt>
                <c:pt idx="1">
                  <c:v>8.0</c:v>
                </c:pt>
                <c:pt idx="2">
                  <c:v>8.0</c:v>
                </c:pt>
                <c:pt idx="3">
                  <c:v>4.0</c:v>
                </c:pt>
                <c:pt idx="4">
                  <c:v>1.0</c:v>
                </c:pt>
                <c:pt idx="5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'Compare dom9 Loop'!$U$2</c:f>
              <c:strCache>
                <c:ptCount val="1"/>
                <c:pt idx="0">
                  <c:v>&gt;=75 &lt; 100</c:v>
                </c:pt>
              </c:strCache>
            </c:strRef>
          </c:tx>
          <c:invertIfNegative val="0"/>
          <c:cat>
            <c:strRef>
              <c:f>'Compare dom9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 Loop'!$U$3:$U$8</c:f>
              <c:numCache>
                <c:formatCode>0</c:formatCode>
                <c:ptCount val="6"/>
                <c:pt idx="0">
                  <c:v>0.0</c:v>
                </c:pt>
                <c:pt idx="1">
                  <c:v>2.0</c:v>
                </c:pt>
                <c:pt idx="2">
                  <c:v>6.0</c:v>
                </c:pt>
                <c:pt idx="3">
                  <c:v>8.0</c:v>
                </c:pt>
                <c:pt idx="4">
                  <c:v>8.0</c:v>
                </c:pt>
                <c:pt idx="5">
                  <c:v>8.0</c:v>
                </c:pt>
              </c:numCache>
            </c:numRef>
          </c:val>
        </c:ser>
        <c:ser>
          <c:idx val="5"/>
          <c:order val="5"/>
          <c:tx>
            <c:strRef>
              <c:f>'Compare dom9 Loop'!$V$2</c:f>
              <c:strCache>
                <c:ptCount val="1"/>
                <c:pt idx="0">
                  <c:v>count 100%</c:v>
                </c:pt>
              </c:strCache>
            </c:strRef>
          </c:tx>
          <c:invertIfNegative val="0"/>
          <c:cat>
            <c:strRef>
              <c:f>'Compare dom9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 Loop'!$V$3:$V$8</c:f>
              <c:numCache>
                <c:formatCode>0</c:formatCode>
                <c:ptCount val="6"/>
                <c:pt idx="0">
                  <c:v>0.0</c:v>
                </c:pt>
                <c:pt idx="1">
                  <c:v>3.0</c:v>
                </c:pt>
                <c:pt idx="2">
                  <c:v>6.0</c:v>
                </c:pt>
                <c:pt idx="3">
                  <c:v>11.0</c:v>
                </c:pt>
                <c:pt idx="4">
                  <c:v>18.0</c:v>
                </c:pt>
                <c:pt idx="5">
                  <c:v>19.0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26465112"/>
        <c:axId val="-2126468264"/>
      </c:barChart>
      <c:catAx>
        <c:axId val="-2126465112"/>
        <c:scaling>
          <c:orientation val="minMax"/>
        </c:scaling>
        <c:delete val="0"/>
        <c:axPos val="b"/>
        <c:majorTickMark val="out"/>
        <c:minorTickMark val="none"/>
        <c:tickLblPos val="nextTo"/>
        <c:crossAx val="-2126468264"/>
        <c:crosses val="autoZero"/>
        <c:auto val="1"/>
        <c:lblAlgn val="ctr"/>
        <c:lblOffset val="100"/>
        <c:noMultiLvlLbl val="0"/>
      </c:catAx>
      <c:valAx>
        <c:axId val="-21264682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-21264651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 dom9'!$Q$2</c:f>
              <c:strCache>
                <c:ptCount val="1"/>
                <c:pt idx="0">
                  <c:v>0.00</c:v>
                </c:pt>
              </c:strCache>
            </c:strRef>
          </c:tx>
          <c:invertIfNegative val="0"/>
          <c:cat>
            <c:strRef>
              <c:f>'Compare dom9'!$P$3:$P$8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dom9'!$Q$3:$Q$8</c:f>
              <c:numCache>
                <c:formatCode>0</c:formatCode>
                <c:ptCount val="6"/>
                <c:pt idx="0">
                  <c:v>26.0</c:v>
                </c:pt>
                <c:pt idx="1">
                  <c:v>16.0</c:v>
                </c:pt>
                <c:pt idx="2">
                  <c:v>11.0</c:v>
                </c:pt>
                <c:pt idx="3">
                  <c:v>7.0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'Compare dom9'!$R$2</c:f>
              <c:strCache>
                <c:ptCount val="1"/>
                <c:pt idx="0">
                  <c:v>&gt;0 &lt;25</c:v>
                </c:pt>
              </c:strCache>
            </c:strRef>
          </c:tx>
          <c:invertIfNegative val="0"/>
          <c:cat>
            <c:strRef>
              <c:f>'Compare dom9'!$P$3:$P$8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dom9'!$R$3:$R$8</c:f>
              <c:numCache>
                <c:formatCode>0</c:formatCode>
                <c:ptCount val="6"/>
                <c:pt idx="0">
                  <c:v>21.0</c:v>
                </c:pt>
                <c:pt idx="1">
                  <c:v>18.0</c:v>
                </c:pt>
                <c:pt idx="2">
                  <c:v>11.0</c:v>
                </c:pt>
                <c:pt idx="3">
                  <c:v>6.0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'Compare dom9'!$S$2</c:f>
              <c:strCache>
                <c:ptCount val="1"/>
                <c:pt idx="0">
                  <c:v>&gt;=25 &lt; 50</c:v>
                </c:pt>
              </c:strCache>
            </c:strRef>
          </c:tx>
          <c:invertIfNegative val="0"/>
          <c:cat>
            <c:strRef>
              <c:f>'Compare dom9'!$P$3:$P$8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dom9'!$S$3:$S$8</c:f>
              <c:numCache>
                <c:formatCode>0</c:formatCode>
                <c:ptCount val="6"/>
                <c:pt idx="0">
                  <c:v>5.0</c:v>
                </c:pt>
                <c:pt idx="1">
                  <c:v>7.0</c:v>
                </c:pt>
                <c:pt idx="2">
                  <c:v>8.0</c:v>
                </c:pt>
                <c:pt idx="3">
                  <c:v>6.0</c:v>
                </c:pt>
                <c:pt idx="4">
                  <c:v>1.0</c:v>
                </c:pt>
                <c:pt idx="5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'Compare dom9'!$T$2</c:f>
              <c:strCache>
                <c:ptCount val="1"/>
                <c:pt idx="0">
                  <c:v>&gt;=50 &lt; 75</c:v>
                </c:pt>
              </c:strCache>
            </c:strRef>
          </c:tx>
          <c:invertIfNegative val="0"/>
          <c:cat>
            <c:strRef>
              <c:f>'Compare dom9'!$P$3:$P$8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dom9'!$T$3:$T$8</c:f>
              <c:numCache>
                <c:formatCode>0</c:formatCode>
                <c:ptCount val="6"/>
                <c:pt idx="0">
                  <c:v>5.0</c:v>
                </c:pt>
                <c:pt idx="1">
                  <c:v>8.0</c:v>
                </c:pt>
                <c:pt idx="2">
                  <c:v>12.0</c:v>
                </c:pt>
                <c:pt idx="3">
                  <c:v>8.0</c:v>
                </c:pt>
                <c:pt idx="4">
                  <c:v>1.0</c:v>
                </c:pt>
                <c:pt idx="5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'Compare dom9'!$U$2</c:f>
              <c:strCache>
                <c:ptCount val="1"/>
                <c:pt idx="0">
                  <c:v>&gt;=75 &lt; 100</c:v>
                </c:pt>
              </c:strCache>
            </c:strRef>
          </c:tx>
          <c:invertIfNegative val="0"/>
          <c:cat>
            <c:strRef>
              <c:f>'Compare dom9'!$P$3:$P$8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dom9'!$U$3:$U$8</c:f>
              <c:numCache>
                <c:formatCode>0</c:formatCode>
                <c:ptCount val="6"/>
                <c:pt idx="0">
                  <c:v>1.0</c:v>
                </c:pt>
                <c:pt idx="1">
                  <c:v>3.0</c:v>
                </c:pt>
                <c:pt idx="2">
                  <c:v>2.0</c:v>
                </c:pt>
                <c:pt idx="3">
                  <c:v>9.0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5"/>
          <c:order val="5"/>
          <c:tx>
            <c:strRef>
              <c:f>'Compare dom9'!$V$2</c:f>
              <c:strCache>
                <c:ptCount val="1"/>
                <c:pt idx="0">
                  <c:v>count 100%</c:v>
                </c:pt>
              </c:strCache>
            </c:strRef>
          </c:tx>
          <c:invertIfNegative val="0"/>
          <c:cat>
            <c:strRef>
              <c:f>'Compare dom9'!$P$3:$P$8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dom9'!$V$3:$V$8</c:f>
              <c:numCache>
                <c:formatCode>0</c:formatCode>
                <c:ptCount val="6"/>
                <c:pt idx="0">
                  <c:v>0.0</c:v>
                </c:pt>
                <c:pt idx="1">
                  <c:v>6.0</c:v>
                </c:pt>
                <c:pt idx="2">
                  <c:v>14.0</c:v>
                </c:pt>
                <c:pt idx="3">
                  <c:v>22.0</c:v>
                </c:pt>
                <c:pt idx="4">
                  <c:v>56.0</c:v>
                </c:pt>
                <c:pt idx="5">
                  <c:v>58.0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4806376"/>
        <c:axId val="2134809512"/>
      </c:barChart>
      <c:catAx>
        <c:axId val="2134806376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809512"/>
        <c:crosses val="autoZero"/>
        <c:auto val="1"/>
        <c:lblAlgn val="ctr"/>
        <c:lblOffset val="100"/>
        <c:noMultiLvlLbl val="0"/>
      </c:catAx>
      <c:valAx>
        <c:axId val="21348095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348063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 dom5'!$Q$2</c:f>
              <c:strCache>
                <c:ptCount val="1"/>
                <c:pt idx="0">
                  <c:v>0.00</c:v>
                </c:pt>
              </c:strCache>
            </c:strRef>
          </c:tx>
          <c:invertIfNegative val="0"/>
          <c:cat>
            <c:strRef>
              <c:f>'Compare dom5'!$P$3:$P$8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dom5'!$Q$3:$Q$8</c:f>
              <c:numCache>
                <c:formatCode>0</c:formatCode>
                <c:ptCount val="6"/>
                <c:pt idx="0">
                  <c:v>26.0</c:v>
                </c:pt>
                <c:pt idx="1">
                  <c:v>17.0</c:v>
                </c:pt>
                <c:pt idx="2">
                  <c:v>11.0</c:v>
                </c:pt>
                <c:pt idx="3">
                  <c:v>8.0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'Compare dom5'!$R$2</c:f>
              <c:strCache>
                <c:ptCount val="1"/>
                <c:pt idx="0">
                  <c:v>&gt;0 &lt;25</c:v>
                </c:pt>
              </c:strCache>
            </c:strRef>
          </c:tx>
          <c:invertIfNegative val="0"/>
          <c:cat>
            <c:strRef>
              <c:f>'Compare dom5'!$P$3:$P$8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dom5'!$R$3:$R$8</c:f>
              <c:numCache>
                <c:formatCode>0</c:formatCode>
                <c:ptCount val="6"/>
                <c:pt idx="0">
                  <c:v>21.0</c:v>
                </c:pt>
                <c:pt idx="1">
                  <c:v>15.0</c:v>
                </c:pt>
                <c:pt idx="2">
                  <c:v>9.0</c:v>
                </c:pt>
                <c:pt idx="3">
                  <c:v>4.0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'Compare dom5'!$S$2</c:f>
              <c:strCache>
                <c:ptCount val="1"/>
                <c:pt idx="0">
                  <c:v>&gt;=25 &lt; 50</c:v>
                </c:pt>
              </c:strCache>
            </c:strRef>
          </c:tx>
          <c:invertIfNegative val="0"/>
          <c:cat>
            <c:strRef>
              <c:f>'Compare dom5'!$P$3:$P$8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dom5'!$S$3:$S$8</c:f>
              <c:numCache>
                <c:formatCode>0</c:formatCode>
                <c:ptCount val="6"/>
                <c:pt idx="0">
                  <c:v>6.0</c:v>
                </c:pt>
                <c:pt idx="1">
                  <c:v>10.0</c:v>
                </c:pt>
                <c:pt idx="2">
                  <c:v>10.0</c:v>
                </c:pt>
                <c:pt idx="3">
                  <c:v>6.0</c:v>
                </c:pt>
                <c:pt idx="4">
                  <c:v>1.0</c:v>
                </c:pt>
                <c:pt idx="5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'Compare dom5'!$T$2</c:f>
              <c:strCache>
                <c:ptCount val="1"/>
                <c:pt idx="0">
                  <c:v>&gt;=50 &lt; 75</c:v>
                </c:pt>
              </c:strCache>
            </c:strRef>
          </c:tx>
          <c:invertIfNegative val="0"/>
          <c:cat>
            <c:strRef>
              <c:f>'Compare dom5'!$P$3:$P$8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dom5'!$T$3:$T$8</c:f>
              <c:numCache>
                <c:formatCode>0</c:formatCode>
                <c:ptCount val="6"/>
                <c:pt idx="0">
                  <c:v>5.0</c:v>
                </c:pt>
                <c:pt idx="1">
                  <c:v>4.0</c:v>
                </c:pt>
                <c:pt idx="2">
                  <c:v>10.0</c:v>
                </c:pt>
                <c:pt idx="3">
                  <c:v>8.0</c:v>
                </c:pt>
                <c:pt idx="4">
                  <c:v>1.0</c:v>
                </c:pt>
                <c:pt idx="5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'Compare dom5'!$U$2</c:f>
              <c:strCache>
                <c:ptCount val="1"/>
                <c:pt idx="0">
                  <c:v>&gt;=75 &lt; 100</c:v>
                </c:pt>
              </c:strCache>
            </c:strRef>
          </c:tx>
          <c:invertIfNegative val="0"/>
          <c:cat>
            <c:strRef>
              <c:f>'Compare dom5'!$P$3:$P$8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dom5'!$U$3:$U$8</c:f>
              <c:numCache>
                <c:formatCode>0</c:formatCode>
                <c:ptCount val="6"/>
                <c:pt idx="0">
                  <c:v>0.0</c:v>
                </c:pt>
                <c:pt idx="1">
                  <c:v>6.0</c:v>
                </c:pt>
                <c:pt idx="2">
                  <c:v>4.0</c:v>
                </c:pt>
                <c:pt idx="3">
                  <c:v>7.0</c:v>
                </c:pt>
                <c:pt idx="4">
                  <c:v>3.0</c:v>
                </c:pt>
                <c:pt idx="5">
                  <c:v>0.0</c:v>
                </c:pt>
              </c:numCache>
            </c:numRef>
          </c:val>
        </c:ser>
        <c:ser>
          <c:idx val="5"/>
          <c:order val="5"/>
          <c:tx>
            <c:strRef>
              <c:f>'Compare dom5'!$V$2</c:f>
              <c:strCache>
                <c:ptCount val="1"/>
                <c:pt idx="0">
                  <c:v>count 100%</c:v>
                </c:pt>
              </c:strCache>
            </c:strRef>
          </c:tx>
          <c:invertIfNegative val="0"/>
          <c:cat>
            <c:strRef>
              <c:f>'Compare dom5'!$P$3:$P$8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dom5'!$V$3:$V$8</c:f>
              <c:numCache>
                <c:formatCode>0</c:formatCode>
                <c:ptCount val="6"/>
                <c:pt idx="0">
                  <c:v>0.0</c:v>
                </c:pt>
                <c:pt idx="1">
                  <c:v>6.0</c:v>
                </c:pt>
                <c:pt idx="2">
                  <c:v>14.0</c:v>
                </c:pt>
                <c:pt idx="3">
                  <c:v>25.0</c:v>
                </c:pt>
                <c:pt idx="4">
                  <c:v>53.0</c:v>
                </c:pt>
                <c:pt idx="5">
                  <c:v>58.0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4531176"/>
        <c:axId val="2134534312"/>
      </c:barChart>
      <c:catAx>
        <c:axId val="2134531176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534312"/>
        <c:crosses val="autoZero"/>
        <c:auto val="1"/>
        <c:lblAlgn val="ctr"/>
        <c:lblOffset val="100"/>
        <c:noMultiLvlLbl val="0"/>
      </c:catAx>
      <c:valAx>
        <c:axId val="21345343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345311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 dom4'!$Q$2</c:f>
              <c:strCache>
                <c:ptCount val="1"/>
                <c:pt idx="0">
                  <c:v>0.00</c:v>
                </c:pt>
              </c:strCache>
            </c:strRef>
          </c:tx>
          <c:invertIfNegative val="0"/>
          <c:cat>
            <c:strRef>
              <c:f>'Compare dom4'!$P$3:$P$8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dom4'!$Q$3:$Q$8</c:f>
              <c:numCache>
                <c:formatCode>0</c:formatCode>
                <c:ptCount val="6"/>
                <c:pt idx="0">
                  <c:v>25.0</c:v>
                </c:pt>
                <c:pt idx="1">
                  <c:v>16.0</c:v>
                </c:pt>
                <c:pt idx="2">
                  <c:v>11.0</c:v>
                </c:pt>
                <c:pt idx="3">
                  <c:v>7.0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'Compare dom4'!$R$2</c:f>
              <c:strCache>
                <c:ptCount val="1"/>
                <c:pt idx="0">
                  <c:v>&gt;0 &lt;25</c:v>
                </c:pt>
              </c:strCache>
            </c:strRef>
          </c:tx>
          <c:invertIfNegative val="0"/>
          <c:cat>
            <c:strRef>
              <c:f>'Compare dom4'!$P$3:$P$8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dom4'!$R$3:$R$8</c:f>
              <c:numCache>
                <c:formatCode>0</c:formatCode>
                <c:ptCount val="6"/>
                <c:pt idx="0">
                  <c:v>23.0</c:v>
                </c:pt>
                <c:pt idx="1">
                  <c:v>16.0</c:v>
                </c:pt>
                <c:pt idx="2">
                  <c:v>8.0</c:v>
                </c:pt>
                <c:pt idx="3">
                  <c:v>4.0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'Compare dom4'!$S$2</c:f>
              <c:strCache>
                <c:ptCount val="1"/>
                <c:pt idx="0">
                  <c:v>&gt;=25 &lt; 50</c:v>
                </c:pt>
              </c:strCache>
            </c:strRef>
          </c:tx>
          <c:invertIfNegative val="0"/>
          <c:cat>
            <c:strRef>
              <c:f>'Compare dom4'!$P$3:$P$8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dom4'!$S$3:$S$8</c:f>
              <c:numCache>
                <c:formatCode>0</c:formatCode>
                <c:ptCount val="6"/>
                <c:pt idx="0">
                  <c:v>4.0</c:v>
                </c:pt>
                <c:pt idx="1">
                  <c:v>10.0</c:v>
                </c:pt>
                <c:pt idx="2">
                  <c:v>10.0</c:v>
                </c:pt>
                <c:pt idx="3">
                  <c:v>6.0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'Compare dom4'!$T$2</c:f>
              <c:strCache>
                <c:ptCount val="1"/>
                <c:pt idx="0">
                  <c:v>&gt;=50 &lt; 75</c:v>
                </c:pt>
              </c:strCache>
            </c:strRef>
          </c:tx>
          <c:invertIfNegative val="0"/>
          <c:cat>
            <c:strRef>
              <c:f>'Compare dom4'!$P$3:$P$8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dom4'!$T$3:$T$8</c:f>
              <c:numCache>
                <c:formatCode>0</c:formatCode>
                <c:ptCount val="6"/>
                <c:pt idx="0">
                  <c:v>5.0</c:v>
                </c:pt>
                <c:pt idx="1">
                  <c:v>6.0</c:v>
                </c:pt>
                <c:pt idx="2">
                  <c:v>12.0</c:v>
                </c:pt>
                <c:pt idx="3">
                  <c:v>9.0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'Compare dom4'!$U$2</c:f>
              <c:strCache>
                <c:ptCount val="1"/>
                <c:pt idx="0">
                  <c:v>&gt;=75 &lt; 100</c:v>
                </c:pt>
              </c:strCache>
            </c:strRef>
          </c:tx>
          <c:invertIfNegative val="0"/>
          <c:cat>
            <c:strRef>
              <c:f>'Compare dom4'!$P$3:$P$8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dom4'!$U$3:$U$8</c:f>
              <c:numCache>
                <c:formatCode>0</c:formatCode>
                <c:ptCount val="6"/>
                <c:pt idx="0">
                  <c:v>1.0</c:v>
                </c:pt>
                <c:pt idx="1">
                  <c:v>4.0</c:v>
                </c:pt>
                <c:pt idx="2">
                  <c:v>3.0</c:v>
                </c:pt>
                <c:pt idx="3">
                  <c:v>8.0</c:v>
                </c:pt>
                <c:pt idx="4">
                  <c:v>1.0</c:v>
                </c:pt>
                <c:pt idx="5">
                  <c:v>0.0</c:v>
                </c:pt>
              </c:numCache>
            </c:numRef>
          </c:val>
        </c:ser>
        <c:ser>
          <c:idx val="5"/>
          <c:order val="5"/>
          <c:tx>
            <c:strRef>
              <c:f>'Compare dom4'!$V$2</c:f>
              <c:strCache>
                <c:ptCount val="1"/>
                <c:pt idx="0">
                  <c:v>count 100%</c:v>
                </c:pt>
              </c:strCache>
            </c:strRef>
          </c:tx>
          <c:invertIfNegative val="0"/>
          <c:cat>
            <c:strRef>
              <c:f>'Compare dom4'!$P$3:$P$8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dom4'!$V$3:$V$8</c:f>
              <c:numCache>
                <c:formatCode>0</c:formatCode>
                <c:ptCount val="6"/>
                <c:pt idx="0">
                  <c:v>0.0</c:v>
                </c:pt>
                <c:pt idx="1">
                  <c:v>6.0</c:v>
                </c:pt>
                <c:pt idx="2">
                  <c:v>14.0</c:v>
                </c:pt>
                <c:pt idx="3">
                  <c:v>24.0</c:v>
                </c:pt>
                <c:pt idx="4">
                  <c:v>57.0</c:v>
                </c:pt>
                <c:pt idx="5">
                  <c:v>58.0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24632872"/>
        <c:axId val="-2124629736"/>
      </c:barChart>
      <c:catAx>
        <c:axId val="-2124632872"/>
        <c:scaling>
          <c:orientation val="minMax"/>
        </c:scaling>
        <c:delete val="0"/>
        <c:axPos val="b"/>
        <c:majorTickMark val="out"/>
        <c:minorTickMark val="none"/>
        <c:tickLblPos val="nextTo"/>
        <c:crossAx val="-2124629736"/>
        <c:crosses val="autoZero"/>
        <c:auto val="1"/>
        <c:lblAlgn val="ctr"/>
        <c:lblOffset val="100"/>
        <c:noMultiLvlLbl val="0"/>
      </c:catAx>
      <c:valAx>
        <c:axId val="-212462973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-21246328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 old'!$Q$2</c:f>
              <c:strCache>
                <c:ptCount val="1"/>
                <c:pt idx="0">
                  <c:v>0.00</c:v>
                </c:pt>
              </c:strCache>
            </c:strRef>
          </c:tx>
          <c:invertIfNegative val="0"/>
          <c:cat>
            <c:strRef>
              <c:f>'Compare old'!$P$3:$P$8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old'!$Q$3:$Q$8</c:f>
              <c:numCache>
                <c:formatCode>0</c:formatCode>
                <c:ptCount val="6"/>
                <c:pt idx="0">
                  <c:v>31.0</c:v>
                </c:pt>
                <c:pt idx="1">
                  <c:v>20.0</c:v>
                </c:pt>
                <c:pt idx="2">
                  <c:v>14.0</c:v>
                </c:pt>
                <c:pt idx="3">
                  <c:v>10.0</c:v>
                </c:pt>
                <c:pt idx="4">
                  <c:v>1.0</c:v>
                </c:pt>
                <c:pt idx="5">
                  <c:v>1.0</c:v>
                </c:pt>
              </c:numCache>
            </c:numRef>
          </c:val>
        </c:ser>
        <c:ser>
          <c:idx val="1"/>
          <c:order val="1"/>
          <c:tx>
            <c:strRef>
              <c:f>'Compare old'!$R$2</c:f>
              <c:strCache>
                <c:ptCount val="1"/>
                <c:pt idx="0">
                  <c:v>&gt;0 &lt;25</c:v>
                </c:pt>
              </c:strCache>
            </c:strRef>
          </c:tx>
          <c:invertIfNegative val="0"/>
          <c:cat>
            <c:strRef>
              <c:f>'Compare old'!$P$3:$P$8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old'!$R$3:$R$8</c:f>
              <c:numCache>
                <c:formatCode>0</c:formatCode>
                <c:ptCount val="6"/>
                <c:pt idx="0">
                  <c:v>21.0</c:v>
                </c:pt>
                <c:pt idx="1">
                  <c:v>17.0</c:v>
                </c:pt>
                <c:pt idx="2">
                  <c:v>10.0</c:v>
                </c:pt>
                <c:pt idx="3">
                  <c:v>6.0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'Compare old'!$S$2</c:f>
              <c:strCache>
                <c:ptCount val="1"/>
                <c:pt idx="0">
                  <c:v>&gt;=25 &lt; 50</c:v>
                </c:pt>
              </c:strCache>
            </c:strRef>
          </c:tx>
          <c:invertIfNegative val="0"/>
          <c:cat>
            <c:strRef>
              <c:f>'Compare old'!$P$3:$P$8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old'!$S$3:$S$8</c:f>
              <c:numCache>
                <c:formatCode>0</c:formatCode>
                <c:ptCount val="6"/>
                <c:pt idx="0">
                  <c:v>7.0</c:v>
                </c:pt>
                <c:pt idx="1">
                  <c:v>9.0</c:v>
                </c:pt>
                <c:pt idx="2">
                  <c:v>9.0</c:v>
                </c:pt>
                <c:pt idx="3">
                  <c:v>5.0</c:v>
                </c:pt>
                <c:pt idx="4">
                  <c:v>1.0</c:v>
                </c:pt>
                <c:pt idx="5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'Compare old'!$T$2</c:f>
              <c:strCache>
                <c:ptCount val="1"/>
                <c:pt idx="0">
                  <c:v>&gt;=50 &lt; 75</c:v>
                </c:pt>
              </c:strCache>
            </c:strRef>
          </c:tx>
          <c:invertIfNegative val="0"/>
          <c:cat>
            <c:strRef>
              <c:f>'Compare old'!$P$3:$P$8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old'!$T$3:$T$8</c:f>
              <c:numCache>
                <c:formatCode>0</c:formatCode>
                <c:ptCount val="6"/>
                <c:pt idx="0">
                  <c:v>5.0</c:v>
                </c:pt>
                <c:pt idx="1">
                  <c:v>10.0</c:v>
                </c:pt>
                <c:pt idx="2">
                  <c:v>12.0</c:v>
                </c:pt>
                <c:pt idx="3">
                  <c:v>12.0</c:v>
                </c:pt>
                <c:pt idx="4">
                  <c:v>1.0</c:v>
                </c:pt>
                <c:pt idx="5">
                  <c:v>1.0</c:v>
                </c:pt>
              </c:numCache>
            </c:numRef>
          </c:val>
        </c:ser>
        <c:ser>
          <c:idx val="4"/>
          <c:order val="4"/>
          <c:tx>
            <c:strRef>
              <c:f>'Compare old'!$U$2</c:f>
              <c:strCache>
                <c:ptCount val="1"/>
                <c:pt idx="0">
                  <c:v>&gt;=75 &lt; 100</c:v>
                </c:pt>
              </c:strCache>
            </c:strRef>
          </c:tx>
          <c:invertIfNegative val="0"/>
          <c:cat>
            <c:strRef>
              <c:f>'Compare old'!$P$3:$P$8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old'!$U$3:$U$8</c:f>
              <c:numCache>
                <c:formatCode>0</c:formatCode>
                <c:ptCount val="6"/>
                <c:pt idx="0">
                  <c:v>1.0</c:v>
                </c:pt>
                <c:pt idx="1">
                  <c:v>3.0</c:v>
                </c:pt>
                <c:pt idx="2">
                  <c:v>5.0</c:v>
                </c:pt>
                <c:pt idx="3">
                  <c:v>7.0</c:v>
                </c:pt>
                <c:pt idx="4">
                  <c:v>1.0</c:v>
                </c:pt>
                <c:pt idx="5">
                  <c:v>0.0</c:v>
                </c:pt>
              </c:numCache>
            </c:numRef>
          </c:val>
        </c:ser>
        <c:ser>
          <c:idx val="5"/>
          <c:order val="5"/>
          <c:tx>
            <c:strRef>
              <c:f>'Compare old'!$V$2</c:f>
              <c:strCache>
                <c:ptCount val="1"/>
                <c:pt idx="0">
                  <c:v>count 100%</c:v>
                </c:pt>
              </c:strCache>
            </c:strRef>
          </c:tx>
          <c:invertIfNegative val="0"/>
          <c:cat>
            <c:strRef>
              <c:f>'Compare old'!$P$3:$P$8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old'!$V$3:$V$8</c:f>
              <c:numCache>
                <c:formatCode>0</c:formatCode>
                <c:ptCount val="6"/>
                <c:pt idx="0">
                  <c:v>0.0</c:v>
                </c:pt>
                <c:pt idx="1">
                  <c:v>6.0</c:v>
                </c:pt>
                <c:pt idx="2">
                  <c:v>15.0</c:v>
                </c:pt>
                <c:pt idx="3">
                  <c:v>25.0</c:v>
                </c:pt>
                <c:pt idx="4">
                  <c:v>61.0</c:v>
                </c:pt>
                <c:pt idx="5">
                  <c:v>63.0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4461416"/>
        <c:axId val="2134457064"/>
      </c:barChart>
      <c:catAx>
        <c:axId val="2134461416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457064"/>
        <c:crosses val="autoZero"/>
        <c:auto val="1"/>
        <c:lblAlgn val="ctr"/>
        <c:lblOffset val="100"/>
        <c:noMultiLvlLbl val="0"/>
      </c:catAx>
      <c:valAx>
        <c:axId val="21344570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344614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717550</xdr:colOff>
      <xdr:row>13</xdr:row>
      <xdr:rowOff>152400</xdr:rowOff>
    </xdr:from>
    <xdr:to>
      <xdr:col>26</xdr:col>
      <xdr:colOff>444500</xdr:colOff>
      <xdr:row>32</xdr:row>
      <xdr:rowOff>165100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717550</xdr:colOff>
      <xdr:row>13</xdr:row>
      <xdr:rowOff>152400</xdr:rowOff>
    </xdr:from>
    <xdr:to>
      <xdr:col>26</xdr:col>
      <xdr:colOff>444500</xdr:colOff>
      <xdr:row>32</xdr:row>
      <xdr:rowOff>165100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717550</xdr:colOff>
      <xdr:row>13</xdr:row>
      <xdr:rowOff>152400</xdr:rowOff>
    </xdr:from>
    <xdr:to>
      <xdr:col>26</xdr:col>
      <xdr:colOff>444500</xdr:colOff>
      <xdr:row>32</xdr:row>
      <xdr:rowOff>165100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717550</xdr:colOff>
      <xdr:row>13</xdr:row>
      <xdr:rowOff>152400</xdr:rowOff>
    </xdr:from>
    <xdr:to>
      <xdr:col>26</xdr:col>
      <xdr:colOff>444500</xdr:colOff>
      <xdr:row>32</xdr:row>
      <xdr:rowOff>165100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717550</xdr:colOff>
      <xdr:row>13</xdr:row>
      <xdr:rowOff>152400</xdr:rowOff>
    </xdr:from>
    <xdr:to>
      <xdr:col>26</xdr:col>
      <xdr:colOff>444500</xdr:colOff>
      <xdr:row>32</xdr:row>
      <xdr:rowOff>165100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717550</xdr:colOff>
      <xdr:row>13</xdr:row>
      <xdr:rowOff>152400</xdr:rowOff>
    </xdr:from>
    <xdr:to>
      <xdr:col>26</xdr:col>
      <xdr:colOff>444500</xdr:colOff>
      <xdr:row>32</xdr:row>
      <xdr:rowOff>165100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717550</xdr:colOff>
      <xdr:row>13</xdr:row>
      <xdr:rowOff>152400</xdr:rowOff>
    </xdr:from>
    <xdr:to>
      <xdr:col>26</xdr:col>
      <xdr:colOff>444500</xdr:colOff>
      <xdr:row>32</xdr:row>
      <xdr:rowOff>165100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21"/>
  <sheetViews>
    <sheetView topLeftCell="GQ1" workbookViewId="0">
      <selection activeCell="U7" sqref="U7"/>
    </sheetView>
  </sheetViews>
  <sheetFormatPr baseColWidth="10" defaultRowHeight="15" x14ac:dyDescent="0"/>
  <cols>
    <col min="1" max="1" width="25.33203125" bestFit="1" customWidth="1"/>
    <col min="3" max="3" width="28.5" bestFit="1" customWidth="1"/>
    <col min="6" max="7" width="10.83203125" style="4"/>
    <col min="24" max="25" width="19" bestFit="1" customWidth="1"/>
    <col min="26" max="28" width="14.6640625" bestFit="1" customWidth="1"/>
    <col min="31" max="34" width="16.6640625" bestFit="1" customWidth="1"/>
    <col min="35" max="38" width="17.6640625" bestFit="1" customWidth="1"/>
    <col min="41" max="41" width="17.33203125" bestFit="1" customWidth="1"/>
    <col min="42" max="42" width="21.1640625" bestFit="1" customWidth="1"/>
    <col min="44" max="47" width="20.83203125" bestFit="1" customWidth="1"/>
    <col min="48" max="48" width="21.83203125" bestFit="1" customWidth="1"/>
    <col min="49" max="49" width="20.6640625" bestFit="1" customWidth="1"/>
  </cols>
  <sheetData>
    <row r="1" spans="1:50">
      <c r="A1" t="s">
        <v>3</v>
      </c>
      <c r="B1" t="s">
        <v>5</v>
      </c>
      <c r="C1" t="s">
        <v>608</v>
      </c>
      <c r="D1" t="s">
        <v>186</v>
      </c>
      <c r="E1" t="s">
        <v>232</v>
      </c>
      <c r="F1" s="4" t="s">
        <v>940</v>
      </c>
      <c r="G1" s="4" t="s">
        <v>604</v>
      </c>
      <c r="H1" t="s">
        <v>605</v>
      </c>
      <c r="I1" t="s">
        <v>606</v>
      </c>
      <c r="J1" t="s">
        <v>681</v>
      </c>
      <c r="K1" s="7" t="s">
        <v>607</v>
      </c>
      <c r="L1" s="7" t="s">
        <v>682</v>
      </c>
      <c r="M1" s="7"/>
      <c r="N1" s="7"/>
      <c r="O1" s="7"/>
      <c r="P1" s="7"/>
      <c r="Q1" s="7" t="s">
        <v>680</v>
      </c>
      <c r="R1" s="7"/>
      <c r="S1" s="7"/>
      <c r="T1" s="7"/>
      <c r="U1" s="7"/>
      <c r="W1" t="s">
        <v>182</v>
      </c>
      <c r="X1" t="s">
        <v>608</v>
      </c>
      <c r="Y1" t="s">
        <v>608</v>
      </c>
      <c r="Z1" t="s">
        <v>608</v>
      </c>
      <c r="AA1" t="s">
        <v>608</v>
      </c>
      <c r="AB1" t="s">
        <v>608</v>
      </c>
      <c r="AC1" t="s">
        <v>608</v>
      </c>
      <c r="AD1" t="s">
        <v>608</v>
      </c>
      <c r="AE1" t="s">
        <v>608</v>
      </c>
      <c r="AF1" t="s">
        <v>608</v>
      </c>
      <c r="AG1" t="s">
        <v>608</v>
      </c>
      <c r="AH1" t="s">
        <v>608</v>
      </c>
      <c r="AI1" t="s">
        <v>608</v>
      </c>
      <c r="AJ1" t="s">
        <v>608</v>
      </c>
      <c r="AK1" t="s">
        <v>608</v>
      </c>
      <c r="AL1" t="s">
        <v>608</v>
      </c>
      <c r="AM1" t="s">
        <v>608</v>
      </c>
      <c r="AN1" t="s">
        <v>608</v>
      </c>
      <c r="AO1" t="s">
        <v>608</v>
      </c>
      <c r="AP1" t="s">
        <v>608</v>
      </c>
      <c r="AQ1" t="s">
        <v>608</v>
      </c>
      <c r="AR1" t="s">
        <v>608</v>
      </c>
      <c r="AS1" t="s">
        <v>608</v>
      </c>
      <c r="AT1" t="s">
        <v>608</v>
      </c>
      <c r="AU1" t="s">
        <v>608</v>
      </c>
      <c r="AV1" t="s">
        <v>608</v>
      </c>
      <c r="AW1" t="s">
        <v>608</v>
      </c>
      <c r="AX1" t="s">
        <v>608</v>
      </c>
    </row>
    <row r="2" spans="1:50">
      <c r="A2" t="s">
        <v>188</v>
      </c>
      <c r="B2">
        <v>1</v>
      </c>
      <c r="C2" t="str">
        <f>CONCATENATE(A2, "_",B2,"_")</f>
        <v>test.BallonFactory_1_</v>
      </c>
      <c r="D2">
        <v>1</v>
      </c>
      <c r="E2" s="4">
        <v>0.50980392156862742</v>
      </c>
      <c r="F2" s="4">
        <v>0.24866023579849947</v>
      </c>
      <c r="G2" s="4" t="str">
        <f>IF($F2 &lt;= 0.2,$E2,"")</f>
        <v/>
      </c>
      <c r="H2" s="4">
        <f>IF(AND($F2 &gt; 0.2,$F2 &lt;= 0.4),$E2,"")</f>
        <v>0.50980392156862742</v>
      </c>
      <c r="I2" s="4" t="str">
        <f>IF(AND($F2 &gt; 0.4,$F2 &lt;= 0.6),$E2,"")</f>
        <v/>
      </c>
      <c r="J2" s="4" t="str">
        <f>IF(AND($F2 &gt; 0.6,$F2 &lt;= 0.8),$E2,"")</f>
        <v/>
      </c>
      <c r="K2" s="4" t="str">
        <f>IF(AND($F2 &gt; 0.8, $F2 &lt;=1.1),$E2,"")</f>
        <v/>
      </c>
      <c r="L2" s="4" t="str">
        <f>IF(AND($F2 &gt; 1.1),$E2,"")</f>
        <v/>
      </c>
      <c r="M2" s="4"/>
      <c r="N2" s="4" t="s">
        <v>683</v>
      </c>
      <c r="O2" s="4" t="s">
        <v>614</v>
      </c>
      <c r="P2" s="4" t="s">
        <v>679</v>
      </c>
      <c r="Q2" s="4">
        <v>0</v>
      </c>
      <c r="R2" s="4" t="s">
        <v>613</v>
      </c>
      <c r="S2" s="4" t="s">
        <v>612</v>
      </c>
      <c r="T2" s="4" t="s">
        <v>611</v>
      </c>
      <c r="U2" s="4" t="s">
        <v>610</v>
      </c>
      <c r="V2" t="s">
        <v>609</v>
      </c>
      <c r="W2">
        <f>COUNTA(X2:CC2)</f>
        <v>27</v>
      </c>
      <c r="X2" s="2" t="s">
        <v>619</v>
      </c>
      <c r="Y2" s="2" t="s">
        <v>943</v>
      </c>
      <c r="Z2" s="2" t="s">
        <v>627</v>
      </c>
      <c r="AA2" s="2" t="s">
        <v>628</v>
      </c>
      <c r="AB2" s="2" t="s">
        <v>629</v>
      </c>
      <c r="AC2" s="2" t="s">
        <v>615</v>
      </c>
      <c r="AD2" s="2" t="s">
        <v>944</v>
      </c>
      <c r="AE2" s="2" t="s">
        <v>645</v>
      </c>
      <c r="AF2" s="2" t="s">
        <v>646</v>
      </c>
      <c r="AG2" s="2" t="s">
        <v>650</v>
      </c>
      <c r="AH2" s="2" t="s">
        <v>651</v>
      </c>
      <c r="AI2" s="2" t="s">
        <v>652</v>
      </c>
      <c r="AJ2" s="2" t="s">
        <v>653</v>
      </c>
      <c r="AK2" s="2" t="s">
        <v>696</v>
      </c>
      <c r="AL2" s="2" t="s">
        <v>658</v>
      </c>
      <c r="AM2" s="2" t="s">
        <v>659</v>
      </c>
      <c r="AN2" s="2" t="s">
        <v>660</v>
      </c>
      <c r="AO2" s="2" t="s">
        <v>946</v>
      </c>
      <c r="AP2" s="2" t="s">
        <v>665</v>
      </c>
      <c r="AQ2" s="2" t="s">
        <v>666</v>
      </c>
      <c r="AR2" s="2" t="s">
        <v>667</v>
      </c>
      <c r="AS2" s="2" t="s">
        <v>668</v>
      </c>
      <c r="AT2" s="2" t="s">
        <v>669</v>
      </c>
      <c r="AU2" s="2" t="s">
        <v>670</v>
      </c>
      <c r="AV2" s="2" t="s">
        <v>671</v>
      </c>
      <c r="AW2" s="2" t="s">
        <v>675</v>
      </c>
      <c r="AX2" s="2" t="s">
        <v>678</v>
      </c>
    </row>
    <row r="3" spans="1:50">
      <c r="A3" t="s">
        <v>188</v>
      </c>
      <c r="B3">
        <v>1</v>
      </c>
      <c r="C3" t="str">
        <f t="shared" ref="C3:C66" si="0">CONCATENATE(A3, "_",B3,"_")</f>
        <v>test.BallonFactory_1_</v>
      </c>
      <c r="D3">
        <v>2</v>
      </c>
      <c r="E3" s="4">
        <v>0.60784313725490191</v>
      </c>
      <c r="F3" s="4">
        <v>0.25482315112540194</v>
      </c>
      <c r="G3" s="4" t="str">
        <f t="shared" ref="G3:G66" si="1">IF($F3 &lt;= 0.2,$E3,"")</f>
        <v/>
      </c>
      <c r="H3" s="4">
        <f t="shared" ref="H3:H66" si="2">IF(AND($F3 &gt; 0.2,$F3 &lt;= 0.4),$E3,"")</f>
        <v>0.60784313725490191</v>
      </c>
      <c r="I3" s="4" t="str">
        <f t="shared" ref="I3:I66" si="3">IF(AND($F3 &gt; 0.4,$F3 &lt;= 0.6),$E3,"")</f>
        <v/>
      </c>
      <c r="J3" s="4" t="str">
        <f t="shared" ref="J3:J66" si="4">IF(AND($F3 &gt; 0.6,$F3 &lt;= 0.8),$E3,"")</f>
        <v/>
      </c>
      <c r="K3" s="4" t="str">
        <f t="shared" ref="K3:K66" si="5">IF(AND($F3 &gt; 0.8, $F3 &lt;=1.1),$E3,"")</f>
        <v/>
      </c>
      <c r="L3" s="4" t="str">
        <f t="shared" ref="L3:L66" si="6">IF(AND($F3 &gt; 1.1),$E3,"")</f>
        <v/>
      </c>
      <c r="M3" s="4"/>
      <c r="N3" s="4">
        <f>SUM(T3:V3)/64</f>
        <v>3.125E-2</v>
      </c>
      <c r="O3" s="4">
        <f>SUM(Q3:V3)</f>
        <v>27</v>
      </c>
      <c r="P3" t="s">
        <v>604</v>
      </c>
      <c r="Q3" s="8">
        <f t="shared" ref="Q3:Q8" si="7">COUNTIF($X3:$AX3,"=0")</f>
        <v>13</v>
      </c>
      <c r="R3" s="8">
        <f t="shared" ref="R3:R8" si="8">COUNTIFS($X3:$AX3,"&gt;0",$X3:$AX3,"&lt;0.25")</f>
        <v>6</v>
      </c>
      <c r="S3" s="8">
        <f t="shared" ref="S3:S8" si="9">COUNTIFS($X3:$AX3,"&gt;=0.25",$X3:$AX3,"&lt;0.5")</f>
        <v>6</v>
      </c>
      <c r="T3" s="8">
        <f t="shared" ref="T3:T8" si="10">COUNTIFS($X3:$AX3,"&gt;=0.5",$X3:$AX3,"&lt;0.75")</f>
        <v>2</v>
      </c>
      <c r="U3" s="8">
        <f t="shared" ref="U3:U8" si="11">COUNTIFS($X3:$AX3,"&gt;=0.75",$X3:$AX3,"&lt;1")</f>
        <v>0</v>
      </c>
      <c r="V3" s="8">
        <f t="shared" ref="V3:V8" si="12">COUNTIF($X3:$AX3,"=1")</f>
        <v>0</v>
      </c>
      <c r="W3" t="s">
        <v>604</v>
      </c>
      <c r="X3">
        <f t="shared" ref="X3:AX3" si="13">DMAX($A$1:$L$312,$W3,X$1:X$2)</f>
        <v>0</v>
      </c>
      <c r="Y3">
        <f t="shared" si="13"/>
        <v>0</v>
      </c>
      <c r="Z3">
        <f t="shared" si="13"/>
        <v>0.29078014184397161</v>
      </c>
      <c r="AA3">
        <f t="shared" si="13"/>
        <v>4.7244094488188976E-2</v>
      </c>
      <c r="AB3">
        <f t="shared" si="13"/>
        <v>0.73267326732673266</v>
      </c>
      <c r="AC3">
        <f t="shared" si="13"/>
        <v>0</v>
      </c>
      <c r="AD3">
        <f t="shared" si="13"/>
        <v>4.4642857142857144E-2</v>
      </c>
      <c r="AE3">
        <f t="shared" si="13"/>
        <v>0.15428571428571428</v>
      </c>
      <c r="AF3">
        <f t="shared" si="13"/>
        <v>0.56617647058823528</v>
      </c>
      <c r="AG3">
        <f t="shared" si="13"/>
        <v>0.1728395061728395</v>
      </c>
      <c r="AH3">
        <f t="shared" si="13"/>
        <v>0.4263565891472868</v>
      </c>
      <c r="AI3">
        <f t="shared" si="13"/>
        <v>0</v>
      </c>
      <c r="AJ3">
        <f t="shared" si="13"/>
        <v>0.33962264150943394</v>
      </c>
      <c r="AK3">
        <f t="shared" si="13"/>
        <v>5.2192066805845511E-3</v>
      </c>
      <c r="AL3">
        <f t="shared" si="13"/>
        <v>0</v>
      </c>
      <c r="AM3">
        <f t="shared" si="13"/>
        <v>0</v>
      </c>
      <c r="AN3">
        <f t="shared" si="13"/>
        <v>0.20408163265306123</v>
      </c>
      <c r="AO3">
        <f t="shared" si="13"/>
        <v>0</v>
      </c>
      <c r="AP3">
        <f t="shared" si="13"/>
        <v>0.31952662721893493</v>
      </c>
      <c r="AQ3">
        <f t="shared" si="13"/>
        <v>0.25974025974025972</v>
      </c>
      <c r="AR3">
        <f t="shared" si="13"/>
        <v>0.32283464566929132</v>
      </c>
      <c r="AS3">
        <f t="shared" si="13"/>
        <v>0</v>
      </c>
      <c r="AT3">
        <f t="shared" si="13"/>
        <v>0</v>
      </c>
      <c r="AU3">
        <f t="shared" si="13"/>
        <v>0</v>
      </c>
      <c r="AV3">
        <f t="shared" si="13"/>
        <v>0</v>
      </c>
      <c r="AW3">
        <f t="shared" si="13"/>
        <v>0</v>
      </c>
      <c r="AX3">
        <f t="shared" si="13"/>
        <v>0</v>
      </c>
    </row>
    <row r="4" spans="1:50">
      <c r="A4" t="s">
        <v>188</v>
      </c>
      <c r="B4">
        <v>1</v>
      </c>
      <c r="C4" t="str">
        <f t="shared" si="0"/>
        <v>test.BallonFactory_1_</v>
      </c>
      <c r="D4">
        <v>3</v>
      </c>
      <c r="E4" s="4">
        <v>0.60784313725490191</v>
      </c>
      <c r="F4" s="4">
        <v>0.25509110396570206</v>
      </c>
      <c r="G4" s="4" t="str">
        <f t="shared" si="1"/>
        <v/>
      </c>
      <c r="H4" s="4">
        <f t="shared" si="2"/>
        <v>0.60784313725490191</v>
      </c>
      <c r="I4" s="4" t="str">
        <f t="shared" si="3"/>
        <v/>
      </c>
      <c r="J4" s="4" t="str">
        <f t="shared" si="4"/>
        <v/>
      </c>
      <c r="K4" s="4" t="str">
        <f t="shared" si="5"/>
        <v/>
      </c>
      <c r="L4" s="4" t="str">
        <f t="shared" si="6"/>
        <v/>
      </c>
      <c r="M4" s="4"/>
      <c r="N4" s="4">
        <f t="shared" ref="N4:N7" si="14">SUM(T4:V4)/64</f>
        <v>0.171875</v>
      </c>
      <c r="O4" s="4">
        <f>SUM(Q4:V4)</f>
        <v>27</v>
      </c>
      <c r="P4" t="s">
        <v>605</v>
      </c>
      <c r="Q4" s="8">
        <f t="shared" si="7"/>
        <v>7</v>
      </c>
      <c r="R4" s="8">
        <f t="shared" si="8"/>
        <v>3</v>
      </c>
      <c r="S4" s="8">
        <f t="shared" si="9"/>
        <v>6</v>
      </c>
      <c r="T4" s="8">
        <f t="shared" si="10"/>
        <v>7</v>
      </c>
      <c r="U4" s="8">
        <f t="shared" si="11"/>
        <v>2</v>
      </c>
      <c r="V4" s="8">
        <f t="shared" si="12"/>
        <v>2</v>
      </c>
      <c r="W4" t="s">
        <v>605</v>
      </c>
      <c r="X4">
        <f t="shared" ref="X4:AX8" si="15">IF(X3&lt;DMAX($A$1:$L$312,$W4,X$1:X$2),DMAX($A$1:$L$312,$W4,X$1:X$2),X3)</f>
        <v>0.62745098039215685</v>
      </c>
      <c r="Y4">
        <f t="shared" si="15"/>
        <v>0.24242424242424243</v>
      </c>
      <c r="Z4">
        <f t="shared" si="15"/>
        <v>0.65957446808510634</v>
      </c>
      <c r="AA4">
        <f t="shared" si="15"/>
        <v>0.77952755905511806</v>
      </c>
      <c r="AB4">
        <f t="shared" si="15"/>
        <v>0.74257425742574257</v>
      </c>
      <c r="AC4">
        <f t="shared" si="15"/>
        <v>0</v>
      </c>
      <c r="AD4">
        <f t="shared" si="15"/>
        <v>4.4642857142857144E-2</v>
      </c>
      <c r="AE4">
        <f t="shared" si="15"/>
        <v>0.74285714285714288</v>
      </c>
      <c r="AF4">
        <f t="shared" si="15"/>
        <v>1</v>
      </c>
      <c r="AG4">
        <f t="shared" si="15"/>
        <v>0.66049382716049387</v>
      </c>
      <c r="AH4">
        <f t="shared" si="15"/>
        <v>0.87209302325581395</v>
      </c>
      <c r="AI4">
        <f t="shared" si="15"/>
        <v>0</v>
      </c>
      <c r="AJ4">
        <f t="shared" si="15"/>
        <v>0.33962264150943394</v>
      </c>
      <c r="AK4">
        <f t="shared" si="15"/>
        <v>5.2192066805845511E-3</v>
      </c>
      <c r="AL4">
        <f t="shared" si="15"/>
        <v>0</v>
      </c>
      <c r="AM4">
        <f t="shared" si="15"/>
        <v>0</v>
      </c>
      <c r="AN4">
        <f t="shared" si="15"/>
        <v>0.34693877551020408</v>
      </c>
      <c r="AO4">
        <f t="shared" si="15"/>
        <v>0</v>
      </c>
      <c r="AP4">
        <f t="shared" si="15"/>
        <v>1</v>
      </c>
      <c r="AQ4">
        <f t="shared" si="15"/>
        <v>0.62337662337662336</v>
      </c>
      <c r="AR4">
        <f t="shared" si="15"/>
        <v>0.45669291338582679</v>
      </c>
      <c r="AS4">
        <f t="shared" si="15"/>
        <v>0.36363636363636365</v>
      </c>
      <c r="AT4">
        <f t="shared" si="15"/>
        <v>0.38</v>
      </c>
      <c r="AU4">
        <f t="shared" si="15"/>
        <v>0.66666666666666663</v>
      </c>
      <c r="AV4">
        <f t="shared" si="15"/>
        <v>0</v>
      </c>
      <c r="AW4">
        <f t="shared" si="15"/>
        <v>0.352112676056338</v>
      </c>
      <c r="AX4">
        <f t="shared" si="15"/>
        <v>0</v>
      </c>
    </row>
    <row r="5" spans="1:50">
      <c r="A5" t="s">
        <v>188</v>
      </c>
      <c r="B5">
        <v>1</v>
      </c>
      <c r="C5" t="str">
        <f t="shared" si="0"/>
        <v>test.BallonFactory_1_</v>
      </c>
      <c r="D5">
        <v>4</v>
      </c>
      <c r="E5" s="4">
        <v>0.60784313725490191</v>
      </c>
      <c r="F5" s="4">
        <v>0.25535905680600213</v>
      </c>
      <c r="G5" s="4" t="str">
        <f t="shared" si="1"/>
        <v/>
      </c>
      <c r="H5" s="4">
        <f t="shared" si="2"/>
        <v>0.60784313725490191</v>
      </c>
      <c r="I5" s="4" t="str">
        <f t="shared" si="3"/>
        <v/>
      </c>
      <c r="J5" s="4" t="str">
        <f t="shared" si="4"/>
        <v/>
      </c>
      <c r="K5" s="4" t="str">
        <f t="shared" si="5"/>
        <v/>
      </c>
      <c r="L5" s="4" t="str">
        <f t="shared" si="6"/>
        <v/>
      </c>
      <c r="M5" s="4">
        <f>SUM(R5:V5)/64</f>
        <v>0.359375</v>
      </c>
      <c r="N5" s="4">
        <f t="shared" si="14"/>
        <v>0.3125</v>
      </c>
      <c r="O5" s="4">
        <f t="shared" ref="O5:O7" si="16">SUM(Q5:V5)</f>
        <v>27</v>
      </c>
      <c r="P5" t="s">
        <v>606</v>
      </c>
      <c r="Q5" s="8">
        <f t="shared" si="7"/>
        <v>4</v>
      </c>
      <c r="R5" s="8">
        <f t="shared" si="8"/>
        <v>0</v>
      </c>
      <c r="S5" s="8">
        <f t="shared" si="9"/>
        <v>3</v>
      </c>
      <c r="T5" s="8">
        <f t="shared" si="10"/>
        <v>7</v>
      </c>
      <c r="U5" s="8">
        <f t="shared" si="11"/>
        <v>9</v>
      </c>
      <c r="V5" s="8">
        <f t="shared" si="12"/>
        <v>4</v>
      </c>
      <c r="W5" t="s">
        <v>606</v>
      </c>
      <c r="X5">
        <f t="shared" si="15"/>
        <v>0.62745098039215685</v>
      </c>
      <c r="Y5">
        <f t="shared" si="15"/>
        <v>0.48484848484848486</v>
      </c>
      <c r="Z5">
        <f t="shared" si="15"/>
        <v>0.65957446808510634</v>
      </c>
      <c r="AA5">
        <f t="shared" si="15"/>
        <v>0.77952755905511806</v>
      </c>
      <c r="AB5">
        <f t="shared" si="15"/>
        <v>0.7722772277227723</v>
      </c>
      <c r="AC5">
        <f t="shared" si="15"/>
        <v>0.63157894736842102</v>
      </c>
      <c r="AD5">
        <f t="shared" si="15"/>
        <v>0.5</v>
      </c>
      <c r="AE5">
        <f t="shared" si="15"/>
        <v>0.94285714285714284</v>
      </c>
      <c r="AF5">
        <f t="shared" si="15"/>
        <v>1</v>
      </c>
      <c r="AG5">
        <f t="shared" si="15"/>
        <v>1</v>
      </c>
      <c r="AH5">
        <f t="shared" si="15"/>
        <v>0.87209302325581395</v>
      </c>
      <c r="AI5">
        <f t="shared" si="15"/>
        <v>0</v>
      </c>
      <c r="AJ5">
        <f t="shared" si="15"/>
        <v>0.33962264150943394</v>
      </c>
      <c r="AK5">
        <f t="shared" si="15"/>
        <v>0.75887265135699378</v>
      </c>
      <c r="AL5">
        <f t="shared" si="15"/>
        <v>1</v>
      </c>
      <c r="AM5">
        <f t="shared" si="15"/>
        <v>0.72307692307692306</v>
      </c>
      <c r="AN5">
        <f t="shared" si="15"/>
        <v>0.34693877551020408</v>
      </c>
      <c r="AO5">
        <f t="shared" si="15"/>
        <v>0</v>
      </c>
      <c r="AP5">
        <f t="shared" si="15"/>
        <v>1</v>
      </c>
      <c r="AQ5">
        <f t="shared" si="15"/>
        <v>0.74025974025974028</v>
      </c>
      <c r="AR5">
        <f t="shared" si="15"/>
        <v>0.83464566929133854</v>
      </c>
      <c r="AS5">
        <f t="shared" si="15"/>
        <v>0.72727272727272729</v>
      </c>
      <c r="AT5">
        <f t="shared" si="15"/>
        <v>0.88</v>
      </c>
      <c r="AU5">
        <f t="shared" si="15"/>
        <v>0.77777777777777779</v>
      </c>
      <c r="AV5">
        <f t="shared" si="15"/>
        <v>0</v>
      </c>
      <c r="AW5">
        <f t="shared" si="15"/>
        <v>0.84507042253521125</v>
      </c>
      <c r="AX5">
        <f t="shared" si="15"/>
        <v>0</v>
      </c>
    </row>
    <row r="6" spans="1:50">
      <c r="A6" t="s">
        <v>188</v>
      </c>
      <c r="B6">
        <v>1</v>
      </c>
      <c r="C6" t="str">
        <f t="shared" si="0"/>
        <v>test.BallonFactory_1_</v>
      </c>
      <c r="D6">
        <v>5</v>
      </c>
      <c r="E6" s="4">
        <v>0.60784313725490191</v>
      </c>
      <c r="F6" s="4">
        <v>0.25830653804930331</v>
      </c>
      <c r="G6" s="4" t="str">
        <f t="shared" si="1"/>
        <v/>
      </c>
      <c r="H6" s="4">
        <f t="shared" si="2"/>
        <v>0.60784313725490191</v>
      </c>
      <c r="I6" s="4" t="str">
        <f t="shared" si="3"/>
        <v/>
      </c>
      <c r="J6" s="4" t="str">
        <f t="shared" si="4"/>
        <v/>
      </c>
      <c r="K6" s="4" t="str">
        <f t="shared" si="5"/>
        <v/>
      </c>
      <c r="L6" s="4" t="str">
        <f t="shared" si="6"/>
        <v/>
      </c>
      <c r="M6" s="4">
        <f>25/64</f>
        <v>0.390625</v>
      </c>
      <c r="N6" s="4">
        <f>SUM(T6:V6)/64</f>
        <v>0.359375</v>
      </c>
      <c r="O6" s="4">
        <f t="shared" si="16"/>
        <v>27</v>
      </c>
      <c r="P6" t="s">
        <v>681</v>
      </c>
      <c r="Q6" s="8">
        <f t="shared" si="7"/>
        <v>3</v>
      </c>
      <c r="R6" s="8">
        <f t="shared" si="8"/>
        <v>0</v>
      </c>
      <c r="S6" s="8">
        <f t="shared" si="9"/>
        <v>1</v>
      </c>
      <c r="T6" s="8">
        <f t="shared" si="10"/>
        <v>3</v>
      </c>
      <c r="U6" s="8">
        <f t="shared" si="11"/>
        <v>11</v>
      </c>
      <c r="V6" s="8">
        <f t="shared" si="12"/>
        <v>9</v>
      </c>
      <c r="W6" t="s">
        <v>681</v>
      </c>
      <c r="X6">
        <f t="shared" si="15"/>
        <v>0.80392156862745101</v>
      </c>
      <c r="Y6">
        <f t="shared" si="15"/>
        <v>0.94696969696969702</v>
      </c>
      <c r="Z6">
        <f t="shared" si="15"/>
        <v>0.65957446808510634</v>
      </c>
      <c r="AA6">
        <f t="shared" si="15"/>
        <v>0.77952755905511806</v>
      </c>
      <c r="AB6">
        <f t="shared" si="15"/>
        <v>0.7722772277227723</v>
      </c>
      <c r="AC6">
        <f t="shared" si="15"/>
        <v>0.89473684210526316</v>
      </c>
      <c r="AD6">
        <f t="shared" si="15"/>
        <v>0.5</v>
      </c>
      <c r="AE6">
        <f t="shared" si="15"/>
        <v>0.94285714285714284</v>
      </c>
      <c r="AF6">
        <f t="shared" si="15"/>
        <v>1</v>
      </c>
      <c r="AG6">
        <f t="shared" si="15"/>
        <v>1</v>
      </c>
      <c r="AH6">
        <f t="shared" si="15"/>
        <v>0.87209302325581395</v>
      </c>
      <c r="AI6">
        <f t="shared" si="15"/>
        <v>0</v>
      </c>
      <c r="AJ6">
        <f t="shared" si="15"/>
        <v>0.84905660377358494</v>
      </c>
      <c r="AK6">
        <f t="shared" si="15"/>
        <v>1</v>
      </c>
      <c r="AL6">
        <f t="shared" si="15"/>
        <v>1</v>
      </c>
      <c r="AM6">
        <f t="shared" si="15"/>
        <v>0.96923076923076923</v>
      </c>
      <c r="AN6">
        <f t="shared" si="15"/>
        <v>0.34693877551020408</v>
      </c>
      <c r="AO6">
        <f t="shared" si="15"/>
        <v>0</v>
      </c>
      <c r="AP6">
        <f t="shared" si="15"/>
        <v>1</v>
      </c>
      <c r="AQ6">
        <f t="shared" si="15"/>
        <v>0.94805194805194803</v>
      </c>
      <c r="AR6">
        <f t="shared" si="15"/>
        <v>0.96850393700787396</v>
      </c>
      <c r="AS6">
        <f t="shared" si="15"/>
        <v>0.72727272727272729</v>
      </c>
      <c r="AT6">
        <f t="shared" si="15"/>
        <v>1</v>
      </c>
      <c r="AU6">
        <f t="shared" si="15"/>
        <v>1</v>
      </c>
      <c r="AV6">
        <f t="shared" si="15"/>
        <v>0</v>
      </c>
      <c r="AW6">
        <f t="shared" si="15"/>
        <v>1</v>
      </c>
      <c r="AX6">
        <f t="shared" si="15"/>
        <v>1</v>
      </c>
    </row>
    <row r="7" spans="1:50">
      <c r="A7" t="s">
        <v>188</v>
      </c>
      <c r="B7">
        <v>1</v>
      </c>
      <c r="C7" t="str">
        <f t="shared" si="0"/>
        <v>test.BallonFactory_1_</v>
      </c>
      <c r="D7">
        <v>6</v>
      </c>
      <c r="E7" s="4">
        <v>0.60784313725490191</v>
      </c>
      <c r="F7" s="4">
        <v>0.26045016077170419</v>
      </c>
      <c r="G7" s="4" t="str">
        <f t="shared" si="1"/>
        <v/>
      </c>
      <c r="H7" s="4">
        <f t="shared" si="2"/>
        <v>0.60784313725490191</v>
      </c>
      <c r="I7" s="4" t="str">
        <f t="shared" si="3"/>
        <v/>
      </c>
      <c r="J7" s="4" t="str">
        <f t="shared" si="4"/>
        <v/>
      </c>
      <c r="K7" s="4" t="str">
        <f t="shared" si="5"/>
        <v/>
      </c>
      <c r="L7" s="4" t="str">
        <f t="shared" si="6"/>
        <v/>
      </c>
      <c r="M7" s="4"/>
      <c r="N7" s="4">
        <f t="shared" si="14"/>
        <v>0.421875</v>
      </c>
      <c r="O7" s="4">
        <f t="shared" si="16"/>
        <v>27</v>
      </c>
      <c r="P7" s="7" t="s">
        <v>607</v>
      </c>
      <c r="Q7" s="8">
        <f t="shared" si="7"/>
        <v>0</v>
      </c>
      <c r="R7" s="8">
        <f t="shared" si="8"/>
        <v>0</v>
      </c>
      <c r="S7" s="8">
        <f t="shared" si="9"/>
        <v>0</v>
      </c>
      <c r="T7" s="8">
        <f t="shared" si="10"/>
        <v>0</v>
      </c>
      <c r="U7" s="8">
        <f t="shared" si="11"/>
        <v>10</v>
      </c>
      <c r="V7" s="8">
        <f t="shared" si="12"/>
        <v>17</v>
      </c>
      <c r="W7" s="7" t="s">
        <v>607</v>
      </c>
      <c r="X7">
        <f t="shared" si="15"/>
        <v>0.80392156862745101</v>
      </c>
      <c r="Y7">
        <f t="shared" si="15"/>
        <v>1</v>
      </c>
      <c r="Z7">
        <f t="shared" si="15"/>
        <v>1</v>
      </c>
      <c r="AA7">
        <f t="shared" si="15"/>
        <v>1</v>
      </c>
      <c r="AB7">
        <f t="shared" si="15"/>
        <v>0.7722772277227723</v>
      </c>
      <c r="AC7">
        <f t="shared" si="15"/>
        <v>0.89473684210526316</v>
      </c>
      <c r="AD7">
        <f t="shared" si="15"/>
        <v>1</v>
      </c>
      <c r="AE7">
        <f t="shared" si="15"/>
        <v>0.94285714285714284</v>
      </c>
      <c r="AF7">
        <f t="shared" si="15"/>
        <v>1</v>
      </c>
      <c r="AG7">
        <f t="shared" si="15"/>
        <v>1</v>
      </c>
      <c r="AH7">
        <f t="shared" si="15"/>
        <v>0.87209302325581395</v>
      </c>
      <c r="AI7">
        <f t="shared" si="15"/>
        <v>0.8</v>
      </c>
      <c r="AJ7">
        <f t="shared" si="15"/>
        <v>0.96226415094339623</v>
      </c>
      <c r="AK7">
        <f t="shared" si="15"/>
        <v>1</v>
      </c>
      <c r="AL7">
        <f t="shared" si="15"/>
        <v>1</v>
      </c>
      <c r="AM7">
        <f t="shared" si="15"/>
        <v>0.96923076923076923</v>
      </c>
      <c r="AN7">
        <f t="shared" si="15"/>
        <v>1</v>
      </c>
      <c r="AO7">
        <f t="shared" si="15"/>
        <v>1</v>
      </c>
      <c r="AP7">
        <f t="shared" si="15"/>
        <v>1</v>
      </c>
      <c r="AQ7">
        <f t="shared" si="15"/>
        <v>0.94805194805194803</v>
      </c>
      <c r="AR7">
        <f t="shared" si="15"/>
        <v>0.96850393700787396</v>
      </c>
      <c r="AS7">
        <f t="shared" si="15"/>
        <v>1</v>
      </c>
      <c r="AT7">
        <f t="shared" si="15"/>
        <v>1</v>
      </c>
      <c r="AU7">
        <f t="shared" si="15"/>
        <v>1</v>
      </c>
      <c r="AV7">
        <f t="shared" si="15"/>
        <v>1</v>
      </c>
      <c r="AW7">
        <f t="shared" si="15"/>
        <v>1</v>
      </c>
      <c r="AX7">
        <f t="shared" si="15"/>
        <v>1</v>
      </c>
    </row>
    <row r="8" spans="1:50">
      <c r="A8" t="s">
        <v>188</v>
      </c>
      <c r="B8">
        <v>1</v>
      </c>
      <c r="C8" t="str">
        <f t="shared" si="0"/>
        <v>test.BallonFactory_1_</v>
      </c>
      <c r="D8">
        <v>7</v>
      </c>
      <c r="E8" s="4">
        <v>0.60784313725490191</v>
      </c>
      <c r="F8" s="4">
        <v>0.26098606645230438</v>
      </c>
      <c r="G8" s="4" t="str">
        <f t="shared" si="1"/>
        <v/>
      </c>
      <c r="H8" s="4">
        <f t="shared" si="2"/>
        <v>0.60784313725490191</v>
      </c>
      <c r="I8" s="4" t="str">
        <f t="shared" si="3"/>
        <v/>
      </c>
      <c r="J8" s="4" t="str">
        <f t="shared" si="4"/>
        <v/>
      </c>
      <c r="K8" s="4" t="str">
        <f t="shared" si="5"/>
        <v/>
      </c>
      <c r="L8" s="4" t="str">
        <f t="shared" si="6"/>
        <v/>
      </c>
      <c r="M8" s="4"/>
      <c r="N8" s="4">
        <f>SUM(T8:V8)/64</f>
        <v>0.421875</v>
      </c>
      <c r="O8" s="4"/>
      <c r="P8" s="4" t="s">
        <v>682</v>
      </c>
      <c r="Q8" s="8">
        <f t="shared" si="7"/>
        <v>0</v>
      </c>
      <c r="R8" s="8">
        <f t="shared" si="8"/>
        <v>0</v>
      </c>
      <c r="S8" s="8">
        <f t="shared" si="9"/>
        <v>0</v>
      </c>
      <c r="T8" s="8">
        <f t="shared" si="10"/>
        <v>0</v>
      </c>
      <c r="U8" s="8">
        <f t="shared" si="11"/>
        <v>10</v>
      </c>
      <c r="V8" s="8">
        <f t="shared" si="12"/>
        <v>17</v>
      </c>
      <c r="W8" s="7" t="s">
        <v>682</v>
      </c>
      <c r="X8">
        <f t="shared" si="15"/>
        <v>0.80392156862745101</v>
      </c>
      <c r="Y8">
        <f t="shared" si="15"/>
        <v>1</v>
      </c>
      <c r="Z8">
        <f t="shared" si="15"/>
        <v>1</v>
      </c>
      <c r="AA8">
        <f t="shared" si="15"/>
        <v>1</v>
      </c>
      <c r="AB8">
        <f t="shared" si="15"/>
        <v>0.7722772277227723</v>
      </c>
      <c r="AC8">
        <f t="shared" si="15"/>
        <v>0.89473684210526316</v>
      </c>
      <c r="AD8">
        <f t="shared" si="15"/>
        <v>1</v>
      </c>
      <c r="AE8">
        <f t="shared" si="15"/>
        <v>0.94285714285714284</v>
      </c>
      <c r="AF8">
        <f t="shared" si="15"/>
        <v>1</v>
      </c>
      <c r="AG8">
        <f t="shared" si="15"/>
        <v>1</v>
      </c>
      <c r="AH8">
        <f t="shared" si="15"/>
        <v>0.87209302325581395</v>
      </c>
      <c r="AI8">
        <f t="shared" si="15"/>
        <v>0.9</v>
      </c>
      <c r="AJ8">
        <f t="shared" si="15"/>
        <v>0.96226415094339623</v>
      </c>
      <c r="AK8">
        <f t="shared" si="15"/>
        <v>1</v>
      </c>
      <c r="AL8">
        <f t="shared" si="15"/>
        <v>1</v>
      </c>
      <c r="AM8">
        <f t="shared" si="15"/>
        <v>0.96923076923076923</v>
      </c>
      <c r="AN8">
        <f t="shared" si="15"/>
        <v>1</v>
      </c>
      <c r="AO8">
        <f t="shared" si="15"/>
        <v>1</v>
      </c>
      <c r="AP8">
        <f t="shared" si="15"/>
        <v>1</v>
      </c>
      <c r="AQ8">
        <f t="shared" si="15"/>
        <v>0.94805194805194803</v>
      </c>
      <c r="AR8">
        <f t="shared" si="15"/>
        <v>0.96850393700787396</v>
      </c>
      <c r="AS8">
        <f t="shared" si="15"/>
        <v>1</v>
      </c>
      <c r="AT8">
        <f t="shared" si="15"/>
        <v>1</v>
      </c>
      <c r="AU8">
        <f t="shared" si="15"/>
        <v>1</v>
      </c>
      <c r="AV8">
        <f t="shared" si="15"/>
        <v>1</v>
      </c>
      <c r="AW8">
        <f t="shared" si="15"/>
        <v>1</v>
      </c>
      <c r="AX8">
        <f t="shared" si="15"/>
        <v>1</v>
      </c>
    </row>
    <row r="9" spans="1:50">
      <c r="A9" t="s">
        <v>188</v>
      </c>
      <c r="B9">
        <v>1</v>
      </c>
      <c r="C9" t="str">
        <f t="shared" si="0"/>
        <v>test.BallonFactory_1_</v>
      </c>
      <c r="D9">
        <v>8</v>
      </c>
      <c r="E9" s="4">
        <v>0.60784313725490191</v>
      </c>
      <c r="F9" s="4">
        <v>0.2612540192926045</v>
      </c>
      <c r="G9" s="4" t="str">
        <f t="shared" si="1"/>
        <v/>
      </c>
      <c r="H9" s="4">
        <f t="shared" si="2"/>
        <v>0.60784313725490191</v>
      </c>
      <c r="I9" s="4" t="str">
        <f t="shared" si="3"/>
        <v/>
      </c>
      <c r="J9" s="4" t="str">
        <f t="shared" si="4"/>
        <v/>
      </c>
      <c r="K9" s="4" t="str">
        <f t="shared" si="5"/>
        <v/>
      </c>
      <c r="L9" s="4" t="str">
        <f t="shared" si="6"/>
        <v/>
      </c>
      <c r="M9" s="4"/>
      <c r="N9" s="4"/>
      <c r="O9" s="4"/>
      <c r="P9" s="4"/>
      <c r="Q9" s="4"/>
      <c r="R9" s="4"/>
      <c r="S9" s="4"/>
      <c r="T9" s="4"/>
      <c r="U9" s="4"/>
    </row>
    <row r="10" spans="1:50">
      <c r="A10" t="s">
        <v>188</v>
      </c>
      <c r="B10">
        <v>1</v>
      </c>
      <c r="C10" t="str">
        <f t="shared" si="0"/>
        <v>test.BallonFactory_1_</v>
      </c>
      <c r="D10">
        <v>9</v>
      </c>
      <c r="E10" s="4">
        <v>0.62745098039215685</v>
      </c>
      <c r="F10" s="4">
        <v>0.27170418006430869</v>
      </c>
      <c r="G10" s="4" t="str">
        <f t="shared" si="1"/>
        <v/>
      </c>
      <c r="H10" s="4">
        <f t="shared" si="2"/>
        <v>0.62745098039215685</v>
      </c>
      <c r="I10" s="4" t="str">
        <f t="shared" si="3"/>
        <v/>
      </c>
      <c r="J10" s="4" t="str">
        <f t="shared" si="4"/>
        <v/>
      </c>
      <c r="K10" s="4" t="str">
        <f t="shared" si="5"/>
        <v/>
      </c>
      <c r="L10" s="4" t="str">
        <f t="shared" si="6"/>
        <v/>
      </c>
      <c r="M10" s="4"/>
      <c r="N10" s="4"/>
      <c r="O10" s="4"/>
      <c r="P10" s="4"/>
      <c r="Q10" s="4"/>
      <c r="R10" s="4"/>
      <c r="S10" s="4"/>
      <c r="T10" s="4"/>
      <c r="U10" s="4"/>
    </row>
    <row r="11" spans="1:50">
      <c r="A11" t="s">
        <v>188</v>
      </c>
      <c r="B11">
        <v>1</v>
      </c>
      <c r="C11" t="str">
        <f t="shared" si="0"/>
        <v>test.BallonFactory_1_</v>
      </c>
      <c r="D11">
        <v>10</v>
      </c>
      <c r="E11" s="4">
        <v>0.62745098039215685</v>
      </c>
      <c r="F11" s="4">
        <v>0.27786709539121113</v>
      </c>
      <c r="G11" s="4" t="str">
        <f t="shared" si="1"/>
        <v/>
      </c>
      <c r="H11" s="4">
        <f t="shared" si="2"/>
        <v>0.62745098039215685</v>
      </c>
      <c r="I11" s="4" t="str">
        <f t="shared" si="3"/>
        <v/>
      </c>
      <c r="J11" s="4" t="str">
        <f t="shared" si="4"/>
        <v/>
      </c>
      <c r="K11" s="4" t="str">
        <f t="shared" si="5"/>
        <v/>
      </c>
      <c r="L11" s="4" t="str">
        <f t="shared" si="6"/>
        <v/>
      </c>
      <c r="M11" s="4"/>
      <c r="N11" s="4"/>
      <c r="O11" s="4"/>
      <c r="P11" s="4"/>
      <c r="Q11" s="4"/>
      <c r="R11" s="4"/>
      <c r="S11" s="4"/>
      <c r="T11" s="4"/>
      <c r="U11" s="4"/>
    </row>
    <row r="12" spans="1:50">
      <c r="A12" t="s">
        <v>188</v>
      </c>
      <c r="B12">
        <v>1</v>
      </c>
      <c r="C12" t="str">
        <f t="shared" si="0"/>
        <v>test.BallonFactory_1_</v>
      </c>
      <c r="D12">
        <v>11</v>
      </c>
      <c r="E12" s="4">
        <v>0.62745098039215685</v>
      </c>
      <c r="F12" s="4">
        <v>0.28108252947481244</v>
      </c>
      <c r="G12" s="4" t="str">
        <f t="shared" si="1"/>
        <v/>
      </c>
      <c r="H12" s="4">
        <f t="shared" si="2"/>
        <v>0.62745098039215685</v>
      </c>
      <c r="I12" s="4" t="str">
        <f t="shared" si="3"/>
        <v/>
      </c>
      <c r="J12" s="4" t="str">
        <f t="shared" si="4"/>
        <v/>
      </c>
      <c r="K12" s="4" t="str">
        <f t="shared" si="5"/>
        <v/>
      </c>
      <c r="L12" s="4" t="str">
        <f t="shared" si="6"/>
        <v/>
      </c>
      <c r="M12" s="4"/>
      <c r="N12" s="4"/>
      <c r="O12" s="4"/>
      <c r="P12" s="4"/>
      <c r="Q12" s="4"/>
      <c r="R12" s="4"/>
      <c r="S12" s="4"/>
      <c r="T12" s="4"/>
      <c r="U12" s="4"/>
    </row>
    <row r="13" spans="1:50">
      <c r="A13" t="s">
        <v>188</v>
      </c>
      <c r="B13">
        <v>1</v>
      </c>
      <c r="C13" t="str">
        <f t="shared" si="0"/>
        <v>test.BallonFactory_1_</v>
      </c>
      <c r="D13">
        <v>12</v>
      </c>
      <c r="E13" s="4">
        <v>0.62745098039215685</v>
      </c>
      <c r="F13" s="4">
        <v>0.28135048231511256</v>
      </c>
      <c r="G13" s="4" t="str">
        <f t="shared" si="1"/>
        <v/>
      </c>
      <c r="H13" s="4">
        <f t="shared" si="2"/>
        <v>0.62745098039215685</v>
      </c>
      <c r="I13" s="4" t="str">
        <f t="shared" si="3"/>
        <v/>
      </c>
      <c r="J13" s="4" t="str">
        <f t="shared" si="4"/>
        <v/>
      </c>
      <c r="K13" s="4" t="str">
        <f t="shared" si="5"/>
        <v/>
      </c>
      <c r="L13" s="4" t="str">
        <f t="shared" si="6"/>
        <v/>
      </c>
      <c r="M13" s="4"/>
      <c r="N13" s="4"/>
      <c r="O13" s="4"/>
      <c r="P13" s="4"/>
      <c r="Q13" s="4"/>
      <c r="R13" s="4"/>
      <c r="S13" s="4"/>
      <c r="T13" s="4"/>
      <c r="U13" s="4"/>
    </row>
    <row r="14" spans="1:50">
      <c r="A14" t="s">
        <v>188</v>
      </c>
      <c r="B14">
        <v>1</v>
      </c>
      <c r="C14" t="str">
        <f t="shared" si="0"/>
        <v>test.BallonFactory_1_</v>
      </c>
      <c r="D14">
        <v>13</v>
      </c>
      <c r="E14" s="4">
        <v>0.80392156862745101</v>
      </c>
      <c r="F14" s="4">
        <v>0.62888531618435151</v>
      </c>
      <c r="G14" s="4" t="str">
        <f t="shared" si="1"/>
        <v/>
      </c>
      <c r="H14" s="4" t="str">
        <f t="shared" si="2"/>
        <v/>
      </c>
      <c r="I14" s="4" t="str">
        <f t="shared" si="3"/>
        <v/>
      </c>
      <c r="J14" s="4">
        <f t="shared" si="4"/>
        <v>0.80392156862745101</v>
      </c>
      <c r="K14" s="4" t="str">
        <f t="shared" si="5"/>
        <v/>
      </c>
      <c r="L14" s="4" t="str">
        <f t="shared" si="6"/>
        <v/>
      </c>
      <c r="M14" s="4"/>
      <c r="N14" s="4"/>
      <c r="O14" s="4"/>
      <c r="P14" s="4"/>
      <c r="Q14" s="4"/>
      <c r="R14" s="4"/>
      <c r="S14" s="4"/>
      <c r="T14" s="4"/>
      <c r="U14" s="4"/>
    </row>
    <row r="15" spans="1:50">
      <c r="A15" t="s">
        <v>188</v>
      </c>
      <c r="B15">
        <v>1</v>
      </c>
      <c r="C15" t="str">
        <f t="shared" si="0"/>
        <v>test.BallonFactory_1_</v>
      </c>
      <c r="D15">
        <v>14</v>
      </c>
      <c r="E15" s="4">
        <v>0.80392156862745101</v>
      </c>
      <c r="F15" s="4">
        <v>0.63933547695605575</v>
      </c>
      <c r="G15" s="4" t="str">
        <f t="shared" si="1"/>
        <v/>
      </c>
      <c r="H15" s="4" t="str">
        <f t="shared" si="2"/>
        <v/>
      </c>
      <c r="I15" s="4" t="str">
        <f t="shared" si="3"/>
        <v/>
      </c>
      <c r="J15" s="4">
        <f t="shared" si="4"/>
        <v>0.80392156862745101</v>
      </c>
      <c r="K15" s="4" t="str">
        <f t="shared" si="5"/>
        <v/>
      </c>
      <c r="L15" s="4" t="str">
        <f t="shared" si="6"/>
        <v/>
      </c>
      <c r="M15" s="4"/>
      <c r="N15" s="4"/>
      <c r="O15" s="4"/>
      <c r="P15" s="4"/>
      <c r="Q15" s="4"/>
      <c r="R15" s="4"/>
      <c r="S15" s="4"/>
      <c r="T15" s="4"/>
      <c r="U15" s="4"/>
    </row>
    <row r="16" spans="1:50">
      <c r="A16" t="s">
        <v>188</v>
      </c>
      <c r="B16">
        <v>1</v>
      </c>
      <c r="C16" t="str">
        <f t="shared" si="0"/>
        <v>test.BallonFactory_1_</v>
      </c>
      <c r="D16">
        <v>15</v>
      </c>
      <c r="E16" s="4">
        <v>0.80392156862745101</v>
      </c>
      <c r="F16" s="4">
        <v>0.63987138263665599</v>
      </c>
      <c r="G16" s="4" t="str">
        <f t="shared" si="1"/>
        <v/>
      </c>
      <c r="H16" s="4" t="str">
        <f t="shared" si="2"/>
        <v/>
      </c>
      <c r="I16" s="4" t="str">
        <f t="shared" si="3"/>
        <v/>
      </c>
      <c r="J16" s="4">
        <f t="shared" si="4"/>
        <v>0.80392156862745101</v>
      </c>
      <c r="K16" s="4" t="str">
        <f t="shared" si="5"/>
        <v/>
      </c>
      <c r="L16" s="4" t="str">
        <f t="shared" si="6"/>
        <v/>
      </c>
      <c r="M16" s="4"/>
      <c r="N16" s="4"/>
      <c r="O16" s="4"/>
      <c r="P16" s="4"/>
      <c r="Q16" s="4"/>
      <c r="R16" s="4"/>
      <c r="S16" s="4"/>
      <c r="T16" s="4"/>
      <c r="U16" s="4"/>
    </row>
    <row r="17" spans="1:21">
      <c r="A17" t="s">
        <v>188</v>
      </c>
      <c r="B17">
        <v>1</v>
      </c>
      <c r="C17" t="str">
        <f t="shared" si="0"/>
        <v>test.BallonFactory_1_</v>
      </c>
      <c r="D17">
        <v>16</v>
      </c>
      <c r="E17" s="4">
        <v>0.80392156862745101</v>
      </c>
      <c r="F17" s="4">
        <v>0.65058949624866025</v>
      </c>
      <c r="G17" s="4" t="str">
        <f t="shared" si="1"/>
        <v/>
      </c>
      <c r="H17" s="4" t="str">
        <f t="shared" si="2"/>
        <v/>
      </c>
      <c r="I17" s="4" t="str">
        <f t="shared" si="3"/>
        <v/>
      </c>
      <c r="J17" s="4">
        <f t="shared" si="4"/>
        <v>0.80392156862745101</v>
      </c>
      <c r="K17" s="4" t="str">
        <f t="shared" si="5"/>
        <v/>
      </c>
      <c r="L17" s="4" t="str">
        <f t="shared" si="6"/>
        <v/>
      </c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t="s">
        <v>188</v>
      </c>
      <c r="B18">
        <v>7</v>
      </c>
      <c r="C18" t="str">
        <f t="shared" si="0"/>
        <v>test.BallonFactory_7_</v>
      </c>
      <c r="D18">
        <v>1</v>
      </c>
      <c r="E18" s="4">
        <v>0.24242424242424243</v>
      </c>
      <c r="F18" s="4">
        <v>0.29144385026737968</v>
      </c>
      <c r="G18" s="4" t="str">
        <f t="shared" si="1"/>
        <v/>
      </c>
      <c r="H18" s="4">
        <f t="shared" si="2"/>
        <v>0.24242424242424243</v>
      </c>
      <c r="I18" s="4" t="str">
        <f t="shared" si="3"/>
        <v/>
      </c>
      <c r="J18" s="4" t="str">
        <f t="shared" si="4"/>
        <v/>
      </c>
      <c r="K18" s="4" t="str">
        <f t="shared" si="5"/>
        <v/>
      </c>
      <c r="L18" s="4" t="str">
        <f t="shared" si="6"/>
        <v/>
      </c>
      <c r="M18" s="4"/>
      <c r="N18" s="4"/>
      <c r="O18" s="4"/>
      <c r="P18" s="4"/>
      <c r="Q18" s="4"/>
      <c r="R18" s="4"/>
      <c r="S18" s="4"/>
      <c r="T18" s="4"/>
      <c r="U18" s="4"/>
    </row>
    <row r="19" spans="1:21">
      <c r="A19" t="s">
        <v>188</v>
      </c>
      <c r="B19">
        <v>7</v>
      </c>
      <c r="C19" t="str">
        <f t="shared" si="0"/>
        <v>test.BallonFactory_7_</v>
      </c>
      <c r="D19">
        <v>2</v>
      </c>
      <c r="E19" s="4">
        <v>0.24242424242424243</v>
      </c>
      <c r="F19" s="4">
        <v>0.29177807486631013</v>
      </c>
      <c r="G19" s="4" t="str">
        <f t="shared" si="1"/>
        <v/>
      </c>
      <c r="H19" s="4">
        <f t="shared" si="2"/>
        <v>0.24242424242424243</v>
      </c>
      <c r="I19" s="4" t="str">
        <f t="shared" si="3"/>
        <v/>
      </c>
      <c r="J19" s="4" t="str">
        <f t="shared" si="4"/>
        <v/>
      </c>
      <c r="K19" s="4" t="str">
        <f t="shared" si="5"/>
        <v/>
      </c>
      <c r="L19" s="4" t="str">
        <f t="shared" si="6"/>
        <v/>
      </c>
      <c r="M19" s="4"/>
      <c r="N19" s="4"/>
      <c r="O19" s="4"/>
      <c r="P19" s="4"/>
      <c r="Q19" s="4"/>
      <c r="R19" s="4"/>
      <c r="S19" s="4"/>
      <c r="T19" s="4"/>
      <c r="U19" s="4"/>
    </row>
    <row r="20" spans="1:21">
      <c r="A20" t="s">
        <v>188</v>
      </c>
      <c r="B20">
        <v>7</v>
      </c>
      <c r="C20" t="str">
        <f t="shared" si="0"/>
        <v>test.BallonFactory_7_</v>
      </c>
      <c r="D20">
        <v>3</v>
      </c>
      <c r="E20" s="4">
        <v>0.24242424242424243</v>
      </c>
      <c r="F20" s="4">
        <v>0.29278074866310161</v>
      </c>
      <c r="G20" s="4" t="str">
        <f t="shared" si="1"/>
        <v/>
      </c>
      <c r="H20" s="4">
        <f t="shared" si="2"/>
        <v>0.24242424242424243</v>
      </c>
      <c r="I20" s="4" t="str">
        <f t="shared" si="3"/>
        <v/>
      </c>
      <c r="J20" s="4" t="str">
        <f t="shared" si="4"/>
        <v/>
      </c>
      <c r="K20" s="4" t="str">
        <f t="shared" si="5"/>
        <v/>
      </c>
      <c r="L20" s="4" t="str">
        <f t="shared" si="6"/>
        <v/>
      </c>
      <c r="M20" s="4"/>
      <c r="N20" s="4"/>
      <c r="O20" s="4"/>
      <c r="P20" s="4"/>
      <c r="Q20" s="4"/>
      <c r="R20" s="4"/>
      <c r="S20" s="4"/>
      <c r="T20" s="4"/>
      <c r="U20" s="4"/>
    </row>
    <row r="21" spans="1:21">
      <c r="A21" t="s">
        <v>188</v>
      </c>
      <c r="B21">
        <v>7</v>
      </c>
      <c r="C21" t="str">
        <f t="shared" si="0"/>
        <v>test.BallonFactory_7_</v>
      </c>
      <c r="D21">
        <v>4</v>
      </c>
      <c r="E21" s="4">
        <v>0.24242424242424243</v>
      </c>
      <c r="F21" s="4">
        <v>0.29411764705882354</v>
      </c>
      <c r="G21" s="4" t="str">
        <f t="shared" si="1"/>
        <v/>
      </c>
      <c r="H21" s="4">
        <f t="shared" si="2"/>
        <v>0.24242424242424243</v>
      </c>
      <c r="I21" s="4" t="str">
        <f t="shared" si="3"/>
        <v/>
      </c>
      <c r="J21" s="4" t="str">
        <f t="shared" si="4"/>
        <v/>
      </c>
      <c r="K21" s="4" t="str">
        <f t="shared" si="5"/>
        <v/>
      </c>
      <c r="L21" s="4" t="str">
        <f t="shared" si="6"/>
        <v/>
      </c>
      <c r="M21" s="4"/>
      <c r="N21" s="4"/>
      <c r="O21" s="4"/>
      <c r="P21" s="4"/>
      <c r="Q21" s="4"/>
      <c r="R21" s="4"/>
      <c r="S21" s="4"/>
      <c r="T21" s="4"/>
      <c r="U21" s="4"/>
    </row>
    <row r="22" spans="1:21">
      <c r="A22" t="s">
        <v>188</v>
      </c>
      <c r="B22">
        <v>7</v>
      </c>
      <c r="C22" t="str">
        <f t="shared" si="0"/>
        <v>test.BallonFactory_7_</v>
      </c>
      <c r="D22">
        <v>5</v>
      </c>
      <c r="E22" s="4">
        <v>0.24242424242424243</v>
      </c>
      <c r="F22" s="4">
        <v>0.29612299465240643</v>
      </c>
      <c r="G22" s="4" t="str">
        <f t="shared" si="1"/>
        <v/>
      </c>
      <c r="H22" s="4">
        <f t="shared" si="2"/>
        <v>0.24242424242424243</v>
      </c>
      <c r="I22" s="4" t="str">
        <f t="shared" si="3"/>
        <v/>
      </c>
      <c r="J22" s="4" t="str">
        <f t="shared" si="4"/>
        <v/>
      </c>
      <c r="K22" s="4" t="str">
        <f t="shared" si="5"/>
        <v/>
      </c>
      <c r="L22" s="4" t="str">
        <f t="shared" si="6"/>
        <v/>
      </c>
      <c r="M22" s="4"/>
      <c r="N22" s="4"/>
      <c r="O22" s="4"/>
      <c r="P22" s="4"/>
      <c r="Q22" s="4"/>
      <c r="R22" s="4"/>
      <c r="S22" s="4"/>
      <c r="T22" s="4"/>
      <c r="U22" s="4"/>
    </row>
    <row r="23" spans="1:21">
      <c r="A23" t="s">
        <v>188</v>
      </c>
      <c r="B23">
        <v>7</v>
      </c>
      <c r="C23" t="str">
        <f t="shared" si="0"/>
        <v>test.BallonFactory_7_</v>
      </c>
      <c r="D23">
        <v>6</v>
      </c>
      <c r="E23" s="4">
        <v>0.24242424242424243</v>
      </c>
      <c r="F23" s="4">
        <v>0.29645721925133689</v>
      </c>
      <c r="G23" s="4" t="str">
        <f t="shared" si="1"/>
        <v/>
      </c>
      <c r="H23" s="4">
        <f t="shared" si="2"/>
        <v>0.24242424242424243</v>
      </c>
      <c r="I23" s="4" t="str">
        <f t="shared" si="3"/>
        <v/>
      </c>
      <c r="J23" s="4" t="str">
        <f t="shared" si="4"/>
        <v/>
      </c>
      <c r="K23" s="4" t="str">
        <f t="shared" si="5"/>
        <v/>
      </c>
      <c r="L23" s="4" t="str">
        <f t="shared" si="6"/>
        <v/>
      </c>
      <c r="M23" s="4"/>
      <c r="N23" s="4"/>
      <c r="O23" s="4"/>
      <c r="P23" s="4"/>
      <c r="Q23" s="4"/>
      <c r="R23" s="4"/>
      <c r="S23" s="4"/>
      <c r="T23" s="4"/>
      <c r="U23" s="4"/>
    </row>
    <row r="24" spans="1:21">
      <c r="A24" t="s">
        <v>188</v>
      </c>
      <c r="B24">
        <v>7</v>
      </c>
      <c r="C24" t="str">
        <f t="shared" si="0"/>
        <v>test.BallonFactory_7_</v>
      </c>
      <c r="D24">
        <v>7</v>
      </c>
      <c r="E24" s="4">
        <v>0.24242424242424243</v>
      </c>
      <c r="F24" s="4">
        <v>0.30046791443850268</v>
      </c>
      <c r="G24" s="4" t="str">
        <f t="shared" si="1"/>
        <v/>
      </c>
      <c r="H24" s="4">
        <f t="shared" si="2"/>
        <v>0.24242424242424243</v>
      </c>
      <c r="I24" s="4" t="str">
        <f t="shared" si="3"/>
        <v/>
      </c>
      <c r="J24" s="4" t="str">
        <f t="shared" si="4"/>
        <v/>
      </c>
      <c r="K24" s="4" t="str">
        <f t="shared" si="5"/>
        <v/>
      </c>
      <c r="L24" s="4" t="str">
        <f t="shared" si="6"/>
        <v/>
      </c>
      <c r="M24" s="4"/>
      <c r="N24" s="4"/>
      <c r="O24" s="4"/>
      <c r="P24" s="4"/>
      <c r="Q24" s="4"/>
      <c r="R24" s="4"/>
      <c r="S24" s="4"/>
      <c r="T24" s="4"/>
      <c r="U24" s="4"/>
    </row>
    <row r="25" spans="1:21">
      <c r="A25" t="s">
        <v>188</v>
      </c>
      <c r="B25">
        <v>7</v>
      </c>
      <c r="C25" t="str">
        <f t="shared" si="0"/>
        <v>test.BallonFactory_7_</v>
      </c>
      <c r="D25">
        <v>8</v>
      </c>
      <c r="E25" s="4">
        <v>0.24242424242424243</v>
      </c>
      <c r="F25" s="4">
        <v>0.30548128342245989</v>
      </c>
      <c r="G25" s="4" t="str">
        <f t="shared" si="1"/>
        <v/>
      </c>
      <c r="H25" s="4">
        <f t="shared" si="2"/>
        <v>0.24242424242424243</v>
      </c>
      <c r="I25" s="4" t="str">
        <f t="shared" si="3"/>
        <v/>
      </c>
      <c r="J25" s="4" t="str">
        <f t="shared" si="4"/>
        <v/>
      </c>
      <c r="K25" s="4" t="str">
        <f t="shared" si="5"/>
        <v/>
      </c>
      <c r="L25" s="4" t="str">
        <f t="shared" si="6"/>
        <v/>
      </c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t="s">
        <v>188</v>
      </c>
      <c r="B26">
        <v>7</v>
      </c>
      <c r="C26" t="str">
        <f t="shared" si="0"/>
        <v>test.BallonFactory_7_</v>
      </c>
      <c r="D26">
        <v>9</v>
      </c>
      <c r="E26" s="4">
        <v>0.48484848484848486</v>
      </c>
      <c r="F26" s="4">
        <v>0.48128342245989303</v>
      </c>
      <c r="G26" s="4" t="str">
        <f t="shared" si="1"/>
        <v/>
      </c>
      <c r="H26" s="4" t="str">
        <f t="shared" si="2"/>
        <v/>
      </c>
      <c r="I26" s="4">
        <f t="shared" si="3"/>
        <v>0.48484848484848486</v>
      </c>
      <c r="J26" s="4" t="str">
        <f t="shared" si="4"/>
        <v/>
      </c>
      <c r="K26" s="4" t="str">
        <f t="shared" si="5"/>
        <v/>
      </c>
      <c r="L26" s="4" t="str">
        <f t="shared" si="6"/>
        <v/>
      </c>
      <c r="M26" s="4"/>
      <c r="N26" s="4"/>
      <c r="O26" s="4"/>
      <c r="P26" s="4"/>
      <c r="Q26" s="4"/>
      <c r="R26" s="4"/>
      <c r="S26" s="4"/>
      <c r="T26" s="4"/>
      <c r="U26" s="4"/>
    </row>
    <row r="27" spans="1:21">
      <c r="A27" t="s">
        <v>188</v>
      </c>
      <c r="B27">
        <v>7</v>
      </c>
      <c r="C27" t="str">
        <f t="shared" si="0"/>
        <v>test.BallonFactory_7_</v>
      </c>
      <c r="D27">
        <v>10</v>
      </c>
      <c r="E27" s="4">
        <v>0.48484848484848486</v>
      </c>
      <c r="F27" s="4">
        <v>0.48161764705882354</v>
      </c>
      <c r="G27" s="4" t="str">
        <f t="shared" si="1"/>
        <v/>
      </c>
      <c r="H27" s="4" t="str">
        <f t="shared" si="2"/>
        <v/>
      </c>
      <c r="I27" s="4">
        <f t="shared" si="3"/>
        <v>0.48484848484848486</v>
      </c>
      <c r="J27" s="4" t="str">
        <f t="shared" si="4"/>
        <v/>
      </c>
      <c r="K27" s="4" t="str">
        <f t="shared" si="5"/>
        <v/>
      </c>
      <c r="L27" s="4" t="str">
        <f t="shared" si="6"/>
        <v/>
      </c>
      <c r="M27" s="4"/>
      <c r="N27" s="4"/>
      <c r="O27" s="4"/>
      <c r="P27" s="4"/>
      <c r="Q27" s="4"/>
      <c r="R27" s="4"/>
      <c r="S27" s="4"/>
      <c r="T27" s="4"/>
      <c r="U27" s="4"/>
    </row>
    <row r="28" spans="1:21">
      <c r="A28" t="s">
        <v>188</v>
      </c>
      <c r="B28">
        <v>7</v>
      </c>
      <c r="C28" t="str">
        <f t="shared" si="0"/>
        <v>test.BallonFactory_7_</v>
      </c>
      <c r="D28">
        <v>11</v>
      </c>
      <c r="E28" s="4">
        <v>0.48484848484848486</v>
      </c>
      <c r="F28" s="4">
        <v>0.48195187165775399</v>
      </c>
      <c r="G28" s="4" t="str">
        <f t="shared" si="1"/>
        <v/>
      </c>
      <c r="H28" s="4" t="str">
        <f t="shared" si="2"/>
        <v/>
      </c>
      <c r="I28" s="4">
        <f t="shared" si="3"/>
        <v>0.48484848484848486</v>
      </c>
      <c r="J28" s="4" t="str">
        <f t="shared" si="4"/>
        <v/>
      </c>
      <c r="K28" s="4" t="str">
        <f t="shared" si="5"/>
        <v/>
      </c>
      <c r="L28" s="4" t="str">
        <f t="shared" si="6"/>
        <v/>
      </c>
      <c r="M28" s="4"/>
      <c r="N28" s="4"/>
      <c r="O28" s="4"/>
      <c r="P28" s="4"/>
      <c r="Q28" s="4"/>
      <c r="R28" s="4"/>
      <c r="S28" s="4"/>
      <c r="T28" s="4"/>
      <c r="U28" s="4"/>
    </row>
    <row r="29" spans="1:21">
      <c r="A29" t="s">
        <v>188</v>
      </c>
      <c r="B29">
        <v>7</v>
      </c>
      <c r="C29" t="str">
        <f t="shared" si="0"/>
        <v>test.BallonFactory_7_</v>
      </c>
      <c r="D29">
        <v>12</v>
      </c>
      <c r="E29" s="4">
        <v>0.48484848484848486</v>
      </c>
      <c r="F29" s="4">
        <v>0.49465240641711228</v>
      </c>
      <c r="G29" s="4" t="str">
        <f t="shared" si="1"/>
        <v/>
      </c>
      <c r="H29" s="4" t="str">
        <f t="shared" si="2"/>
        <v/>
      </c>
      <c r="I29" s="4">
        <f t="shared" si="3"/>
        <v>0.48484848484848486</v>
      </c>
      <c r="J29" s="4" t="str">
        <f t="shared" si="4"/>
        <v/>
      </c>
      <c r="K29" s="4" t="str">
        <f t="shared" si="5"/>
        <v/>
      </c>
      <c r="L29" s="4" t="str">
        <f t="shared" si="6"/>
        <v/>
      </c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t="s">
        <v>188</v>
      </c>
      <c r="B30">
        <v>7</v>
      </c>
      <c r="C30" t="str">
        <f t="shared" si="0"/>
        <v>test.BallonFactory_7_</v>
      </c>
      <c r="D30">
        <v>13</v>
      </c>
      <c r="E30" s="4">
        <v>0.70454545454545459</v>
      </c>
      <c r="F30" s="4">
        <v>0.64171122994652408</v>
      </c>
      <c r="G30" s="4" t="str">
        <f t="shared" si="1"/>
        <v/>
      </c>
      <c r="H30" s="4" t="str">
        <f t="shared" si="2"/>
        <v/>
      </c>
      <c r="I30" s="4" t="str">
        <f t="shared" si="3"/>
        <v/>
      </c>
      <c r="J30" s="4">
        <f t="shared" si="4"/>
        <v>0.70454545454545459</v>
      </c>
      <c r="K30" s="4" t="str">
        <f t="shared" si="5"/>
        <v/>
      </c>
      <c r="L30" s="4" t="str">
        <f t="shared" si="6"/>
        <v/>
      </c>
      <c r="M30" s="4"/>
      <c r="N30" s="4"/>
      <c r="O30" s="4"/>
      <c r="P30" s="4"/>
      <c r="Q30" s="4"/>
      <c r="R30" s="4"/>
      <c r="S30" s="4"/>
      <c r="T30" s="4"/>
      <c r="U30" s="4"/>
    </row>
    <row r="31" spans="1:21">
      <c r="A31" t="s">
        <v>188</v>
      </c>
      <c r="B31">
        <v>7</v>
      </c>
      <c r="C31" t="str">
        <f t="shared" si="0"/>
        <v>test.BallonFactory_7_</v>
      </c>
      <c r="D31">
        <v>14</v>
      </c>
      <c r="E31" s="4">
        <v>0.70454545454545459</v>
      </c>
      <c r="F31" s="4">
        <v>0.64839572192513373</v>
      </c>
      <c r="G31" s="4" t="str">
        <f t="shared" si="1"/>
        <v/>
      </c>
      <c r="H31" s="4" t="str">
        <f t="shared" si="2"/>
        <v/>
      </c>
      <c r="I31" s="4" t="str">
        <f t="shared" si="3"/>
        <v/>
      </c>
      <c r="J31" s="4">
        <f t="shared" si="4"/>
        <v>0.70454545454545459</v>
      </c>
      <c r="K31" s="4" t="str">
        <f t="shared" si="5"/>
        <v/>
      </c>
      <c r="L31" s="4" t="str">
        <f t="shared" si="6"/>
        <v/>
      </c>
      <c r="M31" s="4"/>
      <c r="N31" s="4"/>
      <c r="O31" s="4"/>
      <c r="P31" s="4"/>
      <c r="Q31" s="4"/>
      <c r="R31" s="4"/>
      <c r="S31" s="4"/>
      <c r="T31" s="4"/>
      <c r="U31" s="4"/>
    </row>
    <row r="32" spans="1:21">
      <c r="A32" t="s">
        <v>188</v>
      </c>
      <c r="B32">
        <v>7</v>
      </c>
      <c r="C32" t="str">
        <f t="shared" si="0"/>
        <v>test.BallonFactory_7_</v>
      </c>
      <c r="D32">
        <v>15</v>
      </c>
      <c r="E32" s="4">
        <v>0.94696969696969702</v>
      </c>
      <c r="F32" s="4">
        <v>0.76570855614973266</v>
      </c>
      <c r="G32" s="4" t="str">
        <f t="shared" si="1"/>
        <v/>
      </c>
      <c r="H32" s="4" t="str">
        <f t="shared" si="2"/>
        <v/>
      </c>
      <c r="I32" s="4" t="str">
        <f t="shared" si="3"/>
        <v/>
      </c>
      <c r="J32" s="4">
        <f t="shared" si="4"/>
        <v>0.94696969696969702</v>
      </c>
      <c r="K32" s="4" t="str">
        <f t="shared" si="5"/>
        <v/>
      </c>
      <c r="L32" s="4" t="str">
        <f t="shared" si="6"/>
        <v/>
      </c>
      <c r="M32" s="4"/>
      <c r="N32" s="4"/>
      <c r="O32" s="4"/>
      <c r="P32" s="4"/>
      <c r="Q32" s="4"/>
      <c r="R32" s="4"/>
      <c r="S32" s="4"/>
      <c r="T32" s="4"/>
      <c r="U32" s="4"/>
    </row>
    <row r="33" spans="1:21">
      <c r="A33" t="s">
        <v>188</v>
      </c>
      <c r="B33">
        <v>7</v>
      </c>
      <c r="C33" t="str">
        <f t="shared" si="0"/>
        <v>test.BallonFactory_7_</v>
      </c>
      <c r="D33">
        <v>16</v>
      </c>
      <c r="E33" s="4">
        <v>1</v>
      </c>
      <c r="F33" s="4">
        <v>0.80381016042780751</v>
      </c>
      <c r="G33" s="4" t="str">
        <f t="shared" si="1"/>
        <v/>
      </c>
      <c r="H33" s="4" t="str">
        <f t="shared" si="2"/>
        <v/>
      </c>
      <c r="I33" s="4" t="str">
        <f t="shared" si="3"/>
        <v/>
      </c>
      <c r="J33" s="4" t="str">
        <f t="shared" si="4"/>
        <v/>
      </c>
      <c r="K33" s="4">
        <f t="shared" si="5"/>
        <v>1</v>
      </c>
      <c r="L33" s="4" t="str">
        <f t="shared" si="6"/>
        <v/>
      </c>
      <c r="M33" s="4"/>
      <c r="N33" s="4"/>
      <c r="O33" s="4"/>
      <c r="P33" s="4"/>
      <c r="Q33" s="4"/>
      <c r="R33" s="4"/>
      <c r="S33" s="4"/>
      <c r="T33" s="4"/>
      <c r="U33" s="4"/>
    </row>
    <row r="34" spans="1:21">
      <c r="A34" t="s">
        <v>219</v>
      </c>
      <c r="B34">
        <v>18</v>
      </c>
      <c r="C34" t="str">
        <f t="shared" si="0"/>
        <v>test.Base64_18_</v>
      </c>
      <c r="D34">
        <v>1</v>
      </c>
      <c r="E34" s="4">
        <v>2.1276595744680851E-2</v>
      </c>
      <c r="F34" s="4">
        <v>2.4559530165509876E-2</v>
      </c>
      <c r="G34" s="4">
        <f t="shared" si="1"/>
        <v>2.1276595744680851E-2</v>
      </c>
      <c r="H34" s="4" t="str">
        <f t="shared" si="2"/>
        <v/>
      </c>
      <c r="I34" s="4" t="str">
        <f t="shared" si="3"/>
        <v/>
      </c>
      <c r="J34" s="4" t="str">
        <f t="shared" si="4"/>
        <v/>
      </c>
      <c r="K34" s="4" t="str">
        <f t="shared" si="5"/>
        <v/>
      </c>
      <c r="L34" s="4" t="str">
        <f t="shared" si="6"/>
        <v/>
      </c>
      <c r="M34" s="4"/>
      <c r="N34" s="4"/>
      <c r="O34" s="4"/>
      <c r="P34" s="4"/>
      <c r="Q34" s="4"/>
      <c r="R34" s="4"/>
      <c r="S34" s="4"/>
      <c r="T34" s="4"/>
      <c r="U34" s="4"/>
    </row>
    <row r="35" spans="1:21">
      <c r="A35" t="s">
        <v>219</v>
      </c>
      <c r="B35">
        <v>18</v>
      </c>
      <c r="C35" t="str">
        <f t="shared" si="0"/>
        <v>test.Base64_18_</v>
      </c>
      <c r="D35">
        <v>2</v>
      </c>
      <c r="E35" s="4">
        <v>4.2553191489361701E-2</v>
      </c>
      <c r="F35" s="4">
        <v>3.8263036127424807E-2</v>
      </c>
      <c r="G35" s="4">
        <f t="shared" si="1"/>
        <v>4.2553191489361701E-2</v>
      </c>
      <c r="H35" s="4" t="str">
        <f t="shared" si="2"/>
        <v/>
      </c>
      <c r="I35" s="4" t="str">
        <f t="shared" si="3"/>
        <v/>
      </c>
      <c r="J35" s="4" t="str">
        <f t="shared" si="4"/>
        <v/>
      </c>
      <c r="K35" s="4" t="str">
        <f t="shared" si="5"/>
        <v/>
      </c>
      <c r="L35" s="4" t="str">
        <f t="shared" si="6"/>
        <v/>
      </c>
      <c r="M35" s="4"/>
      <c r="N35" s="4"/>
      <c r="O35" s="4"/>
      <c r="P35" s="4"/>
      <c r="Q35" s="4"/>
      <c r="R35" s="4"/>
      <c r="S35" s="4"/>
      <c r="T35" s="4"/>
      <c r="U35" s="4"/>
    </row>
    <row r="36" spans="1:21">
      <c r="A36" t="s">
        <v>219</v>
      </c>
      <c r="B36">
        <v>18</v>
      </c>
      <c r="C36" t="str">
        <f t="shared" si="0"/>
        <v>test.Base64_18_</v>
      </c>
      <c r="D36">
        <v>3</v>
      </c>
      <c r="E36" s="4">
        <v>0.12056737588652482</v>
      </c>
      <c r="F36" s="4">
        <v>8.2576970991279586E-2</v>
      </c>
      <c r="G36" s="4">
        <f t="shared" si="1"/>
        <v>0.12056737588652482</v>
      </c>
      <c r="H36" s="4" t="str">
        <f t="shared" si="2"/>
        <v/>
      </c>
      <c r="I36" s="4" t="str">
        <f t="shared" si="3"/>
        <v/>
      </c>
      <c r="J36" s="4" t="str">
        <f t="shared" si="4"/>
        <v/>
      </c>
      <c r="K36" s="4" t="str">
        <f t="shared" si="5"/>
        <v/>
      </c>
      <c r="L36" s="4" t="str">
        <f t="shared" si="6"/>
        <v/>
      </c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t="s">
        <v>219</v>
      </c>
      <c r="B37">
        <v>18</v>
      </c>
      <c r="C37" t="str">
        <f t="shared" si="0"/>
        <v>test.Base64_18_</v>
      </c>
      <c r="D37">
        <v>4</v>
      </c>
      <c r="E37" s="4">
        <v>0.16312056737588654</v>
      </c>
      <c r="F37" s="4">
        <v>0.10268731090941449</v>
      </c>
      <c r="G37" s="4">
        <f t="shared" si="1"/>
        <v>0.16312056737588654</v>
      </c>
      <c r="H37" s="4" t="str">
        <f t="shared" si="2"/>
        <v/>
      </c>
      <c r="I37" s="4" t="str">
        <f t="shared" si="3"/>
        <v/>
      </c>
      <c r="J37" s="4" t="str">
        <f t="shared" si="4"/>
        <v/>
      </c>
      <c r="K37" s="4" t="str">
        <f t="shared" si="5"/>
        <v/>
      </c>
      <c r="L37" s="4" t="str">
        <f t="shared" si="6"/>
        <v/>
      </c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t="s">
        <v>219</v>
      </c>
      <c r="B38">
        <v>18</v>
      </c>
      <c r="C38" t="str">
        <f t="shared" si="0"/>
        <v>test.Base64_18_</v>
      </c>
      <c r="D38">
        <v>5</v>
      </c>
      <c r="E38" s="4">
        <v>0.24822695035460993</v>
      </c>
      <c r="F38" s="4">
        <v>0.13756896244883432</v>
      </c>
      <c r="G38" s="4">
        <f t="shared" si="1"/>
        <v>0.24822695035460993</v>
      </c>
      <c r="H38" s="4" t="str">
        <f t="shared" si="2"/>
        <v/>
      </c>
      <c r="I38" s="4" t="str">
        <f t="shared" si="3"/>
        <v/>
      </c>
      <c r="J38" s="4" t="str">
        <f t="shared" si="4"/>
        <v/>
      </c>
      <c r="K38" s="4" t="str">
        <f t="shared" si="5"/>
        <v/>
      </c>
      <c r="L38" s="4" t="str">
        <f t="shared" si="6"/>
        <v/>
      </c>
      <c r="M38" s="4"/>
      <c r="N38" s="4"/>
      <c r="O38" s="4"/>
      <c r="P38" s="4"/>
      <c r="Q38" s="4"/>
      <c r="R38" s="4"/>
      <c r="S38" s="4"/>
      <c r="T38" s="4"/>
      <c r="U38" s="4"/>
    </row>
    <row r="39" spans="1:21">
      <c r="A39" t="s">
        <v>219</v>
      </c>
      <c r="B39">
        <v>18</v>
      </c>
      <c r="C39" t="str">
        <f t="shared" si="0"/>
        <v>test.Base64_18_</v>
      </c>
      <c r="D39">
        <v>6</v>
      </c>
      <c r="E39" s="4">
        <v>0.26950354609929078</v>
      </c>
      <c r="F39" s="4">
        <v>0.14450969923473928</v>
      </c>
      <c r="G39" s="4">
        <f t="shared" si="1"/>
        <v>0.26950354609929078</v>
      </c>
      <c r="H39" s="4" t="str">
        <f t="shared" si="2"/>
        <v/>
      </c>
      <c r="I39" s="4" t="str">
        <f t="shared" si="3"/>
        <v/>
      </c>
      <c r="J39" s="4" t="str">
        <f t="shared" si="4"/>
        <v/>
      </c>
      <c r="K39" s="4" t="str">
        <f t="shared" si="5"/>
        <v/>
      </c>
      <c r="L39" s="4" t="str">
        <f t="shared" si="6"/>
        <v/>
      </c>
      <c r="M39" s="4"/>
      <c r="N39" s="4"/>
      <c r="O39" s="4"/>
      <c r="P39" s="4"/>
      <c r="Q39" s="4"/>
      <c r="R39" s="4"/>
      <c r="S39" s="4"/>
      <c r="T39" s="4"/>
      <c r="U39" s="4"/>
    </row>
    <row r="40" spans="1:21">
      <c r="A40" t="s">
        <v>219</v>
      </c>
      <c r="B40">
        <v>18</v>
      </c>
      <c r="C40" t="str">
        <f t="shared" si="0"/>
        <v>test.Base64_18_</v>
      </c>
      <c r="D40">
        <v>7</v>
      </c>
      <c r="E40" s="4">
        <v>0.29078014184397161</v>
      </c>
      <c r="F40" s="4">
        <v>0.15162840363053925</v>
      </c>
      <c r="G40" s="4">
        <f t="shared" si="1"/>
        <v>0.29078014184397161</v>
      </c>
      <c r="H40" s="4" t="str">
        <f t="shared" si="2"/>
        <v/>
      </c>
      <c r="I40" s="4" t="str">
        <f t="shared" si="3"/>
        <v/>
      </c>
      <c r="J40" s="4" t="str">
        <f t="shared" si="4"/>
        <v/>
      </c>
      <c r="K40" s="4" t="str">
        <f t="shared" si="5"/>
        <v/>
      </c>
      <c r="L40" s="4" t="str">
        <f t="shared" si="6"/>
        <v/>
      </c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t="s">
        <v>219</v>
      </c>
      <c r="B41">
        <v>18</v>
      </c>
      <c r="C41" t="str">
        <f t="shared" si="0"/>
        <v>test.Base64_18_</v>
      </c>
      <c r="D41">
        <v>8</v>
      </c>
      <c r="E41" s="4">
        <v>0.29078014184397161</v>
      </c>
      <c r="F41" s="4">
        <v>0.15856914041644421</v>
      </c>
      <c r="G41" s="4">
        <f t="shared" si="1"/>
        <v>0.29078014184397161</v>
      </c>
      <c r="H41" s="4" t="str">
        <f t="shared" si="2"/>
        <v/>
      </c>
      <c r="I41" s="4" t="str">
        <f t="shared" si="3"/>
        <v/>
      </c>
      <c r="J41" s="4" t="str">
        <f t="shared" si="4"/>
        <v/>
      </c>
      <c r="K41" s="4" t="str">
        <f t="shared" si="5"/>
        <v/>
      </c>
      <c r="L41" s="4" t="str">
        <f t="shared" si="6"/>
        <v/>
      </c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t="s">
        <v>219</v>
      </c>
      <c r="B42">
        <v>18</v>
      </c>
      <c r="C42" t="str">
        <f t="shared" si="0"/>
        <v>test.Base64_18_</v>
      </c>
      <c r="D42">
        <v>9</v>
      </c>
      <c r="E42" s="4">
        <v>0.41134751773049644</v>
      </c>
      <c r="F42" s="4">
        <v>0.21302722904431393</v>
      </c>
      <c r="G42" s="4" t="str">
        <f t="shared" si="1"/>
        <v/>
      </c>
      <c r="H42" s="4">
        <f t="shared" si="2"/>
        <v>0.41134751773049644</v>
      </c>
      <c r="I42" s="4" t="str">
        <f t="shared" si="3"/>
        <v/>
      </c>
      <c r="J42" s="4" t="str">
        <f t="shared" si="4"/>
        <v/>
      </c>
      <c r="K42" s="4" t="str">
        <f t="shared" si="5"/>
        <v/>
      </c>
      <c r="L42" s="4" t="str">
        <f t="shared" si="6"/>
        <v/>
      </c>
      <c r="M42" s="4"/>
      <c r="N42" s="4"/>
      <c r="O42" s="4"/>
      <c r="P42" s="4"/>
      <c r="Q42" s="4"/>
      <c r="R42" s="4"/>
      <c r="S42" s="4"/>
      <c r="T42" s="4"/>
      <c r="U42" s="4"/>
    </row>
    <row r="43" spans="1:21">
      <c r="A43" t="s">
        <v>219</v>
      </c>
      <c r="B43">
        <v>18</v>
      </c>
      <c r="C43" t="str">
        <f t="shared" si="0"/>
        <v>test.Base64_18_</v>
      </c>
      <c r="D43">
        <v>10</v>
      </c>
      <c r="E43" s="4">
        <v>0.41134751773049644</v>
      </c>
      <c r="F43" s="4">
        <v>0.22139170670937888</v>
      </c>
      <c r="G43" s="4" t="str">
        <f t="shared" si="1"/>
        <v/>
      </c>
      <c r="H43" s="4">
        <f t="shared" si="2"/>
        <v>0.41134751773049644</v>
      </c>
      <c r="I43" s="4" t="str">
        <f t="shared" si="3"/>
        <v/>
      </c>
      <c r="J43" s="4" t="str">
        <f t="shared" si="4"/>
        <v/>
      </c>
      <c r="K43" s="4" t="str">
        <f t="shared" si="5"/>
        <v/>
      </c>
      <c r="L43" s="4" t="str">
        <f t="shared" si="6"/>
        <v/>
      </c>
      <c r="M43" s="4"/>
      <c r="N43" s="4"/>
      <c r="O43" s="4"/>
      <c r="P43" s="4"/>
      <c r="Q43" s="4"/>
      <c r="R43" s="4"/>
      <c r="S43" s="4"/>
      <c r="T43" s="4"/>
      <c r="U43" s="4"/>
    </row>
    <row r="44" spans="1:21">
      <c r="A44" t="s">
        <v>219</v>
      </c>
      <c r="B44">
        <v>18</v>
      </c>
      <c r="C44" t="str">
        <f t="shared" si="0"/>
        <v>test.Base64_18_</v>
      </c>
      <c r="D44">
        <v>11</v>
      </c>
      <c r="E44" s="4">
        <v>0.54609929078014185</v>
      </c>
      <c r="F44" s="4">
        <v>0.22904431393486385</v>
      </c>
      <c r="G44" s="4" t="str">
        <f t="shared" si="1"/>
        <v/>
      </c>
      <c r="H44" s="4">
        <f t="shared" si="2"/>
        <v>0.54609929078014185</v>
      </c>
      <c r="I44" s="4" t="str">
        <f t="shared" si="3"/>
        <v/>
      </c>
      <c r="J44" s="4" t="str">
        <f t="shared" si="4"/>
        <v/>
      </c>
      <c r="K44" s="4" t="str">
        <f t="shared" si="5"/>
        <v/>
      </c>
      <c r="L44" s="4" t="str">
        <f t="shared" si="6"/>
        <v/>
      </c>
      <c r="M44" s="4"/>
      <c r="N44" s="4"/>
      <c r="O44" s="4"/>
      <c r="P44" s="4"/>
      <c r="Q44" s="4"/>
      <c r="R44" s="4"/>
      <c r="S44" s="4"/>
      <c r="T44" s="4"/>
      <c r="U44" s="4"/>
    </row>
    <row r="45" spans="1:21">
      <c r="A45" t="s">
        <v>219</v>
      </c>
      <c r="B45">
        <v>18</v>
      </c>
      <c r="C45" t="str">
        <f t="shared" si="0"/>
        <v>test.Base64_18_</v>
      </c>
      <c r="D45">
        <v>12</v>
      </c>
      <c r="E45" s="4">
        <v>0.58156028368794321</v>
      </c>
      <c r="F45" s="4">
        <v>0.23029008720412886</v>
      </c>
      <c r="G45" s="4" t="str">
        <f t="shared" si="1"/>
        <v/>
      </c>
      <c r="H45" s="4">
        <f t="shared" si="2"/>
        <v>0.58156028368794321</v>
      </c>
      <c r="I45" s="4" t="str">
        <f t="shared" si="3"/>
        <v/>
      </c>
      <c r="J45" s="4" t="str">
        <f t="shared" si="4"/>
        <v/>
      </c>
      <c r="K45" s="4" t="str">
        <f t="shared" si="5"/>
        <v/>
      </c>
      <c r="L45" s="4" t="str">
        <f t="shared" si="6"/>
        <v/>
      </c>
      <c r="M45" s="4"/>
      <c r="N45" s="4"/>
      <c r="O45" s="4"/>
      <c r="P45" s="4"/>
      <c r="Q45" s="4"/>
      <c r="R45" s="4"/>
      <c r="S45" s="4"/>
      <c r="T45" s="4"/>
      <c r="U45" s="4"/>
    </row>
    <row r="46" spans="1:21">
      <c r="A46" t="s">
        <v>219</v>
      </c>
      <c r="B46">
        <v>18</v>
      </c>
      <c r="C46" t="str">
        <f t="shared" si="0"/>
        <v>test.Base64_18_</v>
      </c>
      <c r="D46">
        <v>13</v>
      </c>
      <c r="E46" s="4">
        <v>0.58156028368794321</v>
      </c>
      <c r="F46" s="4">
        <v>0.2425698522868838</v>
      </c>
      <c r="G46" s="4" t="str">
        <f t="shared" si="1"/>
        <v/>
      </c>
      <c r="H46" s="4">
        <f t="shared" si="2"/>
        <v>0.58156028368794321</v>
      </c>
      <c r="I46" s="4" t="str">
        <f t="shared" si="3"/>
        <v/>
      </c>
      <c r="J46" s="4" t="str">
        <f t="shared" si="4"/>
        <v/>
      </c>
      <c r="K46" s="4" t="str">
        <f t="shared" si="5"/>
        <v/>
      </c>
      <c r="L46" s="4" t="str">
        <f t="shared" si="6"/>
        <v/>
      </c>
      <c r="M46" s="4"/>
      <c r="N46" s="4"/>
      <c r="O46" s="4"/>
      <c r="P46" s="4"/>
      <c r="Q46" s="4"/>
      <c r="R46" s="4"/>
      <c r="S46" s="4"/>
      <c r="T46" s="4"/>
      <c r="U46" s="4"/>
    </row>
    <row r="47" spans="1:21">
      <c r="A47" t="s">
        <v>219</v>
      </c>
      <c r="B47">
        <v>18</v>
      </c>
      <c r="C47" t="str">
        <f t="shared" si="0"/>
        <v>test.Base64_18_</v>
      </c>
      <c r="D47">
        <v>14</v>
      </c>
      <c r="E47" s="4">
        <v>0.58156028368794321</v>
      </c>
      <c r="F47" s="4">
        <v>0.24559530165509877</v>
      </c>
      <c r="G47" s="4" t="str">
        <f t="shared" si="1"/>
        <v/>
      </c>
      <c r="H47" s="4">
        <f t="shared" si="2"/>
        <v>0.58156028368794321</v>
      </c>
      <c r="I47" s="4" t="str">
        <f t="shared" si="3"/>
        <v/>
      </c>
      <c r="J47" s="4" t="str">
        <f t="shared" si="4"/>
        <v/>
      </c>
      <c r="K47" s="4" t="str">
        <f t="shared" si="5"/>
        <v/>
      </c>
      <c r="L47" s="4" t="str">
        <f t="shared" si="6"/>
        <v/>
      </c>
      <c r="M47" s="4"/>
      <c r="N47" s="4"/>
      <c r="O47" s="4"/>
      <c r="P47" s="4"/>
      <c r="Q47" s="4"/>
      <c r="R47" s="4"/>
      <c r="S47" s="4"/>
      <c r="T47" s="4"/>
      <c r="U47" s="4"/>
    </row>
    <row r="48" spans="1:21">
      <c r="A48" t="s">
        <v>219</v>
      </c>
      <c r="B48">
        <v>18</v>
      </c>
      <c r="C48" t="str">
        <f t="shared" si="0"/>
        <v>test.Base64_18_</v>
      </c>
      <c r="D48">
        <v>15</v>
      </c>
      <c r="E48" s="4">
        <v>0.61702127659574468</v>
      </c>
      <c r="F48" s="4">
        <v>0.25093432995194875</v>
      </c>
      <c r="G48" s="4" t="str">
        <f t="shared" si="1"/>
        <v/>
      </c>
      <c r="H48" s="4">
        <f t="shared" si="2"/>
        <v>0.61702127659574468</v>
      </c>
      <c r="I48" s="4" t="str">
        <f t="shared" si="3"/>
        <v/>
      </c>
      <c r="J48" s="4" t="str">
        <f t="shared" si="4"/>
        <v/>
      </c>
      <c r="K48" s="4" t="str">
        <f t="shared" si="5"/>
        <v/>
      </c>
      <c r="L48" s="4" t="str">
        <f t="shared" si="6"/>
        <v/>
      </c>
      <c r="M48" s="4"/>
      <c r="N48" s="4"/>
      <c r="O48" s="4"/>
      <c r="P48" s="4"/>
      <c r="Q48" s="4"/>
      <c r="R48" s="4"/>
      <c r="S48" s="4"/>
      <c r="T48" s="4"/>
      <c r="U48" s="4"/>
    </row>
    <row r="49" spans="1:21">
      <c r="A49" t="s">
        <v>219</v>
      </c>
      <c r="B49">
        <v>18</v>
      </c>
      <c r="C49" t="str">
        <f t="shared" si="0"/>
        <v>test.Base64_18_</v>
      </c>
      <c r="D49">
        <v>16</v>
      </c>
      <c r="E49" s="4">
        <v>0.61702127659574468</v>
      </c>
      <c r="F49" s="4">
        <v>0.26090051610606868</v>
      </c>
      <c r="G49" s="4" t="str">
        <f t="shared" si="1"/>
        <v/>
      </c>
      <c r="H49" s="4">
        <f t="shared" si="2"/>
        <v>0.61702127659574468</v>
      </c>
      <c r="I49" s="4" t="str">
        <f t="shared" si="3"/>
        <v/>
      </c>
      <c r="J49" s="4" t="str">
        <f t="shared" si="4"/>
        <v/>
      </c>
      <c r="K49" s="4" t="str">
        <f t="shared" si="5"/>
        <v/>
      </c>
      <c r="L49" s="4" t="str">
        <f t="shared" si="6"/>
        <v/>
      </c>
      <c r="M49" s="4"/>
      <c r="N49" s="4"/>
      <c r="O49" s="4"/>
      <c r="P49" s="4"/>
      <c r="Q49" s="4"/>
      <c r="R49" s="4"/>
      <c r="S49" s="4"/>
      <c r="T49" s="4"/>
      <c r="U49" s="4"/>
    </row>
    <row r="50" spans="1:21">
      <c r="A50" t="s">
        <v>219</v>
      </c>
      <c r="B50">
        <v>18</v>
      </c>
      <c r="C50" t="str">
        <f t="shared" si="0"/>
        <v>test.Base64_18_</v>
      </c>
      <c r="D50">
        <v>17</v>
      </c>
      <c r="E50" s="4">
        <v>0.65957446808510634</v>
      </c>
      <c r="F50" s="4">
        <v>0.27211247552945361</v>
      </c>
      <c r="G50" s="4" t="str">
        <f t="shared" si="1"/>
        <v/>
      </c>
      <c r="H50" s="4">
        <f t="shared" si="2"/>
        <v>0.65957446808510634</v>
      </c>
      <c r="I50" s="4" t="str">
        <f t="shared" si="3"/>
        <v/>
      </c>
      <c r="J50" s="4" t="str">
        <f t="shared" si="4"/>
        <v/>
      </c>
      <c r="K50" s="4" t="str">
        <f t="shared" si="5"/>
        <v/>
      </c>
      <c r="L50" s="4" t="str">
        <f t="shared" si="6"/>
        <v/>
      </c>
      <c r="M50" s="4"/>
      <c r="N50" s="4"/>
      <c r="O50" s="4"/>
      <c r="P50" s="4"/>
      <c r="Q50" s="4"/>
      <c r="R50" s="4"/>
      <c r="S50" s="4"/>
      <c r="T50" s="4"/>
      <c r="U50" s="4"/>
    </row>
    <row r="51" spans="1:21">
      <c r="A51" t="s">
        <v>219</v>
      </c>
      <c r="B51">
        <v>18</v>
      </c>
      <c r="C51" t="str">
        <f t="shared" si="0"/>
        <v>test.Base64_18_</v>
      </c>
      <c r="D51">
        <v>18</v>
      </c>
      <c r="E51" s="4">
        <v>0.65957446808510634</v>
      </c>
      <c r="F51" s="4">
        <v>0.27371418401850861</v>
      </c>
      <c r="G51" s="4" t="str">
        <f t="shared" si="1"/>
        <v/>
      </c>
      <c r="H51" s="4">
        <f t="shared" si="2"/>
        <v>0.65957446808510634</v>
      </c>
      <c r="I51" s="4" t="str">
        <f t="shared" si="3"/>
        <v/>
      </c>
      <c r="J51" s="4" t="str">
        <f t="shared" si="4"/>
        <v/>
      </c>
      <c r="K51" s="4" t="str">
        <f t="shared" si="5"/>
        <v/>
      </c>
      <c r="L51" s="4" t="str">
        <f t="shared" si="6"/>
        <v/>
      </c>
      <c r="M51" s="4"/>
      <c r="N51" s="4"/>
      <c r="O51" s="4"/>
      <c r="P51" s="4"/>
      <c r="Q51" s="4"/>
      <c r="R51" s="4"/>
      <c r="S51" s="4"/>
      <c r="T51" s="4"/>
      <c r="U51" s="4"/>
    </row>
    <row r="52" spans="1:21">
      <c r="A52" t="s">
        <v>219</v>
      </c>
      <c r="B52">
        <v>18</v>
      </c>
      <c r="C52" t="str">
        <f t="shared" si="0"/>
        <v>test.Base64_18_</v>
      </c>
      <c r="D52">
        <v>19</v>
      </c>
      <c r="E52" s="4">
        <v>0.65957446808510634</v>
      </c>
      <c r="F52" s="4">
        <v>0.27478198967787865</v>
      </c>
      <c r="G52" s="4" t="str">
        <f t="shared" si="1"/>
        <v/>
      </c>
      <c r="H52" s="4">
        <f t="shared" si="2"/>
        <v>0.65957446808510634</v>
      </c>
      <c r="I52" s="4" t="str">
        <f t="shared" si="3"/>
        <v/>
      </c>
      <c r="J52" s="4" t="str">
        <f t="shared" si="4"/>
        <v/>
      </c>
      <c r="K52" s="4" t="str">
        <f t="shared" si="5"/>
        <v/>
      </c>
      <c r="L52" s="4" t="str">
        <f t="shared" si="6"/>
        <v/>
      </c>
      <c r="M52" s="4"/>
      <c r="N52" s="4"/>
      <c r="O52" s="4"/>
      <c r="P52" s="4"/>
      <c r="Q52" s="4"/>
      <c r="R52" s="4"/>
      <c r="S52" s="4"/>
      <c r="T52" s="4"/>
      <c r="U52" s="4"/>
    </row>
    <row r="53" spans="1:21">
      <c r="A53" t="s">
        <v>219</v>
      </c>
      <c r="B53">
        <v>18</v>
      </c>
      <c r="C53" t="str">
        <f t="shared" si="0"/>
        <v>test.Base64_18_</v>
      </c>
      <c r="D53">
        <v>20</v>
      </c>
      <c r="E53" s="4">
        <v>0.65957446808510634</v>
      </c>
      <c r="F53" s="4">
        <v>0.28225662929346856</v>
      </c>
      <c r="G53" s="4" t="str">
        <f t="shared" si="1"/>
        <v/>
      </c>
      <c r="H53" s="4">
        <f t="shared" si="2"/>
        <v>0.65957446808510634</v>
      </c>
      <c r="I53" s="4" t="str">
        <f t="shared" si="3"/>
        <v/>
      </c>
      <c r="J53" s="4" t="str">
        <f t="shared" si="4"/>
        <v/>
      </c>
      <c r="K53" s="4" t="str">
        <f t="shared" si="5"/>
        <v/>
      </c>
      <c r="L53" s="4" t="str">
        <f t="shared" si="6"/>
        <v/>
      </c>
      <c r="M53" s="4"/>
      <c r="N53" s="4"/>
      <c r="O53" s="4"/>
      <c r="P53" s="4"/>
      <c r="Q53" s="4"/>
      <c r="R53" s="4"/>
      <c r="S53" s="4"/>
      <c r="T53" s="4"/>
      <c r="U53" s="4"/>
    </row>
    <row r="54" spans="1:21">
      <c r="A54" t="s">
        <v>219</v>
      </c>
      <c r="B54">
        <v>18</v>
      </c>
      <c r="C54" t="str">
        <f t="shared" si="0"/>
        <v>test.Base64_18_</v>
      </c>
      <c r="D54">
        <v>21</v>
      </c>
      <c r="E54" s="4">
        <v>0.85815602836879434</v>
      </c>
      <c r="F54" s="4">
        <v>0.87827015483182058</v>
      </c>
      <c r="G54" s="4" t="str">
        <f t="shared" si="1"/>
        <v/>
      </c>
      <c r="H54" s="4" t="str">
        <f t="shared" si="2"/>
        <v/>
      </c>
      <c r="I54" s="4" t="str">
        <f t="shared" si="3"/>
        <v/>
      </c>
      <c r="J54" s="4" t="str">
        <f t="shared" si="4"/>
        <v/>
      </c>
      <c r="K54" s="4">
        <f t="shared" si="5"/>
        <v>0.85815602836879434</v>
      </c>
      <c r="L54" s="4" t="str">
        <f t="shared" si="6"/>
        <v/>
      </c>
      <c r="M54" s="4"/>
      <c r="N54" s="4"/>
      <c r="O54" s="4"/>
      <c r="P54" s="4"/>
      <c r="Q54" s="4"/>
      <c r="R54" s="4"/>
      <c r="S54" s="4"/>
      <c r="T54" s="4"/>
      <c r="U54" s="4"/>
    </row>
    <row r="55" spans="1:21">
      <c r="A55" t="s">
        <v>219</v>
      </c>
      <c r="B55">
        <v>18</v>
      </c>
      <c r="C55" t="str">
        <f t="shared" si="0"/>
        <v>test.Base64_18_</v>
      </c>
      <c r="D55">
        <v>22</v>
      </c>
      <c r="E55" s="4">
        <v>0.85815602836879434</v>
      </c>
      <c r="F55" s="4">
        <v>0.89108382274426057</v>
      </c>
      <c r="G55" s="4" t="str">
        <f t="shared" si="1"/>
        <v/>
      </c>
      <c r="H55" s="4" t="str">
        <f t="shared" si="2"/>
        <v/>
      </c>
      <c r="I55" s="4" t="str">
        <f t="shared" si="3"/>
        <v/>
      </c>
      <c r="J55" s="4" t="str">
        <f t="shared" si="4"/>
        <v/>
      </c>
      <c r="K55" s="4">
        <f t="shared" si="5"/>
        <v>0.85815602836879434</v>
      </c>
      <c r="L55" s="4" t="str">
        <f t="shared" si="6"/>
        <v/>
      </c>
      <c r="M55" s="4"/>
      <c r="N55" s="4"/>
      <c r="O55" s="4"/>
      <c r="P55" s="4"/>
      <c r="Q55" s="4"/>
      <c r="R55" s="4"/>
      <c r="S55" s="4"/>
      <c r="T55" s="4"/>
      <c r="U55" s="4"/>
    </row>
    <row r="56" spans="1:21">
      <c r="A56" t="s">
        <v>219</v>
      </c>
      <c r="B56">
        <v>18</v>
      </c>
      <c r="C56" t="str">
        <f t="shared" si="0"/>
        <v>test.Base64_18_</v>
      </c>
      <c r="D56">
        <v>23</v>
      </c>
      <c r="E56" s="4">
        <v>0.85815602836879434</v>
      </c>
      <c r="F56" s="4">
        <v>0.89161772557394559</v>
      </c>
      <c r="G56" s="4" t="str">
        <f t="shared" si="1"/>
        <v/>
      </c>
      <c r="H56" s="4" t="str">
        <f t="shared" si="2"/>
        <v/>
      </c>
      <c r="I56" s="4" t="str">
        <f t="shared" si="3"/>
        <v/>
      </c>
      <c r="J56" s="4" t="str">
        <f t="shared" si="4"/>
        <v/>
      </c>
      <c r="K56" s="4">
        <f t="shared" si="5"/>
        <v>0.85815602836879434</v>
      </c>
      <c r="L56" s="4" t="str">
        <f t="shared" si="6"/>
        <v/>
      </c>
      <c r="M56" s="4"/>
      <c r="N56" s="4"/>
      <c r="O56" s="4"/>
      <c r="P56" s="4"/>
      <c r="Q56" s="4"/>
      <c r="R56" s="4"/>
      <c r="S56" s="4"/>
      <c r="T56" s="4"/>
      <c r="U56" s="4"/>
    </row>
    <row r="57" spans="1:21">
      <c r="A57" t="s">
        <v>219</v>
      </c>
      <c r="B57">
        <v>18</v>
      </c>
      <c r="C57" t="str">
        <f t="shared" si="0"/>
        <v>test.Base64_18_</v>
      </c>
      <c r="D57">
        <v>24</v>
      </c>
      <c r="E57" s="4">
        <v>1</v>
      </c>
      <c r="F57" s="4">
        <v>0.89855846235985048</v>
      </c>
      <c r="G57" s="4" t="str">
        <f t="shared" si="1"/>
        <v/>
      </c>
      <c r="H57" s="4" t="str">
        <f t="shared" si="2"/>
        <v/>
      </c>
      <c r="I57" s="4" t="str">
        <f t="shared" si="3"/>
        <v/>
      </c>
      <c r="J57" s="4" t="str">
        <f t="shared" si="4"/>
        <v/>
      </c>
      <c r="K57" s="4">
        <f t="shared" si="5"/>
        <v>1</v>
      </c>
      <c r="L57" s="4" t="str">
        <f t="shared" si="6"/>
        <v/>
      </c>
      <c r="M57" s="4"/>
      <c r="N57" s="4"/>
      <c r="O57" s="4"/>
      <c r="P57" s="4"/>
      <c r="Q57" s="4"/>
      <c r="R57" s="4"/>
      <c r="S57" s="4"/>
      <c r="T57" s="4"/>
      <c r="U57" s="4"/>
    </row>
    <row r="58" spans="1:21">
      <c r="A58" t="s">
        <v>219</v>
      </c>
      <c r="B58">
        <v>18</v>
      </c>
      <c r="C58" t="str">
        <f t="shared" si="0"/>
        <v>test.Base64_18_</v>
      </c>
      <c r="D58">
        <v>25</v>
      </c>
      <c r="E58" s="4">
        <v>1</v>
      </c>
      <c r="F58" s="4">
        <v>0.91119416266239539</v>
      </c>
      <c r="G58" s="4" t="str">
        <f t="shared" si="1"/>
        <v/>
      </c>
      <c r="H58" s="4" t="str">
        <f t="shared" si="2"/>
        <v/>
      </c>
      <c r="I58" s="4" t="str">
        <f t="shared" si="3"/>
        <v/>
      </c>
      <c r="J58" s="4" t="str">
        <f t="shared" si="4"/>
        <v/>
      </c>
      <c r="K58" s="4">
        <f t="shared" si="5"/>
        <v>1</v>
      </c>
      <c r="L58" s="4" t="str">
        <f t="shared" si="6"/>
        <v/>
      </c>
      <c r="M58" s="4"/>
      <c r="N58" s="4"/>
      <c r="O58" s="4"/>
      <c r="P58" s="4"/>
      <c r="Q58" s="4"/>
      <c r="R58" s="4"/>
      <c r="S58" s="4"/>
      <c r="T58" s="4"/>
      <c r="U58" s="4"/>
    </row>
    <row r="59" spans="1:21">
      <c r="A59" t="s">
        <v>219</v>
      </c>
      <c r="B59">
        <v>18</v>
      </c>
      <c r="C59" t="str">
        <f t="shared" si="0"/>
        <v>test.Base64_18_</v>
      </c>
      <c r="D59">
        <v>26</v>
      </c>
      <c r="E59" s="4">
        <v>1</v>
      </c>
      <c r="F59" s="4">
        <v>0.91653319095924546</v>
      </c>
      <c r="G59" s="4" t="str">
        <f t="shared" si="1"/>
        <v/>
      </c>
      <c r="H59" s="4" t="str">
        <f t="shared" si="2"/>
        <v/>
      </c>
      <c r="I59" s="4" t="str">
        <f t="shared" si="3"/>
        <v/>
      </c>
      <c r="J59" s="4" t="str">
        <f t="shared" si="4"/>
        <v/>
      </c>
      <c r="K59" s="4">
        <f t="shared" si="5"/>
        <v>1</v>
      </c>
      <c r="L59" s="4" t="str">
        <f t="shared" si="6"/>
        <v/>
      </c>
      <c r="M59" s="4"/>
      <c r="N59" s="4"/>
      <c r="O59" s="4"/>
      <c r="P59" s="4"/>
      <c r="Q59" s="4"/>
      <c r="R59" s="4"/>
      <c r="S59" s="4"/>
      <c r="T59" s="4"/>
      <c r="U59" s="4"/>
    </row>
    <row r="60" spans="1:21">
      <c r="A60" t="s">
        <v>219</v>
      </c>
      <c r="B60">
        <v>18</v>
      </c>
      <c r="C60" t="str">
        <f t="shared" si="0"/>
        <v>test.Base64_18_</v>
      </c>
      <c r="D60">
        <v>27</v>
      </c>
      <c r="E60" s="4">
        <v>1</v>
      </c>
      <c r="F60" s="4">
        <v>0.92489766862431033</v>
      </c>
      <c r="G60" s="4" t="str">
        <f t="shared" si="1"/>
        <v/>
      </c>
      <c r="H60" s="4" t="str">
        <f t="shared" si="2"/>
        <v/>
      </c>
      <c r="I60" s="4" t="str">
        <f t="shared" si="3"/>
        <v/>
      </c>
      <c r="J60" s="4" t="str">
        <f t="shared" si="4"/>
        <v/>
      </c>
      <c r="K60" s="4">
        <f t="shared" si="5"/>
        <v>1</v>
      </c>
      <c r="L60" s="4" t="str">
        <f t="shared" si="6"/>
        <v/>
      </c>
      <c r="M60" s="4"/>
      <c r="N60" s="4"/>
      <c r="O60" s="4"/>
      <c r="P60" s="4"/>
      <c r="Q60" s="4"/>
      <c r="R60" s="4"/>
      <c r="S60" s="4"/>
      <c r="T60" s="4"/>
      <c r="U60" s="4"/>
    </row>
    <row r="61" spans="1:21">
      <c r="A61" t="s">
        <v>219</v>
      </c>
      <c r="B61">
        <v>19</v>
      </c>
      <c r="C61" t="str">
        <f t="shared" si="0"/>
        <v>test.Base64_19_</v>
      </c>
      <c r="D61">
        <v>1</v>
      </c>
      <c r="E61" s="4">
        <v>2.3622047244094488E-2</v>
      </c>
      <c r="F61" s="4">
        <v>2.6490066225165563E-2</v>
      </c>
      <c r="G61" s="4">
        <f t="shared" si="1"/>
        <v>2.3622047244094488E-2</v>
      </c>
      <c r="H61" s="4" t="str">
        <f t="shared" si="2"/>
        <v/>
      </c>
      <c r="I61" s="4" t="str">
        <f t="shared" si="3"/>
        <v/>
      </c>
      <c r="J61" s="4" t="str">
        <f t="shared" si="4"/>
        <v/>
      </c>
      <c r="K61" s="4" t="str">
        <f t="shared" si="5"/>
        <v/>
      </c>
      <c r="L61" s="4" t="str">
        <f t="shared" si="6"/>
        <v/>
      </c>
      <c r="M61" s="4"/>
      <c r="N61" s="4"/>
      <c r="O61" s="4"/>
      <c r="P61" s="4"/>
      <c r="Q61" s="4"/>
      <c r="R61" s="4"/>
      <c r="S61" s="4"/>
      <c r="T61" s="4"/>
      <c r="U61" s="4"/>
    </row>
    <row r="62" spans="1:21">
      <c r="A62" t="s">
        <v>219</v>
      </c>
      <c r="B62">
        <v>19</v>
      </c>
      <c r="C62" t="str">
        <f t="shared" si="0"/>
        <v>test.Base64_19_</v>
      </c>
      <c r="D62">
        <v>2</v>
      </c>
      <c r="E62" s="4">
        <v>4.7244094488188976E-2</v>
      </c>
      <c r="F62" s="4">
        <v>4.6150662251655629E-2</v>
      </c>
      <c r="G62" s="4">
        <f t="shared" si="1"/>
        <v>4.7244094488188976E-2</v>
      </c>
      <c r="H62" s="4" t="str">
        <f t="shared" si="2"/>
        <v/>
      </c>
      <c r="I62" s="4" t="str">
        <f t="shared" si="3"/>
        <v/>
      </c>
      <c r="J62" s="4" t="str">
        <f t="shared" si="4"/>
        <v/>
      </c>
      <c r="K62" s="4" t="str">
        <f t="shared" si="5"/>
        <v/>
      </c>
      <c r="L62" s="4" t="str">
        <f t="shared" si="6"/>
        <v/>
      </c>
      <c r="M62" s="4"/>
      <c r="N62" s="4"/>
      <c r="O62" s="4"/>
      <c r="P62" s="4"/>
      <c r="Q62" s="4"/>
      <c r="R62" s="4"/>
      <c r="S62" s="4"/>
      <c r="T62" s="4"/>
      <c r="U62" s="4"/>
    </row>
    <row r="63" spans="1:21">
      <c r="A63" t="s">
        <v>219</v>
      </c>
      <c r="B63">
        <v>19</v>
      </c>
      <c r="C63" t="str">
        <f t="shared" si="0"/>
        <v>test.Base64_19_</v>
      </c>
      <c r="D63">
        <v>3</v>
      </c>
      <c r="E63" s="4">
        <v>0.65354330708661412</v>
      </c>
      <c r="F63" s="4">
        <v>0.3120860927152318</v>
      </c>
      <c r="G63" s="4" t="str">
        <f t="shared" si="1"/>
        <v/>
      </c>
      <c r="H63" s="4">
        <f t="shared" si="2"/>
        <v>0.65354330708661412</v>
      </c>
      <c r="I63" s="4" t="str">
        <f t="shared" si="3"/>
        <v/>
      </c>
      <c r="J63" s="4" t="str">
        <f t="shared" si="4"/>
        <v/>
      </c>
      <c r="K63" s="4" t="str">
        <f t="shared" si="5"/>
        <v/>
      </c>
      <c r="L63" s="4" t="str">
        <f t="shared" si="6"/>
        <v/>
      </c>
      <c r="M63" s="4"/>
      <c r="N63" s="4"/>
      <c r="O63" s="4"/>
      <c r="P63" s="4"/>
      <c r="Q63" s="4"/>
      <c r="R63" s="4"/>
      <c r="S63" s="4"/>
      <c r="T63" s="4"/>
      <c r="U63" s="4"/>
    </row>
    <row r="64" spans="1:21">
      <c r="A64" t="s">
        <v>219</v>
      </c>
      <c r="B64">
        <v>19</v>
      </c>
      <c r="C64" t="str">
        <f t="shared" si="0"/>
        <v>test.Base64_19_</v>
      </c>
      <c r="D64">
        <v>4</v>
      </c>
      <c r="E64" s="4">
        <v>0.69291338582677164</v>
      </c>
      <c r="F64" s="4">
        <v>0.32988410596026491</v>
      </c>
      <c r="G64" s="4" t="str">
        <f t="shared" si="1"/>
        <v/>
      </c>
      <c r="H64" s="4">
        <f t="shared" si="2"/>
        <v>0.69291338582677164</v>
      </c>
      <c r="I64" s="4" t="str">
        <f t="shared" si="3"/>
        <v/>
      </c>
      <c r="J64" s="4" t="str">
        <f t="shared" si="4"/>
        <v/>
      </c>
      <c r="K64" s="4" t="str">
        <f t="shared" si="5"/>
        <v/>
      </c>
      <c r="L64" s="4" t="str">
        <f t="shared" si="6"/>
        <v/>
      </c>
      <c r="M64" s="4"/>
      <c r="N64" s="4"/>
      <c r="O64" s="4"/>
      <c r="P64" s="4"/>
      <c r="Q64" s="4"/>
      <c r="R64" s="4"/>
      <c r="S64" s="4"/>
      <c r="T64" s="4"/>
      <c r="U64" s="4"/>
    </row>
    <row r="65" spans="1:21">
      <c r="A65" t="s">
        <v>219</v>
      </c>
      <c r="B65">
        <v>19</v>
      </c>
      <c r="C65" t="str">
        <f t="shared" si="0"/>
        <v>test.Base64_19_</v>
      </c>
      <c r="D65">
        <v>5</v>
      </c>
      <c r="E65" s="4">
        <v>0.73228346456692917</v>
      </c>
      <c r="F65" s="4">
        <v>0.36175496688741721</v>
      </c>
      <c r="G65" s="4" t="str">
        <f t="shared" si="1"/>
        <v/>
      </c>
      <c r="H65" s="4">
        <f t="shared" si="2"/>
        <v>0.73228346456692917</v>
      </c>
      <c r="I65" s="4" t="str">
        <f t="shared" si="3"/>
        <v/>
      </c>
      <c r="J65" s="4" t="str">
        <f t="shared" si="4"/>
        <v/>
      </c>
      <c r="K65" s="4" t="str">
        <f t="shared" si="5"/>
        <v/>
      </c>
      <c r="L65" s="4" t="str">
        <f t="shared" si="6"/>
        <v/>
      </c>
      <c r="M65" s="4"/>
      <c r="N65" s="4"/>
      <c r="O65" s="4"/>
      <c r="P65" s="4"/>
      <c r="Q65" s="4"/>
      <c r="R65" s="4"/>
      <c r="S65" s="4"/>
      <c r="T65" s="4"/>
      <c r="U65" s="4"/>
    </row>
    <row r="66" spans="1:21">
      <c r="A66" t="s">
        <v>219</v>
      </c>
      <c r="B66">
        <v>19</v>
      </c>
      <c r="C66" t="str">
        <f t="shared" si="0"/>
        <v>test.Base64_19_</v>
      </c>
      <c r="D66">
        <v>6</v>
      </c>
      <c r="E66" s="4">
        <v>0.77952755905511806</v>
      </c>
      <c r="F66" s="4">
        <v>0.3756208609271523</v>
      </c>
      <c r="G66" s="4" t="str">
        <f t="shared" si="1"/>
        <v/>
      </c>
      <c r="H66" s="4">
        <f t="shared" si="2"/>
        <v>0.77952755905511806</v>
      </c>
      <c r="I66" s="4" t="str">
        <f t="shared" si="3"/>
        <v/>
      </c>
      <c r="J66" s="4" t="str">
        <f t="shared" si="4"/>
        <v/>
      </c>
      <c r="K66" s="4" t="str">
        <f t="shared" si="5"/>
        <v/>
      </c>
      <c r="L66" s="4" t="str">
        <f t="shared" si="6"/>
        <v/>
      </c>
      <c r="M66" s="4"/>
      <c r="N66" s="4"/>
      <c r="O66" s="4"/>
      <c r="P66" s="4"/>
      <c r="Q66" s="4"/>
      <c r="R66" s="4"/>
      <c r="S66" s="4"/>
      <c r="T66" s="4"/>
      <c r="U66" s="4"/>
    </row>
    <row r="67" spans="1:21">
      <c r="A67" t="s">
        <v>219</v>
      </c>
      <c r="B67">
        <v>19</v>
      </c>
      <c r="C67" t="str">
        <f t="shared" ref="C67:C130" si="17">CONCATENATE(A67, "_",B67,"_")</f>
        <v>test.Base64_19_</v>
      </c>
      <c r="D67">
        <v>7</v>
      </c>
      <c r="E67" s="4">
        <v>0.98425196850393704</v>
      </c>
      <c r="F67" s="4">
        <v>0.83153973509933776</v>
      </c>
      <c r="G67" s="4" t="str">
        <f t="shared" ref="G67:G130" si="18">IF($F67 &lt;= 0.2,$E67,"")</f>
        <v/>
      </c>
      <c r="H67" s="4" t="str">
        <f t="shared" ref="H67:H130" si="19">IF(AND($F67 &gt; 0.2,$F67 &lt;= 0.4),$E67,"")</f>
        <v/>
      </c>
      <c r="I67" s="4" t="str">
        <f t="shared" ref="I67:I130" si="20">IF(AND($F67 &gt; 0.4,$F67 &lt;= 0.6),$E67,"")</f>
        <v/>
      </c>
      <c r="J67" s="4" t="str">
        <f t="shared" ref="J67:J130" si="21">IF(AND($F67 &gt; 0.6,$F67 &lt;= 0.8),$E67,"")</f>
        <v/>
      </c>
      <c r="K67" s="4">
        <f t="shared" ref="K67:K130" si="22">IF(AND($F67 &gt; 0.8, $F67 &lt;=1.1),$E67,"")</f>
        <v>0.98425196850393704</v>
      </c>
      <c r="L67" s="4" t="str">
        <f t="shared" ref="L67:L130" si="23">IF(AND($F67 &gt; 1.1),$E67,"")</f>
        <v/>
      </c>
      <c r="M67" s="4"/>
      <c r="N67" s="4"/>
      <c r="O67" s="4"/>
      <c r="P67" s="4"/>
      <c r="Q67" s="4"/>
      <c r="R67" s="4"/>
      <c r="S67" s="4"/>
      <c r="T67" s="4"/>
      <c r="U67" s="4"/>
    </row>
    <row r="68" spans="1:21">
      <c r="A68" t="s">
        <v>219</v>
      </c>
      <c r="B68">
        <v>19</v>
      </c>
      <c r="C68" t="str">
        <f t="shared" si="17"/>
        <v>test.Base64_19_</v>
      </c>
      <c r="D68">
        <v>8</v>
      </c>
      <c r="E68" s="4">
        <v>0.99212598425196852</v>
      </c>
      <c r="F68" s="4">
        <v>0.85099337748344372</v>
      </c>
      <c r="G68" s="4" t="str">
        <f t="shared" si="18"/>
        <v/>
      </c>
      <c r="H68" s="4" t="str">
        <f t="shared" si="19"/>
        <v/>
      </c>
      <c r="I68" s="4" t="str">
        <f t="shared" si="20"/>
        <v/>
      </c>
      <c r="J68" s="4" t="str">
        <f t="shared" si="21"/>
        <v/>
      </c>
      <c r="K68" s="4">
        <f t="shared" si="22"/>
        <v>0.99212598425196852</v>
      </c>
      <c r="L68" s="4" t="str">
        <f t="shared" si="23"/>
        <v/>
      </c>
      <c r="M68" s="4"/>
      <c r="N68" s="4"/>
      <c r="O68" s="4"/>
      <c r="P68" s="4"/>
      <c r="Q68" s="4"/>
      <c r="R68" s="4"/>
      <c r="S68" s="4"/>
      <c r="T68" s="4"/>
      <c r="U68" s="4"/>
    </row>
    <row r="69" spans="1:21">
      <c r="A69" t="s">
        <v>219</v>
      </c>
      <c r="B69">
        <v>19</v>
      </c>
      <c r="C69" t="str">
        <f t="shared" si="17"/>
        <v>test.Base64_19_</v>
      </c>
      <c r="D69">
        <v>9</v>
      </c>
      <c r="E69" s="4">
        <v>1</v>
      </c>
      <c r="F69" s="4">
        <v>0.88534768211920534</v>
      </c>
      <c r="G69" s="4" t="str">
        <f t="shared" si="18"/>
        <v/>
      </c>
      <c r="H69" s="4" t="str">
        <f t="shared" si="19"/>
        <v/>
      </c>
      <c r="I69" s="4" t="str">
        <f t="shared" si="20"/>
        <v/>
      </c>
      <c r="J69" s="4" t="str">
        <f t="shared" si="21"/>
        <v/>
      </c>
      <c r="K69" s="4">
        <f t="shared" si="22"/>
        <v>1</v>
      </c>
      <c r="L69" s="4" t="str">
        <f t="shared" si="23"/>
        <v/>
      </c>
      <c r="M69" s="4"/>
      <c r="N69" s="4"/>
      <c r="O69" s="4"/>
      <c r="P69" s="4"/>
      <c r="Q69" s="4"/>
      <c r="R69" s="4"/>
      <c r="S69" s="4"/>
      <c r="T69" s="4"/>
      <c r="U69" s="4"/>
    </row>
    <row r="70" spans="1:21">
      <c r="A70" t="s">
        <v>219</v>
      </c>
      <c r="B70">
        <v>19</v>
      </c>
      <c r="C70" t="str">
        <f t="shared" si="17"/>
        <v>test.Base64_19_</v>
      </c>
      <c r="D70">
        <v>10</v>
      </c>
      <c r="E70" s="4">
        <v>1</v>
      </c>
      <c r="F70" s="4">
        <v>0.88969370860927155</v>
      </c>
      <c r="G70" s="4" t="str">
        <f t="shared" si="18"/>
        <v/>
      </c>
      <c r="H70" s="4" t="str">
        <f t="shared" si="19"/>
        <v/>
      </c>
      <c r="I70" s="4" t="str">
        <f t="shared" si="20"/>
        <v/>
      </c>
      <c r="J70" s="4" t="str">
        <f t="shared" si="21"/>
        <v/>
      </c>
      <c r="K70" s="4">
        <f t="shared" si="22"/>
        <v>1</v>
      </c>
      <c r="L70" s="4" t="str">
        <f t="shared" si="23"/>
        <v/>
      </c>
      <c r="M70" s="4"/>
      <c r="N70" s="4"/>
      <c r="O70" s="4"/>
      <c r="P70" s="4"/>
      <c r="Q70" s="4"/>
      <c r="R70" s="4"/>
      <c r="S70" s="4"/>
      <c r="T70" s="4"/>
      <c r="U70" s="4"/>
    </row>
    <row r="71" spans="1:21">
      <c r="A71" t="s">
        <v>219</v>
      </c>
      <c r="B71">
        <v>19</v>
      </c>
      <c r="C71" t="str">
        <f t="shared" si="17"/>
        <v>test.Base64_19_</v>
      </c>
      <c r="D71">
        <v>11</v>
      </c>
      <c r="E71" s="4">
        <v>1</v>
      </c>
      <c r="F71" s="4">
        <v>0.89134933774834435</v>
      </c>
      <c r="G71" s="4" t="str">
        <f t="shared" si="18"/>
        <v/>
      </c>
      <c r="H71" s="4" t="str">
        <f t="shared" si="19"/>
        <v/>
      </c>
      <c r="I71" s="4" t="str">
        <f t="shared" si="20"/>
        <v/>
      </c>
      <c r="J71" s="4" t="str">
        <f t="shared" si="21"/>
        <v/>
      </c>
      <c r="K71" s="4">
        <f t="shared" si="22"/>
        <v>1</v>
      </c>
      <c r="L71" s="4" t="str">
        <f t="shared" si="23"/>
        <v/>
      </c>
      <c r="M71" s="4"/>
      <c r="N71" s="4"/>
      <c r="O71" s="4"/>
      <c r="P71" s="4"/>
      <c r="Q71" s="4"/>
      <c r="R71" s="4"/>
      <c r="S71" s="4"/>
      <c r="T71" s="4"/>
      <c r="U71" s="4"/>
    </row>
    <row r="72" spans="1:21">
      <c r="A72" t="s">
        <v>219</v>
      </c>
      <c r="B72">
        <v>19</v>
      </c>
      <c r="C72" t="str">
        <f t="shared" si="17"/>
        <v>test.Base64_19_</v>
      </c>
      <c r="D72">
        <v>12</v>
      </c>
      <c r="E72" s="4">
        <v>1</v>
      </c>
      <c r="F72" s="4">
        <v>0.89735099337748347</v>
      </c>
      <c r="G72" s="4" t="str">
        <f t="shared" si="18"/>
        <v/>
      </c>
      <c r="H72" s="4" t="str">
        <f t="shared" si="19"/>
        <v/>
      </c>
      <c r="I72" s="4" t="str">
        <f t="shared" si="20"/>
        <v/>
      </c>
      <c r="J72" s="4" t="str">
        <f t="shared" si="21"/>
        <v/>
      </c>
      <c r="K72" s="4">
        <f t="shared" si="22"/>
        <v>1</v>
      </c>
      <c r="L72" s="4" t="str">
        <f t="shared" si="23"/>
        <v/>
      </c>
      <c r="M72" s="4"/>
      <c r="N72" s="4"/>
      <c r="O72" s="4"/>
      <c r="P72" s="4"/>
      <c r="Q72" s="4"/>
      <c r="R72" s="4"/>
      <c r="S72" s="4"/>
      <c r="T72" s="4"/>
      <c r="U72" s="4"/>
    </row>
    <row r="73" spans="1:21">
      <c r="A73" t="s">
        <v>219</v>
      </c>
      <c r="B73">
        <v>19</v>
      </c>
      <c r="C73" t="str">
        <f t="shared" si="17"/>
        <v>test.Base64_19_</v>
      </c>
      <c r="D73">
        <v>13</v>
      </c>
      <c r="E73" s="4">
        <v>1</v>
      </c>
      <c r="F73" s="4">
        <v>0.89962748344370858</v>
      </c>
      <c r="G73" s="4" t="str">
        <f t="shared" si="18"/>
        <v/>
      </c>
      <c r="H73" s="4" t="str">
        <f t="shared" si="19"/>
        <v/>
      </c>
      <c r="I73" s="4" t="str">
        <f t="shared" si="20"/>
        <v/>
      </c>
      <c r="J73" s="4" t="str">
        <f t="shared" si="21"/>
        <v/>
      </c>
      <c r="K73" s="4">
        <f t="shared" si="22"/>
        <v>1</v>
      </c>
      <c r="L73" s="4" t="str">
        <f t="shared" si="23"/>
        <v/>
      </c>
      <c r="M73" s="4"/>
      <c r="N73" s="4"/>
      <c r="O73" s="4"/>
      <c r="P73" s="4"/>
      <c r="Q73" s="4"/>
      <c r="R73" s="4"/>
      <c r="S73" s="4"/>
      <c r="T73" s="4"/>
      <c r="U73" s="4"/>
    </row>
    <row r="74" spans="1:21">
      <c r="A74" t="s">
        <v>219</v>
      </c>
      <c r="B74">
        <v>19</v>
      </c>
      <c r="C74" t="str">
        <f t="shared" si="17"/>
        <v>test.Base64_19_</v>
      </c>
      <c r="D74">
        <v>14</v>
      </c>
      <c r="E74" s="4">
        <v>1</v>
      </c>
      <c r="F74" s="4">
        <v>0.89983443708609268</v>
      </c>
      <c r="G74" s="4" t="str">
        <f t="shared" si="18"/>
        <v/>
      </c>
      <c r="H74" s="4" t="str">
        <f t="shared" si="19"/>
        <v/>
      </c>
      <c r="I74" s="4" t="str">
        <f t="shared" si="20"/>
        <v/>
      </c>
      <c r="J74" s="4" t="str">
        <f t="shared" si="21"/>
        <v/>
      </c>
      <c r="K74" s="4">
        <f t="shared" si="22"/>
        <v>1</v>
      </c>
      <c r="L74" s="4" t="str">
        <f t="shared" si="23"/>
        <v/>
      </c>
      <c r="M74" s="4"/>
      <c r="N74" s="4"/>
      <c r="O74" s="4"/>
      <c r="P74" s="4"/>
      <c r="Q74" s="4"/>
      <c r="R74" s="4"/>
      <c r="S74" s="4"/>
      <c r="T74" s="4"/>
      <c r="U74" s="4"/>
    </row>
    <row r="75" spans="1:21">
      <c r="A75" t="s">
        <v>219</v>
      </c>
      <c r="B75">
        <v>19</v>
      </c>
      <c r="C75" t="str">
        <f t="shared" si="17"/>
        <v>test.Base64_19_</v>
      </c>
      <c r="D75">
        <v>15</v>
      </c>
      <c r="E75" s="4">
        <v>1</v>
      </c>
      <c r="F75" s="4">
        <v>0.9060430463576159</v>
      </c>
      <c r="G75" s="4" t="str">
        <f t="shared" si="18"/>
        <v/>
      </c>
      <c r="H75" s="4" t="str">
        <f t="shared" si="19"/>
        <v/>
      </c>
      <c r="I75" s="4" t="str">
        <f t="shared" si="20"/>
        <v/>
      </c>
      <c r="J75" s="4" t="str">
        <f t="shared" si="21"/>
        <v/>
      </c>
      <c r="K75" s="4">
        <f t="shared" si="22"/>
        <v>1</v>
      </c>
      <c r="L75" s="4" t="str">
        <f t="shared" si="23"/>
        <v/>
      </c>
      <c r="M75" s="4"/>
      <c r="N75" s="4"/>
      <c r="O75" s="4"/>
      <c r="P75" s="4"/>
      <c r="Q75" s="4"/>
      <c r="R75" s="4"/>
      <c r="S75" s="4"/>
      <c r="T75" s="4"/>
      <c r="U75" s="4"/>
    </row>
    <row r="76" spans="1:21">
      <c r="A76" t="s">
        <v>219</v>
      </c>
      <c r="B76">
        <v>19</v>
      </c>
      <c r="C76" t="str">
        <f t="shared" si="17"/>
        <v>test.Base64_19_</v>
      </c>
      <c r="D76">
        <v>16</v>
      </c>
      <c r="E76" s="4">
        <v>1</v>
      </c>
      <c r="F76" s="4">
        <v>0.90625</v>
      </c>
      <c r="G76" s="4" t="str">
        <f t="shared" si="18"/>
        <v/>
      </c>
      <c r="H76" s="4" t="str">
        <f t="shared" si="19"/>
        <v/>
      </c>
      <c r="I76" s="4" t="str">
        <f t="shared" si="20"/>
        <v/>
      </c>
      <c r="J76" s="4" t="str">
        <f t="shared" si="21"/>
        <v/>
      </c>
      <c r="K76" s="4">
        <f t="shared" si="22"/>
        <v>1</v>
      </c>
      <c r="L76" s="4" t="str">
        <f t="shared" si="23"/>
        <v/>
      </c>
      <c r="M76" s="4"/>
      <c r="N76" s="4"/>
      <c r="O76" s="4"/>
      <c r="P76" s="4"/>
      <c r="Q76" s="4"/>
      <c r="R76" s="4"/>
      <c r="S76" s="4"/>
      <c r="T76" s="4"/>
      <c r="U76" s="4"/>
    </row>
    <row r="77" spans="1:21">
      <c r="A77" t="s">
        <v>219</v>
      </c>
      <c r="B77">
        <v>19</v>
      </c>
      <c r="C77" t="str">
        <f t="shared" si="17"/>
        <v>test.Base64_19_</v>
      </c>
      <c r="D77">
        <v>17</v>
      </c>
      <c r="E77" s="4">
        <v>1</v>
      </c>
      <c r="F77" s="4">
        <v>0.9072847682119205</v>
      </c>
      <c r="G77" s="4" t="str">
        <f t="shared" si="18"/>
        <v/>
      </c>
      <c r="H77" s="4" t="str">
        <f t="shared" si="19"/>
        <v/>
      </c>
      <c r="I77" s="4" t="str">
        <f t="shared" si="20"/>
        <v/>
      </c>
      <c r="J77" s="4" t="str">
        <f t="shared" si="21"/>
        <v/>
      </c>
      <c r="K77" s="4">
        <f t="shared" si="22"/>
        <v>1</v>
      </c>
      <c r="L77" s="4" t="str">
        <f t="shared" si="23"/>
        <v/>
      </c>
      <c r="M77" s="4"/>
      <c r="N77" s="4"/>
      <c r="O77" s="4"/>
      <c r="P77" s="4"/>
      <c r="Q77" s="4"/>
      <c r="R77" s="4"/>
      <c r="S77" s="4"/>
      <c r="T77" s="4"/>
      <c r="U77" s="4"/>
    </row>
    <row r="78" spans="1:21">
      <c r="A78" t="s">
        <v>219</v>
      </c>
      <c r="B78">
        <v>19</v>
      </c>
      <c r="C78" t="str">
        <f t="shared" si="17"/>
        <v>test.Base64_19_</v>
      </c>
      <c r="D78">
        <v>18</v>
      </c>
      <c r="E78" s="4">
        <v>1</v>
      </c>
      <c r="F78" s="4">
        <v>0.90852649006622521</v>
      </c>
      <c r="G78" s="4" t="str">
        <f t="shared" si="18"/>
        <v/>
      </c>
      <c r="H78" s="4" t="str">
        <f t="shared" si="19"/>
        <v/>
      </c>
      <c r="I78" s="4" t="str">
        <f t="shared" si="20"/>
        <v/>
      </c>
      <c r="J78" s="4" t="str">
        <f t="shared" si="21"/>
        <v/>
      </c>
      <c r="K78" s="4">
        <f t="shared" si="22"/>
        <v>1</v>
      </c>
      <c r="L78" s="4" t="str">
        <f t="shared" si="23"/>
        <v/>
      </c>
      <c r="M78" s="4"/>
      <c r="N78" s="4"/>
      <c r="O78" s="4"/>
      <c r="P78" s="4"/>
      <c r="Q78" s="4"/>
      <c r="R78" s="4"/>
      <c r="S78" s="4"/>
      <c r="T78" s="4"/>
      <c r="U78" s="4"/>
    </row>
    <row r="79" spans="1:21">
      <c r="A79" t="s">
        <v>219</v>
      </c>
      <c r="B79">
        <v>19</v>
      </c>
      <c r="C79" t="str">
        <f t="shared" si="17"/>
        <v>test.Base64_19_</v>
      </c>
      <c r="D79">
        <v>19</v>
      </c>
      <c r="E79" s="4">
        <v>1</v>
      </c>
      <c r="F79" s="4">
        <v>0.90976821192052981</v>
      </c>
      <c r="G79" s="4" t="str">
        <f t="shared" si="18"/>
        <v/>
      </c>
      <c r="H79" s="4" t="str">
        <f t="shared" si="19"/>
        <v/>
      </c>
      <c r="I79" s="4" t="str">
        <f t="shared" si="20"/>
        <v/>
      </c>
      <c r="J79" s="4" t="str">
        <f t="shared" si="21"/>
        <v/>
      </c>
      <c r="K79" s="4">
        <f t="shared" si="22"/>
        <v>1</v>
      </c>
      <c r="L79" s="4" t="str">
        <f t="shared" si="23"/>
        <v/>
      </c>
      <c r="M79" s="4"/>
      <c r="N79" s="4"/>
      <c r="O79" s="4"/>
      <c r="P79" s="4"/>
      <c r="Q79" s="4"/>
      <c r="R79" s="4"/>
      <c r="S79" s="4"/>
      <c r="T79" s="4"/>
      <c r="U79" s="4"/>
    </row>
    <row r="80" spans="1:21">
      <c r="A80" t="s">
        <v>219</v>
      </c>
      <c r="B80">
        <v>19</v>
      </c>
      <c r="C80" t="str">
        <f t="shared" si="17"/>
        <v>test.Base64_19_</v>
      </c>
      <c r="D80">
        <v>20</v>
      </c>
      <c r="E80" s="4">
        <v>1</v>
      </c>
      <c r="F80" s="4">
        <v>0.91163079470198671</v>
      </c>
      <c r="G80" s="4" t="str">
        <f t="shared" si="18"/>
        <v/>
      </c>
      <c r="H80" s="4" t="str">
        <f t="shared" si="19"/>
        <v/>
      </c>
      <c r="I80" s="4" t="str">
        <f t="shared" si="20"/>
        <v/>
      </c>
      <c r="J80" s="4" t="str">
        <f t="shared" si="21"/>
        <v/>
      </c>
      <c r="K80" s="4">
        <f t="shared" si="22"/>
        <v>1</v>
      </c>
      <c r="L80" s="4" t="str">
        <f t="shared" si="23"/>
        <v/>
      </c>
      <c r="M80" s="4"/>
      <c r="N80" s="4"/>
      <c r="O80" s="4"/>
      <c r="P80" s="4"/>
      <c r="Q80" s="4"/>
      <c r="R80" s="4"/>
      <c r="S80" s="4"/>
      <c r="T80" s="4"/>
      <c r="U80" s="4"/>
    </row>
    <row r="81" spans="1:21">
      <c r="A81" t="s">
        <v>219</v>
      </c>
      <c r="B81">
        <v>19</v>
      </c>
      <c r="C81" t="str">
        <f t="shared" si="17"/>
        <v>test.Base64_19_</v>
      </c>
      <c r="D81">
        <v>21</v>
      </c>
      <c r="E81" s="4">
        <v>1</v>
      </c>
      <c r="F81" s="4">
        <v>0.91225165562913912</v>
      </c>
      <c r="G81" s="4" t="str">
        <f t="shared" si="18"/>
        <v/>
      </c>
      <c r="H81" s="4" t="str">
        <f t="shared" si="19"/>
        <v/>
      </c>
      <c r="I81" s="4" t="str">
        <f t="shared" si="20"/>
        <v/>
      </c>
      <c r="J81" s="4" t="str">
        <f t="shared" si="21"/>
        <v/>
      </c>
      <c r="K81" s="4">
        <f t="shared" si="22"/>
        <v>1</v>
      </c>
      <c r="L81" s="4" t="str">
        <f t="shared" si="23"/>
        <v/>
      </c>
      <c r="M81" s="4"/>
      <c r="N81" s="4"/>
      <c r="O81" s="4"/>
      <c r="P81" s="4"/>
      <c r="Q81" s="4"/>
      <c r="R81" s="4"/>
      <c r="S81" s="4"/>
      <c r="T81" s="4"/>
      <c r="U81" s="4"/>
    </row>
    <row r="82" spans="1:21">
      <c r="A82" t="s">
        <v>219</v>
      </c>
      <c r="B82">
        <v>19</v>
      </c>
      <c r="C82" t="str">
        <f t="shared" si="17"/>
        <v>test.Base64_19_</v>
      </c>
      <c r="D82">
        <v>22</v>
      </c>
      <c r="E82" s="4">
        <v>1</v>
      </c>
      <c r="F82" s="4">
        <v>0.91266556291390732</v>
      </c>
      <c r="G82" s="4" t="str">
        <f t="shared" si="18"/>
        <v/>
      </c>
      <c r="H82" s="4" t="str">
        <f t="shared" si="19"/>
        <v/>
      </c>
      <c r="I82" s="4" t="str">
        <f t="shared" si="20"/>
        <v/>
      </c>
      <c r="J82" s="4" t="str">
        <f t="shared" si="21"/>
        <v/>
      </c>
      <c r="K82" s="4">
        <f t="shared" si="22"/>
        <v>1</v>
      </c>
      <c r="L82" s="4" t="str">
        <f t="shared" si="23"/>
        <v/>
      </c>
      <c r="M82" s="4"/>
      <c r="N82" s="4"/>
      <c r="O82" s="4"/>
      <c r="P82" s="4"/>
      <c r="Q82" s="4"/>
      <c r="R82" s="4"/>
      <c r="S82" s="4"/>
      <c r="T82" s="4"/>
      <c r="U82" s="4"/>
    </row>
    <row r="83" spans="1:21">
      <c r="A83" t="s">
        <v>219</v>
      </c>
      <c r="B83">
        <v>19</v>
      </c>
      <c r="C83" t="str">
        <f t="shared" si="17"/>
        <v>test.Base64_19_</v>
      </c>
      <c r="D83">
        <v>23</v>
      </c>
      <c r="E83" s="4">
        <v>1</v>
      </c>
      <c r="F83" s="4">
        <v>0.91473509933774833</v>
      </c>
      <c r="G83" s="4" t="str">
        <f t="shared" si="18"/>
        <v/>
      </c>
      <c r="H83" s="4" t="str">
        <f t="shared" si="19"/>
        <v/>
      </c>
      <c r="I83" s="4" t="str">
        <f t="shared" si="20"/>
        <v/>
      </c>
      <c r="J83" s="4" t="str">
        <f t="shared" si="21"/>
        <v/>
      </c>
      <c r="K83" s="4">
        <f t="shared" si="22"/>
        <v>1</v>
      </c>
      <c r="L83" s="4" t="str">
        <f t="shared" si="23"/>
        <v/>
      </c>
      <c r="M83" s="4"/>
      <c r="N83" s="4"/>
      <c r="O83" s="4"/>
      <c r="P83" s="4"/>
      <c r="Q83" s="4"/>
      <c r="R83" s="4"/>
      <c r="S83" s="4"/>
      <c r="T83" s="4"/>
      <c r="U83" s="4"/>
    </row>
    <row r="84" spans="1:21">
      <c r="A84" t="s">
        <v>219</v>
      </c>
      <c r="B84">
        <v>19</v>
      </c>
      <c r="C84" t="str">
        <f t="shared" si="17"/>
        <v>test.Base64_19_</v>
      </c>
      <c r="D84">
        <v>24</v>
      </c>
      <c r="E84" s="4">
        <v>1</v>
      </c>
      <c r="F84" s="4">
        <v>0.91908112582781454</v>
      </c>
      <c r="G84" s="4" t="str">
        <f t="shared" si="18"/>
        <v/>
      </c>
      <c r="H84" s="4" t="str">
        <f t="shared" si="19"/>
        <v/>
      </c>
      <c r="I84" s="4" t="str">
        <f t="shared" si="20"/>
        <v/>
      </c>
      <c r="J84" s="4" t="str">
        <f t="shared" si="21"/>
        <v/>
      </c>
      <c r="K84" s="4">
        <f t="shared" si="22"/>
        <v>1</v>
      </c>
      <c r="L84" s="4" t="str">
        <f t="shared" si="23"/>
        <v/>
      </c>
      <c r="M84" s="4"/>
      <c r="N84" s="4"/>
      <c r="O84" s="4"/>
      <c r="P84" s="4"/>
      <c r="Q84" s="4"/>
      <c r="R84" s="4"/>
      <c r="S84" s="4"/>
      <c r="T84" s="4"/>
      <c r="U84" s="4"/>
    </row>
    <row r="85" spans="1:21">
      <c r="A85" t="s">
        <v>219</v>
      </c>
      <c r="B85">
        <v>19</v>
      </c>
      <c r="C85" t="str">
        <f t="shared" si="17"/>
        <v>test.Base64_19_</v>
      </c>
      <c r="D85">
        <v>25</v>
      </c>
      <c r="E85" s="4">
        <v>1</v>
      </c>
      <c r="F85" s="4">
        <v>0.92653145695364236</v>
      </c>
      <c r="G85" s="4" t="str">
        <f t="shared" si="18"/>
        <v/>
      </c>
      <c r="H85" s="4" t="str">
        <f t="shared" si="19"/>
        <v/>
      </c>
      <c r="I85" s="4" t="str">
        <f t="shared" si="20"/>
        <v/>
      </c>
      <c r="J85" s="4" t="str">
        <f t="shared" si="21"/>
        <v/>
      </c>
      <c r="K85" s="4">
        <f t="shared" si="22"/>
        <v>1</v>
      </c>
      <c r="L85" s="4" t="str">
        <f t="shared" si="23"/>
        <v/>
      </c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t="s">
        <v>219</v>
      </c>
      <c r="B86">
        <v>19</v>
      </c>
      <c r="C86" t="str">
        <f t="shared" si="17"/>
        <v>test.Base64_19_</v>
      </c>
      <c r="D86">
        <v>26</v>
      </c>
      <c r="E86" s="4">
        <v>1</v>
      </c>
      <c r="F86" s="4">
        <v>0.93522350993377479</v>
      </c>
      <c r="G86" s="4" t="str">
        <f t="shared" si="18"/>
        <v/>
      </c>
      <c r="H86" s="4" t="str">
        <f t="shared" si="19"/>
        <v/>
      </c>
      <c r="I86" s="4" t="str">
        <f t="shared" si="20"/>
        <v/>
      </c>
      <c r="J86" s="4" t="str">
        <f t="shared" si="21"/>
        <v/>
      </c>
      <c r="K86" s="4">
        <f t="shared" si="22"/>
        <v>1</v>
      </c>
      <c r="L86" s="4" t="str">
        <f t="shared" si="23"/>
        <v/>
      </c>
      <c r="M86" s="4"/>
      <c r="N86" s="4"/>
      <c r="O86" s="4"/>
      <c r="P86" s="4"/>
      <c r="Q86" s="4"/>
      <c r="R86" s="4"/>
      <c r="S86" s="4"/>
      <c r="T86" s="4"/>
      <c r="U86" s="4"/>
    </row>
    <row r="87" spans="1:21">
      <c r="A87" t="s">
        <v>219</v>
      </c>
      <c r="B87">
        <v>19</v>
      </c>
      <c r="C87" t="str">
        <f t="shared" si="17"/>
        <v>test.Base64_19_</v>
      </c>
      <c r="D87">
        <v>27</v>
      </c>
      <c r="E87" s="4">
        <v>1</v>
      </c>
      <c r="F87" s="4">
        <v>0.9383278145695364</v>
      </c>
      <c r="G87" s="4" t="str">
        <f t="shared" si="18"/>
        <v/>
      </c>
      <c r="H87" s="4" t="str">
        <f t="shared" si="19"/>
        <v/>
      </c>
      <c r="I87" s="4" t="str">
        <f t="shared" si="20"/>
        <v/>
      </c>
      <c r="J87" s="4" t="str">
        <f t="shared" si="21"/>
        <v/>
      </c>
      <c r="K87" s="4">
        <f t="shared" si="22"/>
        <v>1</v>
      </c>
      <c r="L87" s="4" t="str">
        <f t="shared" si="23"/>
        <v/>
      </c>
      <c r="M87" s="4"/>
      <c r="N87" s="4"/>
      <c r="O87" s="4"/>
      <c r="P87" s="4"/>
      <c r="Q87" s="4"/>
      <c r="R87" s="4"/>
      <c r="S87" s="4"/>
      <c r="T87" s="4"/>
      <c r="U87" s="4"/>
    </row>
    <row r="88" spans="1:21">
      <c r="A88" t="s">
        <v>219</v>
      </c>
      <c r="B88">
        <v>19</v>
      </c>
      <c r="C88" t="str">
        <f t="shared" si="17"/>
        <v>test.Base64_19_</v>
      </c>
      <c r="D88">
        <v>28</v>
      </c>
      <c r="E88" s="4">
        <v>1</v>
      </c>
      <c r="F88" s="4">
        <v>0.95488410596026485</v>
      </c>
      <c r="G88" s="4" t="str">
        <f t="shared" si="18"/>
        <v/>
      </c>
      <c r="H88" s="4" t="str">
        <f t="shared" si="19"/>
        <v/>
      </c>
      <c r="I88" s="4" t="str">
        <f t="shared" si="20"/>
        <v/>
      </c>
      <c r="J88" s="4" t="str">
        <f t="shared" si="21"/>
        <v/>
      </c>
      <c r="K88" s="4">
        <f t="shared" si="22"/>
        <v>1</v>
      </c>
      <c r="L88" s="4" t="str">
        <f t="shared" si="23"/>
        <v/>
      </c>
      <c r="M88" s="4"/>
      <c r="N88" s="4"/>
      <c r="O88" s="4"/>
      <c r="P88" s="4"/>
      <c r="Q88" s="4"/>
      <c r="R88" s="4"/>
      <c r="S88" s="4"/>
      <c r="T88" s="4"/>
      <c r="U88" s="4"/>
    </row>
    <row r="89" spans="1:21">
      <c r="A89" t="s">
        <v>219</v>
      </c>
      <c r="B89">
        <v>19</v>
      </c>
      <c r="C89" t="str">
        <f t="shared" si="17"/>
        <v>test.Base64_19_</v>
      </c>
      <c r="D89">
        <v>29</v>
      </c>
      <c r="E89" s="4">
        <v>1</v>
      </c>
      <c r="F89" s="4">
        <v>1.2586920529801324</v>
      </c>
      <c r="G89" s="4" t="str">
        <f t="shared" si="18"/>
        <v/>
      </c>
      <c r="H89" s="4" t="str">
        <f t="shared" si="19"/>
        <v/>
      </c>
      <c r="I89" s="4" t="str">
        <f t="shared" si="20"/>
        <v/>
      </c>
      <c r="J89" s="4" t="str">
        <f t="shared" si="21"/>
        <v/>
      </c>
      <c r="K89" s="4" t="str">
        <f t="shared" si="22"/>
        <v/>
      </c>
      <c r="L89" s="4">
        <f t="shared" si="23"/>
        <v>1</v>
      </c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t="s">
        <v>219</v>
      </c>
      <c r="B90">
        <v>20</v>
      </c>
      <c r="C90" t="str">
        <f t="shared" si="17"/>
        <v>test.Base64_20_</v>
      </c>
      <c r="D90">
        <v>1</v>
      </c>
      <c r="E90" s="4">
        <v>0.19801980198019803</v>
      </c>
      <c r="F90" s="4">
        <v>0.1235813366960908</v>
      </c>
      <c r="G90" s="4">
        <f t="shared" si="18"/>
        <v>0.19801980198019803</v>
      </c>
      <c r="H90" s="4" t="str">
        <f t="shared" si="19"/>
        <v/>
      </c>
      <c r="I90" s="4" t="str">
        <f t="shared" si="20"/>
        <v/>
      </c>
      <c r="J90" s="4" t="str">
        <f t="shared" si="21"/>
        <v/>
      </c>
      <c r="K90" s="4" t="str">
        <f t="shared" si="22"/>
        <v/>
      </c>
      <c r="L90" s="4" t="str">
        <f t="shared" si="23"/>
        <v/>
      </c>
      <c r="M90" s="4"/>
      <c r="N90" s="4"/>
      <c r="O90" s="4"/>
      <c r="P90" s="4"/>
      <c r="Q90" s="4"/>
      <c r="R90" s="4"/>
      <c r="S90" s="4"/>
      <c r="T90" s="4"/>
      <c r="U90" s="4"/>
    </row>
    <row r="91" spans="1:21">
      <c r="A91" t="s">
        <v>219</v>
      </c>
      <c r="B91">
        <v>20</v>
      </c>
      <c r="C91" t="str">
        <f t="shared" si="17"/>
        <v>test.Base64_20_</v>
      </c>
      <c r="D91">
        <v>2</v>
      </c>
      <c r="E91" s="4">
        <v>0.22772277227722773</v>
      </c>
      <c r="F91" s="4">
        <v>0.13366960907944514</v>
      </c>
      <c r="G91" s="4">
        <f t="shared" si="18"/>
        <v>0.22772277227722773</v>
      </c>
      <c r="H91" s="4" t="str">
        <f t="shared" si="19"/>
        <v/>
      </c>
      <c r="I91" s="4" t="str">
        <f t="shared" si="20"/>
        <v/>
      </c>
      <c r="J91" s="4" t="str">
        <f t="shared" si="21"/>
        <v/>
      </c>
      <c r="K91" s="4" t="str">
        <f t="shared" si="22"/>
        <v/>
      </c>
      <c r="L91" s="4" t="str">
        <f t="shared" si="23"/>
        <v/>
      </c>
      <c r="M91" s="4"/>
      <c r="N91" s="4"/>
      <c r="O91" s="4"/>
      <c r="P91" s="4"/>
      <c r="Q91" s="4"/>
      <c r="R91" s="4"/>
      <c r="S91" s="4"/>
      <c r="T91" s="4"/>
      <c r="U91" s="4"/>
    </row>
    <row r="92" spans="1:21">
      <c r="A92" t="s">
        <v>219</v>
      </c>
      <c r="B92">
        <v>20</v>
      </c>
      <c r="C92" t="str">
        <f t="shared" si="17"/>
        <v>test.Base64_20_</v>
      </c>
      <c r="D92">
        <v>3</v>
      </c>
      <c r="E92" s="4">
        <v>0.25742574257425743</v>
      </c>
      <c r="F92" s="4">
        <v>0.13587641866330391</v>
      </c>
      <c r="G92" s="4">
        <f t="shared" si="18"/>
        <v>0.25742574257425743</v>
      </c>
      <c r="H92" s="4" t="str">
        <f t="shared" si="19"/>
        <v/>
      </c>
      <c r="I92" s="4" t="str">
        <f t="shared" si="20"/>
        <v/>
      </c>
      <c r="J92" s="4" t="str">
        <f t="shared" si="21"/>
        <v/>
      </c>
      <c r="K92" s="4" t="str">
        <f t="shared" si="22"/>
        <v/>
      </c>
      <c r="L92" s="4" t="str">
        <f t="shared" si="23"/>
        <v/>
      </c>
      <c r="M92" s="4"/>
      <c r="N92" s="4"/>
      <c r="O92" s="4"/>
      <c r="P92" s="4"/>
      <c r="Q92" s="4"/>
      <c r="R92" s="4"/>
      <c r="S92" s="4"/>
      <c r="T92" s="4"/>
      <c r="U92" s="4"/>
    </row>
    <row r="93" spans="1:21">
      <c r="A93" t="s">
        <v>219</v>
      </c>
      <c r="B93">
        <v>20</v>
      </c>
      <c r="C93" t="str">
        <f t="shared" si="17"/>
        <v>test.Base64_20_</v>
      </c>
      <c r="D93">
        <v>4</v>
      </c>
      <c r="E93" s="4">
        <v>0.28712871287128711</v>
      </c>
      <c r="F93" s="4">
        <v>0.14722572509457754</v>
      </c>
      <c r="G93" s="4">
        <f t="shared" si="18"/>
        <v>0.28712871287128711</v>
      </c>
      <c r="H93" s="4" t="str">
        <f t="shared" si="19"/>
        <v/>
      </c>
      <c r="I93" s="4" t="str">
        <f t="shared" si="20"/>
        <v/>
      </c>
      <c r="J93" s="4" t="str">
        <f t="shared" si="21"/>
        <v/>
      </c>
      <c r="K93" s="4" t="str">
        <f t="shared" si="22"/>
        <v/>
      </c>
      <c r="L93" s="4" t="str">
        <f t="shared" si="23"/>
        <v/>
      </c>
      <c r="M93" s="4"/>
      <c r="N93" s="4"/>
      <c r="O93" s="4"/>
      <c r="P93" s="4"/>
      <c r="Q93" s="4"/>
      <c r="R93" s="4"/>
      <c r="S93" s="4"/>
      <c r="T93" s="4"/>
      <c r="U93" s="4"/>
    </row>
    <row r="94" spans="1:21">
      <c r="A94" t="s">
        <v>219</v>
      </c>
      <c r="B94">
        <v>20</v>
      </c>
      <c r="C94" t="str">
        <f t="shared" si="17"/>
        <v>test.Base64_20_</v>
      </c>
      <c r="D94">
        <v>5</v>
      </c>
      <c r="E94" s="4">
        <v>0.28712871287128711</v>
      </c>
      <c r="F94" s="4">
        <v>0.15321563682219419</v>
      </c>
      <c r="G94" s="4">
        <f t="shared" si="18"/>
        <v>0.28712871287128711</v>
      </c>
      <c r="H94" s="4" t="str">
        <f t="shared" si="19"/>
        <v/>
      </c>
      <c r="I94" s="4" t="str">
        <f t="shared" si="20"/>
        <v/>
      </c>
      <c r="J94" s="4" t="str">
        <f t="shared" si="21"/>
        <v/>
      </c>
      <c r="K94" s="4" t="str">
        <f t="shared" si="22"/>
        <v/>
      </c>
      <c r="L94" s="4" t="str">
        <f t="shared" si="23"/>
        <v/>
      </c>
      <c r="M94" s="4"/>
      <c r="N94" s="4"/>
      <c r="O94" s="4"/>
      <c r="P94" s="4"/>
      <c r="Q94" s="4"/>
      <c r="R94" s="4"/>
      <c r="S94" s="4"/>
      <c r="T94" s="4"/>
      <c r="U94" s="4"/>
    </row>
    <row r="95" spans="1:21">
      <c r="A95" t="s">
        <v>219</v>
      </c>
      <c r="B95">
        <v>20</v>
      </c>
      <c r="C95" t="str">
        <f t="shared" si="17"/>
        <v>test.Base64_20_</v>
      </c>
      <c r="D95">
        <v>6</v>
      </c>
      <c r="E95" s="4">
        <v>0.36633663366336633</v>
      </c>
      <c r="F95" s="4">
        <v>0.15353089533417402</v>
      </c>
      <c r="G95" s="4">
        <f t="shared" si="18"/>
        <v>0.36633663366336633</v>
      </c>
      <c r="H95" s="4" t="str">
        <f t="shared" si="19"/>
        <v/>
      </c>
      <c r="I95" s="4" t="str">
        <f t="shared" si="20"/>
        <v/>
      </c>
      <c r="J95" s="4" t="str">
        <f t="shared" si="21"/>
        <v/>
      </c>
      <c r="K95" s="4" t="str">
        <f t="shared" si="22"/>
        <v/>
      </c>
      <c r="L95" s="4" t="str">
        <f t="shared" si="23"/>
        <v/>
      </c>
      <c r="M95" s="4"/>
      <c r="N95" s="4"/>
      <c r="O95" s="4"/>
      <c r="P95" s="4"/>
      <c r="Q95" s="4"/>
      <c r="R95" s="4"/>
      <c r="S95" s="4"/>
      <c r="T95" s="4"/>
      <c r="U95" s="4"/>
    </row>
    <row r="96" spans="1:21">
      <c r="A96" t="s">
        <v>219</v>
      </c>
      <c r="B96">
        <v>20</v>
      </c>
      <c r="C96" t="str">
        <f t="shared" si="17"/>
        <v>test.Base64_20_</v>
      </c>
      <c r="D96">
        <v>7</v>
      </c>
      <c r="E96" s="4">
        <v>0.36633663366336633</v>
      </c>
      <c r="F96" s="4">
        <v>0.15920554854981084</v>
      </c>
      <c r="G96" s="4">
        <f t="shared" si="18"/>
        <v>0.36633663366336633</v>
      </c>
      <c r="H96" s="4" t="str">
        <f t="shared" si="19"/>
        <v/>
      </c>
      <c r="I96" s="4" t="str">
        <f t="shared" si="20"/>
        <v/>
      </c>
      <c r="J96" s="4" t="str">
        <f t="shared" si="21"/>
        <v/>
      </c>
      <c r="K96" s="4" t="str">
        <f t="shared" si="22"/>
        <v/>
      </c>
      <c r="L96" s="4" t="str">
        <f t="shared" si="23"/>
        <v/>
      </c>
      <c r="M96" s="4"/>
      <c r="N96" s="4"/>
      <c r="O96" s="4"/>
      <c r="P96" s="4"/>
      <c r="Q96" s="4"/>
      <c r="R96" s="4"/>
      <c r="S96" s="4"/>
      <c r="T96" s="4"/>
      <c r="U96" s="4"/>
    </row>
    <row r="97" spans="1:21">
      <c r="A97" t="s">
        <v>219</v>
      </c>
      <c r="B97">
        <v>20</v>
      </c>
      <c r="C97" t="str">
        <f t="shared" si="17"/>
        <v>test.Base64_20_</v>
      </c>
      <c r="D97">
        <v>8</v>
      </c>
      <c r="E97" s="4">
        <v>0.52475247524752477</v>
      </c>
      <c r="F97" s="4">
        <v>0.16046658259773014</v>
      </c>
      <c r="G97" s="4">
        <f t="shared" si="18"/>
        <v>0.52475247524752477</v>
      </c>
      <c r="H97" s="4" t="str">
        <f t="shared" si="19"/>
        <v/>
      </c>
      <c r="I97" s="4" t="str">
        <f t="shared" si="20"/>
        <v/>
      </c>
      <c r="J97" s="4" t="str">
        <f t="shared" si="21"/>
        <v/>
      </c>
      <c r="K97" s="4" t="str">
        <f t="shared" si="22"/>
        <v/>
      </c>
      <c r="L97" s="4" t="str">
        <f t="shared" si="23"/>
        <v/>
      </c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t="s">
        <v>219</v>
      </c>
      <c r="B98">
        <v>20</v>
      </c>
      <c r="C98" t="str">
        <f t="shared" si="17"/>
        <v>test.Base64_20_</v>
      </c>
      <c r="D98">
        <v>9</v>
      </c>
      <c r="E98" s="4">
        <v>0.52475247524752477</v>
      </c>
      <c r="F98" s="4">
        <v>0.16424968474148802</v>
      </c>
      <c r="G98" s="4">
        <f t="shared" si="18"/>
        <v>0.52475247524752477</v>
      </c>
      <c r="H98" s="4" t="str">
        <f t="shared" si="19"/>
        <v/>
      </c>
      <c r="I98" s="4" t="str">
        <f t="shared" si="20"/>
        <v/>
      </c>
      <c r="J98" s="4" t="str">
        <f t="shared" si="21"/>
        <v/>
      </c>
      <c r="K98" s="4" t="str">
        <f t="shared" si="22"/>
        <v/>
      </c>
      <c r="L98" s="4" t="str">
        <f t="shared" si="23"/>
        <v/>
      </c>
      <c r="M98" s="4"/>
      <c r="N98" s="4"/>
      <c r="O98" s="4"/>
      <c r="P98" s="4"/>
      <c r="Q98" s="4"/>
      <c r="R98" s="4"/>
      <c r="S98" s="4"/>
      <c r="T98" s="4"/>
      <c r="U98" s="4"/>
    </row>
    <row r="99" spans="1:21">
      <c r="A99" t="s">
        <v>219</v>
      </c>
      <c r="B99">
        <v>20</v>
      </c>
      <c r="C99" t="str">
        <f t="shared" si="17"/>
        <v>test.Base64_20_</v>
      </c>
      <c r="D99">
        <v>10</v>
      </c>
      <c r="E99" s="4">
        <v>0.52475247524752477</v>
      </c>
      <c r="F99" s="4">
        <v>0.17402269861286254</v>
      </c>
      <c r="G99" s="4">
        <f t="shared" si="18"/>
        <v>0.52475247524752477</v>
      </c>
      <c r="H99" s="4" t="str">
        <f t="shared" si="19"/>
        <v/>
      </c>
      <c r="I99" s="4" t="str">
        <f t="shared" si="20"/>
        <v/>
      </c>
      <c r="J99" s="4" t="str">
        <f t="shared" si="21"/>
        <v/>
      </c>
      <c r="K99" s="4" t="str">
        <f t="shared" si="22"/>
        <v/>
      </c>
      <c r="L99" s="4" t="str">
        <f t="shared" si="23"/>
        <v/>
      </c>
      <c r="M99" s="4"/>
      <c r="N99" s="4"/>
      <c r="O99" s="4"/>
      <c r="P99" s="4"/>
      <c r="Q99" s="4"/>
      <c r="R99" s="4"/>
      <c r="S99" s="4"/>
      <c r="T99" s="4"/>
      <c r="U99" s="4"/>
    </row>
    <row r="100" spans="1:21">
      <c r="A100" t="s">
        <v>219</v>
      </c>
      <c r="B100">
        <v>20</v>
      </c>
      <c r="C100" t="str">
        <f t="shared" si="17"/>
        <v>test.Base64_20_</v>
      </c>
      <c r="D100">
        <v>11</v>
      </c>
      <c r="E100" s="4">
        <v>0.5544554455445545</v>
      </c>
      <c r="F100" s="4">
        <v>0.17591424968474148</v>
      </c>
      <c r="G100" s="4">
        <f t="shared" si="18"/>
        <v>0.5544554455445545</v>
      </c>
      <c r="H100" s="4" t="str">
        <f t="shared" si="19"/>
        <v/>
      </c>
      <c r="I100" s="4" t="str">
        <f t="shared" si="20"/>
        <v/>
      </c>
      <c r="J100" s="4" t="str">
        <f t="shared" si="21"/>
        <v/>
      </c>
      <c r="K100" s="4" t="str">
        <f t="shared" si="22"/>
        <v/>
      </c>
      <c r="L100" s="4" t="str">
        <f t="shared" si="23"/>
        <v/>
      </c>
      <c r="M100" s="4"/>
      <c r="N100" s="4"/>
      <c r="O100" s="4"/>
      <c r="P100" s="4"/>
      <c r="Q100" s="4"/>
      <c r="R100" s="4"/>
      <c r="S100" s="4"/>
      <c r="T100" s="4"/>
      <c r="U100" s="4"/>
    </row>
    <row r="101" spans="1:21">
      <c r="A101" t="s">
        <v>219</v>
      </c>
      <c r="B101">
        <v>20</v>
      </c>
      <c r="C101" t="str">
        <f t="shared" si="17"/>
        <v>test.Base64_20_</v>
      </c>
      <c r="D101">
        <v>12</v>
      </c>
      <c r="E101" s="4">
        <v>0.5544554455445545</v>
      </c>
      <c r="F101" s="4">
        <v>0.18064312736443883</v>
      </c>
      <c r="G101" s="4">
        <f t="shared" si="18"/>
        <v>0.5544554455445545</v>
      </c>
      <c r="H101" s="4" t="str">
        <f t="shared" si="19"/>
        <v/>
      </c>
      <c r="I101" s="4" t="str">
        <f t="shared" si="20"/>
        <v/>
      </c>
      <c r="J101" s="4" t="str">
        <f t="shared" si="21"/>
        <v/>
      </c>
      <c r="K101" s="4" t="str">
        <f t="shared" si="22"/>
        <v/>
      </c>
      <c r="L101" s="4" t="str">
        <f t="shared" si="23"/>
        <v/>
      </c>
      <c r="M101" s="4"/>
      <c r="N101" s="4"/>
      <c r="O101" s="4"/>
      <c r="P101" s="4"/>
      <c r="Q101" s="4"/>
      <c r="R101" s="4"/>
      <c r="S101" s="4"/>
      <c r="T101" s="4"/>
      <c r="U101" s="4"/>
    </row>
    <row r="102" spans="1:21">
      <c r="A102" t="s">
        <v>219</v>
      </c>
      <c r="B102">
        <v>20</v>
      </c>
      <c r="C102" t="str">
        <f t="shared" si="17"/>
        <v>test.Base64_20_</v>
      </c>
      <c r="D102">
        <v>13</v>
      </c>
      <c r="E102" s="4">
        <v>0.5544554455445545</v>
      </c>
      <c r="F102" s="4">
        <v>0.18316519546027743</v>
      </c>
      <c r="G102" s="4">
        <f t="shared" si="18"/>
        <v>0.5544554455445545</v>
      </c>
      <c r="H102" s="4" t="str">
        <f t="shared" si="19"/>
        <v/>
      </c>
      <c r="I102" s="4" t="str">
        <f t="shared" si="20"/>
        <v/>
      </c>
      <c r="J102" s="4" t="str">
        <f t="shared" si="21"/>
        <v/>
      </c>
      <c r="K102" s="4" t="str">
        <f t="shared" si="22"/>
        <v/>
      </c>
      <c r="L102" s="4" t="str">
        <f t="shared" si="23"/>
        <v/>
      </c>
      <c r="M102" s="4"/>
      <c r="N102" s="4"/>
      <c r="O102" s="4"/>
      <c r="P102" s="4"/>
      <c r="Q102" s="4"/>
      <c r="R102" s="4"/>
      <c r="S102" s="4"/>
      <c r="T102" s="4"/>
      <c r="U102" s="4"/>
    </row>
    <row r="103" spans="1:21">
      <c r="A103" t="s">
        <v>219</v>
      </c>
      <c r="B103">
        <v>20</v>
      </c>
      <c r="C103" t="str">
        <f t="shared" si="17"/>
        <v>test.Base64_20_</v>
      </c>
      <c r="D103">
        <v>14</v>
      </c>
      <c r="E103" s="4">
        <v>0.5544554455445545</v>
      </c>
      <c r="F103" s="4">
        <v>0.1853720050441362</v>
      </c>
      <c r="G103" s="4">
        <f t="shared" si="18"/>
        <v>0.5544554455445545</v>
      </c>
      <c r="H103" s="4" t="str">
        <f t="shared" si="19"/>
        <v/>
      </c>
      <c r="I103" s="4" t="str">
        <f t="shared" si="20"/>
        <v/>
      </c>
      <c r="J103" s="4" t="str">
        <f t="shared" si="21"/>
        <v/>
      </c>
      <c r="K103" s="4" t="str">
        <f t="shared" si="22"/>
        <v/>
      </c>
      <c r="L103" s="4" t="str">
        <f t="shared" si="23"/>
        <v/>
      </c>
      <c r="M103" s="4"/>
      <c r="N103" s="4"/>
      <c r="O103" s="4"/>
      <c r="P103" s="4"/>
      <c r="Q103" s="4"/>
      <c r="R103" s="4"/>
      <c r="S103" s="4"/>
      <c r="T103" s="4"/>
      <c r="U103" s="4"/>
    </row>
    <row r="104" spans="1:21">
      <c r="A104" t="s">
        <v>219</v>
      </c>
      <c r="B104">
        <v>20</v>
      </c>
      <c r="C104" t="str">
        <f t="shared" si="17"/>
        <v>test.Base64_20_</v>
      </c>
      <c r="D104">
        <v>15</v>
      </c>
      <c r="E104" s="4">
        <v>0.5544554455445545</v>
      </c>
      <c r="F104" s="4">
        <v>0.18568726355611601</v>
      </c>
      <c r="G104" s="4">
        <f t="shared" si="18"/>
        <v>0.5544554455445545</v>
      </c>
      <c r="H104" s="4" t="str">
        <f t="shared" si="19"/>
        <v/>
      </c>
      <c r="I104" s="4" t="str">
        <f t="shared" si="20"/>
        <v/>
      </c>
      <c r="J104" s="4" t="str">
        <f t="shared" si="21"/>
        <v/>
      </c>
      <c r="K104" s="4" t="str">
        <f t="shared" si="22"/>
        <v/>
      </c>
      <c r="L104" s="4" t="str">
        <f t="shared" si="23"/>
        <v/>
      </c>
      <c r="M104" s="4"/>
      <c r="N104" s="4"/>
      <c r="O104" s="4"/>
      <c r="P104" s="4"/>
      <c r="Q104" s="4"/>
      <c r="R104" s="4"/>
      <c r="S104" s="4"/>
      <c r="T104" s="4"/>
      <c r="U104" s="4"/>
    </row>
    <row r="105" spans="1:21">
      <c r="A105" t="s">
        <v>219</v>
      </c>
      <c r="B105">
        <v>20</v>
      </c>
      <c r="C105" t="str">
        <f t="shared" si="17"/>
        <v>test.Base64_20_</v>
      </c>
      <c r="D105">
        <v>16</v>
      </c>
      <c r="E105" s="4">
        <v>0.5544554455445545</v>
      </c>
      <c r="F105" s="4">
        <v>0.18631778058007567</v>
      </c>
      <c r="G105" s="4">
        <f t="shared" si="18"/>
        <v>0.5544554455445545</v>
      </c>
      <c r="H105" s="4" t="str">
        <f t="shared" si="19"/>
        <v/>
      </c>
      <c r="I105" s="4" t="str">
        <f t="shared" si="20"/>
        <v/>
      </c>
      <c r="J105" s="4" t="str">
        <f t="shared" si="21"/>
        <v/>
      </c>
      <c r="K105" s="4" t="str">
        <f t="shared" si="22"/>
        <v/>
      </c>
      <c r="L105" s="4" t="str">
        <f t="shared" si="23"/>
        <v/>
      </c>
      <c r="M105" s="4"/>
      <c r="N105" s="4"/>
      <c r="O105" s="4"/>
      <c r="P105" s="4"/>
      <c r="Q105" s="4"/>
      <c r="R105" s="4"/>
      <c r="S105" s="4"/>
      <c r="T105" s="4"/>
      <c r="U105" s="4"/>
    </row>
    <row r="106" spans="1:21">
      <c r="A106" t="s">
        <v>219</v>
      </c>
      <c r="B106">
        <v>20</v>
      </c>
      <c r="C106" t="str">
        <f t="shared" si="17"/>
        <v>test.Base64_20_</v>
      </c>
      <c r="D106">
        <v>17</v>
      </c>
      <c r="E106" s="4">
        <v>0.73267326732673266</v>
      </c>
      <c r="F106" s="4">
        <v>0.19199243379571249</v>
      </c>
      <c r="G106" s="4">
        <f t="shared" si="18"/>
        <v>0.73267326732673266</v>
      </c>
      <c r="H106" s="4" t="str">
        <f t="shared" si="19"/>
        <v/>
      </c>
      <c r="I106" s="4" t="str">
        <f t="shared" si="20"/>
        <v/>
      </c>
      <c r="J106" s="4" t="str">
        <f t="shared" si="21"/>
        <v/>
      </c>
      <c r="K106" s="4" t="str">
        <f t="shared" si="22"/>
        <v/>
      </c>
      <c r="L106" s="4" t="str">
        <f t="shared" si="23"/>
        <v/>
      </c>
      <c r="M106" s="4"/>
      <c r="N106" s="4"/>
      <c r="O106" s="4"/>
      <c r="P106" s="4"/>
      <c r="Q106" s="4"/>
      <c r="R106" s="4"/>
      <c r="S106" s="4"/>
      <c r="T106" s="4"/>
      <c r="U106" s="4"/>
    </row>
    <row r="107" spans="1:21">
      <c r="A107" t="s">
        <v>219</v>
      </c>
      <c r="B107">
        <v>20</v>
      </c>
      <c r="C107" t="str">
        <f t="shared" si="17"/>
        <v>test.Base64_20_</v>
      </c>
      <c r="D107">
        <v>18</v>
      </c>
      <c r="E107" s="4">
        <v>0.73267326732673266</v>
      </c>
      <c r="F107" s="4">
        <v>0.19735182849936947</v>
      </c>
      <c r="G107" s="4">
        <f t="shared" si="18"/>
        <v>0.73267326732673266</v>
      </c>
      <c r="H107" s="4" t="str">
        <f t="shared" si="19"/>
        <v/>
      </c>
      <c r="I107" s="4" t="str">
        <f t="shared" si="20"/>
        <v/>
      </c>
      <c r="J107" s="4" t="str">
        <f t="shared" si="21"/>
        <v/>
      </c>
      <c r="K107" s="4" t="str">
        <f t="shared" si="22"/>
        <v/>
      </c>
      <c r="L107" s="4" t="str">
        <f t="shared" si="23"/>
        <v/>
      </c>
      <c r="M107" s="4"/>
      <c r="N107" s="4"/>
      <c r="O107" s="4"/>
      <c r="P107" s="4"/>
      <c r="Q107" s="4"/>
      <c r="R107" s="4"/>
      <c r="S107" s="4"/>
      <c r="T107" s="4"/>
      <c r="U107" s="4"/>
    </row>
    <row r="108" spans="1:21">
      <c r="A108" t="s">
        <v>219</v>
      </c>
      <c r="B108">
        <v>20</v>
      </c>
      <c r="C108" t="str">
        <f t="shared" si="17"/>
        <v>test.Base64_20_</v>
      </c>
      <c r="D108">
        <v>19</v>
      </c>
      <c r="E108" s="4">
        <v>0.73267326732673266</v>
      </c>
      <c r="F108" s="4">
        <v>0.20397225725094578</v>
      </c>
      <c r="G108" s="4" t="str">
        <f t="shared" si="18"/>
        <v/>
      </c>
      <c r="H108" s="4">
        <f t="shared" si="19"/>
        <v>0.73267326732673266</v>
      </c>
      <c r="I108" s="4" t="str">
        <f t="shared" si="20"/>
        <v/>
      </c>
      <c r="J108" s="4" t="str">
        <f t="shared" si="21"/>
        <v/>
      </c>
      <c r="K108" s="4" t="str">
        <f t="shared" si="22"/>
        <v/>
      </c>
      <c r="L108" s="4" t="str">
        <f t="shared" si="23"/>
        <v/>
      </c>
      <c r="M108" s="4"/>
      <c r="N108" s="4"/>
      <c r="O108" s="4"/>
      <c r="P108" s="4"/>
      <c r="Q108" s="4"/>
      <c r="R108" s="4"/>
      <c r="S108" s="4"/>
      <c r="T108" s="4"/>
      <c r="U108" s="4"/>
    </row>
    <row r="109" spans="1:21">
      <c r="A109" t="s">
        <v>219</v>
      </c>
      <c r="B109">
        <v>20</v>
      </c>
      <c r="C109" t="str">
        <f t="shared" si="17"/>
        <v>test.Base64_20_</v>
      </c>
      <c r="D109">
        <v>20</v>
      </c>
      <c r="E109" s="4">
        <v>0.73267326732673266</v>
      </c>
      <c r="F109" s="4">
        <v>0.2096469104665826</v>
      </c>
      <c r="G109" s="4" t="str">
        <f t="shared" si="18"/>
        <v/>
      </c>
      <c r="H109" s="4">
        <f t="shared" si="19"/>
        <v>0.73267326732673266</v>
      </c>
      <c r="I109" s="4" t="str">
        <f t="shared" si="20"/>
        <v/>
      </c>
      <c r="J109" s="4" t="str">
        <f t="shared" si="21"/>
        <v/>
      </c>
      <c r="K109" s="4" t="str">
        <f t="shared" si="22"/>
        <v/>
      </c>
      <c r="L109" s="4" t="str">
        <f t="shared" si="23"/>
        <v/>
      </c>
      <c r="M109" s="4"/>
      <c r="N109" s="4"/>
      <c r="O109" s="4"/>
      <c r="P109" s="4"/>
      <c r="Q109" s="4"/>
      <c r="R109" s="4"/>
      <c r="S109" s="4"/>
      <c r="T109" s="4"/>
      <c r="U109" s="4"/>
    </row>
    <row r="110" spans="1:21">
      <c r="A110" t="s">
        <v>219</v>
      </c>
      <c r="B110">
        <v>20</v>
      </c>
      <c r="C110" t="str">
        <f t="shared" si="17"/>
        <v>test.Base64_20_</v>
      </c>
      <c r="D110">
        <v>21</v>
      </c>
      <c r="E110" s="4">
        <v>0.73267326732673266</v>
      </c>
      <c r="F110" s="4">
        <v>0.2109079445145019</v>
      </c>
      <c r="G110" s="4" t="str">
        <f t="shared" si="18"/>
        <v/>
      </c>
      <c r="H110" s="4">
        <f t="shared" si="19"/>
        <v>0.73267326732673266</v>
      </c>
      <c r="I110" s="4" t="str">
        <f t="shared" si="20"/>
        <v/>
      </c>
      <c r="J110" s="4" t="str">
        <f t="shared" si="21"/>
        <v/>
      </c>
      <c r="K110" s="4" t="str">
        <f t="shared" si="22"/>
        <v/>
      </c>
      <c r="L110" s="4" t="str">
        <f t="shared" si="23"/>
        <v/>
      </c>
      <c r="M110" s="4"/>
      <c r="N110" s="4"/>
      <c r="O110" s="4"/>
      <c r="P110" s="4"/>
      <c r="Q110" s="4"/>
      <c r="R110" s="4"/>
      <c r="S110" s="4"/>
      <c r="T110" s="4"/>
      <c r="U110" s="4"/>
    </row>
    <row r="111" spans="1:21">
      <c r="A111" t="s">
        <v>219</v>
      </c>
      <c r="B111">
        <v>20</v>
      </c>
      <c r="C111" t="str">
        <f t="shared" si="17"/>
        <v>test.Base64_20_</v>
      </c>
      <c r="D111">
        <v>22</v>
      </c>
      <c r="E111" s="4">
        <v>0.73267326732673266</v>
      </c>
      <c r="F111" s="4">
        <v>0.2112232030264817</v>
      </c>
      <c r="G111" s="4" t="str">
        <f t="shared" si="18"/>
        <v/>
      </c>
      <c r="H111" s="4">
        <f t="shared" si="19"/>
        <v>0.73267326732673266</v>
      </c>
      <c r="I111" s="4" t="str">
        <f t="shared" si="20"/>
        <v/>
      </c>
      <c r="J111" s="4" t="str">
        <f t="shared" si="21"/>
        <v/>
      </c>
      <c r="K111" s="4" t="str">
        <f t="shared" si="22"/>
        <v/>
      </c>
      <c r="L111" s="4" t="str">
        <f t="shared" si="23"/>
        <v/>
      </c>
      <c r="M111" s="4"/>
      <c r="N111" s="4"/>
      <c r="O111" s="4"/>
      <c r="P111" s="4"/>
      <c r="Q111" s="4"/>
      <c r="R111" s="4"/>
      <c r="S111" s="4"/>
      <c r="T111" s="4"/>
      <c r="U111" s="4"/>
    </row>
    <row r="112" spans="1:21">
      <c r="A112" t="s">
        <v>219</v>
      </c>
      <c r="B112">
        <v>20</v>
      </c>
      <c r="C112" t="str">
        <f t="shared" si="17"/>
        <v>test.Base64_20_</v>
      </c>
      <c r="D112">
        <v>23</v>
      </c>
      <c r="E112" s="4">
        <v>0.73267326732673266</v>
      </c>
      <c r="F112" s="4">
        <v>0.21406052963430014</v>
      </c>
      <c r="G112" s="4" t="str">
        <f t="shared" si="18"/>
        <v/>
      </c>
      <c r="H112" s="4">
        <f t="shared" si="19"/>
        <v>0.73267326732673266</v>
      </c>
      <c r="I112" s="4" t="str">
        <f t="shared" si="20"/>
        <v/>
      </c>
      <c r="J112" s="4" t="str">
        <f t="shared" si="21"/>
        <v/>
      </c>
      <c r="K112" s="4" t="str">
        <f t="shared" si="22"/>
        <v/>
      </c>
      <c r="L112" s="4" t="str">
        <f t="shared" si="23"/>
        <v/>
      </c>
      <c r="M112" s="4"/>
      <c r="N112" s="4"/>
      <c r="O112" s="4"/>
      <c r="P112" s="4"/>
      <c r="Q112" s="4"/>
      <c r="R112" s="4"/>
      <c r="S112" s="4"/>
      <c r="T112" s="4"/>
      <c r="U112" s="4"/>
    </row>
    <row r="113" spans="1:21">
      <c r="A113" t="s">
        <v>219</v>
      </c>
      <c r="B113">
        <v>20</v>
      </c>
      <c r="C113" t="str">
        <f t="shared" si="17"/>
        <v>test.Base64_20_</v>
      </c>
      <c r="D113">
        <v>24</v>
      </c>
      <c r="E113" s="4">
        <v>0.73267326732673266</v>
      </c>
      <c r="F113" s="4">
        <v>0.22099621689785623</v>
      </c>
      <c r="G113" s="4" t="str">
        <f t="shared" si="18"/>
        <v/>
      </c>
      <c r="H113" s="4">
        <f t="shared" si="19"/>
        <v>0.73267326732673266</v>
      </c>
      <c r="I113" s="4" t="str">
        <f t="shared" si="20"/>
        <v/>
      </c>
      <c r="J113" s="4" t="str">
        <f t="shared" si="21"/>
        <v/>
      </c>
      <c r="K113" s="4" t="str">
        <f t="shared" si="22"/>
        <v/>
      </c>
      <c r="L113" s="4" t="str">
        <f t="shared" si="23"/>
        <v/>
      </c>
      <c r="M113" s="4"/>
      <c r="N113" s="4"/>
      <c r="O113" s="4"/>
      <c r="P113" s="4"/>
      <c r="Q113" s="4"/>
      <c r="R113" s="4"/>
      <c r="S113" s="4"/>
      <c r="T113" s="4"/>
      <c r="U113" s="4"/>
    </row>
    <row r="114" spans="1:21">
      <c r="A114" t="s">
        <v>219</v>
      </c>
      <c r="B114">
        <v>20</v>
      </c>
      <c r="C114" t="str">
        <f t="shared" si="17"/>
        <v>test.Base64_20_</v>
      </c>
      <c r="D114">
        <v>25</v>
      </c>
      <c r="E114" s="4">
        <v>0.73267326732673266</v>
      </c>
      <c r="F114" s="4">
        <v>0.22194199243379573</v>
      </c>
      <c r="G114" s="4" t="str">
        <f t="shared" si="18"/>
        <v/>
      </c>
      <c r="H114" s="4">
        <f t="shared" si="19"/>
        <v>0.73267326732673266</v>
      </c>
      <c r="I114" s="4" t="str">
        <f t="shared" si="20"/>
        <v/>
      </c>
      <c r="J114" s="4" t="str">
        <f t="shared" si="21"/>
        <v/>
      </c>
      <c r="K114" s="4" t="str">
        <f t="shared" si="22"/>
        <v/>
      </c>
      <c r="L114" s="4" t="str">
        <f t="shared" si="23"/>
        <v/>
      </c>
      <c r="M114" s="4"/>
      <c r="N114" s="4"/>
      <c r="O114" s="4"/>
      <c r="P114" s="4"/>
      <c r="Q114" s="4"/>
      <c r="R114" s="4"/>
      <c r="S114" s="4"/>
      <c r="T114" s="4"/>
      <c r="U114" s="4"/>
    </row>
    <row r="115" spans="1:21">
      <c r="A115" t="s">
        <v>219</v>
      </c>
      <c r="B115">
        <v>20</v>
      </c>
      <c r="C115" t="str">
        <f t="shared" si="17"/>
        <v>test.Base64_20_</v>
      </c>
      <c r="D115">
        <v>26</v>
      </c>
      <c r="E115" s="4">
        <v>0.73267326732673266</v>
      </c>
      <c r="F115" s="4">
        <v>0.22761664564943254</v>
      </c>
      <c r="G115" s="4" t="str">
        <f t="shared" si="18"/>
        <v/>
      </c>
      <c r="H115" s="4">
        <f t="shared" si="19"/>
        <v>0.73267326732673266</v>
      </c>
      <c r="I115" s="4" t="str">
        <f t="shared" si="20"/>
        <v/>
      </c>
      <c r="J115" s="4" t="str">
        <f t="shared" si="21"/>
        <v/>
      </c>
      <c r="K115" s="4" t="str">
        <f t="shared" si="22"/>
        <v/>
      </c>
      <c r="L115" s="4" t="str">
        <f t="shared" si="23"/>
        <v/>
      </c>
      <c r="M115" s="4"/>
      <c r="N115" s="4"/>
      <c r="O115" s="4"/>
      <c r="P115" s="4"/>
      <c r="Q115" s="4"/>
      <c r="R115" s="4"/>
      <c r="S115" s="4"/>
      <c r="T115" s="4"/>
      <c r="U115" s="4"/>
    </row>
    <row r="116" spans="1:21">
      <c r="A116" t="s">
        <v>219</v>
      </c>
      <c r="B116">
        <v>20</v>
      </c>
      <c r="C116" t="str">
        <f t="shared" si="17"/>
        <v>test.Base64_20_</v>
      </c>
      <c r="D116">
        <v>27</v>
      </c>
      <c r="E116" s="4">
        <v>0.73267326732673266</v>
      </c>
      <c r="F116" s="4">
        <v>0.23707440100882723</v>
      </c>
      <c r="G116" s="4" t="str">
        <f t="shared" si="18"/>
        <v/>
      </c>
      <c r="H116" s="4">
        <f t="shared" si="19"/>
        <v>0.73267326732673266</v>
      </c>
      <c r="I116" s="4" t="str">
        <f t="shared" si="20"/>
        <v/>
      </c>
      <c r="J116" s="4" t="str">
        <f t="shared" si="21"/>
        <v/>
      </c>
      <c r="K116" s="4" t="str">
        <f t="shared" si="22"/>
        <v/>
      </c>
      <c r="L116" s="4" t="str">
        <f t="shared" si="23"/>
        <v/>
      </c>
      <c r="M116" s="4"/>
      <c r="N116" s="4"/>
      <c r="O116" s="4"/>
      <c r="P116" s="4"/>
      <c r="Q116" s="4"/>
      <c r="R116" s="4"/>
      <c r="S116" s="4"/>
      <c r="T116" s="4"/>
      <c r="U116" s="4"/>
    </row>
    <row r="117" spans="1:21">
      <c r="A117" t="s">
        <v>219</v>
      </c>
      <c r="B117">
        <v>20</v>
      </c>
      <c r="C117" t="str">
        <f t="shared" si="17"/>
        <v>test.Base64_20_</v>
      </c>
      <c r="D117">
        <v>28</v>
      </c>
      <c r="E117" s="4">
        <v>0.73267326732673266</v>
      </c>
      <c r="F117" s="4">
        <v>0.24117276166456494</v>
      </c>
      <c r="G117" s="4" t="str">
        <f t="shared" si="18"/>
        <v/>
      </c>
      <c r="H117" s="4">
        <f t="shared" si="19"/>
        <v>0.73267326732673266</v>
      </c>
      <c r="I117" s="4" t="str">
        <f t="shared" si="20"/>
        <v/>
      </c>
      <c r="J117" s="4" t="str">
        <f t="shared" si="21"/>
        <v/>
      </c>
      <c r="K117" s="4" t="str">
        <f t="shared" si="22"/>
        <v/>
      </c>
      <c r="L117" s="4" t="str">
        <f t="shared" si="23"/>
        <v/>
      </c>
      <c r="M117" s="4"/>
      <c r="N117" s="4"/>
      <c r="O117" s="4"/>
      <c r="P117" s="4"/>
      <c r="Q117" s="4"/>
      <c r="R117" s="4"/>
      <c r="S117" s="4"/>
      <c r="T117" s="4"/>
      <c r="U117" s="4"/>
    </row>
    <row r="118" spans="1:21">
      <c r="A118" t="s">
        <v>219</v>
      </c>
      <c r="B118">
        <v>20</v>
      </c>
      <c r="C118" t="str">
        <f t="shared" si="17"/>
        <v>test.Base64_20_</v>
      </c>
      <c r="D118">
        <v>29</v>
      </c>
      <c r="E118" s="4">
        <v>0.73267326732673266</v>
      </c>
      <c r="F118" s="4">
        <v>0.24211853720050441</v>
      </c>
      <c r="G118" s="4" t="str">
        <f t="shared" si="18"/>
        <v/>
      </c>
      <c r="H118" s="4">
        <f t="shared" si="19"/>
        <v>0.73267326732673266</v>
      </c>
      <c r="I118" s="4" t="str">
        <f t="shared" si="20"/>
        <v/>
      </c>
      <c r="J118" s="4" t="str">
        <f t="shared" si="21"/>
        <v/>
      </c>
      <c r="K118" s="4" t="str">
        <f t="shared" si="22"/>
        <v/>
      </c>
      <c r="L118" s="4" t="str">
        <f t="shared" si="23"/>
        <v/>
      </c>
      <c r="M118" s="4"/>
      <c r="N118" s="4"/>
      <c r="O118" s="4"/>
      <c r="P118" s="4"/>
      <c r="Q118" s="4"/>
      <c r="R118" s="4"/>
      <c r="S118" s="4"/>
      <c r="T118" s="4"/>
      <c r="U118" s="4"/>
    </row>
    <row r="119" spans="1:21">
      <c r="A119" t="s">
        <v>219</v>
      </c>
      <c r="B119">
        <v>20</v>
      </c>
      <c r="C119" t="str">
        <f t="shared" si="17"/>
        <v>test.Base64_20_</v>
      </c>
      <c r="D119">
        <v>30</v>
      </c>
      <c r="E119" s="4">
        <v>0.73267326732673266</v>
      </c>
      <c r="F119" s="4">
        <v>0.25063051702395966</v>
      </c>
      <c r="G119" s="4" t="str">
        <f t="shared" si="18"/>
        <v/>
      </c>
      <c r="H119" s="4">
        <f t="shared" si="19"/>
        <v>0.73267326732673266</v>
      </c>
      <c r="I119" s="4" t="str">
        <f t="shared" si="20"/>
        <v/>
      </c>
      <c r="J119" s="4" t="str">
        <f t="shared" si="21"/>
        <v/>
      </c>
      <c r="K119" s="4" t="str">
        <f t="shared" si="22"/>
        <v/>
      </c>
      <c r="L119" s="4" t="str">
        <f t="shared" si="23"/>
        <v/>
      </c>
      <c r="M119" s="4"/>
      <c r="N119" s="4"/>
      <c r="O119" s="4"/>
      <c r="P119" s="4"/>
      <c r="Q119" s="4"/>
      <c r="R119" s="4"/>
      <c r="S119" s="4"/>
      <c r="T119" s="4"/>
      <c r="U119" s="4"/>
    </row>
    <row r="120" spans="1:21">
      <c r="A120" t="s">
        <v>219</v>
      </c>
      <c r="B120">
        <v>20</v>
      </c>
      <c r="C120" t="str">
        <f t="shared" si="17"/>
        <v>test.Base64_20_</v>
      </c>
      <c r="D120">
        <v>31</v>
      </c>
      <c r="E120" s="4">
        <v>0.73267326732673266</v>
      </c>
      <c r="F120" s="4">
        <v>0.26607818411097101</v>
      </c>
      <c r="G120" s="4" t="str">
        <f t="shared" si="18"/>
        <v/>
      </c>
      <c r="H120" s="4">
        <f t="shared" si="19"/>
        <v>0.73267326732673266</v>
      </c>
      <c r="I120" s="4" t="str">
        <f t="shared" si="20"/>
        <v/>
      </c>
      <c r="J120" s="4" t="str">
        <f t="shared" si="21"/>
        <v/>
      </c>
      <c r="K120" s="4" t="str">
        <f t="shared" si="22"/>
        <v/>
      </c>
      <c r="L120" s="4" t="str">
        <f t="shared" si="23"/>
        <v/>
      </c>
      <c r="M120" s="4"/>
      <c r="N120" s="4"/>
      <c r="O120" s="4"/>
      <c r="P120" s="4"/>
      <c r="Q120" s="4"/>
      <c r="R120" s="4"/>
      <c r="S120" s="4"/>
      <c r="T120" s="4"/>
      <c r="U120" s="4"/>
    </row>
    <row r="121" spans="1:21">
      <c r="A121" t="s">
        <v>219</v>
      </c>
      <c r="B121">
        <v>20</v>
      </c>
      <c r="C121" t="str">
        <f t="shared" si="17"/>
        <v>test.Base64_20_</v>
      </c>
      <c r="D121">
        <v>32</v>
      </c>
      <c r="E121" s="4">
        <v>0.73267326732673266</v>
      </c>
      <c r="F121" s="4">
        <v>0.27080706179066832</v>
      </c>
      <c r="G121" s="4" t="str">
        <f t="shared" si="18"/>
        <v/>
      </c>
      <c r="H121" s="4">
        <f t="shared" si="19"/>
        <v>0.73267326732673266</v>
      </c>
      <c r="I121" s="4" t="str">
        <f t="shared" si="20"/>
        <v/>
      </c>
      <c r="J121" s="4" t="str">
        <f t="shared" si="21"/>
        <v/>
      </c>
      <c r="K121" s="4" t="str">
        <f t="shared" si="22"/>
        <v/>
      </c>
      <c r="L121" s="4" t="str">
        <f t="shared" si="23"/>
        <v/>
      </c>
      <c r="M121" s="4"/>
      <c r="N121" s="4"/>
      <c r="O121" s="4"/>
      <c r="P121" s="4"/>
      <c r="Q121" s="4"/>
      <c r="R121" s="4"/>
      <c r="S121" s="4"/>
      <c r="T121" s="4"/>
      <c r="U121" s="4"/>
    </row>
    <row r="122" spans="1:21">
      <c r="A122" t="s">
        <v>219</v>
      </c>
      <c r="B122">
        <v>20</v>
      </c>
      <c r="C122" t="str">
        <f t="shared" si="17"/>
        <v>test.Base64_20_</v>
      </c>
      <c r="D122">
        <v>33</v>
      </c>
      <c r="E122" s="4">
        <v>0.73267326732673266</v>
      </c>
      <c r="F122" s="4">
        <v>0.27963430012610341</v>
      </c>
      <c r="G122" s="4" t="str">
        <f t="shared" si="18"/>
        <v/>
      </c>
      <c r="H122" s="4">
        <f t="shared" si="19"/>
        <v>0.73267326732673266</v>
      </c>
      <c r="I122" s="4" t="str">
        <f t="shared" si="20"/>
        <v/>
      </c>
      <c r="J122" s="4" t="str">
        <f t="shared" si="21"/>
        <v/>
      </c>
      <c r="K122" s="4" t="str">
        <f t="shared" si="22"/>
        <v/>
      </c>
      <c r="L122" s="4" t="str">
        <f t="shared" si="23"/>
        <v/>
      </c>
      <c r="M122" s="4"/>
      <c r="N122" s="4"/>
      <c r="O122" s="4"/>
      <c r="P122" s="4"/>
      <c r="Q122" s="4"/>
      <c r="R122" s="4"/>
      <c r="S122" s="4"/>
      <c r="T122" s="4"/>
      <c r="U122" s="4"/>
    </row>
    <row r="123" spans="1:21">
      <c r="A123" t="s">
        <v>219</v>
      </c>
      <c r="B123">
        <v>20</v>
      </c>
      <c r="C123" t="str">
        <f t="shared" si="17"/>
        <v>test.Base64_20_</v>
      </c>
      <c r="D123">
        <v>34</v>
      </c>
      <c r="E123" s="4">
        <v>0.74257425742574257</v>
      </c>
      <c r="F123" s="4">
        <v>0.34678436317780581</v>
      </c>
      <c r="G123" s="4" t="str">
        <f t="shared" si="18"/>
        <v/>
      </c>
      <c r="H123" s="4">
        <f t="shared" si="19"/>
        <v>0.74257425742574257</v>
      </c>
      <c r="I123" s="4" t="str">
        <f t="shared" si="20"/>
        <v/>
      </c>
      <c r="J123" s="4" t="str">
        <f t="shared" si="21"/>
        <v/>
      </c>
      <c r="K123" s="4" t="str">
        <f t="shared" si="22"/>
        <v/>
      </c>
      <c r="L123" s="4" t="str">
        <f t="shared" si="23"/>
        <v/>
      </c>
      <c r="M123" s="4"/>
      <c r="N123" s="4"/>
      <c r="O123" s="4"/>
      <c r="P123" s="4"/>
      <c r="Q123" s="4"/>
      <c r="R123" s="4"/>
      <c r="S123" s="4"/>
      <c r="T123" s="4"/>
      <c r="U123" s="4"/>
    </row>
    <row r="124" spans="1:21">
      <c r="A124" t="s">
        <v>219</v>
      </c>
      <c r="B124">
        <v>20</v>
      </c>
      <c r="C124" t="str">
        <f t="shared" si="17"/>
        <v>test.Base64_20_</v>
      </c>
      <c r="D124">
        <v>35</v>
      </c>
      <c r="E124" s="4">
        <v>0.7722772277227723</v>
      </c>
      <c r="F124" s="4">
        <v>0.57786885245901642</v>
      </c>
      <c r="G124" s="4" t="str">
        <f t="shared" si="18"/>
        <v/>
      </c>
      <c r="H124" s="4" t="str">
        <f t="shared" si="19"/>
        <v/>
      </c>
      <c r="I124" s="4">
        <f t="shared" si="20"/>
        <v>0.7722772277227723</v>
      </c>
      <c r="J124" s="4" t="str">
        <f t="shared" si="21"/>
        <v/>
      </c>
      <c r="K124" s="4" t="str">
        <f t="shared" si="22"/>
        <v/>
      </c>
      <c r="L124" s="4" t="str">
        <f t="shared" si="23"/>
        <v/>
      </c>
      <c r="M124" s="4"/>
      <c r="N124" s="4"/>
      <c r="O124" s="4"/>
      <c r="P124" s="4"/>
      <c r="Q124" s="4"/>
      <c r="R124" s="4"/>
      <c r="S124" s="4"/>
      <c r="T124" s="4"/>
      <c r="U124" s="4"/>
    </row>
    <row r="125" spans="1:21">
      <c r="A125" t="s">
        <v>219</v>
      </c>
      <c r="B125">
        <v>20</v>
      </c>
      <c r="C125" t="str">
        <f t="shared" si="17"/>
        <v>test.Base64_20_</v>
      </c>
      <c r="D125">
        <v>36</v>
      </c>
      <c r="E125" s="4">
        <v>0.7722772277227723</v>
      </c>
      <c r="F125" s="4">
        <v>0.59489281210592682</v>
      </c>
      <c r="G125" s="4" t="str">
        <f t="shared" si="18"/>
        <v/>
      </c>
      <c r="H125" s="4" t="str">
        <f t="shared" si="19"/>
        <v/>
      </c>
      <c r="I125" s="4">
        <f t="shared" si="20"/>
        <v>0.7722772277227723</v>
      </c>
      <c r="J125" s="4" t="str">
        <f t="shared" si="21"/>
        <v/>
      </c>
      <c r="K125" s="4" t="str">
        <f t="shared" si="22"/>
        <v/>
      </c>
      <c r="L125" s="4" t="str">
        <f t="shared" si="23"/>
        <v/>
      </c>
      <c r="M125" s="4"/>
      <c r="N125" s="4"/>
      <c r="O125" s="4"/>
      <c r="P125" s="4"/>
      <c r="Q125" s="4"/>
      <c r="R125" s="4"/>
      <c r="S125" s="4"/>
      <c r="T125" s="4"/>
      <c r="U125" s="4"/>
    </row>
    <row r="126" spans="1:21">
      <c r="A126" t="s">
        <v>219</v>
      </c>
      <c r="B126">
        <v>20</v>
      </c>
      <c r="C126" t="str">
        <f t="shared" si="17"/>
        <v>test.Base64_20_</v>
      </c>
      <c r="D126">
        <v>37</v>
      </c>
      <c r="E126" s="4">
        <v>0.7722772277227723</v>
      </c>
      <c r="F126" s="4">
        <v>0.59899117276166458</v>
      </c>
      <c r="G126" s="4" t="str">
        <f t="shared" si="18"/>
        <v/>
      </c>
      <c r="H126" s="4" t="str">
        <f t="shared" si="19"/>
        <v/>
      </c>
      <c r="I126" s="4">
        <f t="shared" si="20"/>
        <v>0.7722772277227723</v>
      </c>
      <c r="J126" s="4" t="str">
        <f t="shared" si="21"/>
        <v/>
      </c>
      <c r="K126" s="4" t="str">
        <f t="shared" si="22"/>
        <v/>
      </c>
      <c r="L126" s="4" t="str">
        <f t="shared" si="23"/>
        <v/>
      </c>
      <c r="M126" s="4"/>
      <c r="N126" s="4"/>
      <c r="O126" s="4"/>
      <c r="P126" s="4"/>
      <c r="Q126" s="4"/>
      <c r="R126" s="4"/>
      <c r="S126" s="4"/>
      <c r="T126" s="4"/>
      <c r="U126" s="4"/>
    </row>
    <row r="127" spans="1:21">
      <c r="A127" t="s">
        <v>219</v>
      </c>
      <c r="B127">
        <v>20</v>
      </c>
      <c r="C127" t="str">
        <f t="shared" si="17"/>
        <v>test.Base64_20_</v>
      </c>
      <c r="D127">
        <v>38</v>
      </c>
      <c r="E127" s="4">
        <v>0.7722772277227723</v>
      </c>
      <c r="F127" s="4">
        <v>0.60813366960907944</v>
      </c>
      <c r="G127" s="4" t="str">
        <f t="shared" si="18"/>
        <v/>
      </c>
      <c r="H127" s="4" t="str">
        <f t="shared" si="19"/>
        <v/>
      </c>
      <c r="I127" s="4" t="str">
        <f t="shared" si="20"/>
        <v/>
      </c>
      <c r="J127" s="4">
        <f t="shared" si="21"/>
        <v>0.7722772277227723</v>
      </c>
      <c r="K127" s="4" t="str">
        <f t="shared" si="22"/>
        <v/>
      </c>
      <c r="L127" s="4" t="str">
        <f t="shared" si="23"/>
        <v/>
      </c>
      <c r="M127" s="4"/>
      <c r="N127" s="4"/>
      <c r="O127" s="4"/>
      <c r="P127" s="4"/>
      <c r="Q127" s="4"/>
      <c r="R127" s="4"/>
      <c r="S127" s="4"/>
      <c r="T127" s="4"/>
      <c r="U127" s="4"/>
    </row>
    <row r="128" spans="1:21">
      <c r="A128" t="s">
        <v>219</v>
      </c>
      <c r="B128">
        <v>20</v>
      </c>
      <c r="C128" t="str">
        <f t="shared" si="17"/>
        <v>test.Base64_20_</v>
      </c>
      <c r="D128">
        <v>39</v>
      </c>
      <c r="E128" s="4">
        <v>0.7722772277227723</v>
      </c>
      <c r="F128" s="4">
        <v>0.6191677175283733</v>
      </c>
      <c r="G128" s="4" t="str">
        <f t="shared" si="18"/>
        <v/>
      </c>
      <c r="H128" s="4" t="str">
        <f t="shared" si="19"/>
        <v/>
      </c>
      <c r="I128" s="4" t="str">
        <f t="shared" si="20"/>
        <v/>
      </c>
      <c r="J128" s="4">
        <f t="shared" si="21"/>
        <v>0.7722772277227723</v>
      </c>
      <c r="K128" s="4" t="str">
        <f t="shared" si="22"/>
        <v/>
      </c>
      <c r="L128" s="4" t="str">
        <f t="shared" si="23"/>
        <v/>
      </c>
      <c r="M128" s="4"/>
      <c r="N128" s="4"/>
      <c r="O128" s="4"/>
      <c r="P128" s="4"/>
      <c r="Q128" s="4"/>
      <c r="R128" s="4"/>
      <c r="S128" s="4"/>
      <c r="T128" s="4"/>
      <c r="U128" s="4"/>
    </row>
    <row r="129" spans="1:21">
      <c r="A129" t="s">
        <v>219</v>
      </c>
      <c r="B129">
        <v>20</v>
      </c>
      <c r="C129" t="str">
        <f t="shared" si="17"/>
        <v>test.Base64_20_</v>
      </c>
      <c r="D129">
        <v>40</v>
      </c>
      <c r="E129" s="4">
        <v>0.7722772277227723</v>
      </c>
      <c r="F129" s="4">
        <v>0.62673392181588905</v>
      </c>
      <c r="G129" s="4" t="str">
        <f t="shared" si="18"/>
        <v/>
      </c>
      <c r="H129" s="4" t="str">
        <f t="shared" si="19"/>
        <v/>
      </c>
      <c r="I129" s="4" t="str">
        <f t="shared" si="20"/>
        <v/>
      </c>
      <c r="J129" s="4">
        <f t="shared" si="21"/>
        <v>0.7722772277227723</v>
      </c>
      <c r="K129" s="4" t="str">
        <f t="shared" si="22"/>
        <v/>
      </c>
      <c r="L129" s="4" t="str">
        <f t="shared" si="23"/>
        <v/>
      </c>
      <c r="M129" s="4"/>
      <c r="N129" s="4"/>
      <c r="O129" s="4"/>
      <c r="P129" s="4"/>
      <c r="Q129" s="4"/>
      <c r="R129" s="4"/>
      <c r="S129" s="4"/>
      <c r="T129" s="4"/>
      <c r="U129" s="4"/>
    </row>
    <row r="130" spans="1:21">
      <c r="A130" t="s">
        <v>219</v>
      </c>
      <c r="B130">
        <v>20</v>
      </c>
      <c r="C130" t="str">
        <f t="shared" si="17"/>
        <v>test.Base64_20_</v>
      </c>
      <c r="D130">
        <v>41</v>
      </c>
      <c r="E130" s="4">
        <v>0.7722772277227723</v>
      </c>
      <c r="F130" s="4">
        <v>0.63997477931904156</v>
      </c>
      <c r="G130" s="4" t="str">
        <f t="shared" si="18"/>
        <v/>
      </c>
      <c r="H130" s="4" t="str">
        <f t="shared" si="19"/>
        <v/>
      </c>
      <c r="I130" s="4" t="str">
        <f t="shared" si="20"/>
        <v/>
      </c>
      <c r="J130" s="4">
        <f t="shared" si="21"/>
        <v>0.7722772277227723</v>
      </c>
      <c r="K130" s="4" t="str">
        <f t="shared" si="22"/>
        <v/>
      </c>
      <c r="L130" s="4" t="str">
        <f t="shared" si="23"/>
        <v/>
      </c>
      <c r="M130" s="4"/>
      <c r="N130" s="4"/>
      <c r="O130" s="4"/>
      <c r="P130" s="4"/>
      <c r="Q130" s="4"/>
      <c r="R130" s="4"/>
      <c r="S130" s="4"/>
      <c r="T130" s="4"/>
      <c r="U130" s="4"/>
    </row>
    <row r="131" spans="1:21">
      <c r="A131" t="s">
        <v>219</v>
      </c>
      <c r="B131">
        <v>20</v>
      </c>
      <c r="C131" t="str">
        <f t="shared" ref="C131:C194" si="24">CONCATENATE(A131, "_",B131,"_")</f>
        <v>test.Base64_20_</v>
      </c>
      <c r="D131">
        <v>42</v>
      </c>
      <c r="E131" s="4">
        <v>0.7722772277227723</v>
      </c>
      <c r="F131" s="4">
        <v>0.66771752837326603</v>
      </c>
      <c r="G131" s="4" t="str">
        <f t="shared" ref="G131:G194" si="25">IF($F131 &lt;= 0.2,$E131,"")</f>
        <v/>
      </c>
      <c r="H131" s="4" t="str">
        <f t="shared" ref="H131:H194" si="26">IF(AND($F131 &gt; 0.2,$F131 &lt;= 0.4),$E131,"")</f>
        <v/>
      </c>
      <c r="I131" s="4" t="str">
        <f t="shared" ref="I131:I194" si="27">IF(AND($F131 &gt; 0.4,$F131 &lt;= 0.6),$E131,"")</f>
        <v/>
      </c>
      <c r="J131" s="4">
        <f t="shared" ref="J131:J194" si="28">IF(AND($F131 &gt; 0.6,$F131 &lt;= 0.8),$E131,"")</f>
        <v>0.7722772277227723</v>
      </c>
      <c r="K131" s="4" t="str">
        <f t="shared" ref="K131:K194" si="29">IF(AND($F131 &gt; 0.8, $F131 &lt;=1.1),$E131,"")</f>
        <v/>
      </c>
      <c r="L131" s="4" t="str">
        <f t="shared" ref="L131:L194" si="30">IF(AND($F131 &gt; 1.1),$E131,"")</f>
        <v/>
      </c>
      <c r="M131" s="4"/>
      <c r="N131" s="4"/>
      <c r="O131" s="4"/>
      <c r="P131" s="4"/>
      <c r="Q131" s="4"/>
      <c r="R131" s="4"/>
      <c r="S131" s="4"/>
      <c r="T131" s="4"/>
      <c r="U131" s="4"/>
    </row>
    <row r="132" spans="1:21">
      <c r="A132" t="s">
        <v>219</v>
      </c>
      <c r="B132">
        <v>20</v>
      </c>
      <c r="C132" t="str">
        <f t="shared" si="24"/>
        <v>test.Base64_20_</v>
      </c>
      <c r="D132">
        <v>43</v>
      </c>
      <c r="E132" s="4">
        <v>0.7722772277227723</v>
      </c>
      <c r="F132" s="4">
        <v>0.67055485498108447</v>
      </c>
      <c r="G132" s="4" t="str">
        <f t="shared" si="25"/>
        <v/>
      </c>
      <c r="H132" s="4" t="str">
        <f t="shared" si="26"/>
        <v/>
      </c>
      <c r="I132" s="4" t="str">
        <f t="shared" si="27"/>
        <v/>
      </c>
      <c r="J132" s="4">
        <f t="shared" si="28"/>
        <v>0.7722772277227723</v>
      </c>
      <c r="K132" s="4" t="str">
        <f t="shared" si="29"/>
        <v/>
      </c>
      <c r="L132" s="4" t="str">
        <f t="shared" si="30"/>
        <v/>
      </c>
      <c r="M132" s="4"/>
      <c r="N132" s="4"/>
      <c r="O132" s="4"/>
      <c r="P132" s="4"/>
      <c r="Q132" s="4"/>
      <c r="R132" s="4"/>
      <c r="S132" s="4"/>
      <c r="T132" s="4"/>
      <c r="U132" s="4"/>
    </row>
    <row r="133" spans="1:21">
      <c r="A133" t="s">
        <v>219</v>
      </c>
      <c r="B133">
        <v>20</v>
      </c>
      <c r="C133" t="str">
        <f t="shared" si="24"/>
        <v>test.Base64_20_</v>
      </c>
      <c r="D133">
        <v>44</v>
      </c>
      <c r="E133" s="4">
        <v>0.7722772277227723</v>
      </c>
      <c r="F133" s="4">
        <v>0.68158890290037832</v>
      </c>
      <c r="G133" s="4" t="str">
        <f t="shared" si="25"/>
        <v/>
      </c>
      <c r="H133" s="4" t="str">
        <f t="shared" si="26"/>
        <v/>
      </c>
      <c r="I133" s="4" t="str">
        <f t="shared" si="27"/>
        <v/>
      </c>
      <c r="J133" s="4">
        <f t="shared" si="28"/>
        <v>0.7722772277227723</v>
      </c>
      <c r="K133" s="4" t="str">
        <f t="shared" si="29"/>
        <v/>
      </c>
      <c r="L133" s="4" t="str">
        <f t="shared" si="30"/>
        <v/>
      </c>
      <c r="M133" s="4"/>
      <c r="N133" s="4"/>
      <c r="O133" s="4"/>
      <c r="P133" s="4"/>
      <c r="Q133" s="4"/>
      <c r="R133" s="4"/>
      <c r="S133" s="4"/>
      <c r="T133" s="4"/>
      <c r="U133" s="4"/>
    </row>
    <row r="134" spans="1:21">
      <c r="A134" t="s">
        <v>219</v>
      </c>
      <c r="B134">
        <v>20</v>
      </c>
      <c r="C134" t="str">
        <f t="shared" si="24"/>
        <v>test.Base64_20_</v>
      </c>
      <c r="D134">
        <v>45</v>
      </c>
      <c r="E134" s="4">
        <v>0.7722772277227723</v>
      </c>
      <c r="F134" s="4">
        <v>0.69041614123581341</v>
      </c>
      <c r="G134" s="4" t="str">
        <f t="shared" si="25"/>
        <v/>
      </c>
      <c r="H134" s="4" t="str">
        <f t="shared" si="26"/>
        <v/>
      </c>
      <c r="I134" s="4" t="str">
        <f t="shared" si="27"/>
        <v/>
      </c>
      <c r="J134" s="4">
        <f t="shared" si="28"/>
        <v>0.7722772277227723</v>
      </c>
      <c r="K134" s="4" t="str">
        <f t="shared" si="29"/>
        <v/>
      </c>
      <c r="L134" s="4" t="str">
        <f t="shared" si="30"/>
        <v/>
      </c>
      <c r="M134" s="4"/>
      <c r="N134" s="4"/>
      <c r="O134" s="4"/>
      <c r="P134" s="4"/>
      <c r="Q134" s="4"/>
      <c r="R134" s="4"/>
      <c r="S134" s="4"/>
      <c r="T134" s="4"/>
      <c r="U134" s="4"/>
    </row>
    <row r="135" spans="1:21">
      <c r="A135" t="s">
        <v>220</v>
      </c>
      <c r="B135">
        <v>1</v>
      </c>
      <c r="C135" t="str">
        <f t="shared" si="24"/>
        <v>test.Class11_1_</v>
      </c>
      <c r="D135">
        <v>1</v>
      </c>
      <c r="E135" s="4">
        <v>0.63157894736842102</v>
      </c>
      <c r="F135" s="4">
        <v>0.40645343900367958</v>
      </c>
      <c r="G135" s="4" t="str">
        <f t="shared" si="25"/>
        <v/>
      </c>
      <c r="H135" s="4" t="str">
        <f t="shared" si="26"/>
        <v/>
      </c>
      <c r="I135" s="4">
        <f t="shared" si="27"/>
        <v>0.63157894736842102</v>
      </c>
      <c r="J135" s="4" t="str">
        <f t="shared" si="28"/>
        <v/>
      </c>
      <c r="K135" s="4" t="str">
        <f t="shared" si="29"/>
        <v/>
      </c>
      <c r="L135" s="4" t="str">
        <f t="shared" si="30"/>
        <v/>
      </c>
      <c r="M135" s="4"/>
      <c r="N135" s="4"/>
      <c r="O135" s="4"/>
      <c r="P135" s="4"/>
      <c r="Q135" s="4"/>
      <c r="R135" s="4"/>
      <c r="S135" s="4"/>
      <c r="T135" s="4"/>
      <c r="U135" s="4"/>
    </row>
    <row r="136" spans="1:21">
      <c r="A136" t="s">
        <v>220</v>
      </c>
      <c r="B136">
        <v>1</v>
      </c>
      <c r="C136" t="str">
        <f t="shared" si="24"/>
        <v>test.Class11_1_</v>
      </c>
      <c r="D136">
        <v>2</v>
      </c>
      <c r="E136" s="4">
        <v>0.63157894736842102</v>
      </c>
      <c r="F136" s="4">
        <v>0.51316161902066237</v>
      </c>
      <c r="G136" s="4" t="str">
        <f t="shared" si="25"/>
        <v/>
      </c>
      <c r="H136" s="4" t="str">
        <f t="shared" si="26"/>
        <v/>
      </c>
      <c r="I136" s="4">
        <f t="shared" si="27"/>
        <v>0.63157894736842102</v>
      </c>
      <c r="J136" s="4" t="str">
        <f t="shared" si="28"/>
        <v/>
      </c>
      <c r="K136" s="4" t="str">
        <f t="shared" si="29"/>
        <v/>
      </c>
      <c r="L136" s="4" t="str">
        <f t="shared" si="30"/>
        <v/>
      </c>
      <c r="M136" s="4"/>
      <c r="N136" s="4"/>
      <c r="O136" s="4"/>
      <c r="P136" s="4"/>
      <c r="Q136" s="4"/>
      <c r="R136" s="4"/>
      <c r="S136" s="4"/>
      <c r="T136" s="4"/>
      <c r="U136" s="4"/>
    </row>
    <row r="137" spans="1:21">
      <c r="A137" t="s">
        <v>220</v>
      </c>
      <c r="B137">
        <v>1</v>
      </c>
      <c r="C137" t="str">
        <f t="shared" si="24"/>
        <v>test.Class11_1_</v>
      </c>
      <c r="D137">
        <v>3</v>
      </c>
      <c r="E137" s="4">
        <v>0.63157894736842102</v>
      </c>
      <c r="F137" s="4">
        <v>0.51655816586470427</v>
      </c>
      <c r="G137" s="4" t="str">
        <f t="shared" si="25"/>
        <v/>
      </c>
      <c r="H137" s="4" t="str">
        <f t="shared" si="26"/>
        <v/>
      </c>
      <c r="I137" s="4">
        <f t="shared" si="27"/>
        <v>0.63157894736842102</v>
      </c>
      <c r="J137" s="4" t="str">
        <f t="shared" si="28"/>
        <v/>
      </c>
      <c r="K137" s="4" t="str">
        <f t="shared" si="29"/>
        <v/>
      </c>
      <c r="L137" s="4" t="str">
        <f t="shared" si="30"/>
        <v/>
      </c>
      <c r="M137" s="4"/>
      <c r="N137" s="4"/>
      <c r="O137" s="4"/>
      <c r="P137" s="4"/>
      <c r="Q137" s="4"/>
      <c r="R137" s="4"/>
      <c r="S137" s="4"/>
      <c r="T137" s="4"/>
      <c r="U137" s="4"/>
    </row>
    <row r="138" spans="1:21">
      <c r="A138" t="s">
        <v>220</v>
      </c>
      <c r="B138">
        <v>1</v>
      </c>
      <c r="C138" t="str">
        <f t="shared" si="24"/>
        <v>test.Class11_1_</v>
      </c>
      <c r="D138">
        <v>4</v>
      </c>
      <c r="E138" s="4">
        <v>0.63157894736842102</v>
      </c>
      <c r="F138" s="4">
        <v>0.69714123973959807</v>
      </c>
      <c r="G138" s="4" t="str">
        <f t="shared" si="25"/>
        <v/>
      </c>
      <c r="H138" s="4" t="str">
        <f t="shared" si="26"/>
        <v/>
      </c>
      <c r="I138" s="4" t="str">
        <f t="shared" si="27"/>
        <v/>
      </c>
      <c r="J138" s="4">
        <f t="shared" si="28"/>
        <v>0.63157894736842102</v>
      </c>
      <c r="K138" s="4" t="str">
        <f t="shared" si="29"/>
        <v/>
      </c>
      <c r="L138" s="4" t="str">
        <f t="shared" si="30"/>
        <v/>
      </c>
      <c r="M138" s="4"/>
      <c r="N138" s="4"/>
      <c r="O138" s="4"/>
      <c r="P138" s="4"/>
      <c r="Q138" s="4"/>
      <c r="R138" s="4"/>
      <c r="S138" s="4"/>
      <c r="T138" s="4"/>
      <c r="U138" s="4"/>
    </row>
    <row r="139" spans="1:21">
      <c r="A139" t="s">
        <v>220</v>
      </c>
      <c r="B139">
        <v>1</v>
      </c>
      <c r="C139" t="str">
        <f t="shared" si="24"/>
        <v>test.Class11_1_</v>
      </c>
      <c r="D139">
        <v>5</v>
      </c>
      <c r="E139" s="4">
        <v>0.89473684210526316</v>
      </c>
      <c r="F139" s="4">
        <v>0.71836965751485993</v>
      </c>
      <c r="G139" s="4" t="str">
        <f t="shared" si="25"/>
        <v/>
      </c>
      <c r="H139" s="4" t="str">
        <f t="shared" si="26"/>
        <v/>
      </c>
      <c r="I139" s="4" t="str">
        <f t="shared" si="27"/>
        <v/>
      </c>
      <c r="J139" s="4">
        <f t="shared" si="28"/>
        <v>0.89473684210526316</v>
      </c>
      <c r="K139" s="4" t="str">
        <f t="shared" si="29"/>
        <v/>
      </c>
      <c r="L139" s="4" t="str">
        <f t="shared" si="30"/>
        <v/>
      </c>
      <c r="M139" s="4"/>
      <c r="N139" s="4"/>
      <c r="O139" s="4"/>
      <c r="P139" s="4"/>
      <c r="Q139" s="4"/>
      <c r="R139" s="4"/>
      <c r="S139" s="4"/>
      <c r="T139" s="4"/>
      <c r="U139" s="4"/>
    </row>
    <row r="140" spans="1:21">
      <c r="A140" t="s">
        <v>220</v>
      </c>
      <c r="B140">
        <v>6</v>
      </c>
      <c r="C140" t="str">
        <f t="shared" si="24"/>
        <v>test.Class11_6_</v>
      </c>
      <c r="D140">
        <v>1</v>
      </c>
      <c r="E140" s="4">
        <v>4.4642857142857144E-2</v>
      </c>
      <c r="F140" s="4">
        <v>5.4397394136807817E-2</v>
      </c>
      <c r="G140" s="4">
        <f t="shared" si="25"/>
        <v>4.4642857142857144E-2</v>
      </c>
      <c r="H140" s="4" t="str">
        <f t="shared" si="26"/>
        <v/>
      </c>
      <c r="I140" s="4" t="str">
        <f t="shared" si="27"/>
        <v/>
      </c>
      <c r="J140" s="4" t="str">
        <f t="shared" si="28"/>
        <v/>
      </c>
      <c r="K140" s="4" t="str">
        <f t="shared" si="29"/>
        <v/>
      </c>
      <c r="L140" s="4" t="str">
        <f t="shared" si="30"/>
        <v/>
      </c>
      <c r="M140" s="4"/>
      <c r="N140" s="4"/>
      <c r="O140" s="4"/>
      <c r="P140" s="4"/>
      <c r="Q140" s="4"/>
      <c r="R140" s="4"/>
      <c r="S140" s="4"/>
      <c r="T140" s="4"/>
      <c r="U140" s="4"/>
    </row>
    <row r="141" spans="1:21">
      <c r="A141" t="s">
        <v>220</v>
      </c>
      <c r="B141">
        <v>6</v>
      </c>
      <c r="C141" t="str">
        <f t="shared" si="24"/>
        <v>test.Class11_6_</v>
      </c>
      <c r="D141">
        <v>2</v>
      </c>
      <c r="E141" s="4">
        <v>0.5</v>
      </c>
      <c r="F141" s="4">
        <v>0.51954397394136809</v>
      </c>
      <c r="G141" s="4" t="str">
        <f t="shared" si="25"/>
        <v/>
      </c>
      <c r="H141" s="4" t="str">
        <f t="shared" si="26"/>
        <v/>
      </c>
      <c r="I141" s="4">
        <f t="shared" si="27"/>
        <v>0.5</v>
      </c>
      <c r="J141" s="4" t="str">
        <f t="shared" si="28"/>
        <v/>
      </c>
      <c r="K141" s="4" t="str">
        <f t="shared" si="29"/>
        <v/>
      </c>
      <c r="L141" s="4" t="str">
        <f t="shared" si="30"/>
        <v/>
      </c>
      <c r="M141" s="4"/>
      <c r="N141" s="4"/>
      <c r="O141" s="4"/>
      <c r="P141" s="4"/>
      <c r="Q141" s="4"/>
      <c r="R141" s="4"/>
      <c r="S141" s="4"/>
      <c r="T141" s="4"/>
      <c r="U141" s="4"/>
    </row>
    <row r="142" spans="1:21">
      <c r="A142" t="s">
        <v>220</v>
      </c>
      <c r="B142">
        <v>6</v>
      </c>
      <c r="C142" t="str">
        <f t="shared" si="24"/>
        <v>test.Class11_6_</v>
      </c>
      <c r="D142">
        <v>3</v>
      </c>
      <c r="E142" s="4">
        <v>1</v>
      </c>
      <c r="F142" s="4">
        <v>0.98501628664495111</v>
      </c>
      <c r="G142" s="4" t="str">
        <f t="shared" si="25"/>
        <v/>
      </c>
      <c r="H142" s="4" t="str">
        <f t="shared" si="26"/>
        <v/>
      </c>
      <c r="I142" s="4" t="str">
        <f t="shared" si="27"/>
        <v/>
      </c>
      <c r="J142" s="4" t="str">
        <f t="shared" si="28"/>
        <v/>
      </c>
      <c r="K142" s="4">
        <f t="shared" si="29"/>
        <v>1</v>
      </c>
      <c r="L142" s="4" t="str">
        <f t="shared" si="30"/>
        <v/>
      </c>
      <c r="M142" s="4"/>
      <c r="N142" s="4"/>
      <c r="O142" s="4"/>
      <c r="P142" s="4"/>
      <c r="Q142" s="4"/>
      <c r="R142" s="4"/>
      <c r="S142" s="4"/>
      <c r="T142" s="4"/>
      <c r="U142" s="4"/>
    </row>
    <row r="143" spans="1:21">
      <c r="A143" t="s">
        <v>225</v>
      </c>
      <c r="B143">
        <v>3</v>
      </c>
      <c r="C143" t="str">
        <f t="shared" si="24"/>
        <v>test.ImageData_3_</v>
      </c>
      <c r="D143">
        <v>1</v>
      </c>
      <c r="E143" s="4">
        <v>0.15428571428571428</v>
      </c>
      <c r="F143" s="4">
        <v>0.11626910441365519</v>
      </c>
      <c r="G143" s="4">
        <f t="shared" si="25"/>
        <v>0.15428571428571428</v>
      </c>
      <c r="H143" s="4" t="str">
        <f t="shared" si="26"/>
        <v/>
      </c>
      <c r="I143" s="4" t="str">
        <f t="shared" si="27"/>
        <v/>
      </c>
      <c r="J143" s="4" t="str">
        <f t="shared" si="28"/>
        <v/>
      </c>
      <c r="K143" s="4" t="str">
        <f t="shared" si="29"/>
        <v/>
      </c>
      <c r="L143" s="4" t="str">
        <f t="shared" si="30"/>
        <v/>
      </c>
      <c r="M143" s="4"/>
      <c r="N143" s="4"/>
      <c r="O143" s="4"/>
      <c r="P143" s="4"/>
      <c r="Q143" s="4"/>
      <c r="R143" s="4"/>
      <c r="S143" s="4"/>
      <c r="T143" s="4"/>
      <c r="U143" s="4"/>
    </row>
    <row r="144" spans="1:21">
      <c r="A144" t="s">
        <v>225</v>
      </c>
      <c r="B144">
        <v>3</v>
      </c>
      <c r="C144" t="str">
        <f t="shared" si="24"/>
        <v>test.ImageData_3_</v>
      </c>
      <c r="D144">
        <v>2</v>
      </c>
      <c r="E144" s="4">
        <v>0.15428571428571428</v>
      </c>
      <c r="F144" s="4">
        <v>0.21582631052706755</v>
      </c>
      <c r="G144" s="4" t="str">
        <f t="shared" si="25"/>
        <v/>
      </c>
      <c r="H144" s="4">
        <f t="shared" si="26"/>
        <v>0.15428571428571428</v>
      </c>
      <c r="I144" s="4" t="str">
        <f t="shared" si="27"/>
        <v/>
      </c>
      <c r="J144" s="4" t="str">
        <f t="shared" si="28"/>
        <v/>
      </c>
      <c r="K144" s="4" t="str">
        <f t="shared" si="29"/>
        <v/>
      </c>
      <c r="L144" s="4" t="str">
        <f t="shared" si="30"/>
        <v/>
      </c>
      <c r="M144" s="4"/>
      <c r="N144" s="4"/>
      <c r="O144" s="4"/>
      <c r="P144" s="4"/>
      <c r="Q144" s="4"/>
      <c r="R144" s="4"/>
      <c r="S144" s="4"/>
      <c r="T144" s="4"/>
      <c r="U144" s="4"/>
    </row>
    <row r="145" spans="1:21">
      <c r="A145" t="s">
        <v>225</v>
      </c>
      <c r="B145">
        <v>3</v>
      </c>
      <c r="C145" t="str">
        <f t="shared" si="24"/>
        <v>test.ImageData_3_</v>
      </c>
      <c r="D145">
        <v>3</v>
      </c>
      <c r="E145" s="4">
        <v>0.30285714285714288</v>
      </c>
      <c r="F145" s="4">
        <v>0.22853878017426082</v>
      </c>
      <c r="G145" s="4" t="str">
        <f t="shared" si="25"/>
        <v/>
      </c>
      <c r="H145" s="4">
        <f t="shared" si="26"/>
        <v>0.30285714285714288</v>
      </c>
      <c r="I145" s="4" t="str">
        <f t="shared" si="27"/>
        <v/>
      </c>
      <c r="J145" s="4" t="str">
        <f t="shared" si="28"/>
        <v/>
      </c>
      <c r="K145" s="4" t="str">
        <f t="shared" si="29"/>
        <v/>
      </c>
      <c r="L145" s="4" t="str">
        <f t="shared" si="30"/>
        <v/>
      </c>
      <c r="M145" s="4"/>
      <c r="N145" s="4"/>
      <c r="O145" s="4"/>
      <c r="P145" s="4"/>
      <c r="Q145" s="4"/>
      <c r="R145" s="4"/>
      <c r="S145" s="4"/>
      <c r="T145" s="4"/>
      <c r="U145" s="4"/>
    </row>
    <row r="146" spans="1:21">
      <c r="A146" t="s">
        <v>225</v>
      </c>
      <c r="B146">
        <v>3</v>
      </c>
      <c r="C146" t="str">
        <f t="shared" si="24"/>
        <v>test.ImageData_3_</v>
      </c>
      <c r="D146">
        <v>4</v>
      </c>
      <c r="E146" s="4">
        <v>0.54285714285714282</v>
      </c>
      <c r="F146" s="4">
        <v>0.2965290672761034</v>
      </c>
      <c r="G146" s="4" t="str">
        <f t="shared" si="25"/>
        <v/>
      </c>
      <c r="H146" s="4">
        <f t="shared" si="26"/>
        <v>0.54285714285714282</v>
      </c>
      <c r="I146" s="4" t="str">
        <f t="shared" si="27"/>
        <v/>
      </c>
      <c r="J146" s="4" t="str">
        <f t="shared" si="28"/>
        <v/>
      </c>
      <c r="K146" s="4" t="str">
        <f t="shared" si="29"/>
        <v/>
      </c>
      <c r="L146" s="4" t="str">
        <f t="shared" si="30"/>
        <v/>
      </c>
      <c r="M146" s="4"/>
      <c r="N146" s="4"/>
      <c r="O146" s="4"/>
      <c r="P146" s="4"/>
      <c r="Q146" s="4"/>
      <c r="R146" s="4"/>
      <c r="S146" s="4"/>
      <c r="T146" s="4"/>
      <c r="U146" s="4"/>
    </row>
    <row r="147" spans="1:21">
      <c r="A147" t="s">
        <v>225</v>
      </c>
      <c r="B147">
        <v>3</v>
      </c>
      <c r="C147" t="str">
        <f t="shared" si="24"/>
        <v>test.ImageData_3_</v>
      </c>
      <c r="D147">
        <v>5</v>
      </c>
      <c r="E147" s="4">
        <v>0.69142857142857139</v>
      </c>
      <c r="F147" s="4">
        <v>0.31352663905156408</v>
      </c>
      <c r="G147" s="4" t="str">
        <f t="shared" si="25"/>
        <v/>
      </c>
      <c r="H147" s="4">
        <f t="shared" si="26"/>
        <v>0.69142857142857139</v>
      </c>
      <c r="I147" s="4" t="str">
        <f t="shared" si="27"/>
        <v/>
      </c>
      <c r="J147" s="4" t="str">
        <f t="shared" si="28"/>
        <v/>
      </c>
      <c r="K147" s="4" t="str">
        <f t="shared" si="29"/>
        <v/>
      </c>
      <c r="L147" s="4" t="str">
        <f t="shared" si="30"/>
        <v/>
      </c>
      <c r="M147" s="4"/>
      <c r="N147" s="4"/>
      <c r="O147" s="4"/>
      <c r="P147" s="4"/>
      <c r="Q147" s="4"/>
      <c r="R147" s="4"/>
      <c r="S147" s="4"/>
      <c r="T147" s="4"/>
      <c r="U147" s="4"/>
    </row>
    <row r="148" spans="1:21">
      <c r="A148" t="s">
        <v>225</v>
      </c>
      <c r="B148">
        <v>3</v>
      </c>
      <c r="C148" t="str">
        <f t="shared" si="24"/>
        <v>test.ImageData_3_</v>
      </c>
      <c r="D148">
        <v>6</v>
      </c>
      <c r="E148" s="4">
        <v>0.74285714285714288</v>
      </c>
      <c r="F148" s="4">
        <v>0.32638194543636623</v>
      </c>
      <c r="G148" s="4" t="str">
        <f t="shared" si="25"/>
        <v/>
      </c>
      <c r="H148" s="4">
        <f t="shared" si="26"/>
        <v>0.74285714285714288</v>
      </c>
      <c r="I148" s="4" t="str">
        <f t="shared" si="27"/>
        <v/>
      </c>
      <c r="J148" s="4" t="str">
        <f t="shared" si="28"/>
        <v/>
      </c>
      <c r="K148" s="4" t="str">
        <f t="shared" si="29"/>
        <v/>
      </c>
      <c r="L148" s="4" t="str">
        <f t="shared" si="30"/>
        <v/>
      </c>
      <c r="M148" s="4"/>
      <c r="N148" s="4"/>
      <c r="O148" s="4"/>
      <c r="P148" s="4"/>
      <c r="Q148" s="4"/>
      <c r="R148" s="4"/>
      <c r="S148" s="4"/>
      <c r="T148" s="4"/>
      <c r="U148" s="4"/>
    </row>
    <row r="149" spans="1:21">
      <c r="A149" t="s">
        <v>225</v>
      </c>
      <c r="B149">
        <v>3</v>
      </c>
      <c r="C149" t="str">
        <f t="shared" si="24"/>
        <v>test.ImageData_3_</v>
      </c>
      <c r="D149">
        <v>7</v>
      </c>
      <c r="E149" s="4">
        <v>0.74285714285714288</v>
      </c>
      <c r="F149" s="4">
        <v>0.35980574203685189</v>
      </c>
      <c r="G149" s="4" t="str">
        <f t="shared" si="25"/>
        <v/>
      </c>
      <c r="H149" s="4">
        <f t="shared" si="26"/>
        <v>0.74285714285714288</v>
      </c>
      <c r="I149" s="4" t="str">
        <f t="shared" si="27"/>
        <v/>
      </c>
      <c r="J149" s="4" t="str">
        <f t="shared" si="28"/>
        <v/>
      </c>
      <c r="K149" s="4" t="str">
        <f t="shared" si="29"/>
        <v/>
      </c>
      <c r="L149" s="4" t="str">
        <f t="shared" si="30"/>
        <v/>
      </c>
      <c r="M149" s="4"/>
      <c r="N149" s="4"/>
      <c r="O149" s="4"/>
      <c r="P149" s="4"/>
      <c r="Q149" s="4"/>
      <c r="R149" s="4"/>
      <c r="S149" s="4"/>
      <c r="T149" s="4"/>
      <c r="U149" s="4"/>
    </row>
    <row r="150" spans="1:21">
      <c r="A150" t="s">
        <v>225</v>
      </c>
      <c r="B150">
        <v>3</v>
      </c>
      <c r="C150" t="str">
        <f t="shared" si="24"/>
        <v>test.ImageData_3_</v>
      </c>
      <c r="D150">
        <v>8</v>
      </c>
      <c r="E150" s="4">
        <v>0.8571428571428571</v>
      </c>
      <c r="F150" s="4">
        <v>0.469647193258106</v>
      </c>
      <c r="G150" s="4" t="str">
        <f t="shared" si="25"/>
        <v/>
      </c>
      <c r="H150" s="4" t="str">
        <f t="shared" si="26"/>
        <v/>
      </c>
      <c r="I150" s="4">
        <f t="shared" si="27"/>
        <v>0.8571428571428571</v>
      </c>
      <c r="J150" s="4" t="str">
        <f t="shared" si="28"/>
        <v/>
      </c>
      <c r="K150" s="4" t="str">
        <f t="shared" si="29"/>
        <v/>
      </c>
      <c r="L150" s="4" t="str">
        <f t="shared" si="30"/>
        <v/>
      </c>
      <c r="M150" s="4"/>
      <c r="N150" s="4"/>
      <c r="O150" s="4"/>
      <c r="P150" s="4"/>
      <c r="Q150" s="4"/>
      <c r="R150" s="4"/>
      <c r="S150" s="4"/>
      <c r="T150" s="4"/>
      <c r="U150" s="4"/>
    </row>
    <row r="151" spans="1:21">
      <c r="A151" t="s">
        <v>225</v>
      </c>
      <c r="B151">
        <v>3</v>
      </c>
      <c r="C151" t="str">
        <f t="shared" si="24"/>
        <v>test.ImageData_3_</v>
      </c>
      <c r="D151">
        <v>9</v>
      </c>
      <c r="E151" s="4">
        <v>0.94285714285714284</v>
      </c>
      <c r="F151" s="4">
        <v>0.51892586773318095</v>
      </c>
      <c r="G151" s="4" t="str">
        <f t="shared" si="25"/>
        <v/>
      </c>
      <c r="H151" s="4" t="str">
        <f t="shared" si="26"/>
        <v/>
      </c>
      <c r="I151" s="4">
        <f t="shared" si="27"/>
        <v>0.94285714285714284</v>
      </c>
      <c r="J151" s="4" t="str">
        <f t="shared" si="28"/>
        <v/>
      </c>
      <c r="K151" s="4" t="str">
        <f t="shared" si="29"/>
        <v/>
      </c>
      <c r="L151" s="4" t="str">
        <f t="shared" si="30"/>
        <v/>
      </c>
      <c r="M151" s="4"/>
      <c r="N151" s="4"/>
      <c r="O151" s="4"/>
      <c r="P151" s="4"/>
      <c r="Q151" s="4"/>
      <c r="R151" s="4"/>
      <c r="S151" s="4"/>
      <c r="T151" s="4"/>
      <c r="U151" s="4"/>
    </row>
    <row r="152" spans="1:21">
      <c r="A152" t="s">
        <v>225</v>
      </c>
      <c r="B152">
        <v>4</v>
      </c>
      <c r="C152" t="str">
        <f t="shared" si="24"/>
        <v>test.ImageData_4_</v>
      </c>
      <c r="D152">
        <v>1</v>
      </c>
      <c r="E152" s="4">
        <v>6.985294117647059E-2</v>
      </c>
      <c r="F152" s="4">
        <v>3.4340991535671099E-2</v>
      </c>
      <c r="G152" s="4">
        <f t="shared" si="25"/>
        <v>6.985294117647059E-2</v>
      </c>
      <c r="H152" s="4" t="str">
        <f t="shared" si="26"/>
        <v/>
      </c>
      <c r="I152" s="4" t="str">
        <f t="shared" si="27"/>
        <v/>
      </c>
      <c r="J152" s="4" t="str">
        <f t="shared" si="28"/>
        <v/>
      </c>
      <c r="K152" s="4" t="str">
        <f t="shared" si="29"/>
        <v/>
      </c>
      <c r="L152" s="4" t="str">
        <f t="shared" si="30"/>
        <v/>
      </c>
      <c r="M152" s="4"/>
      <c r="N152" s="4"/>
      <c r="O152" s="4"/>
      <c r="P152" s="4"/>
      <c r="Q152" s="4"/>
      <c r="R152" s="4"/>
      <c r="S152" s="4"/>
      <c r="T152" s="4"/>
      <c r="U152" s="4"/>
    </row>
    <row r="153" spans="1:21">
      <c r="A153" t="s">
        <v>225</v>
      </c>
      <c r="B153">
        <v>4</v>
      </c>
      <c r="C153" t="str">
        <f t="shared" si="24"/>
        <v>test.ImageData_4_</v>
      </c>
      <c r="D153">
        <v>2</v>
      </c>
      <c r="E153" s="4">
        <v>0.11397058823529412</v>
      </c>
      <c r="F153" s="4">
        <v>6.3905683192261184E-2</v>
      </c>
      <c r="G153" s="4">
        <f t="shared" si="25"/>
        <v>0.11397058823529412</v>
      </c>
      <c r="H153" s="4" t="str">
        <f t="shared" si="26"/>
        <v/>
      </c>
      <c r="I153" s="4" t="str">
        <f t="shared" si="27"/>
        <v/>
      </c>
      <c r="J153" s="4" t="str">
        <f t="shared" si="28"/>
        <v/>
      </c>
      <c r="K153" s="4" t="str">
        <f t="shared" si="29"/>
        <v/>
      </c>
      <c r="L153" s="4" t="str">
        <f t="shared" si="30"/>
        <v/>
      </c>
      <c r="M153" s="4"/>
      <c r="N153" s="4"/>
      <c r="O153" s="4"/>
      <c r="P153" s="4"/>
      <c r="Q153" s="4"/>
      <c r="R153" s="4"/>
      <c r="S153" s="4"/>
      <c r="T153" s="4"/>
      <c r="U153" s="4"/>
    </row>
    <row r="154" spans="1:21">
      <c r="A154" t="s">
        <v>225</v>
      </c>
      <c r="B154">
        <v>4</v>
      </c>
      <c r="C154" t="str">
        <f t="shared" si="24"/>
        <v>test.ImageData_4_</v>
      </c>
      <c r="D154">
        <v>3</v>
      </c>
      <c r="E154" s="4">
        <v>0.24264705882352941</v>
      </c>
      <c r="F154" s="4">
        <v>0.10598548972188633</v>
      </c>
      <c r="G154" s="4">
        <f t="shared" si="25"/>
        <v>0.24264705882352941</v>
      </c>
      <c r="H154" s="4" t="str">
        <f t="shared" si="26"/>
        <v/>
      </c>
      <c r="I154" s="4" t="str">
        <f t="shared" si="27"/>
        <v/>
      </c>
      <c r="J154" s="4" t="str">
        <f t="shared" si="28"/>
        <v/>
      </c>
      <c r="K154" s="4" t="str">
        <f t="shared" si="29"/>
        <v/>
      </c>
      <c r="L154" s="4" t="str">
        <f t="shared" si="30"/>
        <v/>
      </c>
      <c r="M154" s="4"/>
      <c r="N154" s="4"/>
      <c r="O154" s="4"/>
      <c r="P154" s="4"/>
      <c r="Q154" s="4"/>
      <c r="R154" s="4"/>
      <c r="S154" s="4"/>
      <c r="T154" s="4"/>
      <c r="U154" s="4"/>
    </row>
    <row r="155" spans="1:21">
      <c r="A155" t="s">
        <v>225</v>
      </c>
      <c r="B155">
        <v>4</v>
      </c>
      <c r="C155" t="str">
        <f t="shared" si="24"/>
        <v>test.ImageData_4_</v>
      </c>
      <c r="D155">
        <v>4</v>
      </c>
      <c r="E155" s="4">
        <v>0.37132352941176472</v>
      </c>
      <c r="F155" s="4">
        <v>0.1062273276904474</v>
      </c>
      <c r="G155" s="4">
        <f t="shared" si="25"/>
        <v>0.37132352941176472</v>
      </c>
      <c r="H155" s="4" t="str">
        <f t="shared" si="26"/>
        <v/>
      </c>
      <c r="I155" s="4" t="str">
        <f t="shared" si="27"/>
        <v/>
      </c>
      <c r="J155" s="4" t="str">
        <f t="shared" si="28"/>
        <v/>
      </c>
      <c r="K155" s="4" t="str">
        <f t="shared" si="29"/>
        <v/>
      </c>
      <c r="L155" s="4" t="str">
        <f t="shared" si="30"/>
        <v/>
      </c>
      <c r="M155" s="4"/>
      <c r="N155" s="4"/>
      <c r="O155" s="4"/>
      <c r="P155" s="4"/>
      <c r="Q155" s="4"/>
      <c r="R155" s="4"/>
      <c r="S155" s="4"/>
      <c r="T155" s="4"/>
      <c r="U155" s="4"/>
    </row>
    <row r="156" spans="1:21">
      <c r="A156" t="s">
        <v>225</v>
      </c>
      <c r="B156">
        <v>4</v>
      </c>
      <c r="C156" t="str">
        <f t="shared" si="24"/>
        <v>test.ImageData_4_</v>
      </c>
      <c r="D156">
        <v>5</v>
      </c>
      <c r="E156" s="4">
        <v>0.51470588235294112</v>
      </c>
      <c r="F156" s="4">
        <v>0.12865779927448609</v>
      </c>
      <c r="G156" s="4">
        <f t="shared" si="25"/>
        <v>0.51470588235294112</v>
      </c>
      <c r="H156" s="4" t="str">
        <f t="shared" si="26"/>
        <v/>
      </c>
      <c r="I156" s="4" t="str">
        <f t="shared" si="27"/>
        <v/>
      </c>
      <c r="J156" s="4" t="str">
        <f t="shared" si="28"/>
        <v/>
      </c>
      <c r="K156" s="4" t="str">
        <f t="shared" si="29"/>
        <v/>
      </c>
      <c r="L156" s="4" t="str">
        <f t="shared" si="30"/>
        <v/>
      </c>
      <c r="M156" s="4"/>
      <c r="N156" s="4"/>
      <c r="O156" s="4"/>
      <c r="P156" s="4"/>
      <c r="Q156" s="4"/>
      <c r="R156" s="4"/>
      <c r="S156" s="4"/>
      <c r="T156" s="4"/>
      <c r="U156" s="4"/>
    </row>
    <row r="157" spans="1:21">
      <c r="A157" t="s">
        <v>225</v>
      </c>
      <c r="B157">
        <v>4</v>
      </c>
      <c r="C157" t="str">
        <f t="shared" si="24"/>
        <v>test.ImageData_4_</v>
      </c>
      <c r="D157">
        <v>6</v>
      </c>
      <c r="E157" s="4">
        <v>0.56617647058823528</v>
      </c>
      <c r="F157" s="4">
        <v>0.18174123337363965</v>
      </c>
      <c r="G157" s="4">
        <f t="shared" si="25"/>
        <v>0.56617647058823528</v>
      </c>
      <c r="H157" s="4" t="str">
        <f t="shared" si="26"/>
        <v/>
      </c>
      <c r="I157" s="4" t="str">
        <f t="shared" si="27"/>
        <v/>
      </c>
      <c r="J157" s="4" t="str">
        <f t="shared" si="28"/>
        <v/>
      </c>
      <c r="K157" s="4" t="str">
        <f t="shared" si="29"/>
        <v/>
      </c>
      <c r="L157" s="4" t="str">
        <f t="shared" si="30"/>
        <v/>
      </c>
      <c r="M157" s="4"/>
      <c r="N157" s="4"/>
      <c r="O157" s="4"/>
      <c r="P157" s="4"/>
      <c r="Q157" s="4"/>
      <c r="R157" s="4"/>
      <c r="S157" s="4"/>
      <c r="T157" s="4"/>
      <c r="U157" s="4"/>
    </row>
    <row r="158" spans="1:21">
      <c r="A158" t="s">
        <v>225</v>
      </c>
      <c r="B158">
        <v>4</v>
      </c>
      <c r="C158" t="str">
        <f t="shared" si="24"/>
        <v>test.ImageData_4_</v>
      </c>
      <c r="D158">
        <v>7</v>
      </c>
      <c r="E158" s="4">
        <v>0.64338235294117652</v>
      </c>
      <c r="F158" s="4">
        <v>0.20296251511487304</v>
      </c>
      <c r="G158" s="4" t="str">
        <f t="shared" si="25"/>
        <v/>
      </c>
      <c r="H158" s="4">
        <f t="shared" si="26"/>
        <v>0.64338235294117652</v>
      </c>
      <c r="I158" s="4" t="str">
        <f t="shared" si="27"/>
        <v/>
      </c>
      <c r="J158" s="4" t="str">
        <f t="shared" si="28"/>
        <v/>
      </c>
      <c r="K158" s="4" t="str">
        <f t="shared" si="29"/>
        <v/>
      </c>
      <c r="L158" s="4" t="str">
        <f t="shared" si="30"/>
        <v/>
      </c>
      <c r="M158" s="4"/>
      <c r="N158" s="4"/>
      <c r="O158" s="4"/>
      <c r="P158" s="4"/>
      <c r="Q158" s="4"/>
      <c r="R158" s="4"/>
      <c r="S158" s="4"/>
      <c r="T158" s="4"/>
      <c r="U158" s="4"/>
    </row>
    <row r="159" spans="1:21">
      <c r="A159" s="9" t="s">
        <v>225</v>
      </c>
      <c r="B159" s="9">
        <v>4</v>
      </c>
      <c r="C159" t="str">
        <f t="shared" si="24"/>
        <v>test.ImageData_4_</v>
      </c>
      <c r="D159" s="9">
        <v>8</v>
      </c>
      <c r="E159" s="4">
        <v>0.74264705882352944</v>
      </c>
      <c r="F159" s="4">
        <v>0.23186215235792018</v>
      </c>
      <c r="G159" s="4" t="str">
        <f t="shared" si="25"/>
        <v/>
      </c>
      <c r="H159" s="4">
        <f t="shared" si="26"/>
        <v>0.74264705882352944</v>
      </c>
      <c r="I159" s="4" t="str">
        <f t="shared" si="27"/>
        <v/>
      </c>
      <c r="J159" s="4" t="str">
        <f t="shared" si="28"/>
        <v/>
      </c>
      <c r="K159" s="4" t="str">
        <f t="shared" si="29"/>
        <v/>
      </c>
      <c r="L159" s="4" t="str">
        <f t="shared" si="30"/>
        <v/>
      </c>
      <c r="M159" s="4"/>
      <c r="N159" s="4"/>
      <c r="O159" s="4"/>
      <c r="P159" s="4"/>
      <c r="Q159" s="4"/>
      <c r="R159" s="4"/>
      <c r="S159" s="4"/>
      <c r="T159" s="4"/>
      <c r="U159" s="4"/>
    </row>
    <row r="160" spans="1:21">
      <c r="A160" t="s">
        <v>225</v>
      </c>
      <c r="B160">
        <v>4</v>
      </c>
      <c r="C160" t="str">
        <f t="shared" si="24"/>
        <v>test.ImageData_4_</v>
      </c>
      <c r="D160">
        <v>9</v>
      </c>
      <c r="E160" s="4">
        <v>0.86029411764705888</v>
      </c>
      <c r="F160" s="4">
        <v>0.25126964933494561</v>
      </c>
      <c r="G160" s="4" t="str">
        <f t="shared" si="25"/>
        <v/>
      </c>
      <c r="H160" s="4">
        <f t="shared" si="26"/>
        <v>0.86029411764705888</v>
      </c>
      <c r="I160" s="4" t="str">
        <f t="shared" si="27"/>
        <v/>
      </c>
      <c r="J160" s="4" t="str">
        <f t="shared" si="28"/>
        <v/>
      </c>
      <c r="K160" s="4" t="str">
        <f t="shared" si="29"/>
        <v/>
      </c>
      <c r="L160" s="4" t="str">
        <f t="shared" si="30"/>
        <v/>
      </c>
      <c r="M160" s="4"/>
      <c r="N160" s="4"/>
      <c r="O160" s="4"/>
      <c r="P160" s="4"/>
      <c r="Q160" s="4"/>
      <c r="R160" s="4"/>
      <c r="S160" s="4"/>
      <c r="T160" s="4"/>
      <c r="U160" s="4"/>
    </row>
    <row r="161" spans="1:21">
      <c r="A161" t="s">
        <v>225</v>
      </c>
      <c r="B161">
        <v>4</v>
      </c>
      <c r="C161" t="str">
        <f t="shared" si="24"/>
        <v>test.ImageData_4_</v>
      </c>
      <c r="D161">
        <v>10</v>
      </c>
      <c r="E161" s="4">
        <v>1</v>
      </c>
      <c r="F161" s="4">
        <v>0.31154776299879083</v>
      </c>
      <c r="G161" s="4" t="str">
        <f t="shared" si="25"/>
        <v/>
      </c>
      <c r="H161" s="4">
        <f t="shared" si="26"/>
        <v>1</v>
      </c>
      <c r="I161" s="4" t="str">
        <f t="shared" si="27"/>
        <v/>
      </c>
      <c r="J161" s="4" t="str">
        <f t="shared" si="28"/>
        <v/>
      </c>
      <c r="K161" s="4" t="str">
        <f t="shared" si="29"/>
        <v/>
      </c>
      <c r="L161" s="4" t="str">
        <f t="shared" si="30"/>
        <v/>
      </c>
      <c r="M161" s="4"/>
      <c r="N161" s="4"/>
      <c r="O161" s="4"/>
      <c r="P161" s="4"/>
      <c r="Q161" s="4"/>
      <c r="R161" s="4"/>
      <c r="S161" s="4"/>
      <c r="T161" s="4"/>
      <c r="U161" s="4"/>
    </row>
    <row r="162" spans="1:21">
      <c r="A162" t="s">
        <v>225</v>
      </c>
      <c r="B162">
        <v>8</v>
      </c>
      <c r="C162" t="str">
        <f t="shared" si="24"/>
        <v>test.ImageData_8_</v>
      </c>
      <c r="D162">
        <v>1</v>
      </c>
      <c r="E162" s="4">
        <v>0.11728395061728394</v>
      </c>
      <c r="F162" s="4">
        <v>8.190387884407356E-2</v>
      </c>
      <c r="G162" s="4">
        <f t="shared" si="25"/>
        <v>0.11728395061728394</v>
      </c>
      <c r="H162" s="4" t="str">
        <f t="shared" si="26"/>
        <v/>
      </c>
      <c r="I162" s="4" t="str">
        <f t="shared" si="27"/>
        <v/>
      </c>
      <c r="J162" s="4" t="str">
        <f t="shared" si="28"/>
        <v/>
      </c>
      <c r="K162" s="4" t="str">
        <f t="shared" si="29"/>
        <v/>
      </c>
      <c r="L162" s="4" t="str">
        <f t="shared" si="30"/>
        <v/>
      </c>
      <c r="M162" s="4"/>
      <c r="N162" s="4"/>
      <c r="O162" s="4"/>
      <c r="P162" s="4"/>
      <c r="Q162" s="4"/>
      <c r="R162" s="4"/>
      <c r="S162" s="4"/>
      <c r="T162" s="4"/>
      <c r="U162" s="4"/>
    </row>
    <row r="163" spans="1:21">
      <c r="A163" t="s">
        <v>225</v>
      </c>
      <c r="B163">
        <v>8</v>
      </c>
      <c r="C163" t="str">
        <f t="shared" si="24"/>
        <v>test.ImageData_8_</v>
      </c>
      <c r="D163">
        <v>2</v>
      </c>
      <c r="E163" s="4">
        <v>0.1728395061728395</v>
      </c>
      <c r="F163" s="4">
        <v>0.12687374439808377</v>
      </c>
      <c r="G163" s="4">
        <f t="shared" si="25"/>
        <v>0.1728395061728395</v>
      </c>
      <c r="H163" s="4" t="str">
        <f t="shared" si="26"/>
        <v/>
      </c>
      <c r="I163" s="4" t="str">
        <f t="shared" si="27"/>
        <v/>
      </c>
      <c r="J163" s="4" t="str">
        <f t="shared" si="28"/>
        <v/>
      </c>
      <c r="K163" s="4" t="str">
        <f t="shared" si="29"/>
        <v/>
      </c>
      <c r="L163" s="4" t="str">
        <f t="shared" si="30"/>
        <v/>
      </c>
      <c r="M163" s="4"/>
      <c r="N163" s="4"/>
      <c r="O163" s="4"/>
      <c r="P163" s="4"/>
      <c r="Q163" s="4"/>
      <c r="R163" s="4"/>
      <c r="S163" s="4"/>
      <c r="T163" s="4"/>
      <c r="U163" s="4"/>
    </row>
    <row r="164" spans="1:21">
      <c r="A164" t="s">
        <v>225</v>
      </c>
      <c r="B164">
        <v>8</v>
      </c>
      <c r="C164" t="str">
        <f t="shared" si="24"/>
        <v>test.ImageData_8_</v>
      </c>
      <c r="D164">
        <v>3</v>
      </c>
      <c r="E164" s="4">
        <v>0.34567901234567899</v>
      </c>
      <c r="F164" s="4">
        <v>0.23690310616597127</v>
      </c>
      <c r="G164" s="4" t="str">
        <f t="shared" si="25"/>
        <v/>
      </c>
      <c r="H164" s="4">
        <f t="shared" si="26"/>
        <v>0.34567901234567899</v>
      </c>
      <c r="I164" s="4" t="str">
        <f t="shared" si="27"/>
        <v/>
      </c>
      <c r="J164" s="4" t="str">
        <f t="shared" si="28"/>
        <v/>
      </c>
      <c r="K164" s="4" t="str">
        <f t="shared" si="29"/>
        <v/>
      </c>
      <c r="L164" s="4" t="str">
        <f t="shared" si="30"/>
        <v/>
      </c>
      <c r="M164" s="4"/>
      <c r="N164" s="4"/>
      <c r="O164" s="4"/>
      <c r="P164" s="4"/>
      <c r="Q164" s="4"/>
      <c r="R164" s="4"/>
      <c r="S164" s="4"/>
      <c r="T164" s="4"/>
      <c r="U164" s="4"/>
    </row>
    <row r="165" spans="1:21">
      <c r="A165" t="s">
        <v>225</v>
      </c>
      <c r="B165">
        <v>8</v>
      </c>
      <c r="C165" t="str">
        <f t="shared" si="24"/>
        <v>test.ImageData_8_</v>
      </c>
      <c r="D165">
        <v>4</v>
      </c>
      <c r="E165" s="4">
        <v>0.40740740740740738</v>
      </c>
      <c r="F165" s="4">
        <v>0.23844846237057643</v>
      </c>
      <c r="G165" s="4" t="str">
        <f t="shared" si="25"/>
        <v/>
      </c>
      <c r="H165" s="4">
        <f t="shared" si="26"/>
        <v>0.40740740740740738</v>
      </c>
      <c r="I165" s="4" t="str">
        <f t="shared" si="27"/>
        <v/>
      </c>
      <c r="J165" s="4" t="str">
        <f t="shared" si="28"/>
        <v/>
      </c>
      <c r="K165" s="4" t="str">
        <f t="shared" si="29"/>
        <v/>
      </c>
      <c r="L165" s="4" t="str">
        <f t="shared" si="30"/>
        <v/>
      </c>
      <c r="M165" s="4"/>
      <c r="N165" s="4"/>
      <c r="O165" s="4"/>
      <c r="P165" s="4"/>
      <c r="Q165" s="4"/>
      <c r="R165" s="4"/>
      <c r="S165" s="4"/>
      <c r="T165" s="4"/>
      <c r="U165" s="4"/>
    </row>
    <row r="166" spans="1:21">
      <c r="A166" t="s">
        <v>225</v>
      </c>
      <c r="B166">
        <v>8</v>
      </c>
      <c r="C166" t="str">
        <f t="shared" si="24"/>
        <v>test.ImageData_8_</v>
      </c>
      <c r="D166">
        <v>5</v>
      </c>
      <c r="E166" s="4">
        <v>0.5864197530864198</v>
      </c>
      <c r="F166" s="4">
        <v>0.24632977901406275</v>
      </c>
      <c r="G166" s="4" t="str">
        <f t="shared" si="25"/>
        <v/>
      </c>
      <c r="H166" s="4">
        <f t="shared" si="26"/>
        <v>0.5864197530864198</v>
      </c>
      <c r="I166" s="4" t="str">
        <f t="shared" si="27"/>
        <v/>
      </c>
      <c r="J166" s="4" t="str">
        <f t="shared" si="28"/>
        <v/>
      </c>
      <c r="K166" s="4" t="str">
        <f t="shared" si="29"/>
        <v/>
      </c>
      <c r="L166" s="4" t="str">
        <f t="shared" si="30"/>
        <v/>
      </c>
      <c r="M166" s="4"/>
      <c r="N166" s="4"/>
      <c r="O166" s="4"/>
      <c r="P166" s="4"/>
      <c r="Q166" s="4"/>
      <c r="R166" s="4"/>
      <c r="S166" s="4"/>
      <c r="T166" s="4"/>
      <c r="U166" s="4"/>
    </row>
    <row r="167" spans="1:21">
      <c r="A167" t="s">
        <v>225</v>
      </c>
      <c r="B167">
        <v>8</v>
      </c>
      <c r="C167" t="str">
        <f t="shared" si="24"/>
        <v>test.ImageData_8_</v>
      </c>
      <c r="D167">
        <v>6</v>
      </c>
      <c r="E167" s="4">
        <v>0.62345679012345678</v>
      </c>
      <c r="F167" s="4">
        <v>0.24911142018235202</v>
      </c>
      <c r="G167" s="4" t="str">
        <f t="shared" si="25"/>
        <v/>
      </c>
      <c r="H167" s="4">
        <f t="shared" si="26"/>
        <v>0.62345679012345678</v>
      </c>
      <c r="I167" s="4" t="str">
        <f t="shared" si="27"/>
        <v/>
      </c>
      <c r="J167" s="4" t="str">
        <f t="shared" si="28"/>
        <v/>
      </c>
      <c r="K167" s="4" t="str">
        <f t="shared" si="29"/>
        <v/>
      </c>
      <c r="L167" s="4" t="str">
        <f t="shared" si="30"/>
        <v/>
      </c>
      <c r="M167" s="4"/>
      <c r="N167" s="4"/>
      <c r="O167" s="4"/>
      <c r="P167" s="4"/>
      <c r="Q167" s="4"/>
      <c r="R167" s="4"/>
      <c r="S167" s="4"/>
      <c r="T167" s="4"/>
      <c r="U167" s="4"/>
    </row>
    <row r="168" spans="1:21">
      <c r="A168" t="s">
        <v>225</v>
      </c>
      <c r="B168">
        <v>8</v>
      </c>
      <c r="C168" t="str">
        <f t="shared" si="24"/>
        <v>test.ImageData_8_</v>
      </c>
      <c r="D168">
        <v>7</v>
      </c>
      <c r="E168" s="4">
        <v>0.66049382716049387</v>
      </c>
      <c r="F168" s="4">
        <v>0.3511049296862927</v>
      </c>
      <c r="G168" s="4" t="str">
        <f t="shared" si="25"/>
        <v/>
      </c>
      <c r="H168" s="4">
        <f t="shared" si="26"/>
        <v>0.66049382716049387</v>
      </c>
      <c r="I168" s="4" t="str">
        <f t="shared" si="27"/>
        <v/>
      </c>
      <c r="J168" s="4" t="str">
        <f t="shared" si="28"/>
        <v/>
      </c>
      <c r="K168" s="4" t="str">
        <f t="shared" si="29"/>
        <v/>
      </c>
      <c r="L168" s="4" t="str">
        <f t="shared" si="30"/>
        <v/>
      </c>
      <c r="M168" s="4"/>
      <c r="N168" s="4"/>
      <c r="O168" s="4"/>
      <c r="P168" s="4"/>
      <c r="Q168" s="4"/>
      <c r="R168" s="4"/>
      <c r="S168" s="4"/>
      <c r="T168" s="4"/>
      <c r="U168" s="4"/>
    </row>
    <row r="169" spans="1:21">
      <c r="A169" t="s">
        <v>225</v>
      </c>
      <c r="B169">
        <v>8</v>
      </c>
      <c r="C169" t="str">
        <f t="shared" si="24"/>
        <v>test.ImageData_8_</v>
      </c>
      <c r="D169">
        <v>8</v>
      </c>
      <c r="E169" s="4">
        <v>0.66049382716049387</v>
      </c>
      <c r="F169" s="4">
        <v>0.35651367640241077</v>
      </c>
      <c r="G169" s="4" t="str">
        <f t="shared" si="25"/>
        <v/>
      </c>
      <c r="H169" s="4">
        <f t="shared" si="26"/>
        <v>0.66049382716049387</v>
      </c>
      <c r="I169" s="4" t="str">
        <f t="shared" si="27"/>
        <v/>
      </c>
      <c r="J169" s="4" t="str">
        <f t="shared" si="28"/>
        <v/>
      </c>
      <c r="K169" s="4" t="str">
        <f t="shared" si="29"/>
        <v/>
      </c>
      <c r="L169" s="4" t="str">
        <f t="shared" si="30"/>
        <v/>
      </c>
      <c r="M169" s="4"/>
      <c r="N169" s="4"/>
      <c r="O169" s="4"/>
      <c r="P169" s="4"/>
      <c r="Q169" s="4"/>
      <c r="R169" s="4"/>
      <c r="S169" s="4"/>
      <c r="T169" s="4"/>
      <c r="U169" s="4"/>
    </row>
    <row r="170" spans="1:21">
      <c r="A170" t="s">
        <v>225</v>
      </c>
      <c r="B170">
        <v>8</v>
      </c>
      <c r="C170" t="str">
        <f t="shared" si="24"/>
        <v>test.ImageData_8_</v>
      </c>
      <c r="D170">
        <v>9</v>
      </c>
      <c r="E170" s="4">
        <v>0.86419753086419748</v>
      </c>
      <c r="F170" s="4">
        <v>0.40642868181115749</v>
      </c>
      <c r="G170" s="4" t="str">
        <f t="shared" si="25"/>
        <v/>
      </c>
      <c r="H170" s="4" t="str">
        <f t="shared" si="26"/>
        <v/>
      </c>
      <c r="I170" s="4">
        <f t="shared" si="27"/>
        <v>0.86419753086419748</v>
      </c>
      <c r="J170" s="4" t="str">
        <f t="shared" si="28"/>
        <v/>
      </c>
      <c r="K170" s="4" t="str">
        <f t="shared" si="29"/>
        <v/>
      </c>
      <c r="L170" s="4" t="str">
        <f t="shared" si="30"/>
        <v/>
      </c>
      <c r="M170" s="4"/>
      <c r="N170" s="4"/>
      <c r="O170" s="4"/>
      <c r="P170" s="4"/>
      <c r="Q170" s="4"/>
      <c r="R170" s="4"/>
      <c r="S170" s="4"/>
      <c r="T170" s="4"/>
      <c r="U170" s="4"/>
    </row>
    <row r="171" spans="1:21">
      <c r="A171" t="s">
        <v>225</v>
      </c>
      <c r="B171">
        <v>8</v>
      </c>
      <c r="C171" t="str">
        <f t="shared" si="24"/>
        <v>test.ImageData_8_</v>
      </c>
      <c r="D171">
        <v>10</v>
      </c>
      <c r="E171" s="4">
        <v>1</v>
      </c>
      <c r="F171" s="4">
        <v>0.51027661876062436</v>
      </c>
      <c r="G171" s="4" t="str">
        <f t="shared" si="25"/>
        <v/>
      </c>
      <c r="H171" s="4" t="str">
        <f t="shared" si="26"/>
        <v/>
      </c>
      <c r="I171" s="4">
        <f t="shared" si="27"/>
        <v>1</v>
      </c>
      <c r="J171" s="4" t="str">
        <f t="shared" si="28"/>
        <v/>
      </c>
      <c r="K171" s="4" t="str">
        <f t="shared" si="29"/>
        <v/>
      </c>
      <c r="L171" s="4" t="str">
        <f t="shared" si="30"/>
        <v/>
      </c>
      <c r="M171" s="4"/>
      <c r="N171" s="4"/>
      <c r="O171" s="4"/>
      <c r="P171" s="4"/>
      <c r="Q171" s="4"/>
      <c r="R171" s="4"/>
      <c r="S171" s="4"/>
      <c r="T171" s="4"/>
      <c r="U171" s="4"/>
    </row>
    <row r="172" spans="1:21">
      <c r="A172" t="s">
        <v>225</v>
      </c>
      <c r="B172">
        <v>9</v>
      </c>
      <c r="C172" t="str">
        <f t="shared" si="24"/>
        <v>test.ImageData_9_</v>
      </c>
      <c r="D172">
        <v>1</v>
      </c>
      <c r="E172" s="4">
        <v>7.3643410852713184E-2</v>
      </c>
      <c r="F172" s="4">
        <v>3.4345445495271278E-2</v>
      </c>
      <c r="G172" s="4">
        <f t="shared" si="25"/>
        <v>7.3643410852713184E-2</v>
      </c>
      <c r="H172" s="4" t="str">
        <f t="shared" si="26"/>
        <v/>
      </c>
      <c r="I172" s="4" t="str">
        <f t="shared" si="27"/>
        <v/>
      </c>
      <c r="J172" s="4" t="str">
        <f t="shared" si="28"/>
        <v/>
      </c>
      <c r="K172" s="4" t="str">
        <f t="shared" si="29"/>
        <v/>
      </c>
      <c r="L172" s="4" t="str">
        <f t="shared" si="30"/>
        <v/>
      </c>
      <c r="M172" s="4"/>
      <c r="N172" s="4"/>
      <c r="O172" s="4"/>
      <c r="P172" s="4"/>
      <c r="Q172" s="4"/>
      <c r="R172" s="4"/>
      <c r="S172" s="4"/>
      <c r="T172" s="4"/>
      <c r="U172" s="4"/>
    </row>
    <row r="173" spans="1:21">
      <c r="A173" t="s">
        <v>225</v>
      </c>
      <c r="B173">
        <v>9</v>
      </c>
      <c r="C173" t="str">
        <f t="shared" si="24"/>
        <v>test.ImageData_9_</v>
      </c>
      <c r="D173">
        <v>2</v>
      </c>
      <c r="E173" s="4">
        <v>0.12015503875968993</v>
      </c>
      <c r="F173" s="4">
        <v>6.2717770034843204E-2</v>
      </c>
      <c r="G173" s="4">
        <f t="shared" si="25"/>
        <v>0.12015503875968993</v>
      </c>
      <c r="H173" s="4" t="str">
        <f t="shared" si="26"/>
        <v/>
      </c>
      <c r="I173" s="4" t="str">
        <f t="shared" si="27"/>
        <v/>
      </c>
      <c r="J173" s="4" t="str">
        <f t="shared" si="28"/>
        <v/>
      </c>
      <c r="K173" s="4" t="str">
        <f t="shared" si="29"/>
        <v/>
      </c>
      <c r="L173" s="4" t="str">
        <f t="shared" si="30"/>
        <v/>
      </c>
      <c r="M173" s="4"/>
      <c r="N173" s="4"/>
      <c r="O173" s="4"/>
      <c r="P173" s="4"/>
      <c r="Q173" s="4"/>
      <c r="R173" s="4"/>
      <c r="S173" s="4"/>
      <c r="T173" s="4"/>
      <c r="U173" s="4"/>
    </row>
    <row r="174" spans="1:21">
      <c r="A174" t="s">
        <v>225</v>
      </c>
      <c r="B174">
        <v>9</v>
      </c>
      <c r="C174" t="str">
        <f t="shared" si="24"/>
        <v>test.ImageData_9_</v>
      </c>
      <c r="D174">
        <v>3</v>
      </c>
      <c r="E174" s="4">
        <v>0.2558139534883721</v>
      </c>
      <c r="F174" s="4">
        <v>0.10396963663514186</v>
      </c>
      <c r="G174" s="4">
        <f t="shared" si="25"/>
        <v>0.2558139534883721</v>
      </c>
      <c r="H174" s="4" t="str">
        <f t="shared" si="26"/>
        <v/>
      </c>
      <c r="I174" s="4" t="str">
        <f t="shared" si="27"/>
        <v/>
      </c>
      <c r="J174" s="4" t="str">
        <f t="shared" si="28"/>
        <v/>
      </c>
      <c r="K174" s="4" t="str">
        <f t="shared" si="29"/>
        <v/>
      </c>
      <c r="L174" s="4" t="str">
        <f t="shared" si="30"/>
        <v/>
      </c>
      <c r="M174" s="4"/>
      <c r="N174" s="4"/>
      <c r="O174" s="4"/>
      <c r="P174" s="4"/>
      <c r="Q174" s="4"/>
      <c r="R174" s="4"/>
      <c r="S174" s="4"/>
      <c r="T174" s="4"/>
      <c r="U174" s="4"/>
    </row>
    <row r="175" spans="1:21">
      <c r="A175" t="s">
        <v>225</v>
      </c>
      <c r="B175">
        <v>9</v>
      </c>
      <c r="C175" t="str">
        <f t="shared" si="24"/>
        <v>test.ImageData_9_</v>
      </c>
      <c r="D175">
        <v>4</v>
      </c>
      <c r="E175" s="4">
        <v>0.38759689922480622</v>
      </c>
      <c r="F175" s="4">
        <v>0.11143603782976605</v>
      </c>
      <c r="G175" s="4">
        <f t="shared" si="25"/>
        <v>0.38759689922480622</v>
      </c>
      <c r="H175" s="4" t="str">
        <f t="shared" si="26"/>
        <v/>
      </c>
      <c r="I175" s="4" t="str">
        <f t="shared" si="27"/>
        <v/>
      </c>
      <c r="J175" s="4" t="str">
        <f t="shared" si="28"/>
        <v/>
      </c>
      <c r="K175" s="4" t="str">
        <f t="shared" si="29"/>
        <v/>
      </c>
      <c r="L175" s="4" t="str">
        <f t="shared" si="30"/>
        <v/>
      </c>
      <c r="M175" s="4"/>
      <c r="N175" s="4"/>
      <c r="O175" s="4"/>
      <c r="P175" s="4"/>
      <c r="Q175" s="4"/>
      <c r="R175" s="4"/>
      <c r="S175" s="4"/>
      <c r="T175" s="4"/>
      <c r="U175" s="4"/>
    </row>
    <row r="176" spans="1:21">
      <c r="A176" t="s">
        <v>225</v>
      </c>
      <c r="B176">
        <v>9</v>
      </c>
      <c r="C176" t="str">
        <f t="shared" si="24"/>
        <v>test.ImageData_9_</v>
      </c>
      <c r="D176">
        <v>5</v>
      </c>
      <c r="E176" s="4">
        <v>0.38759689922480622</v>
      </c>
      <c r="F176" s="4">
        <v>0.12779990044798406</v>
      </c>
      <c r="G176" s="4">
        <f t="shared" si="25"/>
        <v>0.38759689922480622</v>
      </c>
      <c r="H176" s="4" t="str">
        <f t="shared" si="26"/>
        <v/>
      </c>
      <c r="I176" s="4" t="str">
        <f t="shared" si="27"/>
        <v/>
      </c>
      <c r="J176" s="4" t="str">
        <f t="shared" si="28"/>
        <v/>
      </c>
      <c r="K176" s="4" t="str">
        <f t="shared" si="29"/>
        <v/>
      </c>
      <c r="L176" s="4" t="str">
        <f t="shared" si="30"/>
        <v/>
      </c>
      <c r="M176" s="4"/>
      <c r="N176" s="4"/>
      <c r="O176" s="4"/>
      <c r="P176" s="4"/>
      <c r="Q176" s="4"/>
      <c r="R176" s="4"/>
      <c r="S176" s="4"/>
      <c r="T176" s="4"/>
      <c r="U176" s="4"/>
    </row>
    <row r="177" spans="1:21">
      <c r="A177" t="s">
        <v>225</v>
      </c>
      <c r="B177">
        <v>9</v>
      </c>
      <c r="C177" t="str">
        <f t="shared" si="24"/>
        <v>test.ImageData_9_</v>
      </c>
      <c r="D177">
        <v>6</v>
      </c>
      <c r="E177" s="4">
        <v>0.4263565891472868</v>
      </c>
      <c r="F177" s="4">
        <v>0.15013688402190145</v>
      </c>
      <c r="G177" s="4">
        <f t="shared" si="25"/>
        <v>0.4263565891472868</v>
      </c>
      <c r="H177" s="4" t="str">
        <f t="shared" si="26"/>
        <v/>
      </c>
      <c r="I177" s="4" t="str">
        <f t="shared" si="27"/>
        <v/>
      </c>
      <c r="J177" s="4" t="str">
        <f t="shared" si="28"/>
        <v/>
      </c>
      <c r="K177" s="4" t="str">
        <f t="shared" si="29"/>
        <v/>
      </c>
      <c r="L177" s="4" t="str">
        <f t="shared" si="30"/>
        <v/>
      </c>
      <c r="M177" s="4"/>
      <c r="N177" s="4"/>
      <c r="O177" s="4"/>
      <c r="P177" s="4"/>
      <c r="Q177" s="4"/>
      <c r="R177" s="4"/>
      <c r="S177" s="4"/>
      <c r="T177" s="4"/>
      <c r="U177" s="4"/>
    </row>
    <row r="178" spans="1:21">
      <c r="A178" t="s">
        <v>225</v>
      </c>
      <c r="B178">
        <v>9</v>
      </c>
      <c r="C178" t="str">
        <f t="shared" si="24"/>
        <v>test.ImageData_9_</v>
      </c>
      <c r="D178">
        <v>7</v>
      </c>
      <c r="E178" s="4">
        <v>0.53100775193798455</v>
      </c>
      <c r="F178" s="4">
        <v>0.23898705823792932</v>
      </c>
      <c r="G178" s="4" t="str">
        <f t="shared" si="25"/>
        <v/>
      </c>
      <c r="H178" s="4">
        <f t="shared" si="26"/>
        <v>0.53100775193798455</v>
      </c>
      <c r="I178" s="4" t="str">
        <f t="shared" si="27"/>
        <v/>
      </c>
      <c r="J178" s="4" t="str">
        <f t="shared" si="28"/>
        <v/>
      </c>
      <c r="K178" s="4" t="str">
        <f t="shared" si="29"/>
        <v/>
      </c>
      <c r="L178" s="4" t="str">
        <f t="shared" si="30"/>
        <v/>
      </c>
      <c r="M178" s="4"/>
      <c r="N178" s="4"/>
      <c r="O178" s="4"/>
      <c r="P178" s="4"/>
      <c r="Q178" s="4"/>
      <c r="R178" s="4"/>
      <c r="S178" s="4"/>
      <c r="T178" s="4"/>
      <c r="U178" s="4"/>
    </row>
    <row r="179" spans="1:21">
      <c r="A179" t="s">
        <v>225</v>
      </c>
      <c r="B179">
        <v>9</v>
      </c>
      <c r="C179" t="str">
        <f t="shared" si="24"/>
        <v>test.ImageData_9_</v>
      </c>
      <c r="D179">
        <v>8</v>
      </c>
      <c r="E179" s="4">
        <v>0.66666666666666663</v>
      </c>
      <c r="F179" s="4">
        <v>0.29075410652065703</v>
      </c>
      <c r="G179" s="4" t="str">
        <f t="shared" si="25"/>
        <v/>
      </c>
      <c r="H179" s="4">
        <f t="shared" si="26"/>
        <v>0.66666666666666663</v>
      </c>
      <c r="I179" s="4" t="str">
        <f t="shared" si="27"/>
        <v/>
      </c>
      <c r="J179" s="4" t="str">
        <f t="shared" si="28"/>
        <v/>
      </c>
      <c r="K179" s="4" t="str">
        <f t="shared" si="29"/>
        <v/>
      </c>
      <c r="L179" s="4" t="str">
        <f t="shared" si="30"/>
        <v/>
      </c>
      <c r="M179" s="4"/>
      <c r="N179" s="4"/>
      <c r="O179" s="4"/>
      <c r="P179" s="4"/>
      <c r="Q179" s="4"/>
      <c r="R179" s="4"/>
      <c r="S179" s="4"/>
      <c r="T179" s="4"/>
      <c r="U179" s="4"/>
    </row>
    <row r="180" spans="1:21">
      <c r="A180" t="s">
        <v>225</v>
      </c>
      <c r="B180">
        <v>9</v>
      </c>
      <c r="C180" t="str">
        <f t="shared" si="24"/>
        <v>test.ImageData_9_</v>
      </c>
      <c r="D180">
        <v>9</v>
      </c>
      <c r="E180" s="4">
        <v>0.75193798449612403</v>
      </c>
      <c r="F180" s="4">
        <v>0.29442508710801396</v>
      </c>
      <c r="G180" s="4" t="str">
        <f t="shared" si="25"/>
        <v/>
      </c>
      <c r="H180" s="4">
        <f t="shared" si="26"/>
        <v>0.75193798449612403</v>
      </c>
      <c r="I180" s="4" t="str">
        <f t="shared" si="27"/>
        <v/>
      </c>
      <c r="J180" s="4" t="str">
        <f t="shared" si="28"/>
        <v/>
      </c>
      <c r="K180" s="4" t="str">
        <f t="shared" si="29"/>
        <v/>
      </c>
      <c r="L180" s="4" t="str">
        <f t="shared" si="30"/>
        <v/>
      </c>
      <c r="M180" s="4"/>
      <c r="N180" s="4"/>
      <c r="O180" s="4"/>
      <c r="P180" s="4"/>
      <c r="Q180" s="4"/>
      <c r="R180" s="4"/>
      <c r="S180" s="4"/>
      <c r="T180" s="4"/>
      <c r="U180" s="4"/>
    </row>
    <row r="181" spans="1:21">
      <c r="A181" t="s">
        <v>225</v>
      </c>
      <c r="B181">
        <v>9</v>
      </c>
      <c r="C181" t="str">
        <f t="shared" si="24"/>
        <v>test.ImageData_9_</v>
      </c>
      <c r="D181">
        <v>10</v>
      </c>
      <c r="E181" s="4">
        <v>0.87209302325581395</v>
      </c>
      <c r="F181" s="4">
        <v>0.30077152812344449</v>
      </c>
      <c r="G181" s="4" t="str">
        <f t="shared" si="25"/>
        <v/>
      </c>
      <c r="H181" s="4">
        <f t="shared" si="26"/>
        <v>0.87209302325581395</v>
      </c>
      <c r="I181" s="4" t="str">
        <f t="shared" si="27"/>
        <v/>
      </c>
      <c r="J181" s="4" t="str">
        <f t="shared" si="28"/>
        <v/>
      </c>
      <c r="K181" s="4" t="str">
        <f t="shared" si="29"/>
        <v/>
      </c>
      <c r="L181" s="4" t="str">
        <f t="shared" si="30"/>
        <v/>
      </c>
      <c r="M181" s="4"/>
      <c r="N181" s="4"/>
      <c r="O181" s="4"/>
      <c r="P181" s="4"/>
      <c r="Q181" s="4"/>
      <c r="R181" s="4"/>
      <c r="S181" s="4"/>
      <c r="T181" s="4"/>
      <c r="U181" s="4"/>
    </row>
    <row r="182" spans="1:21">
      <c r="A182" t="s">
        <v>225</v>
      </c>
      <c r="B182">
        <v>10</v>
      </c>
      <c r="C182" t="str">
        <f t="shared" si="24"/>
        <v>test.ImageData_10_</v>
      </c>
      <c r="D182">
        <v>1</v>
      </c>
      <c r="E182" s="4">
        <v>0.8</v>
      </c>
      <c r="F182" s="4">
        <v>0.93927893738140422</v>
      </c>
      <c r="G182" s="4" t="str">
        <f t="shared" si="25"/>
        <v/>
      </c>
      <c r="H182" s="4" t="str">
        <f t="shared" si="26"/>
        <v/>
      </c>
      <c r="I182" s="4" t="str">
        <f t="shared" si="27"/>
        <v/>
      </c>
      <c r="J182" s="4" t="str">
        <f t="shared" si="28"/>
        <v/>
      </c>
      <c r="K182" s="4">
        <f t="shared" si="29"/>
        <v>0.8</v>
      </c>
      <c r="L182" s="4" t="str">
        <f t="shared" si="30"/>
        <v/>
      </c>
      <c r="M182" s="4"/>
      <c r="N182" s="4"/>
      <c r="O182" s="4"/>
      <c r="P182" s="4"/>
      <c r="Q182" s="4"/>
      <c r="R182" s="4"/>
      <c r="S182" s="4"/>
      <c r="T182" s="4"/>
      <c r="U182" s="4"/>
    </row>
    <row r="183" spans="1:21">
      <c r="A183" t="s">
        <v>225</v>
      </c>
      <c r="B183">
        <v>10</v>
      </c>
      <c r="C183" t="str">
        <f t="shared" si="24"/>
        <v>test.ImageData_10_</v>
      </c>
      <c r="D183">
        <v>2</v>
      </c>
      <c r="E183" s="4">
        <v>0.9</v>
      </c>
      <c r="F183" s="4">
        <v>3.4762808349146108</v>
      </c>
      <c r="G183" s="4" t="str">
        <f t="shared" si="25"/>
        <v/>
      </c>
      <c r="H183" s="4" t="str">
        <f t="shared" si="26"/>
        <v/>
      </c>
      <c r="I183" s="4" t="str">
        <f t="shared" si="27"/>
        <v/>
      </c>
      <c r="J183" s="4" t="str">
        <f t="shared" si="28"/>
        <v/>
      </c>
      <c r="K183" s="4" t="str">
        <f t="shared" si="29"/>
        <v/>
      </c>
      <c r="L183" s="4">
        <f t="shared" si="30"/>
        <v>0.9</v>
      </c>
      <c r="M183" s="4"/>
      <c r="N183" s="4"/>
      <c r="O183" s="4"/>
      <c r="P183" s="4"/>
      <c r="Q183" s="4"/>
      <c r="R183" s="4"/>
      <c r="S183" s="4"/>
      <c r="T183" s="4"/>
      <c r="U183" s="4"/>
    </row>
    <row r="184" spans="1:21">
      <c r="A184" t="s">
        <v>225</v>
      </c>
      <c r="B184">
        <v>11</v>
      </c>
      <c r="C184" t="str">
        <f t="shared" si="24"/>
        <v>test.ImageData_11_</v>
      </c>
      <c r="D184">
        <v>1</v>
      </c>
      <c r="E184" s="4">
        <v>0.33962264150943394</v>
      </c>
      <c r="F184" s="4">
        <v>6.0521415270018621E-2</v>
      </c>
      <c r="G184" s="4">
        <f t="shared" si="25"/>
        <v>0.33962264150943394</v>
      </c>
      <c r="H184" s="4" t="str">
        <f t="shared" si="26"/>
        <v/>
      </c>
      <c r="I184" s="4" t="str">
        <f t="shared" si="27"/>
        <v/>
      </c>
      <c r="J184" s="4" t="str">
        <f t="shared" si="28"/>
        <v/>
      </c>
      <c r="K184" s="4" t="str">
        <f t="shared" si="29"/>
        <v/>
      </c>
      <c r="L184" s="4" t="str">
        <f t="shared" si="30"/>
        <v/>
      </c>
      <c r="M184" s="4"/>
      <c r="N184" s="4"/>
      <c r="O184" s="4"/>
      <c r="P184" s="4"/>
      <c r="Q184" s="4"/>
      <c r="R184" s="4"/>
      <c r="S184" s="4"/>
      <c r="T184" s="4"/>
      <c r="U184" s="4"/>
    </row>
    <row r="185" spans="1:21">
      <c r="A185" t="s">
        <v>225</v>
      </c>
      <c r="B185">
        <v>11</v>
      </c>
      <c r="C185" t="str">
        <f t="shared" si="24"/>
        <v>test.ImageData_11_</v>
      </c>
      <c r="D185">
        <v>2</v>
      </c>
      <c r="E185" s="4">
        <v>0.84905660377358494</v>
      </c>
      <c r="F185" s="4">
        <v>0.68947858472998136</v>
      </c>
      <c r="G185" s="4" t="str">
        <f t="shared" si="25"/>
        <v/>
      </c>
      <c r="H185" s="4" t="str">
        <f t="shared" si="26"/>
        <v/>
      </c>
      <c r="I185" s="4" t="str">
        <f t="shared" si="27"/>
        <v/>
      </c>
      <c r="J185" s="4">
        <f t="shared" si="28"/>
        <v>0.84905660377358494</v>
      </c>
      <c r="K185" s="4" t="str">
        <f t="shared" si="29"/>
        <v/>
      </c>
      <c r="L185" s="4" t="str">
        <f t="shared" si="30"/>
        <v/>
      </c>
      <c r="M185" s="4"/>
      <c r="N185" s="4"/>
      <c r="O185" s="4"/>
      <c r="P185" s="4"/>
      <c r="Q185" s="4"/>
      <c r="R185" s="4"/>
      <c r="S185" s="4"/>
      <c r="T185" s="4"/>
      <c r="U185" s="4"/>
    </row>
    <row r="186" spans="1:21">
      <c r="A186" t="s">
        <v>225</v>
      </c>
      <c r="B186">
        <v>11</v>
      </c>
      <c r="C186" t="str">
        <f t="shared" si="24"/>
        <v>test.ImageData_11_</v>
      </c>
      <c r="D186">
        <v>3</v>
      </c>
      <c r="E186" s="4">
        <v>0.96226415094339623</v>
      </c>
      <c r="F186" s="4">
        <v>0.96461824953445063</v>
      </c>
      <c r="G186" s="4" t="str">
        <f t="shared" si="25"/>
        <v/>
      </c>
      <c r="H186" s="4" t="str">
        <f t="shared" si="26"/>
        <v/>
      </c>
      <c r="I186" s="4" t="str">
        <f t="shared" si="27"/>
        <v/>
      </c>
      <c r="J186" s="4" t="str">
        <f t="shared" si="28"/>
        <v/>
      </c>
      <c r="K186" s="4">
        <f t="shared" si="29"/>
        <v>0.96226415094339623</v>
      </c>
      <c r="L186" s="4" t="str">
        <f t="shared" si="30"/>
        <v/>
      </c>
      <c r="M186" s="4"/>
      <c r="N186" s="4"/>
      <c r="O186" s="4"/>
      <c r="P186" s="4"/>
      <c r="Q186" s="4"/>
      <c r="R186" s="4"/>
      <c r="S186" s="4"/>
      <c r="T186" s="4"/>
      <c r="U186" s="4"/>
    </row>
    <row r="187" spans="1:21">
      <c r="A187" t="s">
        <v>225</v>
      </c>
      <c r="B187">
        <v>14</v>
      </c>
      <c r="C187" t="str">
        <f t="shared" si="24"/>
        <v>test.ImageData_14_</v>
      </c>
      <c r="D187">
        <v>1</v>
      </c>
      <c r="E187" s="4">
        <v>2.0876826722338203E-3</v>
      </c>
      <c r="F187" s="4">
        <v>5.0888235437070162E-2</v>
      </c>
      <c r="G187" s="4">
        <f t="shared" si="25"/>
        <v>2.0876826722338203E-3</v>
      </c>
      <c r="H187" s="4" t="str">
        <f t="shared" si="26"/>
        <v/>
      </c>
      <c r="I187" s="4" t="str">
        <f t="shared" si="27"/>
        <v/>
      </c>
      <c r="J187" s="4" t="str">
        <f t="shared" si="28"/>
        <v/>
      </c>
      <c r="K187" s="4" t="str">
        <f t="shared" si="29"/>
        <v/>
      </c>
      <c r="L187" s="4" t="str">
        <f t="shared" si="30"/>
        <v/>
      </c>
      <c r="M187" s="4"/>
      <c r="N187" s="4"/>
      <c r="O187" s="4"/>
      <c r="P187" s="4"/>
      <c r="Q187" s="4"/>
      <c r="R187" s="4"/>
      <c r="S187" s="4"/>
      <c r="T187" s="4"/>
      <c r="U187" s="4"/>
    </row>
    <row r="188" spans="1:21">
      <c r="A188" t="s">
        <v>225</v>
      </c>
      <c r="B188">
        <v>14</v>
      </c>
      <c r="C188" t="str">
        <f t="shared" si="24"/>
        <v>test.ImageData_14_</v>
      </c>
      <c r="D188">
        <v>2</v>
      </c>
      <c r="E188" s="4">
        <v>3.1315240083507308E-3</v>
      </c>
      <c r="F188" s="4">
        <v>5.1277066271355316E-2</v>
      </c>
      <c r="G188" s="4">
        <f t="shared" si="25"/>
        <v>3.1315240083507308E-3</v>
      </c>
      <c r="H188" s="4" t="str">
        <f t="shared" si="26"/>
        <v/>
      </c>
      <c r="I188" s="4" t="str">
        <f t="shared" si="27"/>
        <v/>
      </c>
      <c r="J188" s="4" t="str">
        <f t="shared" si="28"/>
        <v/>
      </c>
      <c r="K188" s="4" t="str">
        <f t="shared" si="29"/>
        <v/>
      </c>
      <c r="L188" s="4" t="str">
        <f t="shared" si="30"/>
        <v/>
      </c>
      <c r="M188" s="4"/>
      <c r="N188" s="4"/>
      <c r="O188" s="4"/>
      <c r="P188" s="4"/>
      <c r="Q188" s="4"/>
      <c r="R188" s="4"/>
      <c r="S188" s="4"/>
      <c r="T188" s="4"/>
      <c r="U188" s="4"/>
    </row>
    <row r="189" spans="1:21">
      <c r="A189" t="s">
        <v>225</v>
      </c>
      <c r="B189">
        <v>14</v>
      </c>
      <c r="C189" t="str">
        <f t="shared" si="24"/>
        <v>test.ImageData_14_</v>
      </c>
      <c r="D189">
        <v>3</v>
      </c>
      <c r="E189" s="4">
        <v>5.2192066805845511E-3</v>
      </c>
      <c r="F189" s="4">
        <v>5.3245522369923935E-2</v>
      </c>
      <c r="G189" s="4">
        <f t="shared" si="25"/>
        <v>5.2192066805845511E-3</v>
      </c>
      <c r="H189" s="4" t="str">
        <f t="shared" si="26"/>
        <v/>
      </c>
      <c r="I189" s="4" t="str">
        <f t="shared" si="27"/>
        <v/>
      </c>
      <c r="J189" s="4" t="str">
        <f t="shared" si="28"/>
        <v/>
      </c>
      <c r="K189" s="4" t="str">
        <f t="shared" si="29"/>
        <v/>
      </c>
      <c r="L189" s="4" t="str">
        <f t="shared" si="30"/>
        <v/>
      </c>
      <c r="M189" s="4"/>
      <c r="N189" s="4"/>
      <c r="O189" s="4"/>
      <c r="P189" s="4"/>
      <c r="Q189" s="4"/>
      <c r="R189" s="4"/>
      <c r="S189" s="4"/>
      <c r="T189" s="4"/>
      <c r="U189" s="4"/>
    </row>
    <row r="190" spans="1:21">
      <c r="A190" t="s">
        <v>225</v>
      </c>
      <c r="B190">
        <v>14</v>
      </c>
      <c r="C190" t="str">
        <f t="shared" si="24"/>
        <v>test.ImageData_14_</v>
      </c>
      <c r="D190">
        <v>4</v>
      </c>
      <c r="E190" s="4">
        <v>0.3653444676409186</v>
      </c>
      <c r="F190" s="4">
        <v>0.44387469926365158</v>
      </c>
      <c r="G190" s="4" t="str">
        <f t="shared" si="25"/>
        <v/>
      </c>
      <c r="H190" s="4" t="str">
        <f t="shared" si="26"/>
        <v/>
      </c>
      <c r="I190" s="4">
        <f t="shared" si="27"/>
        <v>0.3653444676409186</v>
      </c>
      <c r="J190" s="4" t="str">
        <f t="shared" si="28"/>
        <v/>
      </c>
      <c r="K190" s="4" t="str">
        <f t="shared" si="29"/>
        <v/>
      </c>
      <c r="L190" s="4" t="str">
        <f t="shared" si="30"/>
        <v/>
      </c>
      <c r="M190" s="4"/>
      <c r="N190" s="4"/>
      <c r="O190" s="4"/>
      <c r="P190" s="4"/>
      <c r="Q190" s="4"/>
      <c r="R190" s="4"/>
      <c r="S190" s="4"/>
      <c r="T190" s="4"/>
      <c r="U190" s="4"/>
    </row>
    <row r="191" spans="1:21">
      <c r="A191" t="s">
        <v>225</v>
      </c>
      <c r="B191">
        <v>14</v>
      </c>
      <c r="C191" t="str">
        <f t="shared" si="24"/>
        <v>test.ImageData_14_</v>
      </c>
      <c r="D191">
        <v>5</v>
      </c>
      <c r="E191" s="4">
        <v>0.36743215031315241</v>
      </c>
      <c r="F191" s="4">
        <v>0.44433643587936522</v>
      </c>
      <c r="G191" s="4" t="str">
        <f t="shared" si="25"/>
        <v/>
      </c>
      <c r="H191" s="4" t="str">
        <f t="shared" si="26"/>
        <v/>
      </c>
      <c r="I191" s="4">
        <f t="shared" si="27"/>
        <v>0.36743215031315241</v>
      </c>
      <c r="J191" s="4" t="str">
        <f t="shared" si="28"/>
        <v/>
      </c>
      <c r="K191" s="4" t="str">
        <f t="shared" si="29"/>
        <v/>
      </c>
      <c r="L191" s="4" t="str">
        <f t="shared" si="30"/>
        <v/>
      </c>
      <c r="M191" s="4"/>
      <c r="N191" s="4"/>
      <c r="O191" s="4"/>
      <c r="P191" s="4"/>
      <c r="Q191" s="4"/>
      <c r="R191" s="4"/>
      <c r="S191" s="4"/>
      <c r="T191" s="4"/>
      <c r="U191" s="4"/>
    </row>
    <row r="192" spans="1:21">
      <c r="A192" t="s">
        <v>225</v>
      </c>
      <c r="B192">
        <v>14</v>
      </c>
      <c r="C192" t="str">
        <f t="shared" si="24"/>
        <v>test.ImageData_14_</v>
      </c>
      <c r="D192">
        <v>6</v>
      </c>
      <c r="E192" s="4">
        <v>0.58663883089770352</v>
      </c>
      <c r="F192" s="4">
        <v>0.44557583416364915</v>
      </c>
      <c r="G192" s="4" t="str">
        <f t="shared" si="25"/>
        <v/>
      </c>
      <c r="H192" s="4" t="str">
        <f t="shared" si="26"/>
        <v/>
      </c>
      <c r="I192" s="4">
        <f t="shared" si="27"/>
        <v>0.58663883089770352</v>
      </c>
      <c r="J192" s="4" t="str">
        <f t="shared" si="28"/>
        <v/>
      </c>
      <c r="K192" s="4" t="str">
        <f t="shared" si="29"/>
        <v/>
      </c>
      <c r="L192" s="4" t="str">
        <f t="shared" si="30"/>
        <v/>
      </c>
      <c r="M192" s="4"/>
      <c r="N192" s="4"/>
      <c r="O192" s="4"/>
      <c r="P192" s="4"/>
      <c r="Q192" s="4"/>
      <c r="R192" s="4"/>
      <c r="S192" s="4"/>
      <c r="T192" s="4"/>
      <c r="U192" s="4"/>
    </row>
    <row r="193" spans="1:21">
      <c r="A193" t="s">
        <v>225</v>
      </c>
      <c r="B193">
        <v>14</v>
      </c>
      <c r="C193" t="str">
        <f t="shared" si="24"/>
        <v>test.ImageData_14_</v>
      </c>
      <c r="D193">
        <v>7</v>
      </c>
      <c r="E193" s="4">
        <v>0.58872651356993733</v>
      </c>
      <c r="F193" s="4">
        <v>0.44577024958079176</v>
      </c>
      <c r="G193" s="4" t="str">
        <f t="shared" si="25"/>
        <v/>
      </c>
      <c r="H193" s="4" t="str">
        <f t="shared" si="26"/>
        <v/>
      </c>
      <c r="I193" s="4">
        <f t="shared" si="27"/>
        <v>0.58872651356993733</v>
      </c>
      <c r="J193" s="4" t="str">
        <f t="shared" si="28"/>
        <v/>
      </c>
      <c r="K193" s="4" t="str">
        <f t="shared" si="29"/>
        <v/>
      </c>
      <c r="L193" s="4" t="str">
        <f t="shared" si="30"/>
        <v/>
      </c>
      <c r="M193" s="4"/>
      <c r="N193" s="4"/>
      <c r="O193" s="4"/>
      <c r="P193" s="4"/>
      <c r="Q193" s="4"/>
      <c r="R193" s="4"/>
      <c r="S193" s="4"/>
      <c r="T193" s="4"/>
      <c r="U193" s="4"/>
    </row>
    <row r="194" spans="1:21">
      <c r="A194" t="s">
        <v>225</v>
      </c>
      <c r="B194">
        <v>14</v>
      </c>
      <c r="C194" t="str">
        <f t="shared" si="24"/>
        <v>test.ImageData_14_</v>
      </c>
      <c r="D194">
        <v>8</v>
      </c>
      <c r="E194" s="4">
        <v>0.58872651356993733</v>
      </c>
      <c r="F194" s="4">
        <v>0.44664511895793335</v>
      </c>
      <c r="G194" s="4" t="str">
        <f t="shared" si="25"/>
        <v/>
      </c>
      <c r="H194" s="4" t="str">
        <f t="shared" si="26"/>
        <v/>
      </c>
      <c r="I194" s="4">
        <f t="shared" si="27"/>
        <v>0.58872651356993733</v>
      </c>
      <c r="J194" s="4" t="str">
        <f t="shared" si="28"/>
        <v/>
      </c>
      <c r="K194" s="4" t="str">
        <f t="shared" si="29"/>
        <v/>
      </c>
      <c r="L194" s="4" t="str">
        <f t="shared" si="30"/>
        <v/>
      </c>
      <c r="M194" s="4"/>
      <c r="N194" s="4"/>
      <c r="O194" s="4"/>
      <c r="P194" s="4"/>
      <c r="Q194" s="4"/>
      <c r="R194" s="4"/>
      <c r="S194" s="4"/>
      <c r="T194" s="4"/>
      <c r="U194" s="4"/>
    </row>
    <row r="195" spans="1:21">
      <c r="A195" t="s">
        <v>225</v>
      </c>
      <c r="B195">
        <v>14</v>
      </c>
      <c r="C195" t="str">
        <f t="shared" ref="C195:C258" si="31">CONCATENATE(A195, "_",B195,"_")</f>
        <v>test.ImageData_14_</v>
      </c>
      <c r="D195">
        <v>9</v>
      </c>
      <c r="E195" s="4">
        <v>0.58872651356993733</v>
      </c>
      <c r="F195" s="4">
        <v>0.45165131594935476</v>
      </c>
      <c r="G195" s="4" t="str">
        <f t="shared" ref="G195:G258" si="32">IF($F195 &lt;= 0.2,$E195,"")</f>
        <v/>
      </c>
      <c r="H195" s="4" t="str">
        <f t="shared" ref="H195:H258" si="33">IF(AND($F195 &gt; 0.2,$F195 &lt;= 0.4),$E195,"")</f>
        <v/>
      </c>
      <c r="I195" s="4">
        <f t="shared" ref="I195:I258" si="34">IF(AND($F195 &gt; 0.4,$F195 &lt;= 0.6),$E195,"")</f>
        <v>0.58872651356993733</v>
      </c>
      <c r="J195" s="4" t="str">
        <f t="shared" ref="J195:J258" si="35">IF(AND($F195 &gt; 0.6,$F195 &lt;= 0.8),$E195,"")</f>
        <v/>
      </c>
      <c r="K195" s="4" t="str">
        <f t="shared" ref="K195:K258" si="36">IF(AND($F195 &gt; 0.8, $F195 &lt;=1.1),$E195,"")</f>
        <v/>
      </c>
      <c r="L195" s="4" t="str">
        <f t="shared" ref="L195:L258" si="37">IF(AND($F195 &gt; 1.1),$E195,"")</f>
        <v/>
      </c>
      <c r="M195" s="4"/>
      <c r="N195" s="4"/>
      <c r="O195" s="4"/>
      <c r="P195" s="4"/>
      <c r="Q195" s="4"/>
      <c r="R195" s="4"/>
      <c r="S195" s="4"/>
      <c r="T195" s="4"/>
      <c r="U195" s="4"/>
    </row>
    <row r="196" spans="1:21">
      <c r="A196" t="s">
        <v>225</v>
      </c>
      <c r="B196">
        <v>14</v>
      </c>
      <c r="C196" t="str">
        <f t="shared" si="31"/>
        <v>test.ImageData_14_</v>
      </c>
      <c r="D196">
        <v>10</v>
      </c>
      <c r="E196" s="4">
        <v>0.75782881002087688</v>
      </c>
      <c r="F196" s="4">
        <v>0.45930642299934382</v>
      </c>
      <c r="G196" s="4" t="str">
        <f t="shared" si="32"/>
        <v/>
      </c>
      <c r="H196" s="4" t="str">
        <f t="shared" si="33"/>
        <v/>
      </c>
      <c r="I196" s="4">
        <f t="shared" si="34"/>
        <v>0.75782881002087688</v>
      </c>
      <c r="J196" s="4" t="str">
        <f t="shared" si="35"/>
        <v/>
      </c>
      <c r="K196" s="4" t="str">
        <f t="shared" si="36"/>
        <v/>
      </c>
      <c r="L196" s="4" t="str">
        <f t="shared" si="37"/>
        <v/>
      </c>
      <c r="M196" s="4"/>
      <c r="N196" s="4"/>
      <c r="O196" s="4"/>
      <c r="P196" s="4"/>
      <c r="Q196" s="4"/>
      <c r="R196" s="4"/>
      <c r="S196" s="4"/>
      <c r="T196" s="4"/>
      <c r="U196" s="4"/>
    </row>
    <row r="197" spans="1:21">
      <c r="A197" t="s">
        <v>225</v>
      </c>
      <c r="B197">
        <v>14</v>
      </c>
      <c r="C197" t="str">
        <f t="shared" si="31"/>
        <v>test.ImageData_14_</v>
      </c>
      <c r="D197">
        <v>11</v>
      </c>
      <c r="E197" s="4">
        <v>0.75887265135699378</v>
      </c>
      <c r="F197" s="4">
        <v>0.46448273348076502</v>
      </c>
      <c r="G197" s="4" t="str">
        <f t="shared" si="32"/>
        <v/>
      </c>
      <c r="H197" s="4" t="str">
        <f t="shared" si="33"/>
        <v/>
      </c>
      <c r="I197" s="4">
        <f t="shared" si="34"/>
        <v>0.75887265135699378</v>
      </c>
      <c r="J197" s="4" t="str">
        <f t="shared" si="35"/>
        <v/>
      </c>
      <c r="K197" s="4" t="str">
        <f t="shared" si="36"/>
        <v/>
      </c>
      <c r="L197" s="4" t="str">
        <f t="shared" si="37"/>
        <v/>
      </c>
      <c r="M197" s="4"/>
      <c r="N197" s="4"/>
      <c r="O197" s="4"/>
      <c r="P197" s="4"/>
      <c r="Q197" s="4"/>
      <c r="R197" s="4"/>
      <c r="S197" s="4"/>
      <c r="T197" s="4"/>
      <c r="U197" s="4"/>
    </row>
    <row r="198" spans="1:21">
      <c r="A198" t="s">
        <v>225</v>
      </c>
      <c r="B198">
        <v>14</v>
      </c>
      <c r="C198" t="str">
        <f t="shared" si="31"/>
        <v>test.ImageData_14_</v>
      </c>
      <c r="D198">
        <v>12</v>
      </c>
      <c r="E198" s="4">
        <v>0.94885177453027136</v>
      </c>
      <c r="F198" s="4">
        <v>0.73253298986609638</v>
      </c>
      <c r="G198" s="4" t="str">
        <f t="shared" si="32"/>
        <v/>
      </c>
      <c r="H198" s="4" t="str">
        <f t="shared" si="33"/>
        <v/>
      </c>
      <c r="I198" s="4" t="str">
        <f t="shared" si="34"/>
        <v/>
      </c>
      <c r="J198" s="4">
        <f t="shared" si="35"/>
        <v>0.94885177453027136</v>
      </c>
      <c r="K198" s="4" t="str">
        <f t="shared" si="36"/>
        <v/>
      </c>
      <c r="L198" s="4" t="str">
        <f t="shared" si="37"/>
        <v/>
      </c>
      <c r="M198" s="4"/>
      <c r="N198" s="4"/>
      <c r="O198" s="4"/>
      <c r="P198" s="4"/>
      <c r="Q198" s="4"/>
      <c r="R198" s="4"/>
      <c r="S198" s="4"/>
      <c r="T198" s="4"/>
      <c r="U198" s="4"/>
    </row>
    <row r="199" spans="1:21">
      <c r="A199" t="s">
        <v>225</v>
      </c>
      <c r="B199">
        <v>14</v>
      </c>
      <c r="C199" t="str">
        <f t="shared" si="31"/>
        <v>test.ImageData_14_</v>
      </c>
      <c r="D199">
        <v>13</v>
      </c>
      <c r="E199" s="4">
        <v>1</v>
      </c>
      <c r="F199" s="4">
        <v>0.77547449512746358</v>
      </c>
      <c r="G199" s="4" t="str">
        <f t="shared" si="32"/>
        <v/>
      </c>
      <c r="H199" s="4" t="str">
        <f t="shared" si="33"/>
        <v/>
      </c>
      <c r="I199" s="4" t="str">
        <f t="shared" si="34"/>
        <v/>
      </c>
      <c r="J199" s="4">
        <f t="shared" si="35"/>
        <v>1</v>
      </c>
      <c r="K199" s="4" t="str">
        <f t="shared" si="36"/>
        <v/>
      </c>
      <c r="L199" s="4" t="str">
        <f t="shared" si="37"/>
        <v/>
      </c>
      <c r="M199" s="4"/>
      <c r="N199" s="4"/>
      <c r="O199" s="4"/>
      <c r="P199" s="4"/>
      <c r="Q199" s="4"/>
      <c r="R199" s="4"/>
      <c r="S199" s="4"/>
      <c r="T199" s="4"/>
      <c r="U199" s="4"/>
    </row>
    <row r="200" spans="1:21">
      <c r="A200" t="s">
        <v>225</v>
      </c>
      <c r="B200">
        <v>14</v>
      </c>
      <c r="C200" t="str">
        <f t="shared" si="31"/>
        <v>test.ImageData_14_</v>
      </c>
      <c r="D200">
        <v>14</v>
      </c>
      <c r="E200" s="4">
        <v>1</v>
      </c>
      <c r="F200" s="4">
        <v>0.78602153150744858</v>
      </c>
      <c r="G200" s="4" t="str">
        <f t="shared" si="32"/>
        <v/>
      </c>
      <c r="H200" s="4" t="str">
        <f t="shared" si="33"/>
        <v/>
      </c>
      <c r="I200" s="4" t="str">
        <f t="shared" si="34"/>
        <v/>
      </c>
      <c r="J200" s="4">
        <f t="shared" si="35"/>
        <v>1</v>
      </c>
      <c r="K200" s="4" t="str">
        <f t="shared" si="36"/>
        <v/>
      </c>
      <c r="L200" s="4" t="str">
        <f t="shared" si="37"/>
        <v/>
      </c>
      <c r="M200" s="4"/>
      <c r="N200" s="4"/>
      <c r="O200" s="4"/>
      <c r="P200" s="4"/>
      <c r="Q200" s="4"/>
      <c r="R200" s="4"/>
      <c r="S200" s="4"/>
      <c r="T200" s="4"/>
      <c r="U200" s="4"/>
    </row>
    <row r="201" spans="1:21">
      <c r="A201" t="s">
        <v>225</v>
      </c>
      <c r="B201">
        <v>14</v>
      </c>
      <c r="C201" t="str">
        <f t="shared" si="31"/>
        <v>test.ImageData_14_</v>
      </c>
      <c r="D201">
        <v>15</v>
      </c>
      <c r="E201" s="4">
        <v>1</v>
      </c>
      <c r="F201" s="4">
        <v>0.78888915891030154</v>
      </c>
      <c r="G201" s="4" t="str">
        <f t="shared" si="32"/>
        <v/>
      </c>
      <c r="H201" s="4" t="str">
        <f t="shared" si="33"/>
        <v/>
      </c>
      <c r="I201" s="4" t="str">
        <f t="shared" si="34"/>
        <v/>
      </c>
      <c r="J201" s="4">
        <f t="shared" si="35"/>
        <v>1</v>
      </c>
      <c r="K201" s="4" t="str">
        <f t="shared" si="36"/>
        <v/>
      </c>
      <c r="L201" s="4" t="str">
        <f t="shared" si="37"/>
        <v/>
      </c>
      <c r="M201" s="4"/>
      <c r="N201" s="4"/>
      <c r="O201" s="4"/>
      <c r="P201" s="4"/>
      <c r="Q201" s="4"/>
      <c r="R201" s="4"/>
      <c r="S201" s="4"/>
      <c r="T201" s="4"/>
      <c r="U201" s="4"/>
    </row>
    <row r="202" spans="1:21">
      <c r="A202" t="s">
        <v>225</v>
      </c>
      <c r="B202">
        <v>21</v>
      </c>
      <c r="C202" t="str">
        <f t="shared" si="31"/>
        <v>test.ImageData_21_</v>
      </c>
      <c r="D202">
        <v>1</v>
      </c>
      <c r="E202" s="4">
        <v>0.52631578947368418</v>
      </c>
      <c r="F202" s="4">
        <v>0.51464950711938662</v>
      </c>
      <c r="G202" s="4" t="str">
        <f t="shared" si="32"/>
        <v/>
      </c>
      <c r="H202" s="4" t="str">
        <f t="shared" si="33"/>
        <v/>
      </c>
      <c r="I202" s="4">
        <f t="shared" si="34"/>
        <v>0.52631578947368418</v>
      </c>
      <c r="J202" s="4" t="str">
        <f t="shared" si="35"/>
        <v/>
      </c>
      <c r="K202" s="4" t="str">
        <f t="shared" si="36"/>
        <v/>
      </c>
      <c r="L202" s="4" t="str">
        <f t="shared" si="37"/>
        <v/>
      </c>
      <c r="M202" s="4"/>
      <c r="N202" s="4"/>
      <c r="O202" s="4"/>
      <c r="P202" s="4"/>
      <c r="Q202" s="4"/>
      <c r="R202" s="4"/>
      <c r="S202" s="4"/>
      <c r="T202" s="4"/>
      <c r="U202" s="4"/>
    </row>
    <row r="203" spans="1:21">
      <c r="A203" t="s">
        <v>225</v>
      </c>
      <c r="B203">
        <v>21</v>
      </c>
      <c r="C203" t="str">
        <f t="shared" si="31"/>
        <v>test.ImageData_21_</v>
      </c>
      <c r="D203">
        <v>2</v>
      </c>
      <c r="E203" s="4">
        <v>0.91228070175438591</v>
      </c>
      <c r="F203" s="4">
        <v>0.52053669222343923</v>
      </c>
      <c r="G203" s="4" t="str">
        <f t="shared" si="32"/>
        <v/>
      </c>
      <c r="H203" s="4" t="str">
        <f t="shared" si="33"/>
        <v/>
      </c>
      <c r="I203" s="4">
        <f t="shared" si="34"/>
        <v>0.91228070175438591</v>
      </c>
      <c r="J203" s="4" t="str">
        <f t="shared" si="35"/>
        <v/>
      </c>
      <c r="K203" s="4" t="str">
        <f t="shared" si="36"/>
        <v/>
      </c>
      <c r="L203" s="4" t="str">
        <f t="shared" si="37"/>
        <v/>
      </c>
      <c r="M203" s="4"/>
      <c r="N203" s="4"/>
      <c r="O203" s="4"/>
      <c r="P203" s="4"/>
      <c r="Q203" s="4"/>
      <c r="R203" s="4"/>
      <c r="S203" s="4"/>
      <c r="T203" s="4"/>
      <c r="U203" s="4"/>
    </row>
    <row r="204" spans="1:21">
      <c r="A204" t="s">
        <v>225</v>
      </c>
      <c r="B204">
        <v>21</v>
      </c>
      <c r="C204" t="str">
        <f t="shared" si="31"/>
        <v>test.ImageData_21_</v>
      </c>
      <c r="D204">
        <v>3</v>
      </c>
      <c r="E204" s="4">
        <v>0.92982456140350878</v>
      </c>
      <c r="F204" s="4">
        <v>0.52163198247535592</v>
      </c>
      <c r="G204" s="4" t="str">
        <f t="shared" si="32"/>
        <v/>
      </c>
      <c r="H204" s="4" t="str">
        <f t="shared" si="33"/>
        <v/>
      </c>
      <c r="I204" s="4">
        <f t="shared" si="34"/>
        <v>0.92982456140350878</v>
      </c>
      <c r="J204" s="4" t="str">
        <f t="shared" si="35"/>
        <v/>
      </c>
      <c r="K204" s="4" t="str">
        <f t="shared" si="36"/>
        <v/>
      </c>
      <c r="L204" s="4" t="str">
        <f t="shared" si="37"/>
        <v/>
      </c>
      <c r="M204" s="4"/>
      <c r="N204" s="4"/>
      <c r="O204" s="4"/>
      <c r="P204" s="4"/>
      <c r="Q204" s="4"/>
      <c r="R204" s="4"/>
      <c r="S204" s="4"/>
      <c r="T204" s="4"/>
      <c r="U204" s="4"/>
    </row>
    <row r="205" spans="1:21">
      <c r="A205" t="s">
        <v>225</v>
      </c>
      <c r="B205">
        <v>21</v>
      </c>
      <c r="C205" t="str">
        <f t="shared" si="31"/>
        <v>test.ImageData_21_</v>
      </c>
      <c r="D205">
        <v>4</v>
      </c>
      <c r="E205" s="4">
        <v>1</v>
      </c>
      <c r="F205" s="4">
        <v>0.52272727272727271</v>
      </c>
      <c r="G205" s="4" t="str">
        <f t="shared" si="32"/>
        <v/>
      </c>
      <c r="H205" s="4" t="str">
        <f t="shared" si="33"/>
        <v/>
      </c>
      <c r="I205" s="4">
        <f t="shared" si="34"/>
        <v>1</v>
      </c>
      <c r="J205" s="4" t="str">
        <f t="shared" si="35"/>
        <v/>
      </c>
      <c r="K205" s="4" t="str">
        <f t="shared" si="36"/>
        <v/>
      </c>
      <c r="L205" s="4" t="str">
        <f t="shared" si="37"/>
        <v/>
      </c>
      <c r="M205" s="4"/>
      <c r="N205" s="4"/>
      <c r="O205" s="4"/>
      <c r="P205" s="4"/>
      <c r="Q205" s="4"/>
      <c r="R205" s="4"/>
      <c r="S205" s="4"/>
      <c r="T205" s="4"/>
      <c r="U205" s="4"/>
    </row>
    <row r="206" spans="1:21">
      <c r="A206" t="s">
        <v>226</v>
      </c>
      <c r="B206">
        <v>2</v>
      </c>
      <c r="C206" t="str">
        <f t="shared" si="31"/>
        <v>test.MapViewer_2_</v>
      </c>
      <c r="D206">
        <v>1</v>
      </c>
      <c r="E206" s="4">
        <v>0.72307692307692306</v>
      </c>
      <c r="F206" s="4">
        <v>0.46492797288390925</v>
      </c>
      <c r="G206" s="4" t="str">
        <f t="shared" si="32"/>
        <v/>
      </c>
      <c r="H206" s="4" t="str">
        <f t="shared" si="33"/>
        <v/>
      </c>
      <c r="I206" s="4">
        <f t="shared" si="34"/>
        <v>0.72307692307692306</v>
      </c>
      <c r="J206" s="4" t="str">
        <f t="shared" si="35"/>
        <v/>
      </c>
      <c r="K206" s="4" t="str">
        <f t="shared" si="36"/>
        <v/>
      </c>
      <c r="L206" s="4" t="str">
        <f t="shared" si="37"/>
        <v/>
      </c>
      <c r="M206" s="4"/>
      <c r="N206" s="4"/>
      <c r="O206" s="4"/>
      <c r="P206" s="4"/>
      <c r="Q206" s="4"/>
      <c r="R206" s="4"/>
      <c r="S206" s="4"/>
      <c r="T206" s="4"/>
      <c r="U206" s="4"/>
    </row>
    <row r="207" spans="1:21">
      <c r="A207" t="s">
        <v>226</v>
      </c>
      <c r="B207">
        <v>2</v>
      </c>
      <c r="C207" t="str">
        <f t="shared" si="31"/>
        <v>test.MapViewer_2_</v>
      </c>
      <c r="D207">
        <v>2</v>
      </c>
      <c r="E207" s="4">
        <v>0.96923076923076923</v>
      </c>
      <c r="F207" s="4">
        <v>0.74023161660860559</v>
      </c>
      <c r="G207" s="4" t="str">
        <f t="shared" si="32"/>
        <v/>
      </c>
      <c r="H207" s="4" t="str">
        <f t="shared" si="33"/>
        <v/>
      </c>
      <c r="I207" s="4" t="str">
        <f t="shared" si="34"/>
        <v/>
      </c>
      <c r="J207" s="4">
        <f t="shared" si="35"/>
        <v>0.96923076923076923</v>
      </c>
      <c r="K207" s="4" t="str">
        <f t="shared" si="36"/>
        <v/>
      </c>
      <c r="L207" s="4" t="str">
        <f t="shared" si="37"/>
        <v/>
      </c>
      <c r="M207" s="4"/>
      <c r="N207" s="4"/>
      <c r="O207" s="4"/>
      <c r="P207" s="4"/>
      <c r="Q207" s="4"/>
      <c r="R207" s="4"/>
      <c r="S207" s="4"/>
      <c r="T207" s="4"/>
      <c r="U207" s="4"/>
    </row>
    <row r="208" spans="1:21">
      <c r="A208" t="s">
        <v>226</v>
      </c>
      <c r="B208">
        <v>3</v>
      </c>
      <c r="C208" t="str">
        <f t="shared" si="31"/>
        <v>test.MapViewer_3_</v>
      </c>
      <c r="D208">
        <v>1</v>
      </c>
      <c r="E208" s="4">
        <v>4.7619047619047616E-2</v>
      </c>
      <c r="F208" s="4">
        <v>4.3587777899463366E-2</v>
      </c>
      <c r="G208" s="4">
        <f t="shared" si="32"/>
        <v>4.7619047619047616E-2</v>
      </c>
      <c r="H208" s="4" t="str">
        <f t="shared" si="33"/>
        <v/>
      </c>
      <c r="I208" s="4" t="str">
        <f t="shared" si="34"/>
        <v/>
      </c>
      <c r="J208" s="4" t="str">
        <f t="shared" si="35"/>
        <v/>
      </c>
      <c r="K208" s="4" t="str">
        <f t="shared" si="36"/>
        <v/>
      </c>
      <c r="L208" s="4" t="str">
        <f t="shared" si="37"/>
        <v/>
      </c>
      <c r="M208" s="4"/>
      <c r="N208" s="4"/>
      <c r="O208" s="4"/>
      <c r="P208" s="4"/>
      <c r="Q208" s="4"/>
      <c r="R208" s="4"/>
      <c r="S208" s="4"/>
      <c r="T208" s="4"/>
      <c r="U208" s="4"/>
    </row>
    <row r="209" spans="1:21">
      <c r="A209" t="s">
        <v>226</v>
      </c>
      <c r="B209">
        <v>3</v>
      </c>
      <c r="C209" t="str">
        <f t="shared" si="31"/>
        <v>test.MapViewer_3_</v>
      </c>
      <c r="D209">
        <v>2</v>
      </c>
      <c r="E209" s="4">
        <v>0.20408163265306123</v>
      </c>
      <c r="F209" s="4">
        <v>0.18946446172379805</v>
      </c>
      <c r="G209" s="4">
        <f t="shared" si="32"/>
        <v>0.20408163265306123</v>
      </c>
      <c r="H209" s="4" t="str">
        <f t="shared" si="33"/>
        <v/>
      </c>
      <c r="I209" s="4" t="str">
        <f t="shared" si="34"/>
        <v/>
      </c>
      <c r="J209" s="4" t="str">
        <f t="shared" si="35"/>
        <v/>
      </c>
      <c r="K209" s="4" t="str">
        <f t="shared" si="36"/>
        <v/>
      </c>
      <c r="L209" s="4" t="str">
        <f t="shared" si="37"/>
        <v/>
      </c>
      <c r="M209" s="4"/>
      <c r="N209" s="4"/>
      <c r="O209" s="4"/>
      <c r="P209" s="4"/>
      <c r="Q209" s="4"/>
      <c r="R209" s="4"/>
      <c r="S209" s="4"/>
      <c r="T209" s="4"/>
      <c r="U209" s="4"/>
    </row>
    <row r="210" spans="1:21">
      <c r="A210" t="s">
        <v>226</v>
      </c>
      <c r="B210">
        <v>3</v>
      </c>
      <c r="C210" t="str">
        <f t="shared" si="31"/>
        <v>test.MapViewer_3_</v>
      </c>
      <c r="D210">
        <v>3</v>
      </c>
      <c r="E210" s="4">
        <v>0.30612244897959184</v>
      </c>
      <c r="F210" s="4">
        <v>0.24876793341364581</v>
      </c>
      <c r="G210" s="4" t="str">
        <f t="shared" si="32"/>
        <v/>
      </c>
      <c r="H210" s="4">
        <f t="shared" si="33"/>
        <v>0.30612244897959184</v>
      </c>
      <c r="I210" s="4" t="str">
        <f t="shared" si="34"/>
        <v/>
      </c>
      <c r="J210" s="4" t="str">
        <f t="shared" si="35"/>
        <v/>
      </c>
      <c r="K210" s="4" t="str">
        <f t="shared" si="36"/>
        <v/>
      </c>
      <c r="L210" s="4" t="str">
        <f t="shared" si="37"/>
        <v/>
      </c>
      <c r="M210" s="4"/>
      <c r="N210" s="4"/>
      <c r="O210" s="4"/>
      <c r="P210" s="4"/>
      <c r="Q210" s="4"/>
      <c r="R210" s="4"/>
      <c r="S210" s="4"/>
      <c r="T210" s="4"/>
      <c r="U210" s="4"/>
    </row>
    <row r="211" spans="1:21">
      <c r="A211" t="s">
        <v>226</v>
      </c>
      <c r="B211">
        <v>3</v>
      </c>
      <c r="C211" t="str">
        <f t="shared" si="31"/>
        <v>test.MapViewer_3_</v>
      </c>
      <c r="D211">
        <v>4</v>
      </c>
      <c r="E211" s="4">
        <v>0.34693877551020408</v>
      </c>
      <c r="F211" s="4">
        <v>0.30653816668491951</v>
      </c>
      <c r="G211" s="4" t="str">
        <f t="shared" si="32"/>
        <v/>
      </c>
      <c r="H211" s="4">
        <f t="shared" si="33"/>
        <v>0.34693877551020408</v>
      </c>
      <c r="I211" s="4" t="str">
        <f t="shared" si="34"/>
        <v/>
      </c>
      <c r="J211" s="4" t="str">
        <f t="shared" si="35"/>
        <v/>
      </c>
      <c r="K211" s="4" t="str">
        <f t="shared" si="36"/>
        <v/>
      </c>
      <c r="L211" s="4" t="str">
        <f t="shared" si="37"/>
        <v/>
      </c>
      <c r="M211" s="4"/>
      <c r="N211" s="4"/>
      <c r="O211" s="4"/>
      <c r="P211" s="4"/>
      <c r="Q211" s="4"/>
      <c r="R211" s="4"/>
      <c r="S211" s="4"/>
      <c r="T211" s="4"/>
      <c r="U211" s="4"/>
    </row>
    <row r="212" spans="1:21">
      <c r="A212" t="s">
        <v>226</v>
      </c>
      <c r="B212">
        <v>3</v>
      </c>
      <c r="C212" t="str">
        <f t="shared" si="31"/>
        <v>test.MapViewer_3_</v>
      </c>
      <c r="D212">
        <v>5</v>
      </c>
      <c r="E212" s="4">
        <v>1</v>
      </c>
      <c r="F212" s="4">
        <v>0.90105136348702219</v>
      </c>
      <c r="G212" s="4" t="str">
        <f t="shared" si="32"/>
        <v/>
      </c>
      <c r="H212" s="4" t="str">
        <f t="shared" si="33"/>
        <v/>
      </c>
      <c r="I212" s="4" t="str">
        <f t="shared" si="34"/>
        <v/>
      </c>
      <c r="J212" s="4" t="str">
        <f t="shared" si="35"/>
        <v/>
      </c>
      <c r="K212" s="4">
        <f t="shared" si="36"/>
        <v>1</v>
      </c>
      <c r="L212" s="4" t="str">
        <f t="shared" si="37"/>
        <v/>
      </c>
      <c r="M212" s="4"/>
      <c r="N212" s="4"/>
      <c r="O212" s="4"/>
      <c r="P212" s="4"/>
      <c r="Q212" s="4"/>
      <c r="R212" s="4"/>
      <c r="S212" s="4"/>
      <c r="T212" s="4"/>
      <c r="U212" s="4"/>
    </row>
    <row r="213" spans="1:21">
      <c r="A213" t="s">
        <v>226</v>
      </c>
      <c r="B213">
        <v>3</v>
      </c>
      <c r="C213" t="str">
        <f t="shared" si="31"/>
        <v>test.MapViewer_3_</v>
      </c>
      <c r="D213">
        <v>6</v>
      </c>
      <c r="E213" s="4">
        <v>1</v>
      </c>
      <c r="F213" s="4">
        <v>0.98006790055853688</v>
      </c>
      <c r="G213" s="4" t="str">
        <f t="shared" si="32"/>
        <v/>
      </c>
      <c r="H213" s="4" t="str">
        <f t="shared" si="33"/>
        <v/>
      </c>
      <c r="I213" s="4" t="str">
        <f t="shared" si="34"/>
        <v/>
      </c>
      <c r="J213" s="4" t="str">
        <f t="shared" si="35"/>
        <v/>
      </c>
      <c r="K213" s="4">
        <f t="shared" si="36"/>
        <v>1</v>
      </c>
      <c r="L213" s="4" t="str">
        <f t="shared" si="37"/>
        <v/>
      </c>
      <c r="M213" s="4"/>
      <c r="N213" s="4"/>
      <c r="O213" s="4"/>
      <c r="P213" s="4"/>
      <c r="Q213" s="4"/>
      <c r="R213" s="4"/>
      <c r="S213" s="4"/>
      <c r="T213" s="4"/>
      <c r="U213" s="4"/>
    </row>
    <row r="214" spans="1:21">
      <c r="A214" t="s">
        <v>229</v>
      </c>
      <c r="B214">
        <v>3</v>
      </c>
      <c r="C214" t="str">
        <f t="shared" si="31"/>
        <v>test.TileRenderor_3_</v>
      </c>
      <c r="D214">
        <v>1</v>
      </c>
      <c r="E214" s="4">
        <v>0.95718654434250761</v>
      </c>
      <c r="F214" s="4">
        <v>0.8943727630906193</v>
      </c>
      <c r="G214" s="4" t="str">
        <f t="shared" si="32"/>
        <v/>
      </c>
      <c r="H214" s="4" t="str">
        <f t="shared" si="33"/>
        <v/>
      </c>
      <c r="I214" s="4" t="str">
        <f t="shared" si="34"/>
        <v/>
      </c>
      <c r="J214" s="4" t="str">
        <f t="shared" si="35"/>
        <v/>
      </c>
      <c r="K214" s="4">
        <f t="shared" si="36"/>
        <v>0.95718654434250761</v>
      </c>
      <c r="L214" s="4" t="str">
        <f t="shared" si="37"/>
        <v/>
      </c>
      <c r="M214" s="4"/>
      <c r="N214" s="4"/>
      <c r="O214" s="4"/>
      <c r="P214" s="4"/>
      <c r="Q214" s="4"/>
      <c r="R214" s="4"/>
      <c r="S214" s="4"/>
      <c r="T214" s="4"/>
      <c r="U214" s="4"/>
    </row>
    <row r="215" spans="1:21">
      <c r="A215" t="s">
        <v>229</v>
      </c>
      <c r="B215">
        <v>3</v>
      </c>
      <c r="C215" t="str">
        <f>CONCATENATE(A215, "_",B215,"_")</f>
        <v>test.TileRenderor_3_</v>
      </c>
      <c r="D215">
        <v>2</v>
      </c>
      <c r="E215" s="4">
        <v>1</v>
      </c>
      <c r="F215" s="4">
        <v>0.91136575536106346</v>
      </c>
      <c r="G215" s="4" t="str">
        <f t="shared" si="32"/>
        <v/>
      </c>
      <c r="H215" s="4" t="str">
        <f t="shared" si="33"/>
        <v/>
      </c>
      <c r="I215" s="4" t="str">
        <f t="shared" si="34"/>
        <v/>
      </c>
      <c r="J215" s="4" t="str">
        <f t="shared" si="35"/>
        <v/>
      </c>
      <c r="K215" s="4">
        <f t="shared" si="36"/>
        <v>1</v>
      </c>
      <c r="L215" s="4" t="str">
        <f t="shared" si="37"/>
        <v/>
      </c>
      <c r="M215" s="4"/>
      <c r="N215" s="4"/>
      <c r="O215" s="4"/>
      <c r="P215" s="4"/>
      <c r="Q215" s="4"/>
      <c r="R215" s="4"/>
      <c r="S215" s="4"/>
      <c r="T215" s="4"/>
      <c r="U215" s="4"/>
    </row>
    <row r="216" spans="1:21">
      <c r="A216" t="s">
        <v>230</v>
      </c>
      <c r="B216">
        <v>1</v>
      </c>
      <c r="C216" t="str">
        <f t="shared" si="31"/>
        <v>test.WorldController_1_</v>
      </c>
      <c r="D216">
        <v>1</v>
      </c>
      <c r="E216" s="4">
        <v>4.142011834319527E-2</v>
      </c>
      <c r="F216" s="4">
        <v>6.5489196406894878E-2</v>
      </c>
      <c r="G216" s="4">
        <f t="shared" si="32"/>
        <v>4.142011834319527E-2</v>
      </c>
      <c r="H216" s="4" t="str">
        <f t="shared" si="33"/>
        <v/>
      </c>
      <c r="I216" s="4" t="str">
        <f t="shared" si="34"/>
        <v/>
      </c>
      <c r="J216" s="4" t="str">
        <f t="shared" si="35"/>
        <v/>
      </c>
      <c r="K216" s="4" t="str">
        <f t="shared" si="36"/>
        <v/>
      </c>
      <c r="L216" s="4" t="str">
        <f t="shared" si="37"/>
        <v/>
      </c>
      <c r="M216" s="4"/>
      <c r="N216" s="4"/>
      <c r="O216" s="4"/>
      <c r="P216" s="4"/>
      <c r="Q216" s="4"/>
      <c r="R216" s="4"/>
      <c r="S216" s="4"/>
      <c r="T216" s="4"/>
      <c r="U216" s="4"/>
    </row>
    <row r="217" spans="1:21">
      <c r="A217" t="s">
        <v>230</v>
      </c>
      <c r="B217">
        <v>1</v>
      </c>
      <c r="C217" t="str">
        <f t="shared" si="31"/>
        <v>test.WorldController_1_</v>
      </c>
      <c r="D217">
        <v>2</v>
      </c>
      <c r="E217" s="4">
        <v>6.5088757396449703E-2</v>
      </c>
      <c r="F217" s="4">
        <v>8.005583879582423E-2</v>
      </c>
      <c r="G217" s="4">
        <f t="shared" si="32"/>
        <v>6.5088757396449703E-2</v>
      </c>
      <c r="H217" s="4" t="str">
        <f t="shared" si="33"/>
        <v/>
      </c>
      <c r="I217" s="4" t="str">
        <f t="shared" si="34"/>
        <v/>
      </c>
      <c r="J217" s="4" t="str">
        <f t="shared" si="35"/>
        <v/>
      </c>
      <c r="K217" s="4" t="str">
        <f t="shared" si="36"/>
        <v/>
      </c>
      <c r="L217" s="4" t="str">
        <f t="shared" si="37"/>
        <v/>
      </c>
      <c r="M217" s="4"/>
      <c r="N217" s="4"/>
      <c r="O217" s="4"/>
      <c r="P217" s="4"/>
      <c r="Q217" s="4"/>
      <c r="R217" s="4"/>
      <c r="S217" s="4"/>
      <c r="T217" s="4"/>
      <c r="U217" s="4"/>
    </row>
    <row r="218" spans="1:21">
      <c r="A218" t="s">
        <v>230</v>
      </c>
      <c r="B218">
        <v>1</v>
      </c>
      <c r="C218" t="str">
        <f t="shared" si="31"/>
        <v>test.WorldController_1_</v>
      </c>
      <c r="D218">
        <v>3</v>
      </c>
      <c r="E218" s="4">
        <v>8.8757396449704137E-2</v>
      </c>
      <c r="F218" s="4">
        <v>9.2680262199563004E-2</v>
      </c>
      <c r="G218" s="4">
        <f t="shared" si="32"/>
        <v>8.8757396449704137E-2</v>
      </c>
      <c r="H218" s="4" t="str">
        <f t="shared" si="33"/>
        <v/>
      </c>
      <c r="I218" s="4" t="str">
        <f t="shared" si="34"/>
        <v/>
      </c>
      <c r="J218" s="4" t="str">
        <f t="shared" si="35"/>
        <v/>
      </c>
      <c r="K218" s="4" t="str">
        <f t="shared" si="36"/>
        <v/>
      </c>
      <c r="L218" s="4" t="str">
        <f t="shared" si="37"/>
        <v/>
      </c>
      <c r="M218" s="4"/>
      <c r="N218" s="4"/>
      <c r="O218" s="4"/>
      <c r="P218" s="4"/>
      <c r="Q218" s="4"/>
      <c r="R218" s="4"/>
      <c r="S218" s="4"/>
      <c r="T218" s="4"/>
      <c r="U218" s="4"/>
    </row>
    <row r="219" spans="1:21">
      <c r="A219" t="s">
        <v>230</v>
      </c>
      <c r="B219">
        <v>1</v>
      </c>
      <c r="C219" t="str">
        <f t="shared" si="31"/>
        <v>test.WorldController_1_</v>
      </c>
      <c r="D219">
        <v>4</v>
      </c>
      <c r="E219" s="4">
        <v>0.10650887573964497</v>
      </c>
      <c r="F219" s="4">
        <v>9.6261228453508138E-2</v>
      </c>
      <c r="G219" s="4">
        <f t="shared" si="32"/>
        <v>0.10650887573964497</v>
      </c>
      <c r="H219" s="4" t="str">
        <f t="shared" si="33"/>
        <v/>
      </c>
      <c r="I219" s="4" t="str">
        <f t="shared" si="34"/>
        <v/>
      </c>
      <c r="J219" s="4" t="str">
        <f t="shared" si="35"/>
        <v/>
      </c>
      <c r="K219" s="4" t="str">
        <f t="shared" si="36"/>
        <v/>
      </c>
      <c r="L219" s="4" t="str">
        <f t="shared" si="37"/>
        <v/>
      </c>
      <c r="M219" s="4"/>
      <c r="N219" s="4"/>
      <c r="O219" s="4"/>
      <c r="P219" s="4"/>
      <c r="Q219" s="4"/>
      <c r="R219" s="4"/>
      <c r="S219" s="4"/>
      <c r="T219" s="4"/>
      <c r="U219" s="4"/>
    </row>
    <row r="220" spans="1:21">
      <c r="A220" t="s">
        <v>230</v>
      </c>
      <c r="B220">
        <v>1</v>
      </c>
      <c r="C220" t="str">
        <f t="shared" si="31"/>
        <v>test.WorldController_1_</v>
      </c>
      <c r="D220">
        <v>5</v>
      </c>
      <c r="E220" s="4">
        <v>0.1242603550295858</v>
      </c>
      <c r="F220" s="4">
        <v>0.10724690458849236</v>
      </c>
      <c r="G220" s="4">
        <f t="shared" si="32"/>
        <v>0.1242603550295858</v>
      </c>
      <c r="H220" s="4" t="str">
        <f t="shared" si="33"/>
        <v/>
      </c>
      <c r="I220" s="4" t="str">
        <f t="shared" si="34"/>
        <v/>
      </c>
      <c r="J220" s="4" t="str">
        <f t="shared" si="35"/>
        <v/>
      </c>
      <c r="K220" s="4" t="str">
        <f t="shared" si="36"/>
        <v/>
      </c>
      <c r="L220" s="4" t="str">
        <f t="shared" si="37"/>
        <v/>
      </c>
      <c r="M220" s="4"/>
      <c r="N220" s="4"/>
      <c r="O220" s="4"/>
      <c r="P220" s="4"/>
      <c r="Q220" s="4"/>
      <c r="R220" s="4"/>
      <c r="S220" s="4"/>
      <c r="T220" s="4"/>
      <c r="U220" s="4"/>
    </row>
    <row r="221" spans="1:21">
      <c r="A221" t="s">
        <v>230</v>
      </c>
      <c r="B221">
        <v>1</v>
      </c>
      <c r="C221" t="str">
        <f t="shared" si="31"/>
        <v>test.WorldController_1_</v>
      </c>
      <c r="D221">
        <v>6</v>
      </c>
      <c r="E221" s="4">
        <v>0.14201183431952663</v>
      </c>
      <c r="F221" s="4">
        <v>0.11926438455935907</v>
      </c>
      <c r="G221" s="4">
        <f t="shared" si="32"/>
        <v>0.14201183431952663</v>
      </c>
      <c r="H221" s="4" t="str">
        <f t="shared" si="33"/>
        <v/>
      </c>
      <c r="I221" s="4" t="str">
        <f t="shared" si="34"/>
        <v/>
      </c>
      <c r="J221" s="4" t="str">
        <f t="shared" si="35"/>
        <v/>
      </c>
      <c r="K221" s="4" t="str">
        <f t="shared" si="36"/>
        <v/>
      </c>
      <c r="L221" s="4" t="str">
        <f t="shared" si="37"/>
        <v/>
      </c>
      <c r="M221" s="4"/>
      <c r="N221" s="4"/>
      <c r="O221" s="4"/>
      <c r="P221" s="4"/>
      <c r="Q221" s="4"/>
      <c r="R221" s="4"/>
      <c r="S221" s="4"/>
      <c r="T221" s="4"/>
      <c r="U221" s="4"/>
    </row>
    <row r="222" spans="1:21">
      <c r="A222" t="s">
        <v>230</v>
      </c>
      <c r="B222">
        <v>1</v>
      </c>
      <c r="C222" t="str">
        <f t="shared" si="31"/>
        <v>test.WorldController_1_</v>
      </c>
      <c r="D222">
        <v>7</v>
      </c>
      <c r="E222" s="4">
        <v>0.23076923076923078</v>
      </c>
      <c r="F222" s="4">
        <v>0.18499635833940276</v>
      </c>
      <c r="G222" s="4">
        <f t="shared" si="32"/>
        <v>0.23076923076923078</v>
      </c>
      <c r="H222" s="4" t="str">
        <f t="shared" si="33"/>
        <v/>
      </c>
      <c r="I222" s="4" t="str">
        <f t="shared" si="34"/>
        <v/>
      </c>
      <c r="J222" s="4" t="str">
        <f t="shared" si="35"/>
        <v/>
      </c>
      <c r="K222" s="4" t="str">
        <f t="shared" si="36"/>
        <v/>
      </c>
      <c r="L222" s="4" t="str">
        <f t="shared" si="37"/>
        <v/>
      </c>
      <c r="M222" s="4"/>
      <c r="N222" s="4"/>
      <c r="O222" s="4"/>
      <c r="P222" s="4"/>
      <c r="Q222" s="4"/>
      <c r="R222" s="4"/>
      <c r="S222" s="4"/>
      <c r="T222" s="4"/>
      <c r="U222" s="4"/>
    </row>
    <row r="223" spans="1:21">
      <c r="A223" t="s">
        <v>230</v>
      </c>
      <c r="B223">
        <v>1</v>
      </c>
      <c r="C223" t="str">
        <f t="shared" si="31"/>
        <v>test.WorldController_1_</v>
      </c>
      <c r="D223">
        <v>8</v>
      </c>
      <c r="E223" s="4">
        <v>0.31952662721893493</v>
      </c>
      <c r="F223" s="4">
        <v>0.19774217042971595</v>
      </c>
      <c r="G223" s="4">
        <f t="shared" si="32"/>
        <v>0.31952662721893493</v>
      </c>
      <c r="H223" s="4" t="str">
        <f t="shared" si="33"/>
        <v/>
      </c>
      <c r="I223" s="4" t="str">
        <f t="shared" si="34"/>
        <v/>
      </c>
      <c r="J223" s="4" t="str">
        <f t="shared" si="35"/>
        <v/>
      </c>
      <c r="K223" s="4" t="str">
        <f t="shared" si="36"/>
        <v/>
      </c>
      <c r="L223" s="4" t="str">
        <f t="shared" si="37"/>
        <v/>
      </c>
      <c r="M223" s="4"/>
      <c r="N223" s="4"/>
      <c r="O223" s="4"/>
      <c r="P223" s="4"/>
      <c r="Q223" s="4"/>
      <c r="R223" s="4"/>
      <c r="S223" s="4"/>
      <c r="T223" s="4"/>
      <c r="U223" s="4"/>
    </row>
    <row r="224" spans="1:21">
      <c r="A224" t="s">
        <v>230</v>
      </c>
      <c r="B224">
        <v>1</v>
      </c>
      <c r="C224" t="str">
        <f t="shared" si="31"/>
        <v>test.WorldController_1_</v>
      </c>
      <c r="D224">
        <v>9</v>
      </c>
      <c r="E224" s="4">
        <v>0.40828402366863903</v>
      </c>
      <c r="F224" s="4">
        <v>0.21145909201262442</v>
      </c>
      <c r="G224" s="4" t="str">
        <f t="shared" si="32"/>
        <v/>
      </c>
      <c r="H224" s="4">
        <f t="shared" si="33"/>
        <v>0.40828402366863903</v>
      </c>
      <c r="I224" s="4" t="str">
        <f t="shared" si="34"/>
        <v/>
      </c>
      <c r="J224" s="4" t="str">
        <f t="shared" si="35"/>
        <v/>
      </c>
      <c r="K224" s="4" t="str">
        <f t="shared" si="36"/>
        <v/>
      </c>
      <c r="L224" s="4" t="str">
        <f t="shared" si="37"/>
        <v/>
      </c>
      <c r="M224" s="4"/>
      <c r="N224" s="4"/>
      <c r="O224" s="4"/>
      <c r="P224" s="4"/>
      <c r="Q224" s="4"/>
      <c r="R224" s="4"/>
      <c r="S224" s="4"/>
      <c r="T224" s="4"/>
      <c r="U224" s="4"/>
    </row>
    <row r="225" spans="1:21">
      <c r="A225" t="s">
        <v>230</v>
      </c>
      <c r="B225">
        <v>1</v>
      </c>
      <c r="C225" t="str">
        <f t="shared" si="31"/>
        <v>test.WorldController_1_</v>
      </c>
      <c r="D225">
        <v>10</v>
      </c>
      <c r="E225" s="4">
        <v>0.4911242603550296</v>
      </c>
      <c r="F225" s="4">
        <v>0.21291575625151735</v>
      </c>
      <c r="G225" s="4" t="str">
        <f t="shared" si="32"/>
        <v/>
      </c>
      <c r="H225" s="4">
        <f t="shared" si="33"/>
        <v>0.4911242603550296</v>
      </c>
      <c r="I225" s="4" t="str">
        <f t="shared" si="34"/>
        <v/>
      </c>
      <c r="J225" s="4" t="str">
        <f t="shared" si="35"/>
        <v/>
      </c>
      <c r="K225" s="4" t="str">
        <f t="shared" si="36"/>
        <v/>
      </c>
      <c r="L225" s="4" t="str">
        <f t="shared" si="37"/>
        <v/>
      </c>
      <c r="M225" s="4"/>
      <c r="N225" s="4"/>
      <c r="O225" s="4"/>
      <c r="P225" s="4"/>
      <c r="Q225" s="4"/>
      <c r="R225" s="4"/>
      <c r="S225" s="4"/>
      <c r="T225" s="4"/>
      <c r="U225" s="4"/>
    </row>
    <row r="226" spans="1:21">
      <c r="A226" t="s">
        <v>230</v>
      </c>
      <c r="B226">
        <v>1</v>
      </c>
      <c r="C226" t="str">
        <f t="shared" si="31"/>
        <v>test.WorldController_1_</v>
      </c>
      <c r="D226">
        <v>11</v>
      </c>
      <c r="E226" s="4">
        <v>0.57396449704142016</v>
      </c>
      <c r="F226" s="4">
        <v>0.22669337217771304</v>
      </c>
      <c r="G226" s="4" t="str">
        <f t="shared" si="32"/>
        <v/>
      </c>
      <c r="H226" s="4">
        <f t="shared" si="33"/>
        <v>0.57396449704142016</v>
      </c>
      <c r="I226" s="4" t="str">
        <f t="shared" si="34"/>
        <v/>
      </c>
      <c r="J226" s="4" t="str">
        <f t="shared" si="35"/>
        <v/>
      </c>
      <c r="K226" s="4" t="str">
        <f t="shared" si="36"/>
        <v/>
      </c>
      <c r="L226" s="4" t="str">
        <f t="shared" si="37"/>
        <v/>
      </c>
      <c r="M226" s="4"/>
      <c r="N226" s="4"/>
      <c r="O226" s="4"/>
      <c r="P226" s="4"/>
      <c r="Q226" s="4"/>
      <c r="R226" s="4"/>
      <c r="S226" s="4"/>
      <c r="T226" s="4"/>
      <c r="U226" s="4"/>
    </row>
    <row r="227" spans="1:21">
      <c r="A227" t="s">
        <v>230</v>
      </c>
      <c r="B227">
        <v>1</v>
      </c>
      <c r="C227" t="str">
        <f t="shared" si="31"/>
        <v>test.WorldController_1_</v>
      </c>
      <c r="D227">
        <v>12</v>
      </c>
      <c r="E227" s="4">
        <v>0.66272189349112431</v>
      </c>
      <c r="F227" s="4">
        <v>0.22772517601359554</v>
      </c>
      <c r="G227" s="4" t="str">
        <f t="shared" si="32"/>
        <v/>
      </c>
      <c r="H227" s="4">
        <f t="shared" si="33"/>
        <v>0.66272189349112431</v>
      </c>
      <c r="I227" s="4" t="str">
        <f t="shared" si="34"/>
        <v/>
      </c>
      <c r="J227" s="4" t="str">
        <f t="shared" si="35"/>
        <v/>
      </c>
      <c r="K227" s="4" t="str">
        <f t="shared" si="36"/>
        <v/>
      </c>
      <c r="L227" s="4" t="str">
        <f t="shared" si="37"/>
        <v/>
      </c>
      <c r="M227" s="4"/>
      <c r="N227" s="4"/>
      <c r="O227" s="4"/>
      <c r="P227" s="4"/>
      <c r="Q227" s="4"/>
      <c r="R227" s="4"/>
      <c r="S227" s="4"/>
      <c r="T227" s="4"/>
      <c r="U227" s="4"/>
    </row>
    <row r="228" spans="1:21">
      <c r="A228" t="s">
        <v>230</v>
      </c>
      <c r="B228">
        <v>1</v>
      </c>
      <c r="C228" t="str">
        <f t="shared" si="31"/>
        <v>test.WorldController_1_</v>
      </c>
      <c r="D228">
        <v>13</v>
      </c>
      <c r="E228" s="4">
        <v>0.74556213017751483</v>
      </c>
      <c r="F228" s="4">
        <v>0.23858946346200535</v>
      </c>
      <c r="G228" s="4" t="str">
        <f t="shared" si="32"/>
        <v/>
      </c>
      <c r="H228" s="4">
        <f t="shared" si="33"/>
        <v>0.74556213017751483</v>
      </c>
      <c r="I228" s="4" t="str">
        <f t="shared" si="34"/>
        <v/>
      </c>
      <c r="J228" s="4" t="str">
        <f t="shared" si="35"/>
        <v/>
      </c>
      <c r="K228" s="4" t="str">
        <f t="shared" si="36"/>
        <v/>
      </c>
      <c r="L228" s="4" t="str">
        <f t="shared" si="37"/>
        <v/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1">
      <c r="A229" t="s">
        <v>230</v>
      </c>
      <c r="B229">
        <v>1</v>
      </c>
      <c r="C229" t="str">
        <f t="shared" si="31"/>
        <v>test.WorldController_1_</v>
      </c>
      <c r="D229">
        <v>14</v>
      </c>
      <c r="E229" s="4">
        <v>0.83431952662721898</v>
      </c>
      <c r="F229" s="4">
        <v>0.2393177955814518</v>
      </c>
      <c r="G229" s="4" t="str">
        <f t="shared" si="32"/>
        <v/>
      </c>
      <c r="H229" s="4">
        <f t="shared" si="33"/>
        <v>0.83431952662721898</v>
      </c>
      <c r="I229" s="4" t="str">
        <f t="shared" si="34"/>
        <v/>
      </c>
      <c r="J229" s="4" t="str">
        <f t="shared" si="35"/>
        <v/>
      </c>
      <c r="K229" s="4" t="str">
        <f t="shared" si="36"/>
        <v/>
      </c>
      <c r="L229" s="4" t="str">
        <f t="shared" si="37"/>
        <v/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1">
      <c r="A230" t="s">
        <v>230</v>
      </c>
      <c r="B230">
        <v>1</v>
      </c>
      <c r="C230" t="str">
        <f t="shared" si="31"/>
        <v>test.WorldController_1_</v>
      </c>
      <c r="D230">
        <v>15</v>
      </c>
      <c r="E230" s="4">
        <v>0.91715976331360949</v>
      </c>
      <c r="F230" s="4">
        <v>0.25673707210487984</v>
      </c>
      <c r="G230" s="4" t="str">
        <f t="shared" si="32"/>
        <v/>
      </c>
      <c r="H230" s="4">
        <f t="shared" si="33"/>
        <v>0.91715976331360949</v>
      </c>
      <c r="I230" s="4" t="str">
        <f t="shared" si="34"/>
        <v/>
      </c>
      <c r="J230" s="4" t="str">
        <f t="shared" si="35"/>
        <v/>
      </c>
      <c r="K230" s="4" t="str">
        <f t="shared" si="36"/>
        <v/>
      </c>
      <c r="L230" s="4" t="str">
        <f t="shared" si="37"/>
        <v/>
      </c>
      <c r="M230" s="4"/>
      <c r="N230" s="4"/>
      <c r="O230" s="4"/>
      <c r="P230" s="4"/>
      <c r="Q230" s="4"/>
      <c r="R230" s="4"/>
      <c r="S230" s="4"/>
      <c r="T230" s="4"/>
      <c r="U230" s="4"/>
    </row>
    <row r="231" spans="1:21">
      <c r="A231" t="s">
        <v>230</v>
      </c>
      <c r="B231">
        <v>1</v>
      </c>
      <c r="C231" t="str">
        <f t="shared" si="31"/>
        <v>test.WorldController_1_</v>
      </c>
      <c r="D231">
        <v>16</v>
      </c>
      <c r="E231" s="4">
        <v>1</v>
      </c>
      <c r="F231" s="4">
        <v>0.26948288419519301</v>
      </c>
      <c r="G231" s="4" t="str">
        <f t="shared" si="32"/>
        <v/>
      </c>
      <c r="H231" s="4">
        <f t="shared" si="33"/>
        <v>1</v>
      </c>
      <c r="I231" s="4" t="str">
        <f t="shared" si="34"/>
        <v/>
      </c>
      <c r="J231" s="4" t="str">
        <f t="shared" si="35"/>
        <v/>
      </c>
      <c r="K231" s="4" t="str">
        <f t="shared" si="36"/>
        <v/>
      </c>
      <c r="L231" s="4" t="str">
        <f t="shared" si="37"/>
        <v/>
      </c>
      <c r="M231" s="4"/>
      <c r="N231" s="4"/>
      <c r="O231" s="4"/>
      <c r="P231" s="4"/>
      <c r="Q231" s="4"/>
      <c r="R231" s="4"/>
      <c r="S231" s="4"/>
      <c r="T231" s="4"/>
      <c r="U231" s="4"/>
    </row>
    <row r="232" spans="1:21">
      <c r="A232" t="s">
        <v>231</v>
      </c>
      <c r="B232">
        <v>4</v>
      </c>
      <c r="C232" t="str">
        <f t="shared" si="31"/>
        <v>test.TIFFFaxDecoder_4_</v>
      </c>
      <c r="D232">
        <v>1</v>
      </c>
      <c r="E232" s="4">
        <v>0.1038961038961039</v>
      </c>
      <c r="F232" s="4">
        <v>1.9672131147540985E-2</v>
      </c>
      <c r="G232" s="4">
        <f t="shared" si="32"/>
        <v>0.1038961038961039</v>
      </c>
      <c r="H232" s="4" t="str">
        <f t="shared" si="33"/>
        <v/>
      </c>
      <c r="I232" s="4" t="str">
        <f t="shared" si="34"/>
        <v/>
      </c>
      <c r="J232" s="4" t="str">
        <f t="shared" si="35"/>
        <v/>
      </c>
      <c r="K232" s="4" t="str">
        <f t="shared" si="36"/>
        <v/>
      </c>
      <c r="L232" s="4" t="str">
        <f t="shared" si="37"/>
        <v/>
      </c>
      <c r="M232" s="4"/>
      <c r="N232" s="4"/>
      <c r="O232" s="4"/>
      <c r="P232" s="4"/>
      <c r="Q232" s="4"/>
      <c r="R232" s="4"/>
      <c r="S232" s="4"/>
      <c r="T232" s="4"/>
      <c r="U232" s="4"/>
    </row>
    <row r="233" spans="1:21">
      <c r="A233" t="s">
        <v>231</v>
      </c>
      <c r="B233">
        <v>4</v>
      </c>
      <c r="C233" t="str">
        <f t="shared" si="31"/>
        <v>test.TIFFFaxDecoder_4_</v>
      </c>
      <c r="D233">
        <v>2</v>
      </c>
      <c r="E233" s="4">
        <v>0.25974025974025972</v>
      </c>
      <c r="F233" s="4">
        <v>0.12938209331651954</v>
      </c>
      <c r="G233" s="4">
        <f t="shared" si="32"/>
        <v>0.25974025974025972</v>
      </c>
      <c r="H233" s="4" t="str">
        <f t="shared" si="33"/>
        <v/>
      </c>
      <c r="I233" s="4" t="str">
        <f t="shared" si="34"/>
        <v/>
      </c>
      <c r="J233" s="4" t="str">
        <f t="shared" si="35"/>
        <v/>
      </c>
      <c r="K233" s="4" t="str">
        <f t="shared" si="36"/>
        <v/>
      </c>
      <c r="L233" s="4" t="str">
        <f t="shared" si="37"/>
        <v/>
      </c>
      <c r="M233" s="4"/>
      <c r="N233" s="4"/>
      <c r="O233" s="4"/>
      <c r="P233" s="4"/>
      <c r="Q233" s="4"/>
      <c r="R233" s="4"/>
      <c r="S233" s="4"/>
      <c r="T233" s="4"/>
      <c r="U233" s="4"/>
    </row>
    <row r="234" spans="1:21">
      <c r="A234" t="s">
        <v>231</v>
      </c>
      <c r="B234">
        <v>4</v>
      </c>
      <c r="C234" t="str">
        <f t="shared" si="31"/>
        <v>test.TIFFFaxDecoder_4_</v>
      </c>
      <c r="D234">
        <v>3</v>
      </c>
      <c r="E234" s="4">
        <v>0.53246753246753242</v>
      </c>
      <c r="F234" s="4">
        <v>0.31803278688524589</v>
      </c>
      <c r="G234" s="4" t="str">
        <f t="shared" si="32"/>
        <v/>
      </c>
      <c r="H234" s="4">
        <f t="shared" si="33"/>
        <v>0.53246753246753242</v>
      </c>
      <c r="I234" s="4" t="str">
        <f t="shared" si="34"/>
        <v/>
      </c>
      <c r="J234" s="4" t="str">
        <f t="shared" si="35"/>
        <v/>
      </c>
      <c r="K234" s="4" t="str">
        <f t="shared" si="36"/>
        <v/>
      </c>
      <c r="L234" s="4" t="str">
        <f t="shared" si="37"/>
        <v/>
      </c>
      <c r="M234" s="4"/>
      <c r="N234" s="4"/>
      <c r="O234" s="4"/>
      <c r="P234" s="4"/>
      <c r="Q234" s="4"/>
      <c r="R234" s="4"/>
      <c r="S234" s="4"/>
      <c r="T234" s="4"/>
      <c r="U234" s="4"/>
    </row>
    <row r="235" spans="1:21">
      <c r="A235" t="s">
        <v>231</v>
      </c>
      <c r="B235">
        <v>4</v>
      </c>
      <c r="C235" t="str">
        <f t="shared" si="31"/>
        <v>test.TIFFFaxDecoder_4_</v>
      </c>
      <c r="D235">
        <v>4</v>
      </c>
      <c r="E235" s="4">
        <v>0.55844155844155841</v>
      </c>
      <c r="F235" s="4">
        <v>0.32118537200504416</v>
      </c>
      <c r="G235" s="4" t="str">
        <f t="shared" si="32"/>
        <v/>
      </c>
      <c r="H235" s="4">
        <f t="shared" si="33"/>
        <v>0.55844155844155841</v>
      </c>
      <c r="I235" s="4" t="str">
        <f t="shared" si="34"/>
        <v/>
      </c>
      <c r="J235" s="4" t="str">
        <f t="shared" si="35"/>
        <v/>
      </c>
      <c r="K235" s="4" t="str">
        <f t="shared" si="36"/>
        <v/>
      </c>
      <c r="L235" s="4" t="str">
        <f t="shared" si="37"/>
        <v/>
      </c>
      <c r="M235" s="4"/>
      <c r="N235" s="4"/>
      <c r="O235" s="4"/>
      <c r="P235" s="4"/>
      <c r="Q235" s="4"/>
      <c r="R235" s="4"/>
      <c r="S235" s="4"/>
      <c r="T235" s="4"/>
      <c r="U235" s="4"/>
    </row>
    <row r="236" spans="1:21">
      <c r="A236" t="s">
        <v>231</v>
      </c>
      <c r="B236">
        <v>4</v>
      </c>
      <c r="C236" t="str">
        <f t="shared" si="31"/>
        <v>test.TIFFFaxDecoder_4_</v>
      </c>
      <c r="D236">
        <v>5</v>
      </c>
      <c r="E236" s="4">
        <v>0.62337662337662336</v>
      </c>
      <c r="F236" s="4">
        <v>0.35081967213114756</v>
      </c>
      <c r="G236" s="4" t="str">
        <f t="shared" si="32"/>
        <v/>
      </c>
      <c r="H236" s="4">
        <f t="shared" si="33"/>
        <v>0.62337662337662336</v>
      </c>
      <c r="I236" s="4" t="str">
        <f t="shared" si="34"/>
        <v/>
      </c>
      <c r="J236" s="4" t="str">
        <f t="shared" si="35"/>
        <v/>
      </c>
      <c r="K236" s="4" t="str">
        <f t="shared" si="36"/>
        <v/>
      </c>
      <c r="L236" s="4" t="str">
        <f t="shared" si="37"/>
        <v/>
      </c>
      <c r="M236" s="4"/>
      <c r="N236" s="4"/>
      <c r="O236" s="4"/>
      <c r="P236" s="4"/>
      <c r="Q236" s="4"/>
      <c r="R236" s="4"/>
      <c r="S236" s="4"/>
      <c r="T236" s="4"/>
      <c r="U236" s="4"/>
    </row>
    <row r="237" spans="1:21">
      <c r="A237" t="s">
        <v>231</v>
      </c>
      <c r="B237">
        <v>4</v>
      </c>
      <c r="C237" t="str">
        <f t="shared" si="31"/>
        <v>test.TIFFFaxDecoder_4_</v>
      </c>
      <c r="D237">
        <v>6</v>
      </c>
      <c r="E237" s="4">
        <v>0.74025974025974028</v>
      </c>
      <c r="F237" s="4">
        <v>0.49382093316519549</v>
      </c>
      <c r="G237" s="4" t="str">
        <f t="shared" si="32"/>
        <v/>
      </c>
      <c r="H237" s="4" t="str">
        <f t="shared" si="33"/>
        <v/>
      </c>
      <c r="I237" s="4">
        <f t="shared" si="34"/>
        <v>0.74025974025974028</v>
      </c>
      <c r="J237" s="4" t="str">
        <f t="shared" si="35"/>
        <v/>
      </c>
      <c r="K237" s="4" t="str">
        <f t="shared" si="36"/>
        <v/>
      </c>
      <c r="L237" s="4" t="str">
        <f t="shared" si="37"/>
        <v/>
      </c>
      <c r="M237" s="4"/>
      <c r="N237" s="4"/>
      <c r="O237" s="4"/>
      <c r="P237" s="4"/>
      <c r="Q237" s="4"/>
      <c r="R237" s="4"/>
      <c r="S237" s="4"/>
      <c r="T237" s="4"/>
      <c r="U237" s="4"/>
    </row>
    <row r="238" spans="1:21">
      <c r="A238" t="s">
        <v>231</v>
      </c>
      <c r="B238">
        <v>4</v>
      </c>
      <c r="C238" t="str">
        <f t="shared" si="31"/>
        <v>test.TIFFFaxDecoder_4_</v>
      </c>
      <c r="D238">
        <v>7</v>
      </c>
      <c r="E238" s="4">
        <v>0.94805194805194803</v>
      </c>
      <c r="F238" s="4">
        <v>0.78297604035308954</v>
      </c>
      <c r="G238" s="4" t="str">
        <f t="shared" si="32"/>
        <v/>
      </c>
      <c r="H238" s="4" t="str">
        <f t="shared" si="33"/>
        <v/>
      </c>
      <c r="I238" s="4" t="str">
        <f t="shared" si="34"/>
        <v/>
      </c>
      <c r="J238" s="4">
        <f t="shared" si="35"/>
        <v>0.94805194805194803</v>
      </c>
      <c r="K238" s="4" t="str">
        <f t="shared" si="36"/>
        <v/>
      </c>
      <c r="L238" s="4" t="str">
        <f t="shared" si="37"/>
        <v/>
      </c>
      <c r="M238" s="4"/>
      <c r="N238" s="4"/>
      <c r="O238" s="4"/>
      <c r="P238" s="4"/>
      <c r="Q238" s="4"/>
      <c r="R238" s="4"/>
      <c r="S238" s="4"/>
      <c r="T238" s="4"/>
      <c r="U238" s="4"/>
    </row>
    <row r="239" spans="1:21">
      <c r="A239" t="s">
        <v>231</v>
      </c>
      <c r="B239">
        <v>5</v>
      </c>
      <c r="C239" t="str">
        <f t="shared" si="31"/>
        <v>test.TIFFFaxDecoder_5_</v>
      </c>
      <c r="D239">
        <v>1</v>
      </c>
      <c r="E239" s="4">
        <v>0.29921259842519687</v>
      </c>
      <c r="F239" s="4">
        <v>0.18416978454392982</v>
      </c>
      <c r="G239" s="4">
        <f t="shared" si="32"/>
        <v>0.29921259842519687</v>
      </c>
      <c r="H239" s="4" t="str">
        <f t="shared" si="33"/>
        <v/>
      </c>
      <c r="I239" s="4" t="str">
        <f t="shared" si="34"/>
        <v/>
      </c>
      <c r="J239" s="4" t="str">
        <f t="shared" si="35"/>
        <v/>
      </c>
      <c r="K239" s="4" t="str">
        <f t="shared" si="36"/>
        <v/>
      </c>
      <c r="L239" s="4" t="str">
        <f t="shared" si="37"/>
        <v/>
      </c>
      <c r="M239" s="4"/>
      <c r="N239" s="4"/>
      <c r="O239" s="4"/>
      <c r="P239" s="4"/>
      <c r="Q239" s="4"/>
      <c r="R239" s="4"/>
      <c r="S239" s="4"/>
      <c r="T239" s="4"/>
      <c r="U239" s="4"/>
    </row>
    <row r="240" spans="1:21">
      <c r="A240" t="s">
        <v>231</v>
      </c>
      <c r="B240">
        <v>5</v>
      </c>
      <c r="C240" t="str">
        <f t="shared" si="31"/>
        <v>test.TIFFFaxDecoder_5_</v>
      </c>
      <c r="D240">
        <v>2</v>
      </c>
      <c r="E240" s="4">
        <v>0.32283464566929132</v>
      </c>
      <c r="F240" s="4">
        <v>0.18997548703393111</v>
      </c>
      <c r="G240" s="4">
        <f t="shared" si="32"/>
        <v>0.32283464566929132</v>
      </c>
      <c r="H240" s="4" t="str">
        <f t="shared" si="33"/>
        <v/>
      </c>
      <c r="I240" s="4" t="str">
        <f t="shared" si="34"/>
        <v/>
      </c>
      <c r="J240" s="4" t="str">
        <f t="shared" si="35"/>
        <v/>
      </c>
      <c r="K240" s="4" t="str">
        <f t="shared" si="36"/>
        <v/>
      </c>
      <c r="L240" s="4" t="str">
        <f t="shared" si="37"/>
        <v/>
      </c>
      <c r="M240" s="4"/>
      <c r="N240" s="4"/>
      <c r="O240" s="4"/>
      <c r="P240" s="4"/>
      <c r="Q240" s="4"/>
      <c r="R240" s="4"/>
      <c r="S240" s="4"/>
      <c r="T240" s="4"/>
      <c r="U240" s="4"/>
    </row>
    <row r="241" spans="1:21">
      <c r="A241" t="s">
        <v>231</v>
      </c>
      <c r="B241">
        <v>5</v>
      </c>
      <c r="C241" t="str">
        <f t="shared" si="31"/>
        <v>test.TIFFFaxDecoder_5_</v>
      </c>
      <c r="D241">
        <v>3</v>
      </c>
      <c r="E241" s="4">
        <v>0.36220472440944884</v>
      </c>
      <c r="F241" s="4">
        <v>0.20023222809960006</v>
      </c>
      <c r="G241" s="4" t="str">
        <f t="shared" si="32"/>
        <v/>
      </c>
      <c r="H241" s="4">
        <f t="shared" si="33"/>
        <v>0.36220472440944884</v>
      </c>
      <c r="I241" s="4" t="str">
        <f t="shared" si="34"/>
        <v/>
      </c>
      <c r="J241" s="4" t="str">
        <f t="shared" si="35"/>
        <v/>
      </c>
      <c r="K241" s="4" t="str">
        <f t="shared" si="36"/>
        <v/>
      </c>
      <c r="L241" s="4" t="str">
        <f t="shared" si="37"/>
        <v/>
      </c>
      <c r="M241" s="4"/>
      <c r="N241" s="4"/>
      <c r="O241" s="4"/>
      <c r="P241" s="4"/>
      <c r="Q241" s="4"/>
      <c r="R241" s="4"/>
      <c r="S241" s="4"/>
      <c r="T241" s="4"/>
      <c r="U241" s="4"/>
    </row>
    <row r="242" spans="1:21">
      <c r="A242" t="s">
        <v>231</v>
      </c>
      <c r="B242">
        <v>5</v>
      </c>
      <c r="C242" t="str">
        <f t="shared" si="31"/>
        <v>test.TIFFFaxDecoder_5_</v>
      </c>
      <c r="D242">
        <v>4</v>
      </c>
      <c r="E242" s="4">
        <v>0.38582677165354329</v>
      </c>
      <c r="F242" s="4">
        <v>0.20687653206037931</v>
      </c>
      <c r="G242" s="4" t="str">
        <f t="shared" si="32"/>
        <v/>
      </c>
      <c r="H242" s="4">
        <f t="shared" si="33"/>
        <v>0.38582677165354329</v>
      </c>
      <c r="I242" s="4" t="str">
        <f t="shared" si="34"/>
        <v/>
      </c>
      <c r="J242" s="4" t="str">
        <f t="shared" si="35"/>
        <v/>
      </c>
      <c r="K242" s="4" t="str">
        <f t="shared" si="36"/>
        <v/>
      </c>
      <c r="L242" s="4" t="str">
        <f t="shared" si="37"/>
        <v/>
      </c>
      <c r="M242" s="4"/>
      <c r="N242" s="4"/>
      <c r="O242" s="4"/>
      <c r="P242" s="4"/>
      <c r="Q242" s="4"/>
      <c r="R242" s="4"/>
      <c r="S242" s="4"/>
      <c r="T242" s="4"/>
      <c r="U242" s="4"/>
    </row>
    <row r="243" spans="1:21">
      <c r="A243" t="s">
        <v>231</v>
      </c>
      <c r="B243">
        <v>5</v>
      </c>
      <c r="C243" t="str">
        <f t="shared" si="31"/>
        <v>test.TIFFFaxDecoder_5_</v>
      </c>
      <c r="D243">
        <v>5</v>
      </c>
      <c r="E243" s="4">
        <v>0.45669291338582679</v>
      </c>
      <c r="F243" s="4">
        <v>0.28383434395561863</v>
      </c>
      <c r="G243" s="4" t="str">
        <f t="shared" si="32"/>
        <v/>
      </c>
      <c r="H243" s="4">
        <f t="shared" si="33"/>
        <v>0.45669291338582679</v>
      </c>
      <c r="I243" s="4" t="str">
        <f t="shared" si="34"/>
        <v/>
      </c>
      <c r="J243" s="4" t="str">
        <f t="shared" si="35"/>
        <v/>
      </c>
      <c r="K243" s="4" t="str">
        <f t="shared" si="36"/>
        <v/>
      </c>
      <c r="L243" s="4" t="str">
        <f t="shared" si="37"/>
        <v/>
      </c>
      <c r="M243" s="4"/>
      <c r="N243" s="4"/>
      <c r="O243" s="4"/>
      <c r="P243" s="4"/>
      <c r="Q243" s="4"/>
      <c r="R243" s="4"/>
      <c r="S243" s="4"/>
      <c r="T243" s="4"/>
      <c r="U243" s="4"/>
    </row>
    <row r="244" spans="1:21">
      <c r="A244" t="s">
        <v>231</v>
      </c>
      <c r="B244">
        <v>5</v>
      </c>
      <c r="C244" t="str">
        <f t="shared" si="31"/>
        <v>test.TIFFFaxDecoder_5_</v>
      </c>
      <c r="D244">
        <v>6</v>
      </c>
      <c r="E244" s="4">
        <v>0.58267716535433067</v>
      </c>
      <c r="F244" s="4">
        <v>0.48316346277899624</v>
      </c>
      <c r="G244" s="4" t="str">
        <f t="shared" si="32"/>
        <v/>
      </c>
      <c r="H244" s="4" t="str">
        <f t="shared" si="33"/>
        <v/>
      </c>
      <c r="I244" s="4">
        <f t="shared" si="34"/>
        <v>0.58267716535433067</v>
      </c>
      <c r="J244" s="4" t="str">
        <f t="shared" si="35"/>
        <v/>
      </c>
      <c r="K244" s="4" t="str">
        <f t="shared" si="36"/>
        <v/>
      </c>
      <c r="L244" s="4" t="str">
        <f t="shared" si="37"/>
        <v/>
      </c>
      <c r="M244" s="4"/>
      <c r="N244" s="4"/>
      <c r="O244" s="4"/>
      <c r="P244" s="4"/>
      <c r="Q244" s="4"/>
      <c r="R244" s="4"/>
      <c r="S244" s="4"/>
      <c r="T244" s="4"/>
      <c r="U244" s="4"/>
    </row>
    <row r="245" spans="1:21">
      <c r="A245" t="s">
        <v>231</v>
      </c>
      <c r="B245">
        <v>5</v>
      </c>
      <c r="C245" t="str">
        <f t="shared" si="31"/>
        <v>test.TIFFFaxDecoder_5_</v>
      </c>
      <c r="D245">
        <v>7</v>
      </c>
      <c r="E245" s="4">
        <v>0.83464566929133854</v>
      </c>
      <c r="F245" s="4">
        <v>0.55412204876790094</v>
      </c>
      <c r="G245" s="4" t="str">
        <f t="shared" si="32"/>
        <v/>
      </c>
      <c r="H245" s="4" t="str">
        <f t="shared" si="33"/>
        <v/>
      </c>
      <c r="I245" s="4">
        <f t="shared" si="34"/>
        <v>0.83464566929133854</v>
      </c>
      <c r="J245" s="4" t="str">
        <f t="shared" si="35"/>
        <v/>
      </c>
      <c r="K245" s="4" t="str">
        <f t="shared" si="36"/>
        <v/>
      </c>
      <c r="L245" s="4" t="str">
        <f t="shared" si="37"/>
        <v/>
      </c>
      <c r="M245" s="4"/>
      <c r="N245" s="4"/>
      <c r="O245" s="4"/>
      <c r="P245" s="4"/>
      <c r="Q245" s="4"/>
      <c r="R245" s="4"/>
      <c r="S245" s="4"/>
      <c r="T245" s="4"/>
      <c r="U245" s="4"/>
    </row>
    <row r="246" spans="1:21">
      <c r="A246" t="s">
        <v>231</v>
      </c>
      <c r="B246">
        <v>5</v>
      </c>
      <c r="C246" t="str">
        <f t="shared" si="31"/>
        <v>test.TIFFFaxDecoder_5_</v>
      </c>
      <c r="D246">
        <v>8</v>
      </c>
      <c r="E246" s="4">
        <v>0.96850393700787396</v>
      </c>
      <c r="F246" s="4">
        <v>0.61411430783124754</v>
      </c>
      <c r="G246" s="4" t="str">
        <f t="shared" si="32"/>
        <v/>
      </c>
      <c r="H246" s="4" t="str">
        <f t="shared" si="33"/>
        <v/>
      </c>
      <c r="I246" s="4" t="str">
        <f t="shared" si="34"/>
        <v/>
      </c>
      <c r="J246" s="4">
        <f t="shared" si="35"/>
        <v>0.96850393700787396</v>
      </c>
      <c r="K246" s="4" t="str">
        <f t="shared" si="36"/>
        <v/>
      </c>
      <c r="L246" s="4" t="str">
        <f t="shared" si="37"/>
        <v/>
      </c>
      <c r="M246" s="4"/>
      <c r="N246" s="4"/>
      <c r="O246" s="4"/>
      <c r="P246" s="4"/>
      <c r="Q246" s="4"/>
      <c r="R246" s="4"/>
      <c r="S246" s="4"/>
      <c r="T246" s="4"/>
      <c r="U246" s="4"/>
    </row>
    <row r="247" spans="1:21">
      <c r="A247" t="s">
        <v>231</v>
      </c>
      <c r="B247">
        <v>7</v>
      </c>
      <c r="C247" t="str">
        <f t="shared" si="31"/>
        <v>test.TIFFFaxDecoder_7_</v>
      </c>
      <c r="D247">
        <v>1</v>
      </c>
      <c r="E247" s="4">
        <v>0.30303030303030304</v>
      </c>
      <c r="F247" s="4">
        <v>0.30402384500745155</v>
      </c>
      <c r="G247" s="4" t="str">
        <f t="shared" si="32"/>
        <v/>
      </c>
      <c r="H247" s="4">
        <f t="shared" si="33"/>
        <v>0.30303030303030304</v>
      </c>
      <c r="I247" s="4" t="str">
        <f t="shared" si="34"/>
        <v/>
      </c>
      <c r="J247" s="4" t="str">
        <f t="shared" si="35"/>
        <v/>
      </c>
      <c r="K247" s="4" t="str">
        <f t="shared" si="36"/>
        <v/>
      </c>
      <c r="L247" s="4" t="str">
        <f t="shared" si="37"/>
        <v/>
      </c>
      <c r="M247" s="4"/>
      <c r="N247" s="4"/>
      <c r="O247" s="4"/>
      <c r="P247" s="4"/>
      <c r="Q247" s="4"/>
      <c r="R247" s="4"/>
      <c r="S247" s="4"/>
      <c r="T247" s="4"/>
      <c r="U247" s="4"/>
    </row>
    <row r="248" spans="1:21">
      <c r="A248" t="s">
        <v>231</v>
      </c>
      <c r="B248">
        <v>7</v>
      </c>
      <c r="C248" t="str">
        <f t="shared" si="31"/>
        <v>test.TIFFFaxDecoder_7_</v>
      </c>
      <c r="D248">
        <v>2</v>
      </c>
      <c r="E248" s="4">
        <v>0.36363636363636365</v>
      </c>
      <c r="F248" s="4">
        <v>0.37555886736214605</v>
      </c>
      <c r="G248" s="4" t="str">
        <f t="shared" si="32"/>
        <v/>
      </c>
      <c r="H248" s="4">
        <f t="shared" si="33"/>
        <v>0.36363636363636365</v>
      </c>
      <c r="I248" s="4" t="str">
        <f t="shared" si="34"/>
        <v/>
      </c>
      <c r="J248" s="4" t="str">
        <f t="shared" si="35"/>
        <v/>
      </c>
      <c r="K248" s="4" t="str">
        <f t="shared" si="36"/>
        <v/>
      </c>
      <c r="L248" s="4" t="str">
        <f t="shared" si="37"/>
        <v/>
      </c>
      <c r="M248" s="4"/>
      <c r="N248" s="4"/>
      <c r="O248" s="4"/>
      <c r="P248" s="4"/>
      <c r="Q248" s="4"/>
      <c r="R248" s="4"/>
      <c r="S248" s="4"/>
      <c r="T248" s="4"/>
      <c r="U248" s="4"/>
    </row>
    <row r="249" spans="1:21">
      <c r="A249" t="s">
        <v>231</v>
      </c>
      <c r="B249">
        <v>7</v>
      </c>
      <c r="C249" t="str">
        <f t="shared" si="31"/>
        <v>test.TIFFFaxDecoder_7_</v>
      </c>
      <c r="D249">
        <v>3</v>
      </c>
      <c r="E249" s="4">
        <v>0.72727272727272729</v>
      </c>
      <c r="F249" s="4">
        <v>0.57824143070044709</v>
      </c>
      <c r="G249" s="4" t="str">
        <f t="shared" si="32"/>
        <v/>
      </c>
      <c r="H249" s="4" t="str">
        <f t="shared" si="33"/>
        <v/>
      </c>
      <c r="I249" s="4">
        <f t="shared" si="34"/>
        <v>0.72727272727272729</v>
      </c>
      <c r="J249" s="4" t="str">
        <f t="shared" si="35"/>
        <v/>
      </c>
      <c r="K249" s="4" t="str">
        <f t="shared" si="36"/>
        <v/>
      </c>
      <c r="L249" s="4" t="str">
        <f t="shared" si="37"/>
        <v/>
      </c>
      <c r="M249" s="4"/>
      <c r="N249" s="4"/>
      <c r="O249" s="4"/>
      <c r="P249" s="4"/>
      <c r="Q249" s="4"/>
      <c r="R249" s="4"/>
      <c r="S249" s="4"/>
      <c r="T249" s="4"/>
      <c r="U249" s="4"/>
    </row>
    <row r="250" spans="1:21">
      <c r="A250" t="s">
        <v>231</v>
      </c>
      <c r="B250">
        <v>7</v>
      </c>
      <c r="C250" t="str">
        <f t="shared" si="31"/>
        <v>test.TIFFFaxDecoder_7_</v>
      </c>
      <c r="D250">
        <v>4</v>
      </c>
      <c r="E250" s="4">
        <v>1</v>
      </c>
      <c r="F250" s="4">
        <v>0.8882265275707899</v>
      </c>
      <c r="G250" s="4" t="str">
        <f t="shared" si="32"/>
        <v/>
      </c>
      <c r="H250" s="4" t="str">
        <f t="shared" si="33"/>
        <v/>
      </c>
      <c r="I250" s="4" t="str">
        <f t="shared" si="34"/>
        <v/>
      </c>
      <c r="J250" s="4" t="str">
        <f t="shared" si="35"/>
        <v/>
      </c>
      <c r="K250" s="4">
        <f t="shared" si="36"/>
        <v>1</v>
      </c>
      <c r="L250" s="4" t="str">
        <f t="shared" si="37"/>
        <v/>
      </c>
      <c r="M250" s="4"/>
      <c r="N250" s="4"/>
      <c r="O250" s="4"/>
      <c r="P250" s="4"/>
      <c r="Q250" s="4"/>
      <c r="R250" s="4"/>
      <c r="S250" s="4"/>
      <c r="T250" s="4"/>
      <c r="U250" s="4"/>
    </row>
    <row r="251" spans="1:21">
      <c r="A251" t="s">
        <v>231</v>
      </c>
      <c r="B251">
        <v>8</v>
      </c>
      <c r="C251" t="str">
        <f t="shared" si="31"/>
        <v>test.TIFFFaxDecoder_8_</v>
      </c>
      <c r="D251">
        <v>1</v>
      </c>
      <c r="E251" s="4">
        <v>0.38</v>
      </c>
      <c r="F251" s="4">
        <v>0.32373271889400923</v>
      </c>
      <c r="G251" s="4" t="str">
        <f t="shared" si="32"/>
        <v/>
      </c>
      <c r="H251" s="4">
        <f t="shared" si="33"/>
        <v>0.38</v>
      </c>
      <c r="I251" s="4" t="str">
        <f t="shared" si="34"/>
        <v/>
      </c>
      <c r="J251" s="4" t="str">
        <f t="shared" si="35"/>
        <v/>
      </c>
      <c r="K251" s="4" t="str">
        <f t="shared" si="36"/>
        <v/>
      </c>
      <c r="L251" s="4" t="str">
        <f t="shared" si="37"/>
        <v/>
      </c>
      <c r="M251" s="4"/>
      <c r="N251" s="4"/>
      <c r="O251" s="4"/>
      <c r="P251" s="4"/>
      <c r="Q251" s="4"/>
      <c r="R251" s="4"/>
      <c r="S251" s="4"/>
      <c r="T251" s="4"/>
      <c r="U251" s="4"/>
    </row>
    <row r="252" spans="1:21">
      <c r="A252" t="s">
        <v>231</v>
      </c>
      <c r="B252">
        <v>8</v>
      </c>
      <c r="C252" t="str">
        <f t="shared" si="31"/>
        <v>test.TIFFFaxDecoder_8_</v>
      </c>
      <c r="D252">
        <v>2</v>
      </c>
      <c r="E252" s="4">
        <v>0.56000000000000005</v>
      </c>
      <c r="F252" s="4">
        <v>0.52649769585253459</v>
      </c>
      <c r="G252" s="4" t="str">
        <f t="shared" si="32"/>
        <v/>
      </c>
      <c r="H252" s="4" t="str">
        <f t="shared" si="33"/>
        <v/>
      </c>
      <c r="I252" s="4">
        <f t="shared" si="34"/>
        <v>0.56000000000000005</v>
      </c>
      <c r="J252" s="4" t="str">
        <f t="shared" si="35"/>
        <v/>
      </c>
      <c r="K252" s="4" t="str">
        <f t="shared" si="36"/>
        <v/>
      </c>
      <c r="L252" s="4" t="str">
        <f t="shared" si="37"/>
        <v/>
      </c>
      <c r="M252" s="4"/>
      <c r="N252" s="4"/>
      <c r="O252" s="4"/>
      <c r="P252" s="4"/>
      <c r="Q252" s="4"/>
      <c r="R252" s="4"/>
      <c r="S252" s="4"/>
      <c r="T252" s="4"/>
      <c r="U252" s="4"/>
    </row>
    <row r="253" spans="1:21">
      <c r="A253" t="s">
        <v>231</v>
      </c>
      <c r="B253">
        <v>8</v>
      </c>
      <c r="C253" t="str">
        <f t="shared" si="31"/>
        <v>test.TIFFFaxDecoder_8_</v>
      </c>
      <c r="D253">
        <v>3</v>
      </c>
      <c r="E253" s="4">
        <v>0.68</v>
      </c>
      <c r="F253" s="4">
        <v>0.54262672811059909</v>
      </c>
      <c r="G253" s="4" t="str">
        <f t="shared" si="32"/>
        <v/>
      </c>
      <c r="H253" s="4" t="str">
        <f t="shared" si="33"/>
        <v/>
      </c>
      <c r="I253" s="4">
        <f t="shared" si="34"/>
        <v>0.68</v>
      </c>
      <c r="J253" s="4" t="str">
        <f t="shared" si="35"/>
        <v/>
      </c>
      <c r="K253" s="4" t="str">
        <f t="shared" si="36"/>
        <v/>
      </c>
      <c r="L253" s="4" t="str">
        <f t="shared" si="37"/>
        <v/>
      </c>
      <c r="M253" s="4"/>
      <c r="N253" s="4"/>
      <c r="O253" s="4"/>
      <c r="P253" s="4"/>
      <c r="Q253" s="4"/>
      <c r="R253" s="4"/>
      <c r="S253" s="4"/>
      <c r="T253" s="4"/>
      <c r="U253" s="4"/>
    </row>
    <row r="254" spans="1:21">
      <c r="A254" t="s">
        <v>231</v>
      </c>
      <c r="B254">
        <v>8</v>
      </c>
      <c r="C254" t="str">
        <f t="shared" si="31"/>
        <v>test.TIFFFaxDecoder_8_</v>
      </c>
      <c r="D254">
        <v>4</v>
      </c>
      <c r="E254" s="4">
        <v>0.88</v>
      </c>
      <c r="F254" s="4">
        <v>0.56221198156682028</v>
      </c>
      <c r="G254" s="4" t="str">
        <f t="shared" si="32"/>
        <v/>
      </c>
      <c r="H254" s="4" t="str">
        <f t="shared" si="33"/>
        <v/>
      </c>
      <c r="I254" s="4">
        <f t="shared" si="34"/>
        <v>0.88</v>
      </c>
      <c r="J254" s="4" t="str">
        <f t="shared" si="35"/>
        <v/>
      </c>
      <c r="K254" s="4" t="str">
        <f t="shared" si="36"/>
        <v/>
      </c>
      <c r="L254" s="4" t="str">
        <f t="shared" si="37"/>
        <v/>
      </c>
      <c r="M254" s="4"/>
      <c r="N254" s="4"/>
      <c r="O254" s="4"/>
      <c r="P254" s="4"/>
      <c r="Q254" s="4"/>
      <c r="R254" s="4"/>
      <c r="S254" s="4"/>
      <c r="T254" s="4"/>
      <c r="U254" s="4"/>
    </row>
    <row r="255" spans="1:21">
      <c r="A255" t="s">
        <v>231</v>
      </c>
      <c r="B255">
        <v>8</v>
      </c>
      <c r="C255" t="str">
        <f t="shared" si="31"/>
        <v>test.TIFFFaxDecoder_8_</v>
      </c>
      <c r="D255">
        <v>5</v>
      </c>
      <c r="E255" s="4">
        <v>1</v>
      </c>
      <c r="F255" s="4">
        <v>0.72580645161290325</v>
      </c>
      <c r="G255" s="4" t="str">
        <f t="shared" si="32"/>
        <v/>
      </c>
      <c r="H255" s="4" t="str">
        <f t="shared" si="33"/>
        <v/>
      </c>
      <c r="I255" s="4" t="str">
        <f t="shared" si="34"/>
        <v/>
      </c>
      <c r="J255" s="4">
        <f t="shared" si="35"/>
        <v>1</v>
      </c>
      <c r="K255" s="4" t="str">
        <f t="shared" si="36"/>
        <v/>
      </c>
      <c r="L255" s="4" t="str">
        <f t="shared" si="37"/>
        <v/>
      </c>
      <c r="M255" s="4"/>
      <c r="N255" s="4"/>
      <c r="O255" s="4"/>
      <c r="P255" s="4"/>
      <c r="Q255" s="4"/>
      <c r="R255" s="4"/>
      <c r="S255" s="4"/>
      <c r="T255" s="4"/>
      <c r="U255" s="4"/>
    </row>
    <row r="256" spans="1:21">
      <c r="A256" t="s">
        <v>231</v>
      </c>
      <c r="B256">
        <v>9</v>
      </c>
      <c r="C256" t="str">
        <f t="shared" si="31"/>
        <v>test.TIFFFaxDecoder_9_</v>
      </c>
      <c r="D256">
        <v>1</v>
      </c>
      <c r="E256" s="4">
        <v>0.19444444444444445</v>
      </c>
      <c r="F256" s="4">
        <v>0.25210084033613445</v>
      </c>
      <c r="G256" s="4" t="str">
        <f t="shared" si="32"/>
        <v/>
      </c>
      <c r="H256" s="4">
        <f t="shared" si="33"/>
        <v>0.19444444444444445</v>
      </c>
      <c r="I256" s="4" t="str">
        <f t="shared" si="34"/>
        <v/>
      </c>
      <c r="J256" s="4" t="str">
        <f t="shared" si="35"/>
        <v/>
      </c>
      <c r="K256" s="4" t="str">
        <f t="shared" si="36"/>
        <v/>
      </c>
      <c r="L256" s="4" t="str">
        <f t="shared" si="37"/>
        <v/>
      </c>
      <c r="M256" s="4"/>
      <c r="N256" s="4"/>
      <c r="O256" s="4"/>
      <c r="P256" s="4"/>
      <c r="Q256" s="4"/>
      <c r="R256" s="4"/>
      <c r="S256" s="4"/>
      <c r="T256" s="4"/>
      <c r="U256" s="4"/>
    </row>
    <row r="257" spans="1:21">
      <c r="A257" t="s">
        <v>231</v>
      </c>
      <c r="B257">
        <v>9</v>
      </c>
      <c r="C257" t="str">
        <f t="shared" si="31"/>
        <v>test.TIFFFaxDecoder_9_</v>
      </c>
      <c r="D257">
        <v>2</v>
      </c>
      <c r="E257" s="4">
        <v>0.30555555555555558</v>
      </c>
      <c r="F257" s="4">
        <v>0.25490196078431371</v>
      </c>
      <c r="G257" s="4" t="str">
        <f t="shared" si="32"/>
        <v/>
      </c>
      <c r="H257" s="4">
        <f t="shared" si="33"/>
        <v>0.30555555555555558</v>
      </c>
      <c r="I257" s="4" t="str">
        <f t="shared" si="34"/>
        <v/>
      </c>
      <c r="J257" s="4" t="str">
        <f t="shared" si="35"/>
        <v/>
      </c>
      <c r="K257" s="4" t="str">
        <f t="shared" si="36"/>
        <v/>
      </c>
      <c r="L257" s="4" t="str">
        <f t="shared" si="37"/>
        <v/>
      </c>
      <c r="M257" s="4"/>
      <c r="N257" s="4"/>
      <c r="O257" s="4"/>
      <c r="P257" s="4"/>
      <c r="Q257" s="4"/>
      <c r="R257" s="4"/>
      <c r="S257" s="4"/>
      <c r="T257" s="4"/>
      <c r="U257" s="4"/>
    </row>
    <row r="258" spans="1:21">
      <c r="A258" t="s">
        <v>231</v>
      </c>
      <c r="B258">
        <v>9</v>
      </c>
      <c r="C258" t="str">
        <f t="shared" si="31"/>
        <v>test.TIFFFaxDecoder_9_</v>
      </c>
      <c r="D258">
        <v>3</v>
      </c>
      <c r="E258" s="4">
        <v>0.33333333333333331</v>
      </c>
      <c r="F258" s="4">
        <v>0.26050420168067229</v>
      </c>
      <c r="G258" s="4" t="str">
        <f t="shared" si="32"/>
        <v/>
      </c>
      <c r="H258" s="4">
        <f t="shared" si="33"/>
        <v>0.33333333333333331</v>
      </c>
      <c r="I258" s="4" t="str">
        <f t="shared" si="34"/>
        <v/>
      </c>
      <c r="J258" s="4" t="str">
        <f t="shared" si="35"/>
        <v/>
      </c>
      <c r="K258" s="4" t="str">
        <f t="shared" si="36"/>
        <v/>
      </c>
      <c r="L258" s="4" t="str">
        <f t="shared" si="37"/>
        <v/>
      </c>
      <c r="M258" s="4"/>
      <c r="N258" s="4"/>
      <c r="O258" s="4"/>
      <c r="P258" s="4"/>
      <c r="Q258" s="4"/>
      <c r="R258" s="4"/>
      <c r="S258" s="4"/>
      <c r="T258" s="4"/>
      <c r="U258" s="4"/>
    </row>
    <row r="259" spans="1:21">
      <c r="A259" t="s">
        <v>231</v>
      </c>
      <c r="B259">
        <v>9</v>
      </c>
      <c r="C259" t="str">
        <f t="shared" ref="C259:C312" si="38">CONCATENATE(A259, "_",B259,"_")</f>
        <v>test.TIFFFaxDecoder_9_</v>
      </c>
      <c r="D259">
        <v>4</v>
      </c>
      <c r="E259" s="4">
        <v>0.47222222222222221</v>
      </c>
      <c r="F259" s="4">
        <v>0.2969187675070028</v>
      </c>
      <c r="G259" s="4" t="str">
        <f t="shared" ref="G259:G312" si="39">IF($F259 &lt;= 0.2,$E259,"")</f>
        <v/>
      </c>
      <c r="H259" s="4">
        <f t="shared" ref="H259:H312" si="40">IF(AND($F259 &gt; 0.2,$F259 &lt;= 0.4),$E259,"")</f>
        <v>0.47222222222222221</v>
      </c>
      <c r="I259" s="4" t="str">
        <f t="shared" ref="I259:I312" si="41">IF(AND($F259 &gt; 0.4,$F259 &lt;= 0.6),$E259,"")</f>
        <v/>
      </c>
      <c r="J259" s="4" t="str">
        <f t="shared" ref="J259:J312" si="42">IF(AND($F259 &gt; 0.6,$F259 &lt;= 0.8),$E259,"")</f>
        <v/>
      </c>
      <c r="K259" s="4" t="str">
        <f t="shared" ref="K259:K312" si="43">IF(AND($F259 &gt; 0.8, $F259 &lt;=1.1),$E259,"")</f>
        <v/>
      </c>
      <c r="L259" s="4" t="str">
        <f t="shared" ref="L259:L312" si="44">IF(AND($F259 &gt; 1.1),$E259,"")</f>
        <v/>
      </c>
      <c r="M259" s="4"/>
      <c r="N259" s="4"/>
      <c r="O259" s="4"/>
      <c r="P259" s="4"/>
      <c r="Q259" s="4"/>
      <c r="R259" s="4"/>
      <c r="S259" s="4"/>
      <c r="T259" s="4"/>
      <c r="U259" s="4"/>
    </row>
    <row r="260" spans="1:21">
      <c r="A260" t="s">
        <v>231</v>
      </c>
      <c r="B260">
        <v>9</v>
      </c>
      <c r="C260" t="str">
        <f t="shared" si="38"/>
        <v>test.TIFFFaxDecoder_9_</v>
      </c>
      <c r="D260">
        <v>5</v>
      </c>
      <c r="E260" s="4">
        <v>0.5</v>
      </c>
      <c r="F260" s="4">
        <v>0.31932773109243695</v>
      </c>
      <c r="G260" s="4" t="str">
        <f t="shared" si="39"/>
        <v/>
      </c>
      <c r="H260" s="4">
        <f t="shared" si="40"/>
        <v>0.5</v>
      </c>
      <c r="I260" s="4" t="str">
        <f t="shared" si="41"/>
        <v/>
      </c>
      <c r="J260" s="4" t="str">
        <f t="shared" si="42"/>
        <v/>
      </c>
      <c r="K260" s="4" t="str">
        <f t="shared" si="43"/>
        <v/>
      </c>
      <c r="L260" s="4" t="str">
        <f t="shared" si="44"/>
        <v/>
      </c>
      <c r="M260" s="4"/>
      <c r="N260" s="4"/>
      <c r="O260" s="4"/>
      <c r="P260" s="4"/>
      <c r="Q260" s="4"/>
      <c r="R260" s="4"/>
      <c r="S260" s="4"/>
      <c r="T260" s="4"/>
      <c r="U260" s="4"/>
    </row>
    <row r="261" spans="1:21">
      <c r="A261" t="s">
        <v>231</v>
      </c>
      <c r="B261">
        <v>9</v>
      </c>
      <c r="C261" t="str">
        <f t="shared" si="38"/>
        <v>test.TIFFFaxDecoder_9_</v>
      </c>
      <c r="D261">
        <v>6</v>
      </c>
      <c r="E261" s="4">
        <v>0.61111111111111116</v>
      </c>
      <c r="F261" s="4">
        <v>0.3235294117647059</v>
      </c>
      <c r="G261" s="4" t="str">
        <f t="shared" si="39"/>
        <v/>
      </c>
      <c r="H261" s="4">
        <f t="shared" si="40"/>
        <v>0.61111111111111116</v>
      </c>
      <c r="I261" s="4" t="str">
        <f t="shared" si="41"/>
        <v/>
      </c>
      <c r="J261" s="4" t="str">
        <f t="shared" si="42"/>
        <v/>
      </c>
      <c r="K261" s="4" t="str">
        <f t="shared" si="43"/>
        <v/>
      </c>
      <c r="L261" s="4" t="str">
        <f t="shared" si="44"/>
        <v/>
      </c>
      <c r="M261" s="4"/>
      <c r="N261" s="4"/>
      <c r="O261" s="4"/>
      <c r="P261" s="4"/>
      <c r="Q261" s="4"/>
      <c r="R261" s="4"/>
      <c r="S261" s="4"/>
      <c r="T261" s="4"/>
      <c r="U261" s="4"/>
    </row>
    <row r="262" spans="1:21">
      <c r="A262" t="s">
        <v>231</v>
      </c>
      <c r="B262">
        <v>9</v>
      </c>
      <c r="C262" t="str">
        <f t="shared" si="38"/>
        <v>test.TIFFFaxDecoder_9_</v>
      </c>
      <c r="D262">
        <v>7</v>
      </c>
      <c r="E262" s="4">
        <v>0.63888888888888884</v>
      </c>
      <c r="F262" s="4">
        <v>0.33193277310924368</v>
      </c>
      <c r="G262" s="4" t="str">
        <f t="shared" si="39"/>
        <v/>
      </c>
      <c r="H262" s="4">
        <f t="shared" si="40"/>
        <v>0.63888888888888884</v>
      </c>
      <c r="I262" s="4" t="str">
        <f t="shared" si="41"/>
        <v/>
      </c>
      <c r="J262" s="4" t="str">
        <f t="shared" si="42"/>
        <v/>
      </c>
      <c r="K262" s="4" t="str">
        <f t="shared" si="43"/>
        <v/>
      </c>
      <c r="L262" s="4" t="str">
        <f t="shared" si="44"/>
        <v/>
      </c>
      <c r="M262" s="4"/>
      <c r="N262" s="4"/>
      <c r="O262" s="4"/>
      <c r="P262" s="4"/>
      <c r="Q262" s="4"/>
      <c r="R262" s="4"/>
      <c r="S262" s="4"/>
      <c r="T262" s="4"/>
      <c r="U262" s="4"/>
    </row>
    <row r="263" spans="1:21">
      <c r="A263" t="s">
        <v>231</v>
      </c>
      <c r="B263">
        <v>9</v>
      </c>
      <c r="C263" t="str">
        <f t="shared" si="38"/>
        <v>test.TIFFFaxDecoder_9_</v>
      </c>
      <c r="D263">
        <v>8</v>
      </c>
      <c r="E263" s="4">
        <v>0.66666666666666663</v>
      </c>
      <c r="F263" s="4">
        <v>0.33333333333333331</v>
      </c>
      <c r="G263" s="4" t="str">
        <f t="shared" si="39"/>
        <v/>
      </c>
      <c r="H263" s="4">
        <f t="shared" si="40"/>
        <v>0.66666666666666663</v>
      </c>
      <c r="I263" s="4" t="str">
        <f t="shared" si="41"/>
        <v/>
      </c>
      <c r="J263" s="4" t="str">
        <f t="shared" si="42"/>
        <v/>
      </c>
      <c r="K263" s="4" t="str">
        <f t="shared" si="43"/>
        <v/>
      </c>
      <c r="L263" s="4" t="str">
        <f t="shared" si="44"/>
        <v/>
      </c>
      <c r="M263" s="4"/>
      <c r="N263" s="4"/>
      <c r="O263" s="4"/>
      <c r="P263" s="4"/>
      <c r="Q263" s="4"/>
      <c r="R263" s="4"/>
      <c r="S263" s="4"/>
      <c r="T263" s="4"/>
      <c r="U263" s="4"/>
    </row>
    <row r="264" spans="1:21">
      <c r="A264" t="s">
        <v>231</v>
      </c>
      <c r="B264">
        <v>9</v>
      </c>
      <c r="C264" t="str">
        <f t="shared" si="38"/>
        <v>test.TIFFFaxDecoder_9_</v>
      </c>
      <c r="D264">
        <v>9</v>
      </c>
      <c r="E264" s="4">
        <v>0.66666666666666663</v>
      </c>
      <c r="F264" s="4">
        <v>0.33473389355742295</v>
      </c>
      <c r="G264" s="4" t="str">
        <f t="shared" si="39"/>
        <v/>
      </c>
      <c r="H264" s="4">
        <f t="shared" si="40"/>
        <v>0.66666666666666663</v>
      </c>
      <c r="I264" s="4" t="str">
        <f t="shared" si="41"/>
        <v/>
      </c>
      <c r="J264" s="4" t="str">
        <f t="shared" si="42"/>
        <v/>
      </c>
      <c r="K264" s="4" t="str">
        <f t="shared" si="43"/>
        <v/>
      </c>
      <c r="L264" s="4" t="str">
        <f t="shared" si="44"/>
        <v/>
      </c>
      <c r="M264" s="4"/>
      <c r="N264" s="4"/>
      <c r="O264" s="4"/>
      <c r="P264" s="4"/>
      <c r="Q264" s="4"/>
      <c r="R264" s="4"/>
      <c r="S264" s="4"/>
      <c r="T264" s="4"/>
      <c r="U264" s="4"/>
    </row>
    <row r="265" spans="1:21">
      <c r="A265" t="s">
        <v>231</v>
      </c>
      <c r="B265">
        <v>9</v>
      </c>
      <c r="C265" t="str">
        <f t="shared" si="38"/>
        <v>test.TIFFFaxDecoder_9_</v>
      </c>
      <c r="D265">
        <v>10</v>
      </c>
      <c r="E265" s="4">
        <v>0.66666666666666663</v>
      </c>
      <c r="F265" s="4">
        <v>0.33753501400560226</v>
      </c>
      <c r="G265" s="4" t="str">
        <f t="shared" si="39"/>
        <v/>
      </c>
      <c r="H265" s="4">
        <f t="shared" si="40"/>
        <v>0.66666666666666663</v>
      </c>
      <c r="I265" s="4" t="str">
        <f t="shared" si="41"/>
        <v/>
      </c>
      <c r="J265" s="4" t="str">
        <f t="shared" si="42"/>
        <v/>
      </c>
      <c r="K265" s="4" t="str">
        <f t="shared" si="43"/>
        <v/>
      </c>
      <c r="L265" s="4" t="str">
        <f t="shared" si="44"/>
        <v/>
      </c>
      <c r="M265" s="4"/>
      <c r="N265" s="4"/>
      <c r="O265" s="4"/>
      <c r="P265" s="4"/>
      <c r="Q265" s="4"/>
      <c r="R265" s="4"/>
      <c r="S265" s="4"/>
      <c r="T265" s="4"/>
      <c r="U265" s="4"/>
    </row>
    <row r="266" spans="1:21">
      <c r="A266" t="s">
        <v>231</v>
      </c>
      <c r="B266">
        <v>9</v>
      </c>
      <c r="C266" t="str">
        <f t="shared" si="38"/>
        <v>test.TIFFFaxDecoder_9_</v>
      </c>
      <c r="D266">
        <v>11</v>
      </c>
      <c r="E266" s="4">
        <v>0.66666666666666663</v>
      </c>
      <c r="F266" s="4">
        <v>0.34733893557422968</v>
      </c>
      <c r="G266" s="4" t="str">
        <f t="shared" si="39"/>
        <v/>
      </c>
      <c r="H266" s="4">
        <f t="shared" si="40"/>
        <v>0.66666666666666663</v>
      </c>
      <c r="I266" s="4" t="str">
        <f t="shared" si="41"/>
        <v/>
      </c>
      <c r="J266" s="4" t="str">
        <f t="shared" si="42"/>
        <v/>
      </c>
      <c r="K266" s="4" t="str">
        <f t="shared" si="43"/>
        <v/>
      </c>
      <c r="L266" s="4" t="str">
        <f t="shared" si="44"/>
        <v/>
      </c>
      <c r="M266" s="4"/>
      <c r="N266" s="4"/>
      <c r="O266" s="4"/>
      <c r="P266" s="4"/>
      <c r="Q266" s="4"/>
      <c r="R266" s="4"/>
      <c r="S266" s="4"/>
      <c r="T266" s="4"/>
      <c r="U266" s="4"/>
    </row>
    <row r="267" spans="1:21">
      <c r="A267" t="s">
        <v>231</v>
      </c>
      <c r="B267">
        <v>9</v>
      </c>
      <c r="C267" t="str">
        <f t="shared" si="38"/>
        <v>test.TIFFFaxDecoder_9_</v>
      </c>
      <c r="D267">
        <v>12</v>
      </c>
      <c r="E267" s="4">
        <v>0.66666666666666663</v>
      </c>
      <c r="F267" s="4">
        <v>0.38655462184873951</v>
      </c>
      <c r="G267" s="4" t="str">
        <f t="shared" si="39"/>
        <v/>
      </c>
      <c r="H267" s="4">
        <f t="shared" si="40"/>
        <v>0.66666666666666663</v>
      </c>
      <c r="I267" s="4" t="str">
        <f t="shared" si="41"/>
        <v/>
      </c>
      <c r="J267" s="4" t="str">
        <f t="shared" si="42"/>
        <v/>
      </c>
      <c r="K267" s="4" t="str">
        <f t="shared" si="43"/>
        <v/>
      </c>
      <c r="L267" s="4" t="str">
        <f t="shared" si="44"/>
        <v/>
      </c>
      <c r="M267" s="4"/>
      <c r="N267" s="4"/>
      <c r="O267" s="4"/>
      <c r="P267" s="4"/>
      <c r="Q267" s="4"/>
      <c r="R267" s="4"/>
      <c r="S267" s="4"/>
      <c r="T267" s="4"/>
      <c r="U267" s="4"/>
    </row>
    <row r="268" spans="1:21">
      <c r="A268" t="s">
        <v>231</v>
      </c>
      <c r="B268">
        <v>9</v>
      </c>
      <c r="C268" t="str">
        <f t="shared" si="38"/>
        <v>test.TIFFFaxDecoder_9_</v>
      </c>
      <c r="D268">
        <v>13</v>
      </c>
      <c r="E268" s="4">
        <v>0.66666666666666663</v>
      </c>
      <c r="F268" s="4">
        <v>0.39635854341736693</v>
      </c>
      <c r="G268" s="4" t="str">
        <f t="shared" si="39"/>
        <v/>
      </c>
      <c r="H268" s="4">
        <f t="shared" si="40"/>
        <v>0.66666666666666663</v>
      </c>
      <c r="I268" s="4" t="str">
        <f t="shared" si="41"/>
        <v/>
      </c>
      <c r="J268" s="4" t="str">
        <f t="shared" si="42"/>
        <v/>
      </c>
      <c r="K268" s="4" t="str">
        <f t="shared" si="43"/>
        <v/>
      </c>
      <c r="L268" s="4" t="str">
        <f t="shared" si="44"/>
        <v/>
      </c>
      <c r="M268" s="4"/>
      <c r="N268" s="4"/>
      <c r="O268" s="4"/>
      <c r="P268" s="4"/>
      <c r="Q268" s="4"/>
      <c r="R268" s="4"/>
      <c r="S268" s="4"/>
      <c r="T268" s="4"/>
      <c r="U268" s="4"/>
    </row>
    <row r="269" spans="1:21">
      <c r="A269" t="s">
        <v>231</v>
      </c>
      <c r="B269">
        <v>9</v>
      </c>
      <c r="C269" t="str">
        <f t="shared" si="38"/>
        <v>test.TIFFFaxDecoder_9_</v>
      </c>
      <c r="D269">
        <v>14</v>
      </c>
      <c r="E269" s="4">
        <v>0.77777777777777779</v>
      </c>
      <c r="F269" s="4">
        <v>0.45378151260504201</v>
      </c>
      <c r="G269" s="4" t="str">
        <f t="shared" si="39"/>
        <v/>
      </c>
      <c r="H269" s="4" t="str">
        <f t="shared" si="40"/>
        <v/>
      </c>
      <c r="I269" s="4">
        <f t="shared" si="41"/>
        <v>0.77777777777777779</v>
      </c>
      <c r="J269" s="4" t="str">
        <f t="shared" si="42"/>
        <v/>
      </c>
      <c r="K269" s="4" t="str">
        <f t="shared" si="43"/>
        <v/>
      </c>
      <c r="L269" s="4" t="str">
        <f t="shared" si="44"/>
        <v/>
      </c>
      <c r="M269" s="4"/>
      <c r="N269" s="4"/>
      <c r="O269" s="4"/>
      <c r="P269" s="4"/>
      <c r="Q269" s="4"/>
      <c r="R269" s="4"/>
      <c r="S269" s="4"/>
      <c r="T269" s="4"/>
      <c r="U269" s="4"/>
    </row>
    <row r="270" spans="1:21">
      <c r="A270" t="s">
        <v>231</v>
      </c>
      <c r="B270">
        <v>9</v>
      </c>
      <c r="C270" t="str">
        <f t="shared" si="38"/>
        <v>test.TIFFFaxDecoder_9_</v>
      </c>
      <c r="D270">
        <v>15</v>
      </c>
      <c r="E270" s="4">
        <v>0.94444444444444442</v>
      </c>
      <c r="F270" s="4">
        <v>0.63025210084033612</v>
      </c>
      <c r="G270" s="4" t="str">
        <f t="shared" si="39"/>
        <v/>
      </c>
      <c r="H270" s="4" t="str">
        <f t="shared" si="40"/>
        <v/>
      </c>
      <c r="I270" s="4" t="str">
        <f t="shared" si="41"/>
        <v/>
      </c>
      <c r="J270" s="4">
        <f t="shared" si="42"/>
        <v>0.94444444444444442</v>
      </c>
      <c r="K270" s="4" t="str">
        <f t="shared" si="43"/>
        <v/>
      </c>
      <c r="L270" s="4" t="str">
        <f t="shared" si="44"/>
        <v/>
      </c>
      <c r="M270" s="4"/>
      <c r="N270" s="4"/>
      <c r="O270" s="4"/>
      <c r="P270" s="4"/>
      <c r="Q270" s="4"/>
      <c r="R270" s="4"/>
      <c r="S270" s="4"/>
      <c r="T270" s="4"/>
      <c r="U270" s="4"/>
    </row>
    <row r="271" spans="1:21">
      <c r="A271" t="s">
        <v>231</v>
      </c>
      <c r="B271">
        <v>9</v>
      </c>
      <c r="C271" t="str">
        <f t="shared" si="38"/>
        <v>test.TIFFFaxDecoder_9_</v>
      </c>
      <c r="D271">
        <v>16</v>
      </c>
      <c r="E271" s="4">
        <v>0.97222222222222221</v>
      </c>
      <c r="F271" s="4">
        <v>0.63445378151260501</v>
      </c>
      <c r="G271" s="4" t="str">
        <f t="shared" si="39"/>
        <v/>
      </c>
      <c r="H271" s="4" t="str">
        <f t="shared" si="40"/>
        <v/>
      </c>
      <c r="I271" s="4" t="str">
        <f t="shared" si="41"/>
        <v/>
      </c>
      <c r="J271" s="4">
        <f t="shared" si="42"/>
        <v>0.97222222222222221</v>
      </c>
      <c r="K271" s="4" t="str">
        <f t="shared" si="43"/>
        <v/>
      </c>
      <c r="L271" s="4" t="str">
        <f t="shared" si="44"/>
        <v/>
      </c>
      <c r="M271" s="4"/>
      <c r="N271" s="4"/>
      <c r="O271" s="4"/>
      <c r="P271" s="4"/>
      <c r="Q271" s="4"/>
      <c r="R271" s="4"/>
      <c r="S271" s="4"/>
      <c r="T271" s="4"/>
      <c r="U271" s="4"/>
    </row>
    <row r="272" spans="1:21">
      <c r="A272" t="s">
        <v>231</v>
      </c>
      <c r="B272">
        <v>9</v>
      </c>
      <c r="C272" t="str">
        <f t="shared" si="38"/>
        <v>test.TIFFFaxDecoder_9_</v>
      </c>
      <c r="D272">
        <v>17</v>
      </c>
      <c r="E272" s="4">
        <v>0.97222222222222221</v>
      </c>
      <c r="F272" s="4">
        <v>0.66946778711484589</v>
      </c>
      <c r="G272" s="4" t="str">
        <f t="shared" si="39"/>
        <v/>
      </c>
      <c r="H272" s="4" t="str">
        <f t="shared" si="40"/>
        <v/>
      </c>
      <c r="I272" s="4" t="str">
        <f t="shared" si="41"/>
        <v/>
      </c>
      <c r="J272" s="4">
        <f t="shared" si="42"/>
        <v>0.97222222222222221</v>
      </c>
      <c r="K272" s="4" t="str">
        <f t="shared" si="43"/>
        <v/>
      </c>
      <c r="L272" s="4" t="str">
        <f t="shared" si="44"/>
        <v/>
      </c>
      <c r="M272" s="4"/>
      <c r="N272" s="4"/>
      <c r="O272" s="4"/>
      <c r="P272" s="4"/>
      <c r="Q272" s="4"/>
      <c r="R272" s="4"/>
      <c r="S272" s="4"/>
      <c r="T272" s="4"/>
      <c r="U272" s="4"/>
    </row>
    <row r="273" spans="1:21">
      <c r="A273" t="s">
        <v>231</v>
      </c>
      <c r="B273">
        <v>9</v>
      </c>
      <c r="C273" t="str">
        <f t="shared" si="38"/>
        <v>test.TIFFFaxDecoder_9_</v>
      </c>
      <c r="D273">
        <v>18</v>
      </c>
      <c r="E273" s="4">
        <v>1</v>
      </c>
      <c r="F273" s="4">
        <v>0.71288515406162467</v>
      </c>
      <c r="G273" s="4" t="str">
        <f t="shared" si="39"/>
        <v/>
      </c>
      <c r="H273" s="4" t="str">
        <f t="shared" si="40"/>
        <v/>
      </c>
      <c r="I273" s="4" t="str">
        <f t="shared" si="41"/>
        <v/>
      </c>
      <c r="J273" s="4">
        <f t="shared" si="42"/>
        <v>1</v>
      </c>
      <c r="K273" s="4" t="str">
        <f t="shared" si="43"/>
        <v/>
      </c>
      <c r="L273" s="4" t="str">
        <f t="shared" si="44"/>
        <v/>
      </c>
      <c r="M273" s="4"/>
      <c r="N273" s="4"/>
      <c r="O273" s="4"/>
      <c r="P273" s="4"/>
      <c r="Q273" s="4"/>
      <c r="R273" s="4"/>
      <c r="S273" s="4"/>
      <c r="T273" s="4"/>
      <c r="U273" s="4"/>
    </row>
    <row r="274" spans="1:21">
      <c r="A274" t="s">
        <v>231</v>
      </c>
      <c r="B274">
        <v>9</v>
      </c>
      <c r="C274" t="str">
        <f t="shared" si="38"/>
        <v>test.TIFFFaxDecoder_9_</v>
      </c>
      <c r="D274">
        <v>19</v>
      </c>
      <c r="E274" s="4">
        <v>1</v>
      </c>
      <c r="F274" s="4">
        <v>0.7142857142857143</v>
      </c>
      <c r="G274" s="4" t="str">
        <f t="shared" si="39"/>
        <v/>
      </c>
      <c r="H274" s="4" t="str">
        <f t="shared" si="40"/>
        <v/>
      </c>
      <c r="I274" s="4" t="str">
        <f t="shared" si="41"/>
        <v/>
      </c>
      <c r="J274" s="4">
        <f t="shared" si="42"/>
        <v>1</v>
      </c>
      <c r="K274" s="4" t="str">
        <f t="shared" si="43"/>
        <v/>
      </c>
      <c r="L274" s="4" t="str">
        <f t="shared" si="44"/>
        <v/>
      </c>
      <c r="M274" s="4"/>
      <c r="N274" s="4"/>
      <c r="O274" s="4"/>
      <c r="P274" s="4"/>
      <c r="Q274" s="4"/>
      <c r="R274" s="4"/>
      <c r="S274" s="4"/>
      <c r="T274" s="4"/>
      <c r="U274" s="4"/>
    </row>
    <row r="275" spans="1:21">
      <c r="A275" t="s">
        <v>231</v>
      </c>
      <c r="B275">
        <v>9</v>
      </c>
      <c r="C275" t="str">
        <f t="shared" si="38"/>
        <v>test.TIFFFaxDecoder_9_</v>
      </c>
      <c r="D275">
        <v>20</v>
      </c>
      <c r="E275" s="4">
        <v>1</v>
      </c>
      <c r="F275" s="4">
        <v>0.73949579831932777</v>
      </c>
      <c r="G275" s="4" t="str">
        <f t="shared" si="39"/>
        <v/>
      </c>
      <c r="H275" s="4" t="str">
        <f t="shared" si="40"/>
        <v/>
      </c>
      <c r="I275" s="4" t="str">
        <f t="shared" si="41"/>
        <v/>
      </c>
      <c r="J275" s="4">
        <f t="shared" si="42"/>
        <v>1</v>
      </c>
      <c r="K275" s="4" t="str">
        <f t="shared" si="43"/>
        <v/>
      </c>
      <c r="L275" s="4" t="str">
        <f t="shared" si="44"/>
        <v/>
      </c>
      <c r="M275" s="4"/>
      <c r="N275" s="4"/>
      <c r="O275" s="4"/>
      <c r="P275" s="4"/>
      <c r="Q275" s="4"/>
      <c r="R275" s="4"/>
      <c r="S275" s="4"/>
      <c r="T275" s="4"/>
      <c r="U275" s="4"/>
    </row>
    <row r="276" spans="1:21">
      <c r="A276" t="s">
        <v>231</v>
      </c>
      <c r="B276">
        <v>10</v>
      </c>
      <c r="C276" t="str">
        <f t="shared" si="38"/>
        <v>test.TIFFFaxDecoder_10_</v>
      </c>
      <c r="D276">
        <v>1</v>
      </c>
      <c r="E276" s="4">
        <v>0.73333333333333328</v>
      </c>
      <c r="F276" s="4">
        <v>0.89856801909307871</v>
      </c>
      <c r="G276" s="4" t="str">
        <f t="shared" si="39"/>
        <v/>
      </c>
      <c r="H276" s="4" t="str">
        <f t="shared" si="40"/>
        <v/>
      </c>
      <c r="I276" s="4" t="str">
        <f t="shared" si="41"/>
        <v/>
      </c>
      <c r="J276" s="4" t="str">
        <f t="shared" si="42"/>
        <v/>
      </c>
      <c r="K276" s="4">
        <f t="shared" si="43"/>
        <v>0.73333333333333328</v>
      </c>
      <c r="L276" s="4" t="str">
        <f t="shared" si="44"/>
        <v/>
      </c>
      <c r="M276" s="4"/>
      <c r="N276" s="4"/>
      <c r="O276" s="4"/>
      <c r="P276" s="4"/>
      <c r="Q276" s="4"/>
      <c r="R276" s="4"/>
      <c r="S276" s="4"/>
      <c r="T276" s="4"/>
      <c r="U276" s="4"/>
    </row>
    <row r="277" spans="1:21">
      <c r="A277" s="9" t="s">
        <v>231</v>
      </c>
      <c r="B277" s="9">
        <v>10</v>
      </c>
      <c r="C277" s="9" t="str">
        <f t="shared" si="38"/>
        <v>test.TIFFFaxDecoder_10_</v>
      </c>
      <c r="D277" s="9">
        <v>2</v>
      </c>
      <c r="E277" s="4">
        <v>0.93333333333333335</v>
      </c>
      <c r="F277" s="4">
        <v>0.92959427207637235</v>
      </c>
      <c r="G277" s="4" t="str">
        <f t="shared" si="39"/>
        <v/>
      </c>
      <c r="H277" s="4" t="str">
        <f t="shared" si="40"/>
        <v/>
      </c>
      <c r="I277" s="4" t="str">
        <f t="shared" si="41"/>
        <v/>
      </c>
      <c r="J277" s="4" t="str">
        <f t="shared" si="42"/>
        <v/>
      </c>
      <c r="K277" s="4">
        <f t="shared" si="43"/>
        <v>0.93333333333333335</v>
      </c>
      <c r="L277" s="4" t="str">
        <f t="shared" si="44"/>
        <v/>
      </c>
      <c r="M277" s="4"/>
      <c r="N277" s="4"/>
      <c r="O277" s="4"/>
      <c r="P277" s="4"/>
      <c r="Q277" s="4"/>
      <c r="R277" s="4"/>
      <c r="S277" s="4"/>
      <c r="T277" s="4"/>
      <c r="U277" s="4"/>
    </row>
    <row r="278" spans="1:21">
      <c r="A278" t="s">
        <v>231</v>
      </c>
      <c r="B278">
        <v>10</v>
      </c>
      <c r="C278" t="str">
        <f t="shared" si="38"/>
        <v>test.TIFFFaxDecoder_10_</v>
      </c>
      <c r="D278">
        <v>3</v>
      </c>
      <c r="E278" s="4">
        <v>0.93333333333333335</v>
      </c>
      <c r="F278" s="4">
        <v>0.93078758949880669</v>
      </c>
      <c r="G278" s="4" t="str">
        <f t="shared" si="39"/>
        <v/>
      </c>
      <c r="H278" s="4" t="str">
        <f t="shared" si="40"/>
        <v/>
      </c>
      <c r="I278" s="4" t="str">
        <f t="shared" si="41"/>
        <v/>
      </c>
      <c r="J278" s="4" t="str">
        <f t="shared" si="42"/>
        <v/>
      </c>
      <c r="K278" s="4">
        <f t="shared" si="43"/>
        <v>0.93333333333333335</v>
      </c>
      <c r="L278" s="4" t="str">
        <f t="shared" si="44"/>
        <v/>
      </c>
      <c r="M278" s="4"/>
      <c r="N278" s="4"/>
      <c r="O278" s="4"/>
      <c r="P278" s="4"/>
      <c r="Q278" s="4"/>
      <c r="R278" s="4"/>
      <c r="S278" s="4"/>
      <c r="T278" s="4"/>
      <c r="U278" s="4"/>
    </row>
    <row r="279" spans="1:21">
      <c r="A279" t="s">
        <v>231</v>
      </c>
      <c r="B279">
        <v>10</v>
      </c>
      <c r="C279" t="str">
        <f t="shared" si="38"/>
        <v>test.TIFFFaxDecoder_10_</v>
      </c>
      <c r="D279">
        <v>4</v>
      </c>
      <c r="E279" s="4">
        <v>1</v>
      </c>
      <c r="F279" s="4">
        <v>0.95465393794749398</v>
      </c>
      <c r="G279" s="4" t="str">
        <f t="shared" si="39"/>
        <v/>
      </c>
      <c r="H279" s="4" t="str">
        <f t="shared" si="40"/>
        <v/>
      </c>
      <c r="I279" s="4" t="str">
        <f t="shared" si="41"/>
        <v/>
      </c>
      <c r="J279" s="4" t="str">
        <f t="shared" si="42"/>
        <v/>
      </c>
      <c r="K279" s="4">
        <f t="shared" si="43"/>
        <v>1</v>
      </c>
      <c r="L279" s="4" t="str">
        <f t="shared" si="44"/>
        <v/>
      </c>
      <c r="M279" s="4"/>
      <c r="N279" s="4"/>
      <c r="O279" s="4"/>
      <c r="P279" s="4"/>
      <c r="Q279" s="4"/>
      <c r="R279" s="4"/>
      <c r="S279" s="4"/>
      <c r="T279" s="4"/>
      <c r="U279" s="4"/>
    </row>
    <row r="280" spans="1:21">
      <c r="A280" t="s">
        <v>231</v>
      </c>
      <c r="B280">
        <v>10</v>
      </c>
      <c r="C280" t="str">
        <f t="shared" si="38"/>
        <v>test.TIFFFaxDecoder_10_</v>
      </c>
      <c r="D280">
        <v>5</v>
      </c>
      <c r="E280" s="4">
        <v>1</v>
      </c>
      <c r="F280" s="4">
        <v>0.9582338902147971</v>
      </c>
      <c r="G280" s="4" t="str">
        <f t="shared" si="39"/>
        <v/>
      </c>
      <c r="H280" s="4" t="str">
        <f t="shared" si="40"/>
        <v/>
      </c>
      <c r="I280" s="4" t="str">
        <f t="shared" si="41"/>
        <v/>
      </c>
      <c r="J280" s="4" t="str">
        <f t="shared" si="42"/>
        <v/>
      </c>
      <c r="K280" s="4">
        <f t="shared" si="43"/>
        <v>1</v>
      </c>
      <c r="L280" s="4" t="str">
        <f t="shared" si="44"/>
        <v/>
      </c>
      <c r="M280" s="4"/>
      <c r="N280" s="4"/>
      <c r="O280" s="4"/>
      <c r="P280" s="4"/>
      <c r="Q280" s="4"/>
      <c r="R280" s="4"/>
      <c r="S280" s="4"/>
      <c r="T280" s="4"/>
      <c r="U280" s="4"/>
    </row>
    <row r="281" spans="1:21">
      <c r="A281" t="s">
        <v>231</v>
      </c>
      <c r="B281">
        <v>10</v>
      </c>
      <c r="C281" t="str">
        <f t="shared" si="38"/>
        <v>test.TIFFFaxDecoder_10_</v>
      </c>
      <c r="D281">
        <v>6</v>
      </c>
      <c r="E281" s="4">
        <v>1</v>
      </c>
      <c r="F281" s="4">
        <v>1.7028639618138426</v>
      </c>
      <c r="G281" s="4" t="str">
        <f t="shared" si="39"/>
        <v/>
      </c>
      <c r="H281" s="4" t="str">
        <f t="shared" si="40"/>
        <v/>
      </c>
      <c r="I281" s="4" t="str">
        <f t="shared" si="41"/>
        <v/>
      </c>
      <c r="J281" s="4" t="str">
        <f t="shared" si="42"/>
        <v/>
      </c>
      <c r="K281" s="4" t="str">
        <f t="shared" si="43"/>
        <v/>
      </c>
      <c r="L281" s="4">
        <f t="shared" si="44"/>
        <v>1</v>
      </c>
      <c r="M281" s="4"/>
      <c r="N281" s="4"/>
      <c r="O281" s="4"/>
      <c r="P281" s="4"/>
      <c r="Q281" s="4"/>
      <c r="R281" s="4"/>
      <c r="S281" s="4"/>
      <c r="T281" s="4"/>
      <c r="U281" s="4"/>
    </row>
    <row r="282" spans="1:21">
      <c r="A282" t="s">
        <v>231</v>
      </c>
      <c r="B282">
        <v>10</v>
      </c>
      <c r="C282" t="str">
        <f t="shared" si="38"/>
        <v>test.TIFFFaxDecoder_10_</v>
      </c>
      <c r="D282">
        <v>7</v>
      </c>
      <c r="E282" s="4">
        <v>1</v>
      </c>
      <c r="F282" s="4">
        <v>1.7243436754176611</v>
      </c>
      <c r="G282" s="4" t="str">
        <f t="shared" si="39"/>
        <v/>
      </c>
      <c r="H282" s="4" t="str">
        <f t="shared" si="40"/>
        <v/>
      </c>
      <c r="I282" s="4" t="str">
        <f t="shared" si="41"/>
        <v/>
      </c>
      <c r="J282" s="4" t="str">
        <f t="shared" si="42"/>
        <v/>
      </c>
      <c r="K282" s="4" t="str">
        <f t="shared" si="43"/>
        <v/>
      </c>
      <c r="L282" s="4">
        <f t="shared" si="44"/>
        <v>1</v>
      </c>
      <c r="M282" s="4"/>
      <c r="N282" s="4"/>
      <c r="O282" s="4"/>
      <c r="P282" s="4"/>
      <c r="Q282" s="4"/>
      <c r="R282" s="4"/>
      <c r="S282" s="4"/>
      <c r="T282" s="4"/>
      <c r="U282" s="4"/>
    </row>
    <row r="283" spans="1:21">
      <c r="A283" t="s">
        <v>231</v>
      </c>
      <c r="B283">
        <v>10</v>
      </c>
      <c r="C283" t="str">
        <f t="shared" si="38"/>
        <v>test.TIFFFaxDecoder_10_</v>
      </c>
      <c r="D283">
        <v>8</v>
      </c>
      <c r="E283" s="4">
        <v>1</v>
      </c>
      <c r="F283" s="4">
        <v>1.7422434367541766</v>
      </c>
      <c r="G283" s="4" t="str">
        <f t="shared" si="39"/>
        <v/>
      </c>
      <c r="H283" s="4" t="str">
        <f t="shared" si="40"/>
        <v/>
      </c>
      <c r="I283" s="4" t="str">
        <f t="shared" si="41"/>
        <v/>
      </c>
      <c r="J283" s="4" t="str">
        <f t="shared" si="42"/>
        <v/>
      </c>
      <c r="K283" s="4" t="str">
        <f t="shared" si="43"/>
        <v/>
      </c>
      <c r="L283" s="4">
        <f t="shared" si="44"/>
        <v>1</v>
      </c>
      <c r="M283" s="4"/>
      <c r="N283" s="4"/>
      <c r="O283" s="4"/>
      <c r="P283" s="4"/>
      <c r="Q283" s="4"/>
      <c r="R283" s="4"/>
      <c r="S283" s="4"/>
      <c r="T283" s="4"/>
      <c r="U283" s="4"/>
    </row>
    <row r="284" spans="1:21">
      <c r="A284" t="s">
        <v>598</v>
      </c>
      <c r="B284">
        <v>2</v>
      </c>
      <c r="C284" t="str">
        <f t="shared" si="38"/>
        <v>test.TIFFFaxEncoder_2_</v>
      </c>
      <c r="D284">
        <v>1</v>
      </c>
      <c r="E284" s="4">
        <v>0.352112676056338</v>
      </c>
      <c r="F284" s="4">
        <v>0.32038288288288286</v>
      </c>
      <c r="G284" s="4" t="str">
        <f t="shared" si="39"/>
        <v/>
      </c>
      <c r="H284" s="4">
        <f t="shared" si="40"/>
        <v>0.352112676056338</v>
      </c>
      <c r="I284" s="4" t="str">
        <f t="shared" si="41"/>
        <v/>
      </c>
      <c r="J284" s="4" t="str">
        <f t="shared" si="42"/>
        <v/>
      </c>
      <c r="K284" s="4" t="str">
        <f t="shared" si="43"/>
        <v/>
      </c>
      <c r="L284" s="4" t="str">
        <f t="shared" si="44"/>
        <v/>
      </c>
      <c r="M284" s="4"/>
      <c r="N284" s="4"/>
      <c r="O284" s="4"/>
      <c r="P284" s="4"/>
      <c r="Q284" s="4"/>
      <c r="R284" s="4"/>
      <c r="S284" s="4"/>
      <c r="T284" s="4"/>
      <c r="U284" s="4"/>
    </row>
    <row r="285" spans="1:21">
      <c r="A285" t="s">
        <v>598</v>
      </c>
      <c r="B285">
        <v>2</v>
      </c>
      <c r="C285" t="str">
        <f t="shared" si="38"/>
        <v>test.TIFFFaxEncoder_2_</v>
      </c>
      <c r="D285">
        <v>2</v>
      </c>
      <c r="E285" s="4">
        <v>0.63380281690140849</v>
      </c>
      <c r="F285" s="4">
        <v>0.45045045045045046</v>
      </c>
      <c r="G285" s="4" t="str">
        <f t="shared" si="39"/>
        <v/>
      </c>
      <c r="H285" s="4" t="str">
        <f t="shared" si="40"/>
        <v/>
      </c>
      <c r="I285" s="4">
        <f t="shared" si="41"/>
        <v>0.63380281690140849</v>
      </c>
      <c r="J285" s="4" t="str">
        <f t="shared" si="42"/>
        <v/>
      </c>
      <c r="K285" s="4" t="str">
        <f t="shared" si="43"/>
        <v/>
      </c>
      <c r="L285" s="4" t="str">
        <f t="shared" si="44"/>
        <v/>
      </c>
      <c r="M285" s="4"/>
      <c r="N285" s="4"/>
      <c r="O285" s="4"/>
      <c r="P285" s="4"/>
      <c r="Q285" s="4"/>
      <c r="R285" s="4"/>
      <c r="S285" s="4"/>
      <c r="T285" s="4"/>
      <c r="U285" s="4"/>
    </row>
    <row r="286" spans="1:21">
      <c r="A286" t="s">
        <v>598</v>
      </c>
      <c r="B286">
        <v>2</v>
      </c>
      <c r="C286" t="str">
        <f t="shared" si="38"/>
        <v>test.TIFFFaxEncoder_2_</v>
      </c>
      <c r="D286">
        <v>3</v>
      </c>
      <c r="E286" s="4">
        <v>0.70422535211267601</v>
      </c>
      <c r="F286" s="4">
        <v>0.45777027027027029</v>
      </c>
      <c r="G286" s="4" t="str">
        <f t="shared" si="39"/>
        <v/>
      </c>
      <c r="H286" s="4" t="str">
        <f t="shared" si="40"/>
        <v/>
      </c>
      <c r="I286" s="4">
        <f t="shared" si="41"/>
        <v>0.70422535211267601</v>
      </c>
      <c r="J286" s="4" t="str">
        <f t="shared" si="42"/>
        <v/>
      </c>
      <c r="K286" s="4" t="str">
        <f t="shared" si="43"/>
        <v/>
      </c>
      <c r="L286" s="4" t="str">
        <f t="shared" si="44"/>
        <v/>
      </c>
      <c r="M286" s="4"/>
      <c r="N286" s="4"/>
      <c r="O286" s="4"/>
      <c r="P286" s="4"/>
      <c r="Q286" s="4"/>
      <c r="R286" s="4"/>
      <c r="S286" s="4"/>
      <c r="T286" s="4"/>
      <c r="U286" s="4"/>
    </row>
    <row r="287" spans="1:21">
      <c r="A287" t="s">
        <v>598</v>
      </c>
      <c r="B287">
        <v>2</v>
      </c>
      <c r="C287" t="str">
        <f t="shared" si="38"/>
        <v>test.TIFFFaxEncoder_2_</v>
      </c>
      <c r="D287">
        <v>4</v>
      </c>
      <c r="E287" s="4">
        <v>0.84507042253521125</v>
      </c>
      <c r="F287" s="4">
        <v>0.53378378378378377</v>
      </c>
      <c r="G287" s="4" t="str">
        <f t="shared" si="39"/>
        <v/>
      </c>
      <c r="H287" s="4" t="str">
        <f t="shared" si="40"/>
        <v/>
      </c>
      <c r="I287" s="4">
        <f t="shared" si="41"/>
        <v>0.84507042253521125</v>
      </c>
      <c r="J287" s="4" t="str">
        <f t="shared" si="42"/>
        <v/>
      </c>
      <c r="K287" s="4" t="str">
        <f t="shared" si="43"/>
        <v/>
      </c>
      <c r="L287" s="4" t="str">
        <f t="shared" si="44"/>
        <v/>
      </c>
      <c r="M287" s="4"/>
      <c r="N287" s="4"/>
      <c r="O287" s="4"/>
      <c r="P287" s="4"/>
      <c r="Q287" s="4"/>
      <c r="R287" s="4"/>
      <c r="S287" s="4"/>
      <c r="T287" s="4"/>
      <c r="U287" s="4"/>
    </row>
    <row r="288" spans="1:21">
      <c r="A288" t="s">
        <v>598</v>
      </c>
      <c r="B288">
        <v>2</v>
      </c>
      <c r="C288" t="str">
        <f t="shared" si="38"/>
        <v>test.TIFFFaxEncoder_2_</v>
      </c>
      <c r="D288">
        <v>5</v>
      </c>
      <c r="E288" s="4">
        <v>1</v>
      </c>
      <c r="F288" s="4">
        <v>0.69594594594594594</v>
      </c>
      <c r="G288" s="4" t="str">
        <f t="shared" si="39"/>
        <v/>
      </c>
      <c r="H288" s="4" t="str">
        <f t="shared" si="40"/>
        <v/>
      </c>
      <c r="I288" s="4" t="str">
        <f t="shared" si="41"/>
        <v/>
      </c>
      <c r="J288" s="4">
        <f t="shared" si="42"/>
        <v>1</v>
      </c>
      <c r="K288" s="4" t="str">
        <f t="shared" si="43"/>
        <v/>
      </c>
      <c r="L288" s="4" t="str">
        <f t="shared" si="44"/>
        <v/>
      </c>
      <c r="M288" s="4"/>
      <c r="N288" s="4"/>
      <c r="O288" s="4"/>
      <c r="P288" s="4"/>
      <c r="Q288" s="4"/>
      <c r="R288" s="4"/>
      <c r="S288" s="4"/>
      <c r="T288" s="4"/>
      <c r="U288" s="4"/>
    </row>
    <row r="289" spans="1:21">
      <c r="A289" t="s">
        <v>598</v>
      </c>
      <c r="B289">
        <v>11</v>
      </c>
      <c r="C289" t="str">
        <f t="shared" si="38"/>
        <v>test.TIFFFaxEncoder_11_</v>
      </c>
      <c r="D289">
        <v>1</v>
      </c>
      <c r="E289" s="4">
        <v>0.4956521739130435</v>
      </c>
      <c r="F289" s="4">
        <v>0.62446297700277986</v>
      </c>
      <c r="G289" s="4" t="str">
        <f t="shared" si="39"/>
        <v/>
      </c>
      <c r="H289" s="4" t="str">
        <f t="shared" si="40"/>
        <v/>
      </c>
      <c r="I289" s="4" t="str">
        <f t="shared" si="41"/>
        <v/>
      </c>
      <c r="J289" s="4">
        <f t="shared" si="42"/>
        <v>0.4956521739130435</v>
      </c>
      <c r="K289" s="4" t="str">
        <f t="shared" si="43"/>
        <v/>
      </c>
      <c r="L289" s="4" t="str">
        <f t="shared" si="44"/>
        <v/>
      </c>
      <c r="M289" s="4"/>
      <c r="N289" s="4"/>
      <c r="O289" s="4"/>
      <c r="P289" s="4"/>
      <c r="Q289" s="4"/>
      <c r="R289" s="4"/>
      <c r="S289" s="4"/>
      <c r="T289" s="4"/>
      <c r="U289" s="4"/>
    </row>
    <row r="290" spans="1:21">
      <c r="A290" t="s">
        <v>598</v>
      </c>
      <c r="B290">
        <v>11</v>
      </c>
      <c r="C290" t="str">
        <f t="shared" si="38"/>
        <v>test.TIFFFaxEncoder_11_</v>
      </c>
      <c r="D290">
        <v>2</v>
      </c>
      <c r="E290" s="4">
        <v>0.58260869565217388</v>
      </c>
      <c r="F290" s="4">
        <v>0.66704574172352793</v>
      </c>
      <c r="G290" s="4" t="str">
        <f t="shared" si="39"/>
        <v/>
      </c>
      <c r="H290" s="4" t="str">
        <f t="shared" si="40"/>
        <v/>
      </c>
      <c r="I290" s="4" t="str">
        <f t="shared" si="41"/>
        <v/>
      </c>
      <c r="J290" s="4">
        <f t="shared" si="42"/>
        <v>0.58260869565217388</v>
      </c>
      <c r="K290" s="4" t="str">
        <f t="shared" si="43"/>
        <v/>
      </c>
      <c r="L290" s="4" t="str">
        <f t="shared" si="44"/>
        <v/>
      </c>
      <c r="M290" s="4"/>
      <c r="N290" s="4"/>
      <c r="O290" s="4"/>
      <c r="P290" s="4"/>
      <c r="Q290" s="4"/>
      <c r="R290" s="4"/>
      <c r="S290" s="4"/>
      <c r="T290" s="4"/>
      <c r="U290" s="4"/>
    </row>
    <row r="291" spans="1:21">
      <c r="A291" t="s">
        <v>598</v>
      </c>
      <c r="B291">
        <v>11</v>
      </c>
      <c r="C291" t="str">
        <f t="shared" si="38"/>
        <v>test.TIFFFaxEncoder_11_</v>
      </c>
      <c r="D291">
        <v>3</v>
      </c>
      <c r="E291" s="4">
        <v>0.66086956521739126</v>
      </c>
      <c r="F291" s="4">
        <v>0.69471822087439983</v>
      </c>
      <c r="G291" s="4" t="str">
        <f t="shared" si="39"/>
        <v/>
      </c>
      <c r="H291" s="4" t="str">
        <f t="shared" si="40"/>
        <v/>
      </c>
      <c r="I291" s="4" t="str">
        <f t="shared" si="41"/>
        <v/>
      </c>
      <c r="J291" s="4">
        <f t="shared" si="42"/>
        <v>0.66086956521739126</v>
      </c>
      <c r="K291" s="4" t="str">
        <f t="shared" si="43"/>
        <v/>
      </c>
      <c r="L291" s="4" t="str">
        <f t="shared" si="44"/>
        <v/>
      </c>
      <c r="M291" s="4"/>
      <c r="N291" s="4"/>
      <c r="O291" s="4"/>
      <c r="P291" s="4"/>
      <c r="Q291" s="4"/>
      <c r="R291" s="4"/>
      <c r="S291" s="4"/>
      <c r="T291" s="4"/>
      <c r="U291" s="4"/>
    </row>
    <row r="292" spans="1:21">
      <c r="A292" t="s">
        <v>598</v>
      </c>
      <c r="B292">
        <v>11</v>
      </c>
      <c r="C292" t="str">
        <f t="shared" si="38"/>
        <v>test.TIFFFaxEncoder_11_</v>
      </c>
      <c r="D292">
        <v>4</v>
      </c>
      <c r="E292" s="4">
        <v>0.78260869565217395</v>
      </c>
      <c r="F292" s="4">
        <v>0.69914076320444785</v>
      </c>
      <c r="G292" s="4" t="str">
        <f t="shared" si="39"/>
        <v/>
      </c>
      <c r="H292" s="4" t="str">
        <f t="shared" si="40"/>
        <v/>
      </c>
      <c r="I292" s="4" t="str">
        <f t="shared" si="41"/>
        <v/>
      </c>
      <c r="J292" s="4">
        <f t="shared" si="42"/>
        <v>0.78260869565217395</v>
      </c>
      <c r="K292" s="4" t="str">
        <f t="shared" si="43"/>
        <v/>
      </c>
      <c r="L292" s="4" t="str">
        <f t="shared" si="44"/>
        <v/>
      </c>
      <c r="M292" s="4"/>
      <c r="N292" s="4"/>
      <c r="O292" s="4"/>
      <c r="P292" s="4"/>
      <c r="Q292" s="4"/>
      <c r="R292" s="4"/>
      <c r="S292" s="4"/>
      <c r="T292" s="4"/>
      <c r="U292" s="4"/>
    </row>
    <row r="293" spans="1:21">
      <c r="A293" t="s">
        <v>598</v>
      </c>
      <c r="B293">
        <v>11</v>
      </c>
      <c r="C293" t="str">
        <f t="shared" si="38"/>
        <v>test.TIFFFaxEncoder_11_</v>
      </c>
      <c r="D293">
        <v>5</v>
      </c>
      <c r="E293" s="4">
        <v>0.78260869565217395</v>
      </c>
      <c r="F293" s="4">
        <v>0.73730098559514778</v>
      </c>
      <c r="G293" s="4" t="str">
        <f t="shared" si="39"/>
        <v/>
      </c>
      <c r="H293" s="4" t="str">
        <f t="shared" si="40"/>
        <v/>
      </c>
      <c r="I293" s="4" t="str">
        <f t="shared" si="41"/>
        <v/>
      </c>
      <c r="J293" s="4">
        <f t="shared" si="42"/>
        <v>0.78260869565217395</v>
      </c>
      <c r="K293" s="4" t="str">
        <f t="shared" si="43"/>
        <v/>
      </c>
      <c r="L293" s="4" t="str">
        <f t="shared" si="44"/>
        <v/>
      </c>
      <c r="M293" s="4"/>
      <c r="N293" s="4"/>
      <c r="O293" s="4"/>
      <c r="P293" s="4"/>
      <c r="Q293" s="4"/>
      <c r="R293" s="4"/>
      <c r="S293" s="4"/>
      <c r="T293" s="4"/>
      <c r="U293" s="4"/>
    </row>
    <row r="294" spans="1:21">
      <c r="A294" t="s">
        <v>598</v>
      </c>
      <c r="B294">
        <v>11</v>
      </c>
      <c r="C294" t="str">
        <f t="shared" si="38"/>
        <v>test.TIFFFaxEncoder_11_</v>
      </c>
      <c r="D294">
        <v>6</v>
      </c>
      <c r="E294" s="4">
        <v>0.89565217391304353</v>
      </c>
      <c r="F294" s="4">
        <v>0.73843821076573157</v>
      </c>
      <c r="G294" s="4" t="str">
        <f t="shared" si="39"/>
        <v/>
      </c>
      <c r="H294" s="4" t="str">
        <f t="shared" si="40"/>
        <v/>
      </c>
      <c r="I294" s="4" t="str">
        <f t="shared" si="41"/>
        <v/>
      </c>
      <c r="J294" s="4">
        <f t="shared" si="42"/>
        <v>0.89565217391304353</v>
      </c>
      <c r="K294" s="4" t="str">
        <f t="shared" si="43"/>
        <v/>
      </c>
      <c r="L294" s="4" t="str">
        <f t="shared" si="44"/>
        <v/>
      </c>
      <c r="M294" s="4"/>
      <c r="N294" s="4"/>
      <c r="O294" s="4"/>
      <c r="P294" s="4"/>
      <c r="Q294" s="4"/>
      <c r="R294" s="4"/>
      <c r="S294" s="4"/>
      <c r="T294" s="4"/>
      <c r="U294" s="4"/>
    </row>
    <row r="295" spans="1:21">
      <c r="A295" t="s">
        <v>598</v>
      </c>
      <c r="B295">
        <v>11</v>
      </c>
      <c r="C295" t="str">
        <f t="shared" si="38"/>
        <v>test.TIFFFaxEncoder_11_</v>
      </c>
      <c r="D295">
        <v>7</v>
      </c>
      <c r="E295" s="4">
        <v>0.99130434782608701</v>
      </c>
      <c r="F295" s="4">
        <v>0.7487995956532727</v>
      </c>
      <c r="G295" s="4" t="str">
        <f t="shared" si="39"/>
        <v/>
      </c>
      <c r="H295" s="4" t="str">
        <f t="shared" si="40"/>
        <v/>
      </c>
      <c r="I295" s="4" t="str">
        <f t="shared" si="41"/>
        <v/>
      </c>
      <c r="J295" s="4">
        <f t="shared" si="42"/>
        <v>0.99130434782608701</v>
      </c>
      <c r="K295" s="4" t="str">
        <f t="shared" si="43"/>
        <v/>
      </c>
      <c r="L295" s="4" t="str">
        <f t="shared" si="44"/>
        <v/>
      </c>
      <c r="M295" s="4"/>
      <c r="N295" s="4"/>
      <c r="O295" s="4"/>
      <c r="P295" s="4"/>
      <c r="Q295" s="4"/>
      <c r="R295" s="4"/>
      <c r="S295" s="4"/>
      <c r="T295" s="4"/>
      <c r="U295" s="4"/>
    </row>
    <row r="296" spans="1:21">
      <c r="A296" t="s">
        <v>598</v>
      </c>
      <c r="B296">
        <v>11</v>
      </c>
      <c r="C296" t="str">
        <f t="shared" si="38"/>
        <v>test.TIFFFaxEncoder_11_</v>
      </c>
      <c r="D296">
        <v>8</v>
      </c>
      <c r="E296" s="4">
        <v>0.99130434782608701</v>
      </c>
      <c r="F296" s="4">
        <v>0.75183219610816276</v>
      </c>
      <c r="G296" s="4" t="str">
        <f t="shared" si="39"/>
        <v/>
      </c>
      <c r="H296" s="4" t="str">
        <f t="shared" si="40"/>
        <v/>
      </c>
      <c r="I296" s="4" t="str">
        <f t="shared" si="41"/>
        <v/>
      </c>
      <c r="J296" s="4">
        <f t="shared" si="42"/>
        <v>0.99130434782608701</v>
      </c>
      <c r="K296" s="4" t="str">
        <f t="shared" si="43"/>
        <v/>
      </c>
      <c r="L296" s="4" t="str">
        <f t="shared" si="44"/>
        <v/>
      </c>
      <c r="M296" s="4"/>
      <c r="N296" s="4"/>
      <c r="O296" s="4"/>
      <c r="P296" s="4"/>
      <c r="Q296" s="4"/>
      <c r="R296" s="4"/>
      <c r="S296" s="4"/>
      <c r="T296" s="4"/>
      <c r="U296" s="4"/>
    </row>
    <row r="297" spans="1:21">
      <c r="A297" t="s">
        <v>598</v>
      </c>
      <c r="B297">
        <v>11</v>
      </c>
      <c r="C297" t="str">
        <f t="shared" si="38"/>
        <v>test.TIFFFaxEncoder_11_</v>
      </c>
      <c r="D297">
        <v>9</v>
      </c>
      <c r="E297" s="4">
        <v>1</v>
      </c>
      <c r="F297" s="4">
        <v>0.76118271417740713</v>
      </c>
      <c r="G297" s="4" t="str">
        <f t="shared" si="39"/>
        <v/>
      </c>
      <c r="H297" s="4" t="str">
        <f t="shared" si="40"/>
        <v/>
      </c>
      <c r="I297" s="4" t="str">
        <f t="shared" si="41"/>
        <v/>
      </c>
      <c r="J297" s="4">
        <f t="shared" si="42"/>
        <v>1</v>
      </c>
      <c r="K297" s="4" t="str">
        <f t="shared" si="43"/>
        <v/>
      </c>
      <c r="L297" s="4" t="str">
        <f t="shared" si="44"/>
        <v/>
      </c>
      <c r="M297" s="4"/>
      <c r="N297" s="4"/>
      <c r="O297" s="4"/>
      <c r="P297" s="4"/>
      <c r="Q297" s="4"/>
      <c r="R297" s="4"/>
      <c r="S297" s="4"/>
      <c r="T297" s="4"/>
      <c r="U297" s="4"/>
    </row>
    <row r="298" spans="1:21">
      <c r="A298" t="s">
        <v>598</v>
      </c>
      <c r="B298">
        <v>11</v>
      </c>
      <c r="C298" t="str">
        <f t="shared" si="38"/>
        <v>test.TIFFFaxEncoder_11_</v>
      </c>
      <c r="D298">
        <v>10</v>
      </c>
      <c r="E298" s="4">
        <v>1</v>
      </c>
      <c r="F298" s="4">
        <v>0.78291635077078592</v>
      </c>
      <c r="G298" s="4" t="str">
        <f t="shared" si="39"/>
        <v/>
      </c>
      <c r="H298" s="4" t="str">
        <f t="shared" si="40"/>
        <v/>
      </c>
      <c r="I298" s="4" t="str">
        <f t="shared" si="41"/>
        <v/>
      </c>
      <c r="J298" s="4">
        <f t="shared" si="42"/>
        <v>1</v>
      </c>
      <c r="K298" s="4" t="str">
        <f t="shared" si="43"/>
        <v/>
      </c>
      <c r="L298" s="4" t="str">
        <f t="shared" si="44"/>
        <v/>
      </c>
      <c r="M298" s="4"/>
      <c r="N298" s="4"/>
      <c r="O298" s="4"/>
      <c r="P298" s="4"/>
      <c r="Q298" s="4"/>
      <c r="R298" s="4"/>
      <c r="S298" s="4"/>
      <c r="T298" s="4"/>
      <c r="U298" s="4"/>
    </row>
    <row r="299" spans="1:21">
      <c r="A299" t="s">
        <v>598</v>
      </c>
      <c r="B299">
        <v>11</v>
      </c>
      <c r="C299" t="str">
        <f t="shared" si="38"/>
        <v>test.TIFFFaxEncoder_11_</v>
      </c>
      <c r="D299">
        <v>11</v>
      </c>
      <c r="E299" s="4">
        <v>1</v>
      </c>
      <c r="F299" s="4">
        <v>0.78316906747536008</v>
      </c>
      <c r="G299" s="4" t="str">
        <f t="shared" si="39"/>
        <v/>
      </c>
      <c r="H299" s="4" t="str">
        <f t="shared" si="40"/>
        <v/>
      </c>
      <c r="I299" s="4" t="str">
        <f t="shared" si="41"/>
        <v/>
      </c>
      <c r="J299" s="4">
        <f t="shared" si="42"/>
        <v>1</v>
      </c>
      <c r="K299" s="4" t="str">
        <f t="shared" si="43"/>
        <v/>
      </c>
      <c r="L299" s="4" t="str">
        <f t="shared" si="44"/>
        <v/>
      </c>
      <c r="M299" s="4"/>
      <c r="N299" s="4"/>
      <c r="O299" s="4"/>
      <c r="P299" s="4"/>
      <c r="Q299" s="4"/>
      <c r="R299" s="4"/>
      <c r="S299" s="4"/>
      <c r="T299" s="4"/>
      <c r="U299" s="4"/>
    </row>
    <row r="300" spans="1:21">
      <c r="A300" t="s">
        <v>598</v>
      </c>
      <c r="B300">
        <v>11</v>
      </c>
      <c r="C300" t="str">
        <f t="shared" si="38"/>
        <v>test.TIFFFaxEncoder_11_</v>
      </c>
      <c r="D300">
        <v>12</v>
      </c>
      <c r="E300" s="4">
        <v>1</v>
      </c>
      <c r="F300" s="4">
        <v>0.78329542582764722</v>
      </c>
      <c r="G300" s="4" t="str">
        <f t="shared" si="39"/>
        <v/>
      </c>
      <c r="H300" s="4" t="str">
        <f t="shared" si="40"/>
        <v/>
      </c>
      <c r="I300" s="4" t="str">
        <f t="shared" si="41"/>
        <v/>
      </c>
      <c r="J300" s="4">
        <f t="shared" si="42"/>
        <v>1</v>
      </c>
      <c r="K300" s="4" t="str">
        <f>IF(AND($F300 &gt; 0.8, $F300 &lt;=1.1),$E300,"")</f>
        <v/>
      </c>
      <c r="L300" s="4" t="str">
        <f t="shared" si="44"/>
        <v/>
      </c>
      <c r="M300" s="4"/>
      <c r="N300" s="4"/>
      <c r="O300" s="4"/>
      <c r="P300" s="4"/>
      <c r="Q300" s="4"/>
      <c r="R300" s="4"/>
      <c r="S300" s="4"/>
      <c r="T300" s="4"/>
      <c r="U300" s="4"/>
    </row>
    <row r="301" spans="1:21">
      <c r="A301" t="s">
        <v>598</v>
      </c>
      <c r="B301">
        <v>11</v>
      </c>
      <c r="C301" t="str">
        <f t="shared" si="38"/>
        <v>test.TIFFFaxEncoder_11_</v>
      </c>
      <c r="D301">
        <v>13</v>
      </c>
      <c r="E301" s="4">
        <v>1</v>
      </c>
      <c r="F301" s="4">
        <v>0.8065453626484711</v>
      </c>
      <c r="G301" s="4" t="str">
        <f t="shared" si="39"/>
        <v/>
      </c>
      <c r="H301" s="4" t="str">
        <f t="shared" si="40"/>
        <v/>
      </c>
      <c r="I301" s="4" t="str">
        <f t="shared" si="41"/>
        <v/>
      </c>
      <c r="J301" s="4" t="str">
        <f t="shared" si="42"/>
        <v/>
      </c>
      <c r="K301" s="4">
        <f t="shared" si="43"/>
        <v>1</v>
      </c>
      <c r="L301" s="4" t="str">
        <f t="shared" si="44"/>
        <v/>
      </c>
      <c r="M301" s="4"/>
      <c r="N301" s="4"/>
      <c r="O301" s="4"/>
      <c r="P301" s="4"/>
      <c r="Q301" s="4"/>
      <c r="R301" s="4"/>
      <c r="S301" s="4"/>
      <c r="T301" s="4"/>
      <c r="U301" s="4"/>
    </row>
    <row r="302" spans="1:21">
      <c r="A302" t="s">
        <v>598</v>
      </c>
      <c r="B302">
        <v>11</v>
      </c>
      <c r="C302" t="str">
        <f t="shared" si="38"/>
        <v>test.TIFFFaxEncoder_11_</v>
      </c>
      <c r="D302">
        <v>14</v>
      </c>
      <c r="E302" s="4">
        <v>1</v>
      </c>
      <c r="F302" s="4">
        <v>0.81412686378569621</v>
      </c>
      <c r="G302" s="4" t="str">
        <f t="shared" si="39"/>
        <v/>
      </c>
      <c r="H302" s="4" t="str">
        <f t="shared" si="40"/>
        <v/>
      </c>
      <c r="I302" s="4" t="str">
        <f t="shared" si="41"/>
        <v/>
      </c>
      <c r="J302" s="4" t="str">
        <f t="shared" si="42"/>
        <v/>
      </c>
      <c r="K302" s="4">
        <f t="shared" si="43"/>
        <v>1</v>
      </c>
      <c r="L302" s="4" t="str">
        <f t="shared" si="44"/>
        <v/>
      </c>
      <c r="M302" s="4"/>
      <c r="N302" s="4"/>
      <c r="O302" s="4"/>
      <c r="P302" s="4"/>
      <c r="Q302" s="4"/>
      <c r="R302" s="4"/>
      <c r="S302" s="4"/>
      <c r="T302" s="4"/>
      <c r="U302" s="4"/>
    </row>
    <row r="303" spans="1:21">
      <c r="A303" t="s">
        <v>598</v>
      </c>
      <c r="B303">
        <v>11</v>
      </c>
      <c r="C303" t="str">
        <f t="shared" si="38"/>
        <v>test.TIFFFaxEncoder_11_</v>
      </c>
      <c r="D303">
        <v>15</v>
      </c>
      <c r="E303" s="4">
        <v>1</v>
      </c>
      <c r="F303" s="4">
        <v>0.81602223907000249</v>
      </c>
      <c r="G303" s="4" t="str">
        <f t="shared" si="39"/>
        <v/>
      </c>
      <c r="H303" s="4" t="str">
        <f t="shared" si="40"/>
        <v/>
      </c>
      <c r="I303" s="4" t="str">
        <f t="shared" si="41"/>
        <v/>
      </c>
      <c r="J303" s="4" t="str">
        <f t="shared" si="42"/>
        <v/>
      </c>
      <c r="K303" s="4">
        <f t="shared" si="43"/>
        <v>1</v>
      </c>
      <c r="L303" s="4" t="str">
        <f t="shared" si="44"/>
        <v/>
      </c>
      <c r="M303" s="4"/>
      <c r="N303" s="4"/>
      <c r="O303" s="4"/>
      <c r="P303" s="4"/>
      <c r="Q303" s="4"/>
      <c r="R303" s="4"/>
      <c r="S303" s="4"/>
      <c r="T303" s="4"/>
      <c r="U303" s="4"/>
    </row>
    <row r="304" spans="1:21">
      <c r="A304" t="s">
        <v>598</v>
      </c>
      <c r="B304">
        <v>11</v>
      </c>
      <c r="C304" t="str">
        <f t="shared" si="38"/>
        <v>test.TIFFFaxEncoder_11_</v>
      </c>
      <c r="D304">
        <v>16</v>
      </c>
      <c r="E304" s="4">
        <v>1</v>
      </c>
      <c r="F304" s="4">
        <v>0.83118524134445282</v>
      </c>
      <c r="G304" s="4" t="str">
        <f t="shared" si="39"/>
        <v/>
      </c>
      <c r="H304" s="4" t="str">
        <f t="shared" si="40"/>
        <v/>
      </c>
      <c r="I304" s="4" t="str">
        <f t="shared" si="41"/>
        <v/>
      </c>
      <c r="J304" s="4" t="str">
        <f t="shared" si="42"/>
        <v/>
      </c>
      <c r="K304" s="4">
        <f t="shared" si="43"/>
        <v>1</v>
      </c>
      <c r="L304" s="4" t="str">
        <f t="shared" si="44"/>
        <v/>
      </c>
      <c r="M304" s="4"/>
      <c r="N304" s="4"/>
      <c r="O304" s="4"/>
      <c r="P304" s="4"/>
      <c r="Q304" s="4"/>
      <c r="R304" s="4"/>
      <c r="S304" s="4"/>
      <c r="T304" s="4"/>
      <c r="U304" s="4"/>
    </row>
    <row r="305" spans="1:21">
      <c r="A305" t="s">
        <v>598</v>
      </c>
      <c r="B305">
        <v>11</v>
      </c>
      <c r="C305" t="str">
        <f t="shared" si="38"/>
        <v>test.TIFFFaxEncoder_11_</v>
      </c>
      <c r="D305">
        <v>17</v>
      </c>
      <c r="E305" s="4">
        <v>1</v>
      </c>
      <c r="F305" s="4">
        <v>0.85557240333586049</v>
      </c>
      <c r="G305" s="4" t="str">
        <f t="shared" si="39"/>
        <v/>
      </c>
      <c r="H305" s="4" t="str">
        <f t="shared" si="40"/>
        <v/>
      </c>
      <c r="I305" s="4" t="str">
        <f t="shared" si="41"/>
        <v/>
      </c>
      <c r="J305" s="4" t="str">
        <f t="shared" si="42"/>
        <v/>
      </c>
      <c r="K305" s="4">
        <f t="shared" si="43"/>
        <v>1</v>
      </c>
      <c r="L305" s="4" t="str">
        <f t="shared" si="44"/>
        <v/>
      </c>
      <c r="M305" s="4"/>
      <c r="N305" s="4"/>
      <c r="O305" s="4"/>
      <c r="P305" s="4"/>
      <c r="Q305" s="4"/>
      <c r="R305" s="4"/>
      <c r="S305" s="4"/>
      <c r="T305" s="4"/>
      <c r="U305" s="4"/>
    </row>
    <row r="306" spans="1:21">
      <c r="A306" t="s">
        <v>598</v>
      </c>
      <c r="B306">
        <v>11</v>
      </c>
      <c r="C306" t="str">
        <f t="shared" si="38"/>
        <v>test.TIFFFaxEncoder_11_</v>
      </c>
      <c r="D306">
        <v>18</v>
      </c>
      <c r="E306" s="4">
        <v>1</v>
      </c>
      <c r="F306" s="4">
        <v>0.86239575435936311</v>
      </c>
      <c r="G306" s="4" t="str">
        <f t="shared" si="39"/>
        <v/>
      </c>
      <c r="H306" s="4" t="str">
        <f t="shared" si="40"/>
        <v/>
      </c>
      <c r="I306" s="4" t="str">
        <f t="shared" si="41"/>
        <v/>
      </c>
      <c r="J306" s="4" t="str">
        <f t="shared" si="42"/>
        <v/>
      </c>
      <c r="K306" s="4">
        <f t="shared" si="43"/>
        <v>1</v>
      </c>
      <c r="L306" s="4" t="str">
        <f t="shared" si="44"/>
        <v/>
      </c>
      <c r="M306" s="4"/>
      <c r="N306" s="4"/>
      <c r="O306" s="4"/>
      <c r="P306" s="4"/>
      <c r="Q306" s="4"/>
      <c r="R306" s="4"/>
      <c r="S306" s="4"/>
      <c r="T306" s="4"/>
      <c r="U306" s="4"/>
    </row>
    <row r="307" spans="1:21">
      <c r="A307" t="s">
        <v>598</v>
      </c>
      <c r="B307">
        <v>11</v>
      </c>
      <c r="C307" t="str">
        <f t="shared" si="38"/>
        <v>test.TIFFFaxEncoder_11_</v>
      </c>
      <c r="D307">
        <v>19</v>
      </c>
      <c r="E307" s="4">
        <v>1</v>
      </c>
      <c r="F307" s="4">
        <v>0.86378569623452106</v>
      </c>
      <c r="G307" s="4" t="str">
        <f t="shared" si="39"/>
        <v/>
      </c>
      <c r="H307" s="4" t="str">
        <f t="shared" si="40"/>
        <v/>
      </c>
      <c r="I307" s="4" t="str">
        <f t="shared" si="41"/>
        <v/>
      </c>
      <c r="J307" s="4" t="str">
        <f t="shared" si="42"/>
        <v/>
      </c>
      <c r="K307" s="4">
        <f t="shared" si="43"/>
        <v>1</v>
      </c>
      <c r="L307" s="4" t="str">
        <f t="shared" si="44"/>
        <v/>
      </c>
      <c r="M307" s="4"/>
      <c r="N307" s="4"/>
      <c r="O307" s="4"/>
      <c r="P307" s="4"/>
      <c r="Q307" s="4"/>
      <c r="R307" s="4"/>
      <c r="S307" s="4"/>
      <c r="T307" s="4"/>
      <c r="U307" s="4"/>
    </row>
    <row r="308" spans="1:21">
      <c r="A308" t="s">
        <v>598</v>
      </c>
      <c r="B308">
        <v>11</v>
      </c>
      <c r="C308" t="str">
        <f t="shared" si="38"/>
        <v>test.TIFFFaxEncoder_11_</v>
      </c>
      <c r="D308">
        <v>20</v>
      </c>
      <c r="E308" s="4">
        <v>1</v>
      </c>
      <c r="F308" s="4">
        <v>0.87768511498610058</v>
      </c>
      <c r="G308" s="4" t="str">
        <f t="shared" si="39"/>
        <v/>
      </c>
      <c r="H308" s="4" t="str">
        <f t="shared" si="40"/>
        <v/>
      </c>
      <c r="I308" s="4" t="str">
        <f t="shared" si="41"/>
        <v/>
      </c>
      <c r="J308" s="4" t="str">
        <f t="shared" si="42"/>
        <v/>
      </c>
      <c r="K308" s="4">
        <f t="shared" si="43"/>
        <v>1</v>
      </c>
      <c r="L308" s="4" t="str">
        <f t="shared" si="44"/>
        <v/>
      </c>
      <c r="M308" s="4"/>
      <c r="N308" s="4"/>
      <c r="O308" s="4"/>
      <c r="P308" s="4"/>
      <c r="Q308" s="4"/>
      <c r="R308" s="4"/>
      <c r="S308" s="4"/>
      <c r="T308" s="4"/>
      <c r="U308" s="4"/>
    </row>
    <row r="309" spans="1:21">
      <c r="A309" t="s">
        <v>598</v>
      </c>
      <c r="B309">
        <v>11</v>
      </c>
      <c r="C309" t="str">
        <f t="shared" si="38"/>
        <v>test.TIFFFaxEncoder_11_</v>
      </c>
      <c r="D309">
        <v>21</v>
      </c>
      <c r="E309" s="4">
        <v>1</v>
      </c>
      <c r="F309" s="4">
        <v>0.89221632549911545</v>
      </c>
      <c r="G309" s="4" t="str">
        <f t="shared" si="39"/>
        <v/>
      </c>
      <c r="H309" s="4" t="str">
        <f t="shared" si="40"/>
        <v/>
      </c>
      <c r="I309" s="4" t="str">
        <f t="shared" si="41"/>
        <v/>
      </c>
      <c r="J309" s="4" t="str">
        <f t="shared" si="42"/>
        <v/>
      </c>
      <c r="K309" s="4">
        <f t="shared" si="43"/>
        <v>1</v>
      </c>
      <c r="L309" s="4" t="str">
        <f t="shared" si="44"/>
        <v/>
      </c>
      <c r="M309" s="4"/>
      <c r="N309" s="4"/>
      <c r="O309" s="4"/>
      <c r="P309" s="4"/>
      <c r="Q309" s="4"/>
      <c r="R309" s="4"/>
      <c r="S309" s="4"/>
      <c r="T309" s="4"/>
      <c r="U309" s="4"/>
    </row>
    <row r="310" spans="1:21">
      <c r="A310" t="s">
        <v>598</v>
      </c>
      <c r="B310">
        <v>11</v>
      </c>
      <c r="C310" t="str">
        <f t="shared" si="38"/>
        <v>test.TIFFFaxEncoder_11_</v>
      </c>
      <c r="D310">
        <v>22</v>
      </c>
      <c r="E310" s="4">
        <v>1</v>
      </c>
      <c r="F310" s="4">
        <v>0.89929239322719234</v>
      </c>
      <c r="G310" s="4" t="str">
        <f t="shared" si="39"/>
        <v/>
      </c>
      <c r="H310" s="4" t="str">
        <f t="shared" si="40"/>
        <v/>
      </c>
      <c r="I310" s="4" t="str">
        <f t="shared" si="41"/>
        <v/>
      </c>
      <c r="J310" s="4" t="str">
        <f t="shared" si="42"/>
        <v/>
      </c>
      <c r="K310" s="4">
        <f t="shared" si="43"/>
        <v>1</v>
      </c>
      <c r="L310" s="4" t="str">
        <f t="shared" si="44"/>
        <v/>
      </c>
      <c r="M310" s="4"/>
      <c r="N310" s="4"/>
      <c r="O310" s="4"/>
      <c r="P310" s="4"/>
      <c r="Q310" s="4"/>
      <c r="R310" s="4"/>
      <c r="S310" s="4"/>
      <c r="T310" s="4"/>
      <c r="U310" s="4"/>
    </row>
    <row r="311" spans="1:21">
      <c r="A311" t="s">
        <v>598</v>
      </c>
      <c r="B311">
        <v>11</v>
      </c>
      <c r="C311" t="str">
        <f t="shared" si="38"/>
        <v>test.TIFFFaxEncoder_11_</v>
      </c>
      <c r="D311">
        <v>23</v>
      </c>
      <c r="E311" s="4">
        <v>1</v>
      </c>
      <c r="F311" s="4">
        <v>0.90737932777356578</v>
      </c>
      <c r="G311" s="4" t="str">
        <f t="shared" si="39"/>
        <v/>
      </c>
      <c r="H311" s="4" t="str">
        <f t="shared" si="40"/>
        <v/>
      </c>
      <c r="I311" s="4" t="str">
        <f t="shared" si="41"/>
        <v/>
      </c>
      <c r="J311" s="4" t="str">
        <f t="shared" si="42"/>
        <v/>
      </c>
      <c r="K311" s="4">
        <f t="shared" si="43"/>
        <v>1</v>
      </c>
      <c r="L311" s="4" t="str">
        <f t="shared" si="44"/>
        <v/>
      </c>
      <c r="M311" s="4"/>
      <c r="N311" s="4"/>
      <c r="O311" s="4"/>
      <c r="P311" s="4"/>
      <c r="Q311" s="4"/>
      <c r="R311" s="4"/>
      <c r="S311" s="4"/>
      <c r="T311" s="4"/>
      <c r="U311" s="4"/>
    </row>
    <row r="312" spans="1:21">
      <c r="A312" t="s">
        <v>598</v>
      </c>
      <c r="B312">
        <v>11</v>
      </c>
      <c r="C312" t="str">
        <f t="shared" si="38"/>
        <v>test.TIFFFaxEncoder_11_</v>
      </c>
      <c r="D312">
        <v>24</v>
      </c>
      <c r="E312" s="4">
        <v>1</v>
      </c>
      <c r="F312" s="4">
        <v>0.91470811220621684</v>
      </c>
      <c r="G312" s="4" t="str">
        <f t="shared" si="39"/>
        <v/>
      </c>
      <c r="H312" s="4" t="str">
        <f t="shared" si="40"/>
        <v/>
      </c>
      <c r="I312" s="4" t="str">
        <f t="shared" si="41"/>
        <v/>
      </c>
      <c r="J312" s="4" t="str">
        <f t="shared" si="42"/>
        <v/>
      </c>
      <c r="K312" s="4">
        <f t="shared" si="43"/>
        <v>1</v>
      </c>
      <c r="L312" s="4" t="str">
        <f t="shared" si="44"/>
        <v/>
      </c>
      <c r="M312" s="4"/>
      <c r="N312" s="4"/>
      <c r="O312" s="4"/>
      <c r="P312" s="4"/>
      <c r="Q312" s="4"/>
      <c r="R312" s="4"/>
      <c r="S312" s="4"/>
      <c r="T312" s="4"/>
      <c r="U312" s="4"/>
    </row>
    <row r="313" spans="1:21">
      <c r="E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>
      <c r="E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>
      <c r="E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>
      <c r="E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>
      <c r="E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>
      <c r="E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>
      <c r="E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>
      <c r="E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5:21">
      <c r="E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5:21">
      <c r="E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5:21">
      <c r="E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5:21">
      <c r="E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5:21">
      <c r="E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5:21">
      <c r="E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5:21">
      <c r="E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5:21">
      <c r="E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5:21">
      <c r="E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5:21">
      <c r="E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5:21">
      <c r="E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5:21">
      <c r="E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5:21">
      <c r="E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5:21">
      <c r="E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5:21">
      <c r="E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5:21">
      <c r="E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5:21">
      <c r="E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5:21">
      <c r="E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5:21">
      <c r="E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5:21">
      <c r="E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5:21">
      <c r="E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5:21">
      <c r="E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5:21">
      <c r="E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5:21">
      <c r="E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5:21">
      <c r="E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5:21">
      <c r="E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5:21">
      <c r="E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5:21">
      <c r="E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5:21">
      <c r="E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5:21">
      <c r="E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5:21">
      <c r="E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5:21">
      <c r="E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5:21">
      <c r="E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5:21">
      <c r="E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5:21">
      <c r="E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5:21">
      <c r="E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5:21">
      <c r="E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5:21">
      <c r="E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5:21">
      <c r="E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5:21">
      <c r="E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5:21">
      <c r="E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5:21">
      <c r="E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5:21">
      <c r="E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5:21">
      <c r="E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5:21">
      <c r="E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5:21">
      <c r="E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5:21">
      <c r="E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5:21">
      <c r="E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5:21">
      <c r="E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5:21">
      <c r="E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5:21">
      <c r="E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5:21">
      <c r="E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5:21">
      <c r="E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5:21">
      <c r="E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5:21">
      <c r="E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5:21">
      <c r="E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5:21">
      <c r="E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5:21">
      <c r="E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5:21">
      <c r="E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5:21">
      <c r="E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5:21">
      <c r="E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5:21">
      <c r="E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5:21">
      <c r="E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5:21">
      <c r="E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5:21">
      <c r="E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5:21">
      <c r="E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5:21">
      <c r="E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5:21">
      <c r="E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5:21">
      <c r="E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5:21">
      <c r="E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5:21">
      <c r="E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5:21">
      <c r="E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5:21">
      <c r="E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5:21">
      <c r="E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5:21">
      <c r="E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5:21">
      <c r="E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5:21">
      <c r="E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5:21">
      <c r="E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5:21">
      <c r="E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5:21">
      <c r="E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5:21">
      <c r="E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5:21">
      <c r="E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5:21">
      <c r="E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5:21">
      <c r="E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5:21">
      <c r="E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5:21">
      <c r="E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5:21">
      <c r="E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5:21">
      <c r="E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5:21">
      <c r="E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5:21">
      <c r="E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5:21">
      <c r="E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5:21">
      <c r="E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5:21">
      <c r="E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5:21">
      <c r="E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5:21">
      <c r="E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5:21">
      <c r="E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5:21">
      <c r="E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5:21">
      <c r="E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5:21">
      <c r="E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5:21">
      <c r="E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5:21">
      <c r="E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5:21">
      <c r="E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5:21">
      <c r="E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5:21">
      <c r="E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5:21">
      <c r="E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5:21">
      <c r="E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5:21">
      <c r="E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5:21">
      <c r="E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5:21">
      <c r="E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5:21">
      <c r="E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5:21">
      <c r="E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5:21">
      <c r="E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5:21">
      <c r="E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5:21">
      <c r="E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5:21">
      <c r="E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5:21">
      <c r="E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5:21">
      <c r="E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5:21">
      <c r="E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5:21">
      <c r="E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5:21">
      <c r="E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5:21">
      <c r="E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5:21">
      <c r="E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5:21">
      <c r="E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5:21">
      <c r="E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5:21">
      <c r="E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5:21">
      <c r="E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5:21">
      <c r="E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5:21">
      <c r="E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5:21">
      <c r="E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5:21">
      <c r="E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5:21">
      <c r="E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5:21">
      <c r="E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5:21">
      <c r="E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5:21">
      <c r="E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5:21">
      <c r="E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5:21">
      <c r="E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5:21">
      <c r="E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5:21">
      <c r="E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5:21">
      <c r="E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5:21">
      <c r="E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5:21">
      <c r="E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5:21">
      <c r="E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5:21">
      <c r="E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5:21">
      <c r="E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5:21">
      <c r="E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5:21">
      <c r="E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5:21">
      <c r="E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5:21">
      <c r="E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5:21">
      <c r="E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5:21">
      <c r="E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5:21">
      <c r="E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5:21">
      <c r="E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5:21">
      <c r="E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5:21">
      <c r="E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5:21">
      <c r="E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5:21">
      <c r="E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5:21">
      <c r="E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5:21">
      <c r="E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5:21">
      <c r="E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5:21">
      <c r="E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5:21">
      <c r="E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5:21">
      <c r="E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5:21">
      <c r="E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5:21">
      <c r="E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5:21">
      <c r="E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5:21">
      <c r="E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5:21">
      <c r="E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5:21">
      <c r="E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5:21">
      <c r="E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5:21">
      <c r="E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5:21">
      <c r="E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5:21">
      <c r="E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5:21">
      <c r="E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5:21">
      <c r="E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5:21">
      <c r="E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5:21">
      <c r="E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5:21">
      <c r="E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5:21">
      <c r="E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5:21">
      <c r="E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5:21">
      <c r="E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5:21">
      <c r="E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5:21">
      <c r="E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5:21">
      <c r="E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5:21">
      <c r="E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5:21">
      <c r="E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5:21">
      <c r="E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5:21">
      <c r="E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5:21">
      <c r="E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5:21">
      <c r="E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5:21">
      <c r="E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5:21">
      <c r="E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5:21">
      <c r="E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5:21">
      <c r="E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5:21">
      <c r="E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5:21">
      <c r="E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5:21">
      <c r="E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5:21">
      <c r="E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5:21">
      <c r="E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5:21">
      <c r="E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5:21">
      <c r="E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5:21">
      <c r="E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4"/>
  <sheetViews>
    <sheetView topLeftCell="A278" workbookViewId="0">
      <selection activeCell="G179" sqref="G179"/>
    </sheetView>
  </sheetViews>
  <sheetFormatPr baseColWidth="10" defaultRowHeight="15" x14ac:dyDescent="0"/>
  <cols>
    <col min="1" max="1" width="25.33203125" bestFit="1" customWidth="1"/>
    <col min="8" max="8" width="10.83203125" style="9"/>
    <col min="10" max="11" width="16" style="4" customWidth="1"/>
    <col min="12" max="12" width="18.1640625" bestFit="1" customWidth="1"/>
  </cols>
  <sheetData>
    <row r="1" spans="1:18">
      <c r="A1" t="s">
        <v>216</v>
      </c>
      <c r="B1" t="s">
        <v>217</v>
      </c>
      <c r="C1" t="s">
        <v>218</v>
      </c>
      <c r="D1" s="2" t="s">
        <v>181</v>
      </c>
      <c r="E1" s="2" t="s">
        <v>183</v>
      </c>
      <c r="F1" s="2" t="s">
        <v>182</v>
      </c>
      <c r="G1" s="2" t="s">
        <v>184</v>
      </c>
      <c r="H1" s="10" t="s">
        <v>10</v>
      </c>
      <c r="I1" s="2" t="s">
        <v>232</v>
      </c>
      <c r="J1" s="4" t="s">
        <v>232</v>
      </c>
      <c r="L1" t="s">
        <v>3</v>
      </c>
      <c r="M1" t="s">
        <v>5</v>
      </c>
      <c r="N1" t="s">
        <v>7</v>
      </c>
      <c r="O1" t="s">
        <v>186</v>
      </c>
      <c r="P1" t="s">
        <v>8</v>
      </c>
      <c r="Q1" t="s">
        <v>187</v>
      </c>
      <c r="R1" s="2" t="s">
        <v>940</v>
      </c>
    </row>
    <row r="2" spans="1:18">
      <c r="A2" t="s">
        <v>188</v>
      </c>
      <c r="B2">
        <v>1</v>
      </c>
      <c r="C2">
        <v>1</v>
      </c>
      <c r="D2">
        <v>26</v>
      </c>
      <c r="E2">
        <v>0</v>
      </c>
      <c r="F2">
        <v>15</v>
      </c>
      <c r="G2">
        <v>0</v>
      </c>
      <c r="H2" s="9">
        <v>51</v>
      </c>
      <c r="I2" s="4">
        <f>D2/H2</f>
        <v>0.50980392156862742</v>
      </c>
      <c r="J2" s="4">
        <v>0.50980392156862742</v>
      </c>
      <c r="L2" t="s">
        <v>188</v>
      </c>
      <c r="M2">
        <v>1</v>
      </c>
      <c r="N2" t="s">
        <v>207</v>
      </c>
      <c r="O2">
        <v>1</v>
      </c>
      <c r="P2">
        <v>3732</v>
      </c>
      <c r="Q2">
        <v>928</v>
      </c>
      <c r="R2" s="4">
        <f>Q2/P2</f>
        <v>0.24866023579849947</v>
      </c>
    </row>
    <row r="3" spans="1:18">
      <c r="A3" t="s">
        <v>188</v>
      </c>
      <c r="B3">
        <v>1</v>
      </c>
      <c r="C3">
        <v>2</v>
      </c>
      <c r="D3">
        <v>31</v>
      </c>
      <c r="E3">
        <v>0</v>
      </c>
      <c r="F3">
        <v>10</v>
      </c>
      <c r="G3">
        <v>0</v>
      </c>
      <c r="H3" s="9">
        <v>51</v>
      </c>
      <c r="I3" s="4">
        <f t="shared" ref="I3:I66" si="0">D3/H3</f>
        <v>0.60784313725490191</v>
      </c>
      <c r="J3" s="4">
        <v>0.50980392156862742</v>
      </c>
      <c r="L3" t="s">
        <v>188</v>
      </c>
      <c r="M3">
        <v>1</v>
      </c>
      <c r="N3" t="s">
        <v>772</v>
      </c>
      <c r="O3">
        <v>2</v>
      </c>
      <c r="P3">
        <v>3732</v>
      </c>
      <c r="Q3">
        <v>951</v>
      </c>
      <c r="R3" s="4">
        <f t="shared" ref="R3:R66" si="1">Q3/P3</f>
        <v>0.25482315112540194</v>
      </c>
    </row>
    <row r="4" spans="1:18">
      <c r="A4" t="s">
        <v>188</v>
      </c>
      <c r="B4">
        <v>1</v>
      </c>
      <c r="C4">
        <v>3</v>
      </c>
      <c r="D4">
        <v>31</v>
      </c>
      <c r="E4">
        <v>0</v>
      </c>
      <c r="F4">
        <v>10</v>
      </c>
      <c r="G4">
        <v>0</v>
      </c>
      <c r="H4" s="9">
        <v>51</v>
      </c>
      <c r="I4" s="4">
        <f t="shared" si="0"/>
        <v>0.60784313725490191</v>
      </c>
      <c r="J4" s="4">
        <v>0.5490196078431373</v>
      </c>
      <c r="L4" t="s">
        <v>188</v>
      </c>
      <c r="M4">
        <v>1</v>
      </c>
      <c r="N4" t="s">
        <v>770</v>
      </c>
      <c r="O4">
        <v>3</v>
      </c>
      <c r="P4">
        <v>3732</v>
      </c>
      <c r="Q4">
        <v>952</v>
      </c>
      <c r="R4" s="4">
        <f t="shared" si="1"/>
        <v>0.25509110396570206</v>
      </c>
    </row>
    <row r="5" spans="1:18">
      <c r="A5" t="s">
        <v>188</v>
      </c>
      <c r="B5">
        <v>1</v>
      </c>
      <c r="C5">
        <v>4</v>
      </c>
      <c r="D5">
        <v>31</v>
      </c>
      <c r="E5">
        <v>0</v>
      </c>
      <c r="F5">
        <v>15</v>
      </c>
      <c r="G5">
        <v>0</v>
      </c>
      <c r="H5" s="9">
        <v>51</v>
      </c>
      <c r="I5" s="4">
        <f t="shared" si="0"/>
        <v>0.60784313725490191</v>
      </c>
      <c r="J5" s="4">
        <v>0.60784313725490191</v>
      </c>
      <c r="L5" t="s">
        <v>188</v>
      </c>
      <c r="M5">
        <v>1</v>
      </c>
      <c r="N5" t="s">
        <v>771</v>
      </c>
      <c r="O5">
        <v>4</v>
      </c>
      <c r="P5">
        <v>3732</v>
      </c>
      <c r="Q5">
        <v>953</v>
      </c>
      <c r="R5" s="4">
        <f t="shared" si="1"/>
        <v>0.25535905680600213</v>
      </c>
    </row>
    <row r="6" spans="1:18">
      <c r="A6" t="s">
        <v>188</v>
      </c>
      <c r="B6">
        <v>1</v>
      </c>
      <c r="C6">
        <v>5</v>
      </c>
      <c r="D6">
        <v>31</v>
      </c>
      <c r="E6">
        <v>0</v>
      </c>
      <c r="F6">
        <v>15</v>
      </c>
      <c r="G6">
        <v>0</v>
      </c>
      <c r="H6" s="9">
        <v>51</v>
      </c>
      <c r="I6" s="4">
        <f t="shared" si="0"/>
        <v>0.60784313725490191</v>
      </c>
      <c r="J6" s="4">
        <v>0.60784313725490191</v>
      </c>
      <c r="L6" t="s">
        <v>188</v>
      </c>
      <c r="M6">
        <v>1</v>
      </c>
      <c r="N6" t="s">
        <v>461</v>
      </c>
      <c r="O6">
        <v>5</v>
      </c>
      <c r="P6">
        <v>3732</v>
      </c>
      <c r="Q6">
        <v>964</v>
      </c>
      <c r="R6" s="4">
        <f t="shared" si="1"/>
        <v>0.25830653804930331</v>
      </c>
    </row>
    <row r="7" spans="1:18">
      <c r="A7" t="s">
        <v>188</v>
      </c>
      <c r="B7">
        <v>1</v>
      </c>
      <c r="C7">
        <v>6</v>
      </c>
      <c r="D7">
        <v>31</v>
      </c>
      <c r="E7">
        <v>0</v>
      </c>
      <c r="F7">
        <v>15</v>
      </c>
      <c r="G7">
        <v>0</v>
      </c>
      <c r="H7" s="9">
        <v>51</v>
      </c>
      <c r="I7" s="4">
        <f t="shared" si="0"/>
        <v>0.60784313725490191</v>
      </c>
      <c r="J7" s="4">
        <v>0.60784313725490191</v>
      </c>
      <c r="L7" t="s">
        <v>188</v>
      </c>
      <c r="M7">
        <v>1</v>
      </c>
      <c r="N7" t="s">
        <v>775</v>
      </c>
      <c r="O7">
        <v>6</v>
      </c>
      <c r="P7">
        <v>3732</v>
      </c>
      <c r="Q7">
        <v>972</v>
      </c>
      <c r="R7" s="4">
        <f t="shared" si="1"/>
        <v>0.26045016077170419</v>
      </c>
    </row>
    <row r="8" spans="1:18">
      <c r="A8" t="s">
        <v>188</v>
      </c>
      <c r="B8">
        <v>1</v>
      </c>
      <c r="C8">
        <v>7</v>
      </c>
      <c r="D8">
        <v>31</v>
      </c>
      <c r="E8">
        <v>0</v>
      </c>
      <c r="F8">
        <v>15</v>
      </c>
      <c r="G8">
        <v>0</v>
      </c>
      <c r="H8" s="9">
        <v>51</v>
      </c>
      <c r="I8" s="4">
        <f t="shared" si="0"/>
        <v>0.60784313725490191</v>
      </c>
      <c r="J8" s="4">
        <v>0.60784313725490191</v>
      </c>
      <c r="L8" t="s">
        <v>188</v>
      </c>
      <c r="M8">
        <v>1</v>
      </c>
      <c r="N8" t="s">
        <v>774</v>
      </c>
      <c r="O8">
        <v>7</v>
      </c>
      <c r="P8">
        <v>3732</v>
      </c>
      <c r="Q8">
        <v>974</v>
      </c>
      <c r="R8" s="4">
        <f t="shared" si="1"/>
        <v>0.26098606645230438</v>
      </c>
    </row>
    <row r="9" spans="1:18">
      <c r="A9" t="s">
        <v>188</v>
      </c>
      <c r="B9">
        <v>1</v>
      </c>
      <c r="C9">
        <v>8</v>
      </c>
      <c r="D9">
        <v>31</v>
      </c>
      <c r="E9">
        <v>0</v>
      </c>
      <c r="F9">
        <v>15</v>
      </c>
      <c r="G9">
        <v>0</v>
      </c>
      <c r="H9" s="9">
        <v>51</v>
      </c>
      <c r="I9" s="4">
        <f t="shared" si="0"/>
        <v>0.60784313725490191</v>
      </c>
      <c r="J9" s="4">
        <v>0.60784313725490191</v>
      </c>
      <c r="L9" t="s">
        <v>188</v>
      </c>
      <c r="M9">
        <v>1</v>
      </c>
      <c r="N9" t="s">
        <v>773</v>
      </c>
      <c r="O9">
        <v>8</v>
      </c>
      <c r="P9">
        <v>3732</v>
      </c>
      <c r="Q9">
        <v>975</v>
      </c>
      <c r="R9" s="4">
        <f t="shared" si="1"/>
        <v>0.2612540192926045</v>
      </c>
    </row>
    <row r="10" spans="1:18">
      <c r="A10" t="s">
        <v>188</v>
      </c>
      <c r="B10">
        <v>1</v>
      </c>
      <c r="C10">
        <v>9</v>
      </c>
      <c r="D10">
        <v>32</v>
      </c>
      <c r="E10">
        <v>0</v>
      </c>
      <c r="F10">
        <v>16</v>
      </c>
      <c r="G10">
        <v>1</v>
      </c>
      <c r="H10" s="9">
        <v>51</v>
      </c>
      <c r="I10" s="4">
        <f t="shared" si="0"/>
        <v>0.62745098039215685</v>
      </c>
      <c r="J10" s="4">
        <v>0.62745098039215685</v>
      </c>
      <c r="L10" t="s">
        <v>188</v>
      </c>
      <c r="M10">
        <v>1</v>
      </c>
      <c r="N10" t="s">
        <v>779</v>
      </c>
      <c r="O10">
        <v>9</v>
      </c>
      <c r="P10">
        <v>3732</v>
      </c>
      <c r="Q10">
        <v>1014</v>
      </c>
      <c r="R10" s="4">
        <f t="shared" si="1"/>
        <v>0.27170418006430869</v>
      </c>
    </row>
    <row r="11" spans="1:18">
      <c r="A11" t="s">
        <v>188</v>
      </c>
      <c r="B11">
        <v>1</v>
      </c>
      <c r="C11">
        <v>10</v>
      </c>
      <c r="D11">
        <v>32</v>
      </c>
      <c r="E11">
        <v>0</v>
      </c>
      <c r="F11">
        <v>16</v>
      </c>
      <c r="G11">
        <v>1</v>
      </c>
      <c r="H11" s="9">
        <v>51</v>
      </c>
      <c r="I11" s="4">
        <f t="shared" si="0"/>
        <v>0.62745098039215685</v>
      </c>
      <c r="J11" s="4">
        <v>0.62745098039215685</v>
      </c>
      <c r="L11" t="s">
        <v>188</v>
      </c>
      <c r="M11">
        <v>1</v>
      </c>
      <c r="N11" t="s">
        <v>776</v>
      </c>
      <c r="O11">
        <v>10</v>
      </c>
      <c r="P11">
        <v>3732</v>
      </c>
      <c r="Q11">
        <v>1037</v>
      </c>
      <c r="R11" s="4">
        <f t="shared" si="1"/>
        <v>0.27786709539121113</v>
      </c>
    </row>
    <row r="12" spans="1:18">
      <c r="A12" t="s">
        <v>188</v>
      </c>
      <c r="B12">
        <v>1</v>
      </c>
      <c r="C12">
        <v>11</v>
      </c>
      <c r="D12">
        <v>32</v>
      </c>
      <c r="E12">
        <v>0</v>
      </c>
      <c r="F12">
        <v>16</v>
      </c>
      <c r="G12">
        <v>1</v>
      </c>
      <c r="H12" s="9">
        <v>51</v>
      </c>
      <c r="I12" s="4">
        <f t="shared" si="0"/>
        <v>0.62745098039215685</v>
      </c>
      <c r="J12" s="4">
        <v>0.62745098039215685</v>
      </c>
      <c r="L12" t="s">
        <v>188</v>
      </c>
      <c r="M12">
        <v>1</v>
      </c>
      <c r="N12" t="s">
        <v>778</v>
      </c>
      <c r="O12">
        <v>11</v>
      </c>
      <c r="P12">
        <v>3732</v>
      </c>
      <c r="Q12">
        <v>1049</v>
      </c>
      <c r="R12" s="4">
        <f t="shared" si="1"/>
        <v>0.28108252947481244</v>
      </c>
    </row>
    <row r="13" spans="1:18">
      <c r="A13" t="s">
        <v>188</v>
      </c>
      <c r="B13">
        <v>1</v>
      </c>
      <c r="C13">
        <v>12</v>
      </c>
      <c r="D13">
        <v>32</v>
      </c>
      <c r="E13">
        <v>0</v>
      </c>
      <c r="F13">
        <v>16</v>
      </c>
      <c r="G13">
        <v>1</v>
      </c>
      <c r="H13" s="9">
        <v>51</v>
      </c>
      <c r="I13" s="4">
        <f t="shared" si="0"/>
        <v>0.62745098039215685</v>
      </c>
      <c r="J13" s="4">
        <v>0.62745098039215685</v>
      </c>
      <c r="L13" t="s">
        <v>188</v>
      </c>
      <c r="M13">
        <v>1</v>
      </c>
      <c r="N13" t="s">
        <v>777</v>
      </c>
      <c r="O13">
        <v>12</v>
      </c>
      <c r="P13">
        <v>3732</v>
      </c>
      <c r="Q13">
        <v>1050</v>
      </c>
      <c r="R13" s="4">
        <f t="shared" si="1"/>
        <v>0.28135048231511256</v>
      </c>
    </row>
    <row r="14" spans="1:18">
      <c r="A14" t="s">
        <v>188</v>
      </c>
      <c r="B14">
        <v>1</v>
      </c>
      <c r="C14">
        <v>13</v>
      </c>
      <c r="D14">
        <v>41</v>
      </c>
      <c r="E14">
        <v>0</v>
      </c>
      <c r="F14">
        <v>9</v>
      </c>
      <c r="G14">
        <v>1</v>
      </c>
      <c r="H14" s="9">
        <v>51</v>
      </c>
      <c r="I14" s="4">
        <f t="shared" si="0"/>
        <v>0.80392156862745101</v>
      </c>
      <c r="J14" s="4">
        <v>0.80392156862745101</v>
      </c>
      <c r="L14" t="s">
        <v>188</v>
      </c>
      <c r="M14">
        <v>1</v>
      </c>
      <c r="N14" t="s">
        <v>780</v>
      </c>
      <c r="O14">
        <v>13</v>
      </c>
      <c r="P14">
        <v>3732</v>
      </c>
      <c r="Q14">
        <v>2347</v>
      </c>
      <c r="R14" s="4">
        <f t="shared" si="1"/>
        <v>0.62888531618435151</v>
      </c>
    </row>
    <row r="15" spans="1:18">
      <c r="A15" t="s">
        <v>188</v>
      </c>
      <c r="B15">
        <v>1</v>
      </c>
      <c r="C15">
        <v>14</v>
      </c>
      <c r="D15">
        <v>41</v>
      </c>
      <c r="E15">
        <v>0</v>
      </c>
      <c r="F15">
        <v>9</v>
      </c>
      <c r="G15">
        <v>1</v>
      </c>
      <c r="H15" s="9">
        <v>51</v>
      </c>
      <c r="I15" s="4">
        <f t="shared" si="0"/>
        <v>0.80392156862745101</v>
      </c>
      <c r="J15" s="4">
        <v>0.80392156862745101</v>
      </c>
      <c r="L15" t="s">
        <v>188</v>
      </c>
      <c r="M15">
        <v>1</v>
      </c>
      <c r="N15" t="s">
        <v>233</v>
      </c>
      <c r="O15">
        <v>14</v>
      </c>
      <c r="P15">
        <v>3732</v>
      </c>
      <c r="Q15">
        <v>2386</v>
      </c>
      <c r="R15" s="4">
        <f t="shared" si="1"/>
        <v>0.63933547695605575</v>
      </c>
    </row>
    <row r="16" spans="1:18">
      <c r="A16" t="s">
        <v>188</v>
      </c>
      <c r="B16">
        <v>1</v>
      </c>
      <c r="C16">
        <v>15</v>
      </c>
      <c r="D16">
        <v>41</v>
      </c>
      <c r="E16">
        <v>0</v>
      </c>
      <c r="F16">
        <v>9</v>
      </c>
      <c r="G16">
        <v>1</v>
      </c>
      <c r="H16" s="9">
        <v>51</v>
      </c>
      <c r="I16" s="4">
        <f t="shared" si="0"/>
        <v>0.80392156862745101</v>
      </c>
      <c r="J16" s="4">
        <v>0.80392156862745101</v>
      </c>
      <c r="L16" t="s">
        <v>188</v>
      </c>
      <c r="M16">
        <v>1</v>
      </c>
      <c r="N16" t="s">
        <v>541</v>
      </c>
      <c r="O16">
        <v>15</v>
      </c>
      <c r="P16">
        <v>3732</v>
      </c>
      <c r="Q16">
        <v>2388</v>
      </c>
      <c r="R16" s="4">
        <f t="shared" si="1"/>
        <v>0.63987138263665599</v>
      </c>
    </row>
    <row r="17" spans="1:18">
      <c r="A17" t="s">
        <v>188</v>
      </c>
      <c r="B17">
        <v>1</v>
      </c>
      <c r="C17">
        <v>16</v>
      </c>
      <c r="D17">
        <v>41</v>
      </c>
      <c r="E17">
        <v>0</v>
      </c>
      <c r="F17">
        <v>9</v>
      </c>
      <c r="G17">
        <v>1</v>
      </c>
      <c r="H17" s="9">
        <v>51</v>
      </c>
      <c r="I17" s="4">
        <f t="shared" si="0"/>
        <v>0.80392156862745101</v>
      </c>
      <c r="J17" s="4">
        <v>0.80392156862745101</v>
      </c>
      <c r="L17" t="s">
        <v>188</v>
      </c>
      <c r="M17">
        <v>1</v>
      </c>
      <c r="N17" t="s">
        <v>209</v>
      </c>
      <c r="O17">
        <v>16</v>
      </c>
      <c r="P17">
        <v>3732</v>
      </c>
      <c r="Q17">
        <v>2428</v>
      </c>
      <c r="R17" s="4">
        <f t="shared" si="1"/>
        <v>0.65058949624866025</v>
      </c>
    </row>
    <row r="18" spans="1:18">
      <c r="A18" t="s">
        <v>188</v>
      </c>
      <c r="B18">
        <v>7</v>
      </c>
      <c r="C18">
        <v>1</v>
      </c>
      <c r="D18">
        <v>32</v>
      </c>
      <c r="E18">
        <v>0</v>
      </c>
      <c r="F18">
        <v>4</v>
      </c>
      <c r="G18">
        <v>0</v>
      </c>
      <c r="H18" s="9">
        <v>132</v>
      </c>
      <c r="I18" s="4">
        <f t="shared" si="0"/>
        <v>0.24242424242424243</v>
      </c>
      <c r="J18" s="4">
        <v>0.24242424242424243</v>
      </c>
      <c r="L18" t="s">
        <v>188</v>
      </c>
      <c r="M18">
        <v>7</v>
      </c>
      <c r="N18" t="s">
        <v>786</v>
      </c>
      <c r="O18">
        <v>1</v>
      </c>
      <c r="P18">
        <v>2992</v>
      </c>
      <c r="Q18">
        <v>872</v>
      </c>
      <c r="R18" s="4">
        <f t="shared" si="1"/>
        <v>0.29144385026737968</v>
      </c>
    </row>
    <row r="19" spans="1:18">
      <c r="A19" t="s">
        <v>188</v>
      </c>
      <c r="B19">
        <v>7</v>
      </c>
      <c r="C19">
        <v>2</v>
      </c>
      <c r="D19">
        <v>32</v>
      </c>
      <c r="E19">
        <v>0</v>
      </c>
      <c r="F19">
        <v>4</v>
      </c>
      <c r="G19">
        <v>0</v>
      </c>
      <c r="H19" s="9">
        <v>132</v>
      </c>
      <c r="I19" s="4">
        <f t="shared" si="0"/>
        <v>0.24242424242424243</v>
      </c>
      <c r="J19" s="4">
        <v>0.24242424242424243</v>
      </c>
      <c r="L19" t="s">
        <v>188</v>
      </c>
      <c r="M19">
        <v>7</v>
      </c>
      <c r="N19" t="s">
        <v>781</v>
      </c>
      <c r="O19">
        <v>2</v>
      </c>
      <c r="P19">
        <v>2992</v>
      </c>
      <c r="Q19">
        <v>873</v>
      </c>
      <c r="R19" s="4">
        <f t="shared" si="1"/>
        <v>0.29177807486631013</v>
      </c>
    </row>
    <row r="20" spans="1:18">
      <c r="A20" t="s">
        <v>188</v>
      </c>
      <c r="B20">
        <v>7</v>
      </c>
      <c r="C20">
        <v>3</v>
      </c>
      <c r="D20">
        <v>32</v>
      </c>
      <c r="E20">
        <v>0</v>
      </c>
      <c r="F20">
        <v>4</v>
      </c>
      <c r="G20">
        <v>0</v>
      </c>
      <c r="H20" s="9">
        <v>132</v>
      </c>
      <c r="I20" s="4">
        <f t="shared" si="0"/>
        <v>0.24242424242424243</v>
      </c>
      <c r="J20" s="4">
        <v>0.24242424242424243</v>
      </c>
      <c r="L20" t="s">
        <v>188</v>
      </c>
      <c r="M20">
        <v>7</v>
      </c>
      <c r="N20" t="s">
        <v>785</v>
      </c>
      <c r="O20">
        <v>3</v>
      </c>
      <c r="P20">
        <v>2992</v>
      </c>
      <c r="Q20">
        <v>876</v>
      </c>
      <c r="R20" s="4">
        <f t="shared" si="1"/>
        <v>0.29278074866310161</v>
      </c>
    </row>
    <row r="21" spans="1:18">
      <c r="A21" t="s">
        <v>188</v>
      </c>
      <c r="B21">
        <v>7</v>
      </c>
      <c r="C21">
        <v>4</v>
      </c>
      <c r="D21">
        <v>32</v>
      </c>
      <c r="E21">
        <v>0</v>
      </c>
      <c r="F21">
        <v>4</v>
      </c>
      <c r="G21">
        <v>0</v>
      </c>
      <c r="H21" s="9">
        <v>132</v>
      </c>
      <c r="I21" s="4">
        <f t="shared" si="0"/>
        <v>0.24242424242424243</v>
      </c>
      <c r="J21" s="4">
        <v>0.24242424242424243</v>
      </c>
      <c r="L21" t="s">
        <v>188</v>
      </c>
      <c r="M21">
        <v>7</v>
      </c>
      <c r="N21" t="s">
        <v>787</v>
      </c>
      <c r="O21">
        <v>4</v>
      </c>
      <c r="P21">
        <v>2992</v>
      </c>
      <c r="Q21">
        <v>880</v>
      </c>
      <c r="R21" s="4">
        <f t="shared" si="1"/>
        <v>0.29411764705882354</v>
      </c>
    </row>
    <row r="22" spans="1:18">
      <c r="A22" t="s">
        <v>188</v>
      </c>
      <c r="B22">
        <v>7</v>
      </c>
      <c r="C22">
        <v>5</v>
      </c>
      <c r="D22">
        <v>32</v>
      </c>
      <c r="E22">
        <v>0</v>
      </c>
      <c r="F22">
        <v>4</v>
      </c>
      <c r="G22">
        <v>0</v>
      </c>
      <c r="H22" s="9">
        <v>132</v>
      </c>
      <c r="I22" s="4">
        <f t="shared" si="0"/>
        <v>0.24242424242424243</v>
      </c>
      <c r="J22" s="4">
        <v>0.24242424242424243</v>
      </c>
      <c r="L22" t="s">
        <v>188</v>
      </c>
      <c r="M22">
        <v>7</v>
      </c>
      <c r="N22" t="s">
        <v>788</v>
      </c>
      <c r="O22">
        <v>5</v>
      </c>
      <c r="P22">
        <v>2992</v>
      </c>
      <c r="Q22">
        <v>886</v>
      </c>
      <c r="R22" s="4">
        <f t="shared" si="1"/>
        <v>0.29612299465240643</v>
      </c>
    </row>
    <row r="23" spans="1:18">
      <c r="A23" t="s">
        <v>188</v>
      </c>
      <c r="B23">
        <v>7</v>
      </c>
      <c r="C23">
        <v>6</v>
      </c>
      <c r="D23">
        <v>32</v>
      </c>
      <c r="E23">
        <v>0</v>
      </c>
      <c r="F23">
        <v>4</v>
      </c>
      <c r="G23">
        <v>0</v>
      </c>
      <c r="H23" s="9">
        <v>132</v>
      </c>
      <c r="I23" s="4">
        <f t="shared" si="0"/>
        <v>0.24242424242424243</v>
      </c>
      <c r="J23" s="4">
        <v>0.24242424242424243</v>
      </c>
      <c r="L23" t="s">
        <v>188</v>
      </c>
      <c r="M23">
        <v>7</v>
      </c>
      <c r="N23" t="s">
        <v>784</v>
      </c>
      <c r="O23">
        <v>6</v>
      </c>
      <c r="P23">
        <v>2992</v>
      </c>
      <c r="Q23">
        <v>887</v>
      </c>
      <c r="R23" s="4">
        <f t="shared" si="1"/>
        <v>0.29645721925133689</v>
      </c>
    </row>
    <row r="24" spans="1:18">
      <c r="A24" t="s">
        <v>188</v>
      </c>
      <c r="B24">
        <v>7</v>
      </c>
      <c r="C24">
        <v>7</v>
      </c>
      <c r="D24">
        <v>32</v>
      </c>
      <c r="E24">
        <v>0</v>
      </c>
      <c r="F24">
        <v>4</v>
      </c>
      <c r="G24">
        <v>0</v>
      </c>
      <c r="H24" s="9">
        <v>132</v>
      </c>
      <c r="I24" s="4">
        <f t="shared" si="0"/>
        <v>0.24242424242424243</v>
      </c>
      <c r="J24" s="4">
        <v>0.24242424242424243</v>
      </c>
      <c r="L24" t="s">
        <v>188</v>
      </c>
      <c r="M24">
        <v>7</v>
      </c>
      <c r="N24" t="s">
        <v>783</v>
      </c>
      <c r="O24">
        <v>7</v>
      </c>
      <c r="P24">
        <v>2992</v>
      </c>
      <c r="Q24">
        <v>899</v>
      </c>
      <c r="R24" s="4">
        <f t="shared" si="1"/>
        <v>0.30046791443850268</v>
      </c>
    </row>
    <row r="25" spans="1:18">
      <c r="A25" t="s">
        <v>188</v>
      </c>
      <c r="B25">
        <v>7</v>
      </c>
      <c r="C25">
        <v>8</v>
      </c>
      <c r="D25">
        <v>32</v>
      </c>
      <c r="E25">
        <v>0</v>
      </c>
      <c r="F25">
        <v>4</v>
      </c>
      <c r="G25">
        <v>0</v>
      </c>
      <c r="H25" s="9">
        <v>132</v>
      </c>
      <c r="I25" s="4">
        <f t="shared" si="0"/>
        <v>0.24242424242424243</v>
      </c>
      <c r="J25" s="4">
        <v>0.24242424242424243</v>
      </c>
      <c r="L25" t="s">
        <v>188</v>
      </c>
      <c r="M25">
        <v>7</v>
      </c>
      <c r="N25" t="s">
        <v>782</v>
      </c>
      <c r="O25">
        <v>8</v>
      </c>
      <c r="P25">
        <v>2992</v>
      </c>
      <c r="Q25">
        <v>914</v>
      </c>
      <c r="R25" s="4">
        <f t="shared" si="1"/>
        <v>0.30548128342245989</v>
      </c>
    </row>
    <row r="26" spans="1:18">
      <c r="A26" t="s">
        <v>188</v>
      </c>
      <c r="B26">
        <v>7</v>
      </c>
      <c r="C26">
        <v>9</v>
      </c>
      <c r="D26">
        <v>64</v>
      </c>
      <c r="E26">
        <v>0</v>
      </c>
      <c r="F26">
        <v>4</v>
      </c>
      <c r="G26">
        <v>0</v>
      </c>
      <c r="H26" s="9">
        <v>132</v>
      </c>
      <c r="I26" s="4">
        <f t="shared" si="0"/>
        <v>0.48484848484848486</v>
      </c>
      <c r="J26" s="4">
        <v>0.48484848484848486</v>
      </c>
      <c r="L26" t="s">
        <v>188</v>
      </c>
      <c r="M26">
        <v>7</v>
      </c>
      <c r="N26" t="s">
        <v>789</v>
      </c>
      <c r="O26">
        <v>9</v>
      </c>
      <c r="P26">
        <v>2992</v>
      </c>
      <c r="Q26">
        <v>1440</v>
      </c>
      <c r="R26" s="4">
        <f t="shared" si="1"/>
        <v>0.48128342245989303</v>
      </c>
    </row>
    <row r="27" spans="1:18">
      <c r="A27" t="s">
        <v>188</v>
      </c>
      <c r="B27">
        <v>7</v>
      </c>
      <c r="C27">
        <v>10</v>
      </c>
      <c r="D27">
        <v>64</v>
      </c>
      <c r="E27">
        <v>0</v>
      </c>
      <c r="F27">
        <v>4</v>
      </c>
      <c r="G27">
        <v>0</v>
      </c>
      <c r="H27" s="9">
        <v>132</v>
      </c>
      <c r="I27" s="4">
        <f t="shared" si="0"/>
        <v>0.48484848484848486</v>
      </c>
      <c r="J27" s="4">
        <v>0.48484848484848486</v>
      </c>
      <c r="L27" t="s">
        <v>188</v>
      </c>
      <c r="M27">
        <v>7</v>
      </c>
      <c r="N27" t="s">
        <v>791</v>
      </c>
      <c r="O27">
        <v>10</v>
      </c>
      <c r="P27">
        <v>2992</v>
      </c>
      <c r="Q27">
        <v>1441</v>
      </c>
      <c r="R27" s="4">
        <f t="shared" si="1"/>
        <v>0.48161764705882354</v>
      </c>
    </row>
    <row r="28" spans="1:18">
      <c r="A28" t="s">
        <v>188</v>
      </c>
      <c r="B28">
        <v>7</v>
      </c>
      <c r="C28">
        <v>11</v>
      </c>
      <c r="D28">
        <v>64</v>
      </c>
      <c r="E28">
        <v>0</v>
      </c>
      <c r="F28">
        <v>4</v>
      </c>
      <c r="G28">
        <v>0</v>
      </c>
      <c r="H28" s="9">
        <v>132</v>
      </c>
      <c r="I28" s="4">
        <f t="shared" si="0"/>
        <v>0.48484848484848486</v>
      </c>
      <c r="J28" s="4">
        <v>0.48484848484848486</v>
      </c>
      <c r="L28" t="s">
        <v>188</v>
      </c>
      <c r="M28">
        <v>7</v>
      </c>
      <c r="N28" t="s">
        <v>792</v>
      </c>
      <c r="O28">
        <v>11</v>
      </c>
      <c r="P28">
        <v>2992</v>
      </c>
      <c r="Q28">
        <v>1442</v>
      </c>
      <c r="R28" s="4">
        <f t="shared" si="1"/>
        <v>0.48195187165775399</v>
      </c>
    </row>
    <row r="29" spans="1:18">
      <c r="A29" t="s">
        <v>188</v>
      </c>
      <c r="B29">
        <v>7</v>
      </c>
      <c r="C29">
        <v>12</v>
      </c>
      <c r="D29">
        <v>64</v>
      </c>
      <c r="E29">
        <v>0</v>
      </c>
      <c r="F29">
        <v>4</v>
      </c>
      <c r="G29">
        <v>0</v>
      </c>
      <c r="H29" s="9">
        <v>132</v>
      </c>
      <c r="I29" s="4">
        <f t="shared" si="0"/>
        <v>0.48484848484848486</v>
      </c>
      <c r="J29" s="4">
        <v>0.48484848484848486</v>
      </c>
      <c r="L29" t="s">
        <v>188</v>
      </c>
      <c r="M29">
        <v>7</v>
      </c>
      <c r="N29" t="s">
        <v>790</v>
      </c>
      <c r="O29">
        <v>12</v>
      </c>
      <c r="P29">
        <v>2992</v>
      </c>
      <c r="Q29">
        <v>1480</v>
      </c>
      <c r="R29" s="4">
        <f t="shared" si="1"/>
        <v>0.49465240641711228</v>
      </c>
    </row>
    <row r="30" spans="1:18">
      <c r="A30" t="s">
        <v>188</v>
      </c>
      <c r="B30">
        <v>7</v>
      </c>
      <c r="C30">
        <v>13</v>
      </c>
      <c r="D30">
        <v>93</v>
      </c>
      <c r="E30">
        <v>0</v>
      </c>
      <c r="F30">
        <v>4</v>
      </c>
      <c r="G30">
        <v>0</v>
      </c>
      <c r="H30" s="9">
        <v>132</v>
      </c>
      <c r="I30" s="4">
        <f t="shared" si="0"/>
        <v>0.70454545454545459</v>
      </c>
      <c r="J30" s="4">
        <v>0.70454545454545459</v>
      </c>
      <c r="L30" t="s">
        <v>188</v>
      </c>
      <c r="M30">
        <v>7</v>
      </c>
      <c r="N30" t="s">
        <v>794</v>
      </c>
      <c r="O30">
        <v>13</v>
      </c>
      <c r="P30">
        <v>2992</v>
      </c>
      <c r="Q30">
        <v>1920</v>
      </c>
      <c r="R30" s="4">
        <f t="shared" si="1"/>
        <v>0.64171122994652408</v>
      </c>
    </row>
    <row r="31" spans="1:18">
      <c r="A31" t="s">
        <v>188</v>
      </c>
      <c r="B31">
        <v>7</v>
      </c>
      <c r="C31">
        <v>14</v>
      </c>
      <c r="D31">
        <v>93</v>
      </c>
      <c r="E31">
        <v>0</v>
      </c>
      <c r="F31">
        <v>4</v>
      </c>
      <c r="G31">
        <v>0</v>
      </c>
      <c r="H31" s="9">
        <v>132</v>
      </c>
      <c r="I31" s="4">
        <f t="shared" si="0"/>
        <v>0.70454545454545459</v>
      </c>
      <c r="J31" s="4">
        <v>0.70454545454545459</v>
      </c>
      <c r="L31" t="s">
        <v>188</v>
      </c>
      <c r="M31">
        <v>7</v>
      </c>
      <c r="N31" t="s">
        <v>793</v>
      </c>
      <c r="O31">
        <v>14</v>
      </c>
      <c r="P31">
        <v>2992</v>
      </c>
      <c r="Q31">
        <v>1940</v>
      </c>
      <c r="R31" s="4">
        <f t="shared" si="1"/>
        <v>0.64839572192513373</v>
      </c>
    </row>
    <row r="32" spans="1:18">
      <c r="A32" t="s">
        <v>188</v>
      </c>
      <c r="B32">
        <v>7</v>
      </c>
      <c r="C32">
        <v>15</v>
      </c>
      <c r="D32">
        <v>125</v>
      </c>
      <c r="E32">
        <v>0</v>
      </c>
      <c r="F32">
        <v>3</v>
      </c>
      <c r="G32">
        <v>0</v>
      </c>
      <c r="H32" s="9">
        <v>132</v>
      </c>
      <c r="I32" s="4">
        <f t="shared" si="0"/>
        <v>0.94696969696969702</v>
      </c>
      <c r="J32" s="4">
        <v>0.94696969696969702</v>
      </c>
      <c r="L32" t="s">
        <v>188</v>
      </c>
      <c r="M32">
        <v>7</v>
      </c>
      <c r="N32" t="s">
        <v>795</v>
      </c>
      <c r="O32">
        <v>15</v>
      </c>
      <c r="P32">
        <v>2992</v>
      </c>
      <c r="Q32">
        <v>2291</v>
      </c>
      <c r="R32" s="4">
        <f t="shared" si="1"/>
        <v>0.76570855614973266</v>
      </c>
    </row>
    <row r="33" spans="1:18">
      <c r="A33" t="s">
        <v>188</v>
      </c>
      <c r="B33">
        <v>7</v>
      </c>
      <c r="C33">
        <v>16</v>
      </c>
      <c r="D33">
        <v>132</v>
      </c>
      <c r="E33">
        <v>0</v>
      </c>
      <c r="F33">
        <v>0</v>
      </c>
      <c r="G33">
        <v>0</v>
      </c>
      <c r="H33" s="9">
        <v>132</v>
      </c>
      <c r="I33" s="4">
        <f t="shared" si="0"/>
        <v>1</v>
      </c>
      <c r="J33" s="4">
        <v>1</v>
      </c>
      <c r="L33" t="s">
        <v>188</v>
      </c>
      <c r="M33">
        <v>7</v>
      </c>
      <c r="N33" t="s">
        <v>796</v>
      </c>
      <c r="O33">
        <v>16</v>
      </c>
      <c r="P33">
        <v>2992</v>
      </c>
      <c r="Q33">
        <v>2405</v>
      </c>
      <c r="R33" s="4">
        <f t="shared" si="1"/>
        <v>0.80381016042780751</v>
      </c>
    </row>
    <row r="34" spans="1:18">
      <c r="A34" t="s">
        <v>219</v>
      </c>
      <c r="B34">
        <v>18</v>
      </c>
      <c r="C34">
        <v>1</v>
      </c>
      <c r="D34">
        <v>3</v>
      </c>
      <c r="E34">
        <v>0</v>
      </c>
      <c r="F34">
        <v>1</v>
      </c>
      <c r="G34">
        <v>0</v>
      </c>
      <c r="H34" s="9">
        <v>141</v>
      </c>
      <c r="I34" s="4">
        <f t="shared" si="0"/>
        <v>2.1276595744680851E-2</v>
      </c>
      <c r="J34" s="4">
        <v>2.1276595744680851E-2</v>
      </c>
      <c r="L34" t="s">
        <v>219</v>
      </c>
      <c r="M34">
        <v>18</v>
      </c>
      <c r="N34" t="s">
        <v>2</v>
      </c>
      <c r="O34">
        <v>1</v>
      </c>
      <c r="P34">
        <v>5619</v>
      </c>
      <c r="Q34">
        <v>138</v>
      </c>
      <c r="R34" s="4">
        <f t="shared" si="1"/>
        <v>2.4559530165509876E-2</v>
      </c>
    </row>
    <row r="35" spans="1:18">
      <c r="A35" t="s">
        <v>219</v>
      </c>
      <c r="B35">
        <v>18</v>
      </c>
      <c r="C35">
        <v>2</v>
      </c>
      <c r="D35">
        <v>6</v>
      </c>
      <c r="E35">
        <v>0</v>
      </c>
      <c r="F35">
        <v>1</v>
      </c>
      <c r="G35">
        <v>0</v>
      </c>
      <c r="H35" s="9">
        <v>141</v>
      </c>
      <c r="I35" s="4">
        <f t="shared" si="0"/>
        <v>4.2553191489361701E-2</v>
      </c>
      <c r="J35" s="4">
        <v>4.2553191489361701E-2</v>
      </c>
      <c r="L35" t="s">
        <v>219</v>
      </c>
      <c r="M35">
        <v>18</v>
      </c>
      <c r="N35" t="s">
        <v>1</v>
      </c>
      <c r="O35">
        <v>2</v>
      </c>
      <c r="P35">
        <v>5619</v>
      </c>
      <c r="Q35">
        <v>215</v>
      </c>
      <c r="R35" s="4">
        <f t="shared" si="1"/>
        <v>3.8263036127424807E-2</v>
      </c>
    </row>
    <row r="36" spans="1:18">
      <c r="A36" t="s">
        <v>219</v>
      </c>
      <c r="B36">
        <v>18</v>
      </c>
      <c r="C36">
        <v>3</v>
      </c>
      <c r="D36">
        <v>17</v>
      </c>
      <c r="E36">
        <v>0</v>
      </c>
      <c r="F36">
        <v>1</v>
      </c>
      <c r="G36">
        <v>0</v>
      </c>
      <c r="H36" s="9">
        <v>141</v>
      </c>
      <c r="I36" s="4">
        <f t="shared" si="0"/>
        <v>0.12056737588652482</v>
      </c>
      <c r="J36" s="4">
        <v>0.12056737588652482</v>
      </c>
      <c r="L36" t="s">
        <v>219</v>
      </c>
      <c r="M36">
        <v>18</v>
      </c>
      <c r="N36" t="s">
        <v>239</v>
      </c>
      <c r="O36">
        <v>3</v>
      </c>
      <c r="P36">
        <v>5619</v>
      </c>
      <c r="Q36">
        <v>464</v>
      </c>
      <c r="R36" s="4">
        <f t="shared" si="1"/>
        <v>8.2576970991279586E-2</v>
      </c>
    </row>
    <row r="37" spans="1:18">
      <c r="A37" t="s">
        <v>219</v>
      </c>
      <c r="B37">
        <v>18</v>
      </c>
      <c r="C37">
        <v>4</v>
      </c>
      <c r="D37">
        <v>23</v>
      </c>
      <c r="E37">
        <v>0</v>
      </c>
      <c r="F37">
        <v>1</v>
      </c>
      <c r="G37">
        <v>0</v>
      </c>
      <c r="H37" s="9">
        <v>141</v>
      </c>
      <c r="I37" s="4">
        <f t="shared" si="0"/>
        <v>0.16312056737588654</v>
      </c>
      <c r="J37" s="4">
        <v>0.16312056737588654</v>
      </c>
      <c r="L37" t="s">
        <v>219</v>
      </c>
      <c r="M37">
        <v>18</v>
      </c>
      <c r="N37" t="s">
        <v>240</v>
      </c>
      <c r="O37">
        <v>4</v>
      </c>
      <c r="P37">
        <v>5619</v>
      </c>
      <c r="Q37">
        <v>577</v>
      </c>
      <c r="R37" s="4">
        <f t="shared" si="1"/>
        <v>0.10268731090941449</v>
      </c>
    </row>
    <row r="38" spans="1:18">
      <c r="A38" t="s">
        <v>219</v>
      </c>
      <c r="B38">
        <v>18</v>
      </c>
      <c r="C38">
        <v>5</v>
      </c>
      <c r="D38">
        <v>35</v>
      </c>
      <c r="E38">
        <v>0</v>
      </c>
      <c r="F38">
        <v>5</v>
      </c>
      <c r="G38">
        <v>0</v>
      </c>
      <c r="H38" s="9">
        <v>141</v>
      </c>
      <c r="I38" s="4">
        <f t="shared" si="0"/>
        <v>0.24822695035460993</v>
      </c>
      <c r="J38" s="4">
        <v>0.24822695035460993</v>
      </c>
      <c r="L38" t="s">
        <v>219</v>
      </c>
      <c r="M38">
        <v>18</v>
      </c>
      <c r="N38" t="s">
        <v>241</v>
      </c>
      <c r="O38">
        <v>5</v>
      </c>
      <c r="P38">
        <v>5619</v>
      </c>
      <c r="Q38">
        <v>773</v>
      </c>
      <c r="R38" s="4">
        <f t="shared" si="1"/>
        <v>0.13756896244883432</v>
      </c>
    </row>
    <row r="39" spans="1:18">
      <c r="A39" t="s">
        <v>219</v>
      </c>
      <c r="B39">
        <v>18</v>
      </c>
      <c r="C39">
        <v>6</v>
      </c>
      <c r="D39">
        <v>38</v>
      </c>
      <c r="E39">
        <v>0</v>
      </c>
      <c r="F39">
        <v>4</v>
      </c>
      <c r="G39">
        <v>0</v>
      </c>
      <c r="H39" s="9">
        <v>141</v>
      </c>
      <c r="I39" s="4">
        <f t="shared" si="0"/>
        <v>0.26950354609929078</v>
      </c>
      <c r="J39" s="4">
        <v>0.26950354609929078</v>
      </c>
      <c r="L39" t="s">
        <v>219</v>
      </c>
      <c r="M39">
        <v>18</v>
      </c>
      <c r="N39" t="s">
        <v>245</v>
      </c>
      <c r="O39">
        <v>6</v>
      </c>
      <c r="P39">
        <v>5619</v>
      </c>
      <c r="Q39">
        <v>812</v>
      </c>
      <c r="R39" s="4">
        <f t="shared" si="1"/>
        <v>0.14450969923473928</v>
      </c>
    </row>
    <row r="40" spans="1:18">
      <c r="A40" t="s">
        <v>219</v>
      </c>
      <c r="B40">
        <v>18</v>
      </c>
      <c r="C40">
        <v>7</v>
      </c>
      <c r="D40">
        <v>41</v>
      </c>
      <c r="E40">
        <v>0</v>
      </c>
      <c r="F40">
        <v>4</v>
      </c>
      <c r="G40">
        <v>0</v>
      </c>
      <c r="H40" s="9">
        <v>141</v>
      </c>
      <c r="I40" s="4">
        <f t="shared" si="0"/>
        <v>0.29078014184397161</v>
      </c>
      <c r="J40" s="4">
        <v>0.29078014184397161</v>
      </c>
      <c r="L40" t="s">
        <v>219</v>
      </c>
      <c r="M40">
        <v>18</v>
      </c>
      <c r="N40" t="s">
        <v>243</v>
      </c>
      <c r="O40">
        <v>7</v>
      </c>
      <c r="P40">
        <v>5619</v>
      </c>
      <c r="Q40">
        <v>852</v>
      </c>
      <c r="R40" s="4">
        <f t="shared" si="1"/>
        <v>0.15162840363053925</v>
      </c>
    </row>
    <row r="41" spans="1:18">
      <c r="A41" t="s">
        <v>219</v>
      </c>
      <c r="B41">
        <v>18</v>
      </c>
      <c r="C41">
        <v>8</v>
      </c>
      <c r="D41">
        <v>41</v>
      </c>
      <c r="E41">
        <v>0</v>
      </c>
      <c r="F41">
        <v>4</v>
      </c>
      <c r="G41">
        <v>0</v>
      </c>
      <c r="H41" s="9">
        <v>141</v>
      </c>
      <c r="I41" s="4">
        <f t="shared" si="0"/>
        <v>0.29078014184397161</v>
      </c>
      <c r="J41" s="4">
        <v>0.29078014184397161</v>
      </c>
      <c r="L41" t="s">
        <v>219</v>
      </c>
      <c r="M41">
        <v>18</v>
      </c>
      <c r="N41" t="s">
        <v>246</v>
      </c>
      <c r="O41">
        <v>8</v>
      </c>
      <c r="P41">
        <v>5619</v>
      </c>
      <c r="Q41">
        <v>891</v>
      </c>
      <c r="R41" s="4">
        <f t="shared" si="1"/>
        <v>0.15856914041644421</v>
      </c>
    </row>
    <row r="42" spans="1:18">
      <c r="A42" t="s">
        <v>219</v>
      </c>
      <c r="B42">
        <v>18</v>
      </c>
      <c r="C42">
        <v>9</v>
      </c>
      <c r="D42">
        <v>58</v>
      </c>
      <c r="E42">
        <v>0</v>
      </c>
      <c r="F42">
        <v>9</v>
      </c>
      <c r="G42">
        <v>0</v>
      </c>
      <c r="H42" s="9">
        <v>141</v>
      </c>
      <c r="I42" s="4">
        <f t="shared" si="0"/>
        <v>0.41134751773049644</v>
      </c>
      <c r="J42" s="4">
        <v>0.41134751773049644</v>
      </c>
      <c r="L42" t="s">
        <v>219</v>
      </c>
      <c r="M42">
        <v>18</v>
      </c>
      <c r="N42" t="s">
        <v>805</v>
      </c>
      <c r="O42">
        <v>9</v>
      </c>
      <c r="P42">
        <v>5619</v>
      </c>
      <c r="Q42">
        <v>1197</v>
      </c>
      <c r="R42" s="4">
        <f t="shared" si="1"/>
        <v>0.21302722904431393</v>
      </c>
    </row>
    <row r="43" spans="1:18">
      <c r="A43" t="s">
        <v>219</v>
      </c>
      <c r="B43">
        <v>18</v>
      </c>
      <c r="C43">
        <v>10</v>
      </c>
      <c r="D43">
        <v>58</v>
      </c>
      <c r="E43">
        <v>0</v>
      </c>
      <c r="F43">
        <v>9</v>
      </c>
      <c r="G43">
        <v>0</v>
      </c>
      <c r="H43" s="9">
        <v>141</v>
      </c>
      <c r="I43" s="4">
        <f t="shared" si="0"/>
        <v>0.41134751773049644</v>
      </c>
      <c r="J43" s="4">
        <v>0.54609929078014185</v>
      </c>
      <c r="L43" t="s">
        <v>219</v>
      </c>
      <c r="M43">
        <v>18</v>
      </c>
      <c r="N43" t="s">
        <v>797</v>
      </c>
      <c r="O43">
        <v>10</v>
      </c>
      <c r="P43">
        <v>5619</v>
      </c>
      <c r="Q43">
        <v>1244</v>
      </c>
      <c r="R43" s="4">
        <f t="shared" si="1"/>
        <v>0.22139170670937888</v>
      </c>
    </row>
    <row r="44" spans="1:18">
      <c r="A44" t="s">
        <v>219</v>
      </c>
      <c r="B44">
        <v>18</v>
      </c>
      <c r="C44">
        <v>11</v>
      </c>
      <c r="D44">
        <v>77</v>
      </c>
      <c r="E44">
        <v>0</v>
      </c>
      <c r="F44">
        <v>8</v>
      </c>
      <c r="G44">
        <v>0</v>
      </c>
      <c r="H44" s="9">
        <v>141</v>
      </c>
      <c r="I44" s="4">
        <f t="shared" si="0"/>
        <v>0.54609929078014185</v>
      </c>
      <c r="J44" s="4">
        <v>0.54609929078014185</v>
      </c>
      <c r="L44" t="s">
        <v>219</v>
      </c>
      <c r="M44">
        <v>18</v>
      </c>
      <c r="N44" t="s">
        <v>256</v>
      </c>
      <c r="O44">
        <v>11</v>
      </c>
      <c r="P44">
        <v>5619</v>
      </c>
      <c r="Q44">
        <v>1287</v>
      </c>
      <c r="R44" s="4">
        <f t="shared" si="1"/>
        <v>0.22904431393486385</v>
      </c>
    </row>
    <row r="45" spans="1:18">
      <c r="A45" t="s">
        <v>219</v>
      </c>
      <c r="B45">
        <v>18</v>
      </c>
      <c r="C45">
        <v>12</v>
      </c>
      <c r="D45">
        <v>82</v>
      </c>
      <c r="E45">
        <v>0</v>
      </c>
      <c r="F45">
        <v>9</v>
      </c>
      <c r="G45">
        <v>0</v>
      </c>
      <c r="H45" s="9">
        <v>141</v>
      </c>
      <c r="I45" s="4">
        <f t="shared" si="0"/>
        <v>0.58156028368794321</v>
      </c>
      <c r="J45" s="4">
        <v>0.58156028368794321</v>
      </c>
      <c r="L45" t="s">
        <v>219</v>
      </c>
      <c r="M45">
        <v>18</v>
      </c>
      <c r="N45" t="s">
        <v>798</v>
      </c>
      <c r="O45">
        <v>12</v>
      </c>
      <c r="P45">
        <v>5619</v>
      </c>
      <c r="Q45">
        <v>1294</v>
      </c>
      <c r="R45" s="4">
        <f t="shared" si="1"/>
        <v>0.23029008720412886</v>
      </c>
    </row>
    <row r="46" spans="1:18">
      <c r="A46" t="s">
        <v>219</v>
      </c>
      <c r="B46">
        <v>18</v>
      </c>
      <c r="C46">
        <v>13</v>
      </c>
      <c r="D46">
        <v>82</v>
      </c>
      <c r="E46">
        <v>0</v>
      </c>
      <c r="F46">
        <v>9</v>
      </c>
      <c r="G46">
        <v>0</v>
      </c>
      <c r="H46" s="9">
        <v>141</v>
      </c>
      <c r="I46" s="4">
        <f t="shared" si="0"/>
        <v>0.58156028368794321</v>
      </c>
      <c r="J46" s="4">
        <v>0.58156028368794321</v>
      </c>
      <c r="L46" t="s">
        <v>219</v>
      </c>
      <c r="M46">
        <v>18</v>
      </c>
      <c r="N46" t="s">
        <v>261</v>
      </c>
      <c r="O46">
        <v>13</v>
      </c>
      <c r="P46">
        <v>5619</v>
      </c>
      <c r="Q46">
        <v>1363</v>
      </c>
      <c r="R46" s="4">
        <f t="shared" si="1"/>
        <v>0.2425698522868838</v>
      </c>
    </row>
    <row r="47" spans="1:18">
      <c r="A47" t="s">
        <v>219</v>
      </c>
      <c r="B47">
        <v>18</v>
      </c>
      <c r="C47">
        <v>14</v>
      </c>
      <c r="D47">
        <v>82</v>
      </c>
      <c r="E47">
        <v>0</v>
      </c>
      <c r="F47">
        <v>9</v>
      </c>
      <c r="G47">
        <v>0</v>
      </c>
      <c r="H47" s="9">
        <v>141</v>
      </c>
      <c r="I47" s="4">
        <f t="shared" si="0"/>
        <v>0.58156028368794321</v>
      </c>
      <c r="J47" s="4">
        <v>0.58156028368794321</v>
      </c>
      <c r="L47" t="s">
        <v>219</v>
      </c>
      <c r="M47">
        <v>18</v>
      </c>
      <c r="N47" t="s">
        <v>799</v>
      </c>
      <c r="O47">
        <v>14</v>
      </c>
      <c r="P47">
        <v>5619</v>
      </c>
      <c r="Q47">
        <v>1380</v>
      </c>
      <c r="R47" s="4">
        <f t="shared" si="1"/>
        <v>0.24559530165509877</v>
      </c>
    </row>
    <row r="48" spans="1:18">
      <c r="A48" t="s">
        <v>219</v>
      </c>
      <c r="B48">
        <v>18</v>
      </c>
      <c r="C48">
        <v>15</v>
      </c>
      <c r="D48">
        <v>87</v>
      </c>
      <c r="E48">
        <v>0</v>
      </c>
      <c r="F48">
        <v>10</v>
      </c>
      <c r="G48">
        <v>0</v>
      </c>
      <c r="H48" s="9">
        <v>141</v>
      </c>
      <c r="I48" s="4">
        <f t="shared" si="0"/>
        <v>0.61702127659574468</v>
      </c>
      <c r="J48" s="4">
        <v>0.61702127659574468</v>
      </c>
      <c r="L48" t="s">
        <v>219</v>
      </c>
      <c r="M48">
        <v>18</v>
      </c>
      <c r="N48" t="s">
        <v>800</v>
      </c>
      <c r="O48">
        <v>15</v>
      </c>
      <c r="P48">
        <v>5619</v>
      </c>
      <c r="Q48">
        <v>1410</v>
      </c>
      <c r="R48" s="4">
        <f t="shared" si="1"/>
        <v>0.25093432995194875</v>
      </c>
    </row>
    <row r="49" spans="1:18">
      <c r="A49" t="s">
        <v>219</v>
      </c>
      <c r="B49">
        <v>18</v>
      </c>
      <c r="C49">
        <v>16</v>
      </c>
      <c r="D49">
        <v>87</v>
      </c>
      <c r="E49">
        <v>0</v>
      </c>
      <c r="F49">
        <v>10</v>
      </c>
      <c r="G49">
        <v>0</v>
      </c>
      <c r="H49" s="9">
        <v>141</v>
      </c>
      <c r="I49" s="4">
        <f t="shared" si="0"/>
        <v>0.61702127659574468</v>
      </c>
      <c r="J49" s="4">
        <v>0.61702127659574468</v>
      </c>
      <c r="L49" t="s">
        <v>219</v>
      </c>
      <c r="M49">
        <v>18</v>
      </c>
      <c r="N49" t="s">
        <v>263</v>
      </c>
      <c r="O49">
        <v>16</v>
      </c>
      <c r="P49">
        <v>5619</v>
      </c>
      <c r="Q49">
        <v>1466</v>
      </c>
      <c r="R49" s="4">
        <f t="shared" si="1"/>
        <v>0.26090051610606868</v>
      </c>
    </row>
    <row r="50" spans="1:18">
      <c r="A50" t="s">
        <v>219</v>
      </c>
      <c r="B50">
        <v>18</v>
      </c>
      <c r="C50">
        <v>17</v>
      </c>
      <c r="D50">
        <v>93</v>
      </c>
      <c r="E50">
        <v>0</v>
      </c>
      <c r="F50">
        <v>10</v>
      </c>
      <c r="G50">
        <v>0</v>
      </c>
      <c r="H50" s="9">
        <v>141</v>
      </c>
      <c r="I50" s="4">
        <f t="shared" si="0"/>
        <v>0.65957446808510634</v>
      </c>
      <c r="J50" s="4">
        <v>0.61702127659574468</v>
      </c>
      <c r="L50" t="s">
        <v>219</v>
      </c>
      <c r="M50">
        <v>18</v>
      </c>
      <c r="N50" t="s">
        <v>802</v>
      </c>
      <c r="O50">
        <v>17</v>
      </c>
      <c r="P50">
        <v>5619</v>
      </c>
      <c r="Q50">
        <v>1529</v>
      </c>
      <c r="R50" s="4">
        <f t="shared" si="1"/>
        <v>0.27211247552945361</v>
      </c>
    </row>
    <row r="51" spans="1:18">
      <c r="A51" t="s">
        <v>219</v>
      </c>
      <c r="B51">
        <v>18</v>
      </c>
      <c r="C51">
        <v>18</v>
      </c>
      <c r="D51">
        <v>93</v>
      </c>
      <c r="E51">
        <v>0</v>
      </c>
      <c r="F51">
        <v>10</v>
      </c>
      <c r="G51">
        <v>0</v>
      </c>
      <c r="H51" s="9">
        <v>141</v>
      </c>
      <c r="I51" s="4">
        <f t="shared" si="0"/>
        <v>0.65957446808510634</v>
      </c>
      <c r="J51" s="4">
        <v>0.65248226950354615</v>
      </c>
      <c r="L51" t="s">
        <v>219</v>
      </c>
      <c r="M51">
        <v>18</v>
      </c>
      <c r="N51" t="s">
        <v>801</v>
      </c>
      <c r="O51">
        <v>18</v>
      </c>
      <c r="P51">
        <v>5619</v>
      </c>
      <c r="Q51">
        <v>1538</v>
      </c>
      <c r="R51" s="4">
        <f t="shared" si="1"/>
        <v>0.27371418401850861</v>
      </c>
    </row>
    <row r="52" spans="1:18">
      <c r="A52" t="s">
        <v>219</v>
      </c>
      <c r="B52">
        <v>18</v>
      </c>
      <c r="C52">
        <v>19</v>
      </c>
      <c r="D52">
        <v>93</v>
      </c>
      <c r="E52">
        <v>0</v>
      </c>
      <c r="F52">
        <v>10</v>
      </c>
      <c r="G52">
        <v>0</v>
      </c>
      <c r="H52" s="9">
        <v>141</v>
      </c>
      <c r="I52" s="4">
        <f t="shared" si="0"/>
        <v>0.65957446808510634</v>
      </c>
      <c r="J52" s="4">
        <v>0.65248226950354615</v>
      </c>
      <c r="L52" t="s">
        <v>219</v>
      </c>
      <c r="M52">
        <v>18</v>
      </c>
      <c r="N52" t="s">
        <v>804</v>
      </c>
      <c r="O52">
        <v>19</v>
      </c>
      <c r="P52">
        <v>5619</v>
      </c>
      <c r="Q52">
        <v>1544</v>
      </c>
      <c r="R52" s="4">
        <f t="shared" si="1"/>
        <v>0.27478198967787865</v>
      </c>
    </row>
    <row r="53" spans="1:18">
      <c r="A53" t="s">
        <v>219</v>
      </c>
      <c r="B53">
        <v>18</v>
      </c>
      <c r="C53">
        <v>20</v>
      </c>
      <c r="D53">
        <v>93</v>
      </c>
      <c r="E53">
        <v>0</v>
      </c>
      <c r="F53">
        <v>10</v>
      </c>
      <c r="G53">
        <v>0</v>
      </c>
      <c r="H53" s="9">
        <v>141</v>
      </c>
      <c r="I53" s="4">
        <f t="shared" si="0"/>
        <v>0.65957446808510634</v>
      </c>
      <c r="J53" s="4">
        <v>0.65248226950354615</v>
      </c>
      <c r="L53" t="s">
        <v>219</v>
      </c>
      <c r="M53">
        <v>18</v>
      </c>
      <c r="N53" t="s">
        <v>803</v>
      </c>
      <c r="O53">
        <v>20</v>
      </c>
      <c r="P53">
        <v>5619</v>
      </c>
      <c r="Q53">
        <v>1586</v>
      </c>
      <c r="R53" s="4">
        <f t="shared" si="1"/>
        <v>0.28225662929346856</v>
      </c>
    </row>
    <row r="54" spans="1:18">
      <c r="A54" t="s">
        <v>219</v>
      </c>
      <c r="B54">
        <v>18</v>
      </c>
      <c r="C54">
        <v>21</v>
      </c>
      <c r="D54">
        <v>121</v>
      </c>
      <c r="E54">
        <v>0</v>
      </c>
      <c r="F54">
        <v>2</v>
      </c>
      <c r="G54">
        <v>0</v>
      </c>
      <c r="H54" s="9">
        <v>141</v>
      </c>
      <c r="I54" s="4">
        <f t="shared" si="0"/>
        <v>0.85815602836879434</v>
      </c>
      <c r="J54" s="4">
        <v>0.85815602836879434</v>
      </c>
      <c r="L54" t="s">
        <v>219</v>
      </c>
      <c r="M54">
        <v>18</v>
      </c>
      <c r="N54" t="s">
        <v>806</v>
      </c>
      <c r="O54">
        <v>21</v>
      </c>
      <c r="P54">
        <v>5619</v>
      </c>
      <c r="Q54">
        <v>4935</v>
      </c>
      <c r="R54" s="4">
        <f t="shared" si="1"/>
        <v>0.87827015483182058</v>
      </c>
    </row>
    <row r="55" spans="1:18">
      <c r="A55" t="s">
        <v>219</v>
      </c>
      <c r="B55">
        <v>18</v>
      </c>
      <c r="C55">
        <v>22</v>
      </c>
      <c r="D55">
        <v>121</v>
      </c>
      <c r="E55">
        <v>0</v>
      </c>
      <c r="F55">
        <v>2</v>
      </c>
      <c r="G55">
        <v>0</v>
      </c>
      <c r="H55" s="9">
        <v>141</v>
      </c>
      <c r="I55" s="4">
        <f t="shared" si="0"/>
        <v>0.85815602836879434</v>
      </c>
      <c r="J55" s="4">
        <v>0.85815602836879434</v>
      </c>
      <c r="L55" t="s">
        <v>219</v>
      </c>
      <c r="M55">
        <v>18</v>
      </c>
      <c r="N55" t="s">
        <v>808</v>
      </c>
      <c r="O55">
        <v>22</v>
      </c>
      <c r="P55">
        <v>5619</v>
      </c>
      <c r="Q55">
        <v>5007</v>
      </c>
      <c r="R55" s="4">
        <f t="shared" si="1"/>
        <v>0.89108382274426057</v>
      </c>
    </row>
    <row r="56" spans="1:18">
      <c r="A56" t="s">
        <v>219</v>
      </c>
      <c r="B56">
        <v>18</v>
      </c>
      <c r="C56">
        <v>23</v>
      </c>
      <c r="D56">
        <v>121</v>
      </c>
      <c r="E56">
        <v>0</v>
      </c>
      <c r="F56">
        <v>2</v>
      </c>
      <c r="G56">
        <v>0</v>
      </c>
      <c r="H56" s="9">
        <v>141</v>
      </c>
      <c r="I56" s="4">
        <f t="shared" si="0"/>
        <v>0.85815602836879434</v>
      </c>
      <c r="J56" s="4">
        <v>1</v>
      </c>
      <c r="L56" t="s">
        <v>219</v>
      </c>
      <c r="M56">
        <v>18</v>
      </c>
      <c r="N56" t="s">
        <v>807</v>
      </c>
      <c r="O56">
        <v>23</v>
      </c>
      <c r="P56">
        <v>5619</v>
      </c>
      <c r="Q56">
        <v>5010</v>
      </c>
      <c r="R56" s="4">
        <f t="shared" si="1"/>
        <v>0.89161772557394559</v>
      </c>
    </row>
    <row r="57" spans="1:18">
      <c r="A57" t="s">
        <v>219</v>
      </c>
      <c r="B57">
        <v>18</v>
      </c>
      <c r="C57">
        <v>24</v>
      </c>
      <c r="D57">
        <v>141</v>
      </c>
      <c r="E57">
        <v>0</v>
      </c>
      <c r="F57">
        <v>0</v>
      </c>
      <c r="G57">
        <v>0</v>
      </c>
      <c r="H57" s="9">
        <v>141</v>
      </c>
      <c r="I57" s="4">
        <f t="shared" si="0"/>
        <v>1</v>
      </c>
      <c r="J57" s="4">
        <v>1</v>
      </c>
      <c r="L57" t="s">
        <v>219</v>
      </c>
      <c r="M57">
        <v>18</v>
      </c>
      <c r="N57" t="s">
        <v>811</v>
      </c>
      <c r="O57">
        <v>24</v>
      </c>
      <c r="P57">
        <v>5619</v>
      </c>
      <c r="Q57">
        <v>5049</v>
      </c>
      <c r="R57" s="4">
        <f t="shared" si="1"/>
        <v>0.89855846235985048</v>
      </c>
    </row>
    <row r="58" spans="1:18">
      <c r="A58" t="s">
        <v>219</v>
      </c>
      <c r="B58">
        <v>18</v>
      </c>
      <c r="C58">
        <v>25</v>
      </c>
      <c r="D58">
        <v>141</v>
      </c>
      <c r="E58">
        <v>0</v>
      </c>
      <c r="F58">
        <v>0</v>
      </c>
      <c r="G58">
        <v>0</v>
      </c>
      <c r="H58" s="9">
        <v>141</v>
      </c>
      <c r="I58" s="4">
        <f t="shared" si="0"/>
        <v>1</v>
      </c>
      <c r="J58" s="4">
        <v>1</v>
      </c>
      <c r="L58" t="s">
        <v>219</v>
      </c>
      <c r="M58">
        <v>18</v>
      </c>
      <c r="N58" t="s">
        <v>810</v>
      </c>
      <c r="O58">
        <v>25</v>
      </c>
      <c r="P58">
        <v>5619</v>
      </c>
      <c r="Q58">
        <v>5120</v>
      </c>
      <c r="R58" s="4">
        <f t="shared" si="1"/>
        <v>0.91119416266239539</v>
      </c>
    </row>
    <row r="59" spans="1:18">
      <c r="A59" t="s">
        <v>219</v>
      </c>
      <c r="B59">
        <v>18</v>
      </c>
      <c r="C59">
        <v>26</v>
      </c>
      <c r="D59">
        <v>141</v>
      </c>
      <c r="E59">
        <v>0</v>
      </c>
      <c r="F59">
        <v>0</v>
      </c>
      <c r="G59">
        <v>0</v>
      </c>
      <c r="H59" s="9">
        <v>141</v>
      </c>
      <c r="I59" s="4">
        <f t="shared" si="0"/>
        <v>1</v>
      </c>
      <c r="J59" s="4">
        <v>1</v>
      </c>
      <c r="L59" t="s">
        <v>219</v>
      </c>
      <c r="M59">
        <v>18</v>
      </c>
      <c r="N59" t="s">
        <v>812</v>
      </c>
      <c r="O59">
        <v>26</v>
      </c>
      <c r="P59">
        <v>5619</v>
      </c>
      <c r="Q59">
        <v>5150</v>
      </c>
      <c r="R59" s="4">
        <f t="shared" si="1"/>
        <v>0.91653319095924546</v>
      </c>
    </row>
    <row r="60" spans="1:18">
      <c r="A60" t="s">
        <v>219</v>
      </c>
      <c r="B60">
        <v>18</v>
      </c>
      <c r="C60">
        <v>27</v>
      </c>
      <c r="D60">
        <v>141</v>
      </c>
      <c r="E60">
        <v>0</v>
      </c>
      <c r="F60">
        <v>0</v>
      </c>
      <c r="G60">
        <v>0</v>
      </c>
      <c r="H60" s="9">
        <v>141</v>
      </c>
      <c r="I60" s="4">
        <f t="shared" si="0"/>
        <v>1</v>
      </c>
      <c r="J60" s="4">
        <v>1</v>
      </c>
      <c r="L60" t="s">
        <v>219</v>
      </c>
      <c r="M60">
        <v>18</v>
      </c>
      <c r="N60" t="s">
        <v>809</v>
      </c>
      <c r="O60">
        <v>27</v>
      </c>
      <c r="P60">
        <v>5619</v>
      </c>
      <c r="Q60">
        <v>5197</v>
      </c>
      <c r="R60" s="4">
        <f t="shared" si="1"/>
        <v>0.92489766862431033</v>
      </c>
    </row>
    <row r="61" spans="1:18">
      <c r="A61" t="s">
        <v>219</v>
      </c>
      <c r="B61">
        <v>19</v>
      </c>
      <c r="C61">
        <v>1</v>
      </c>
      <c r="D61">
        <v>3</v>
      </c>
      <c r="E61">
        <v>0</v>
      </c>
      <c r="F61">
        <v>1</v>
      </c>
      <c r="G61">
        <v>0</v>
      </c>
      <c r="H61" s="9">
        <v>127</v>
      </c>
      <c r="I61" s="4">
        <f t="shared" si="0"/>
        <v>2.3622047244094488E-2</v>
      </c>
      <c r="J61" s="4">
        <v>2.3622047244094488E-2</v>
      </c>
      <c r="L61" t="s">
        <v>219</v>
      </c>
      <c r="M61">
        <v>19</v>
      </c>
      <c r="N61" t="s">
        <v>2</v>
      </c>
      <c r="O61">
        <v>1</v>
      </c>
      <c r="P61">
        <v>4832</v>
      </c>
      <c r="Q61">
        <v>128</v>
      </c>
      <c r="R61" s="4">
        <f t="shared" si="1"/>
        <v>2.6490066225165563E-2</v>
      </c>
    </row>
    <row r="62" spans="1:18">
      <c r="A62" t="s">
        <v>219</v>
      </c>
      <c r="B62">
        <v>19</v>
      </c>
      <c r="C62">
        <v>2</v>
      </c>
      <c r="D62">
        <v>6</v>
      </c>
      <c r="E62">
        <v>0</v>
      </c>
      <c r="F62">
        <v>1</v>
      </c>
      <c r="G62">
        <v>0</v>
      </c>
      <c r="H62" s="9">
        <v>127</v>
      </c>
      <c r="I62" s="4">
        <f t="shared" si="0"/>
        <v>4.7244094488188976E-2</v>
      </c>
      <c r="J62" s="4">
        <v>4.7244094488188976E-2</v>
      </c>
      <c r="L62" t="s">
        <v>219</v>
      </c>
      <c r="M62">
        <v>19</v>
      </c>
      <c r="N62" t="s">
        <v>1</v>
      </c>
      <c r="O62">
        <v>2</v>
      </c>
      <c r="P62">
        <v>4832</v>
      </c>
      <c r="Q62">
        <v>223</v>
      </c>
      <c r="R62" s="4">
        <f t="shared" si="1"/>
        <v>4.6150662251655629E-2</v>
      </c>
    </row>
    <row r="63" spans="1:18">
      <c r="A63" t="s">
        <v>219</v>
      </c>
      <c r="B63">
        <v>19</v>
      </c>
      <c r="C63">
        <v>3</v>
      </c>
      <c r="D63">
        <v>83</v>
      </c>
      <c r="E63">
        <v>0</v>
      </c>
      <c r="F63">
        <v>9</v>
      </c>
      <c r="G63">
        <v>0</v>
      </c>
      <c r="H63" s="9">
        <v>127</v>
      </c>
      <c r="I63" s="4">
        <f t="shared" si="0"/>
        <v>0.65354330708661412</v>
      </c>
      <c r="J63" s="4">
        <v>0.65354330708661412</v>
      </c>
      <c r="L63" t="s">
        <v>219</v>
      </c>
      <c r="M63">
        <v>19</v>
      </c>
      <c r="N63" t="s">
        <v>239</v>
      </c>
      <c r="O63">
        <v>3</v>
      </c>
      <c r="P63">
        <v>4832</v>
      </c>
      <c r="Q63">
        <v>1508</v>
      </c>
      <c r="R63" s="4">
        <f t="shared" si="1"/>
        <v>0.3120860927152318</v>
      </c>
    </row>
    <row r="64" spans="1:18">
      <c r="A64" t="s">
        <v>219</v>
      </c>
      <c r="B64">
        <v>19</v>
      </c>
      <c r="C64">
        <v>4</v>
      </c>
      <c r="D64">
        <v>88</v>
      </c>
      <c r="E64">
        <v>0</v>
      </c>
      <c r="F64">
        <v>10</v>
      </c>
      <c r="G64">
        <v>0</v>
      </c>
      <c r="H64" s="9">
        <v>127</v>
      </c>
      <c r="I64" s="4">
        <f t="shared" si="0"/>
        <v>0.69291338582677164</v>
      </c>
      <c r="J64" s="4">
        <v>0.69291338582677164</v>
      </c>
      <c r="L64" t="s">
        <v>219</v>
      </c>
      <c r="M64">
        <v>19</v>
      </c>
      <c r="N64" t="s">
        <v>283</v>
      </c>
      <c r="O64">
        <v>4</v>
      </c>
      <c r="P64">
        <v>4832</v>
      </c>
      <c r="Q64">
        <v>1594</v>
      </c>
      <c r="R64" s="4">
        <f t="shared" si="1"/>
        <v>0.32988410596026491</v>
      </c>
    </row>
    <row r="65" spans="1:18">
      <c r="A65" t="s">
        <v>219</v>
      </c>
      <c r="B65">
        <v>19</v>
      </c>
      <c r="C65">
        <v>5</v>
      </c>
      <c r="D65">
        <v>93</v>
      </c>
      <c r="E65">
        <v>0</v>
      </c>
      <c r="F65">
        <v>11</v>
      </c>
      <c r="G65">
        <v>0</v>
      </c>
      <c r="H65" s="9">
        <v>127</v>
      </c>
      <c r="I65" s="4">
        <f t="shared" si="0"/>
        <v>0.73228346456692917</v>
      </c>
      <c r="J65" s="4">
        <v>0.73228346456692917</v>
      </c>
      <c r="L65" t="s">
        <v>219</v>
      </c>
      <c r="M65">
        <v>19</v>
      </c>
      <c r="N65" t="s">
        <v>284</v>
      </c>
      <c r="O65">
        <v>5</v>
      </c>
      <c r="P65">
        <v>4832</v>
      </c>
      <c r="Q65">
        <v>1748</v>
      </c>
      <c r="R65" s="4">
        <f t="shared" si="1"/>
        <v>0.36175496688741721</v>
      </c>
    </row>
    <row r="66" spans="1:18">
      <c r="A66" t="s">
        <v>219</v>
      </c>
      <c r="B66">
        <v>19</v>
      </c>
      <c r="C66">
        <v>6</v>
      </c>
      <c r="D66">
        <v>99</v>
      </c>
      <c r="E66">
        <v>0</v>
      </c>
      <c r="F66">
        <v>11</v>
      </c>
      <c r="G66">
        <v>0</v>
      </c>
      <c r="H66" s="9">
        <v>127</v>
      </c>
      <c r="I66" s="4">
        <f t="shared" si="0"/>
        <v>0.77952755905511806</v>
      </c>
      <c r="J66" s="4">
        <v>0.77165354330708658</v>
      </c>
      <c r="L66" t="s">
        <v>219</v>
      </c>
      <c r="M66">
        <v>19</v>
      </c>
      <c r="N66" t="s">
        <v>813</v>
      </c>
      <c r="O66">
        <v>6</v>
      </c>
      <c r="P66">
        <v>4832</v>
      </c>
      <c r="Q66">
        <v>1815</v>
      </c>
      <c r="R66" s="4">
        <f t="shared" si="1"/>
        <v>0.3756208609271523</v>
      </c>
    </row>
    <row r="67" spans="1:18">
      <c r="A67" t="s">
        <v>219</v>
      </c>
      <c r="B67">
        <v>19</v>
      </c>
      <c r="C67">
        <v>7</v>
      </c>
      <c r="D67">
        <v>125</v>
      </c>
      <c r="E67">
        <v>0</v>
      </c>
      <c r="F67">
        <v>2</v>
      </c>
      <c r="G67">
        <v>0</v>
      </c>
      <c r="H67" s="9">
        <v>127</v>
      </c>
      <c r="I67" s="4">
        <f t="shared" ref="I67:I130" si="2">D67/H67</f>
        <v>0.98425196850393704</v>
      </c>
      <c r="J67" s="4">
        <v>0.98425196850393704</v>
      </c>
      <c r="L67" t="s">
        <v>219</v>
      </c>
      <c r="M67">
        <v>19</v>
      </c>
      <c r="N67" t="s">
        <v>814</v>
      </c>
      <c r="O67">
        <v>7</v>
      </c>
      <c r="P67">
        <v>4832</v>
      </c>
      <c r="Q67">
        <v>4018</v>
      </c>
      <c r="R67" s="4">
        <f t="shared" ref="R67:R130" si="3">Q67/P67</f>
        <v>0.83153973509933776</v>
      </c>
    </row>
    <row r="68" spans="1:18">
      <c r="A68" t="s">
        <v>219</v>
      </c>
      <c r="B68">
        <v>19</v>
      </c>
      <c r="C68">
        <v>8</v>
      </c>
      <c r="D68">
        <v>126</v>
      </c>
      <c r="E68">
        <v>0</v>
      </c>
      <c r="F68">
        <v>1</v>
      </c>
      <c r="G68">
        <v>0</v>
      </c>
      <c r="H68" s="9">
        <v>127</v>
      </c>
      <c r="I68" s="4">
        <f t="shared" si="2"/>
        <v>0.99212598425196852</v>
      </c>
      <c r="J68" s="4">
        <v>0.99212598425196852</v>
      </c>
      <c r="L68" t="s">
        <v>219</v>
      </c>
      <c r="M68">
        <v>19</v>
      </c>
      <c r="N68" t="s">
        <v>815</v>
      </c>
      <c r="O68">
        <v>8</v>
      </c>
      <c r="P68">
        <v>4832</v>
      </c>
      <c r="Q68">
        <v>4112</v>
      </c>
      <c r="R68" s="4">
        <f t="shared" si="3"/>
        <v>0.85099337748344372</v>
      </c>
    </row>
    <row r="69" spans="1:18">
      <c r="A69" t="s">
        <v>219</v>
      </c>
      <c r="B69">
        <v>19</v>
      </c>
      <c r="C69">
        <v>9</v>
      </c>
      <c r="D69">
        <v>127</v>
      </c>
      <c r="E69">
        <v>0</v>
      </c>
      <c r="F69">
        <v>0</v>
      </c>
      <c r="G69">
        <v>0</v>
      </c>
      <c r="H69" s="9">
        <v>127</v>
      </c>
      <c r="I69" s="4">
        <f t="shared" si="2"/>
        <v>1</v>
      </c>
      <c r="J69" s="4">
        <v>1</v>
      </c>
      <c r="L69" t="s">
        <v>219</v>
      </c>
      <c r="M69">
        <v>19</v>
      </c>
      <c r="N69" t="s">
        <v>819</v>
      </c>
      <c r="O69">
        <v>9</v>
      </c>
      <c r="P69">
        <v>4832</v>
      </c>
      <c r="Q69">
        <v>4278</v>
      </c>
      <c r="R69" s="4">
        <f t="shared" si="3"/>
        <v>0.88534768211920534</v>
      </c>
    </row>
    <row r="70" spans="1:18">
      <c r="A70" t="s">
        <v>219</v>
      </c>
      <c r="B70">
        <v>19</v>
      </c>
      <c r="C70">
        <v>10</v>
      </c>
      <c r="D70">
        <v>127</v>
      </c>
      <c r="E70">
        <v>0</v>
      </c>
      <c r="F70">
        <v>0</v>
      </c>
      <c r="G70">
        <v>0</v>
      </c>
      <c r="H70" s="9">
        <v>127</v>
      </c>
      <c r="I70" s="4">
        <f t="shared" si="2"/>
        <v>1</v>
      </c>
      <c r="J70" s="4">
        <v>1</v>
      </c>
      <c r="L70" t="s">
        <v>219</v>
      </c>
      <c r="M70">
        <v>19</v>
      </c>
      <c r="N70" t="s">
        <v>820</v>
      </c>
      <c r="O70">
        <v>10</v>
      </c>
      <c r="P70">
        <v>4832</v>
      </c>
      <c r="Q70">
        <v>4299</v>
      </c>
      <c r="R70" s="4">
        <f t="shared" si="3"/>
        <v>0.88969370860927155</v>
      </c>
    </row>
    <row r="71" spans="1:18">
      <c r="A71" t="s">
        <v>219</v>
      </c>
      <c r="B71">
        <v>19</v>
      </c>
      <c r="C71">
        <v>11</v>
      </c>
      <c r="D71">
        <v>127</v>
      </c>
      <c r="E71">
        <v>0</v>
      </c>
      <c r="F71">
        <v>0</v>
      </c>
      <c r="G71">
        <v>0</v>
      </c>
      <c r="H71" s="9">
        <v>127</v>
      </c>
      <c r="I71" s="4">
        <f t="shared" si="2"/>
        <v>1</v>
      </c>
      <c r="J71" s="4">
        <v>1</v>
      </c>
      <c r="L71" t="s">
        <v>219</v>
      </c>
      <c r="M71">
        <v>19</v>
      </c>
      <c r="N71" t="s">
        <v>816</v>
      </c>
      <c r="O71">
        <v>11</v>
      </c>
      <c r="P71">
        <v>4832</v>
      </c>
      <c r="Q71">
        <v>4307</v>
      </c>
      <c r="R71" s="4">
        <f t="shared" si="3"/>
        <v>0.89134933774834435</v>
      </c>
    </row>
    <row r="72" spans="1:18">
      <c r="A72" t="s">
        <v>219</v>
      </c>
      <c r="B72">
        <v>19</v>
      </c>
      <c r="C72">
        <v>12</v>
      </c>
      <c r="D72">
        <v>127</v>
      </c>
      <c r="E72">
        <v>0</v>
      </c>
      <c r="F72">
        <v>0</v>
      </c>
      <c r="G72">
        <v>0</v>
      </c>
      <c r="H72" s="9">
        <v>127</v>
      </c>
      <c r="I72" s="4">
        <f t="shared" si="2"/>
        <v>1</v>
      </c>
      <c r="J72" s="4">
        <v>1</v>
      </c>
      <c r="L72" t="s">
        <v>219</v>
      </c>
      <c r="M72">
        <v>19</v>
      </c>
      <c r="N72" t="s">
        <v>817</v>
      </c>
      <c r="O72">
        <v>12</v>
      </c>
      <c r="P72">
        <v>4832</v>
      </c>
      <c r="Q72">
        <v>4336</v>
      </c>
      <c r="R72" s="4">
        <f t="shared" si="3"/>
        <v>0.89735099337748347</v>
      </c>
    </row>
    <row r="73" spans="1:18">
      <c r="A73" t="s">
        <v>219</v>
      </c>
      <c r="B73">
        <v>19</v>
      </c>
      <c r="C73">
        <v>13</v>
      </c>
      <c r="D73">
        <v>127</v>
      </c>
      <c r="E73">
        <v>0</v>
      </c>
      <c r="F73">
        <v>0</v>
      </c>
      <c r="G73">
        <v>0</v>
      </c>
      <c r="H73" s="9">
        <v>127</v>
      </c>
      <c r="I73" s="4">
        <f t="shared" si="2"/>
        <v>1</v>
      </c>
      <c r="J73" s="4">
        <v>1</v>
      </c>
      <c r="L73" t="s">
        <v>219</v>
      </c>
      <c r="M73">
        <v>19</v>
      </c>
      <c r="N73" t="s">
        <v>818</v>
      </c>
      <c r="O73">
        <v>13</v>
      </c>
      <c r="P73">
        <v>4832</v>
      </c>
      <c r="Q73">
        <v>4347</v>
      </c>
      <c r="R73" s="4">
        <f t="shared" si="3"/>
        <v>0.89962748344370858</v>
      </c>
    </row>
    <row r="74" spans="1:18">
      <c r="A74" t="s">
        <v>219</v>
      </c>
      <c r="B74">
        <v>19</v>
      </c>
      <c r="C74">
        <v>14</v>
      </c>
      <c r="D74">
        <v>127</v>
      </c>
      <c r="E74">
        <v>0</v>
      </c>
      <c r="F74">
        <v>0</v>
      </c>
      <c r="G74">
        <v>0</v>
      </c>
      <c r="H74" s="9">
        <v>127</v>
      </c>
      <c r="I74" s="4">
        <f t="shared" si="2"/>
        <v>1</v>
      </c>
      <c r="J74" s="4">
        <v>1</v>
      </c>
      <c r="L74" t="s">
        <v>219</v>
      </c>
      <c r="M74">
        <v>19</v>
      </c>
      <c r="N74" t="s">
        <v>830</v>
      </c>
      <c r="O74">
        <v>14</v>
      </c>
      <c r="P74">
        <v>4832</v>
      </c>
      <c r="Q74">
        <v>4348</v>
      </c>
      <c r="R74" s="4">
        <f t="shared" si="3"/>
        <v>0.89983443708609268</v>
      </c>
    </row>
    <row r="75" spans="1:18">
      <c r="A75" t="s">
        <v>219</v>
      </c>
      <c r="B75">
        <v>19</v>
      </c>
      <c r="C75">
        <v>15</v>
      </c>
      <c r="D75">
        <v>127</v>
      </c>
      <c r="E75">
        <v>0</v>
      </c>
      <c r="F75">
        <v>0</v>
      </c>
      <c r="G75">
        <v>0</v>
      </c>
      <c r="H75" s="9">
        <v>127</v>
      </c>
      <c r="I75" s="4">
        <f t="shared" si="2"/>
        <v>1</v>
      </c>
      <c r="J75" s="4">
        <v>1</v>
      </c>
      <c r="L75" t="s">
        <v>219</v>
      </c>
      <c r="M75">
        <v>19</v>
      </c>
      <c r="N75" t="s">
        <v>828</v>
      </c>
      <c r="O75">
        <v>15</v>
      </c>
      <c r="P75">
        <v>4832</v>
      </c>
      <c r="Q75">
        <v>4378</v>
      </c>
      <c r="R75" s="4">
        <f t="shared" si="3"/>
        <v>0.9060430463576159</v>
      </c>
    </row>
    <row r="76" spans="1:18">
      <c r="A76" t="s">
        <v>219</v>
      </c>
      <c r="B76">
        <v>19</v>
      </c>
      <c r="C76">
        <v>16</v>
      </c>
      <c r="D76">
        <v>127</v>
      </c>
      <c r="E76">
        <v>0</v>
      </c>
      <c r="F76">
        <v>0</v>
      </c>
      <c r="G76">
        <v>0</v>
      </c>
      <c r="H76" s="9">
        <v>127</v>
      </c>
      <c r="I76" s="4">
        <f t="shared" si="2"/>
        <v>1</v>
      </c>
      <c r="J76" s="4">
        <v>1</v>
      </c>
      <c r="L76" t="s">
        <v>219</v>
      </c>
      <c r="M76">
        <v>19</v>
      </c>
      <c r="N76" t="s">
        <v>836</v>
      </c>
      <c r="O76">
        <v>16</v>
      </c>
      <c r="P76">
        <v>4832</v>
      </c>
      <c r="Q76">
        <v>4379</v>
      </c>
      <c r="R76" s="4">
        <f t="shared" si="3"/>
        <v>0.90625</v>
      </c>
    </row>
    <row r="77" spans="1:18">
      <c r="A77" t="s">
        <v>219</v>
      </c>
      <c r="B77">
        <v>19</v>
      </c>
      <c r="C77">
        <v>17</v>
      </c>
      <c r="D77">
        <v>127</v>
      </c>
      <c r="E77">
        <v>0</v>
      </c>
      <c r="F77">
        <v>0</v>
      </c>
      <c r="G77">
        <v>0</v>
      </c>
      <c r="H77" s="9">
        <v>127</v>
      </c>
      <c r="I77" s="4">
        <f t="shared" si="2"/>
        <v>1</v>
      </c>
      <c r="J77" s="4">
        <v>1</v>
      </c>
      <c r="L77" t="s">
        <v>219</v>
      </c>
      <c r="M77">
        <v>19</v>
      </c>
      <c r="N77" t="s">
        <v>824</v>
      </c>
      <c r="O77">
        <v>17</v>
      </c>
      <c r="P77">
        <v>4832</v>
      </c>
      <c r="Q77">
        <v>4384</v>
      </c>
      <c r="R77" s="4">
        <f t="shared" si="3"/>
        <v>0.9072847682119205</v>
      </c>
    </row>
    <row r="78" spans="1:18">
      <c r="A78" t="s">
        <v>219</v>
      </c>
      <c r="B78">
        <v>19</v>
      </c>
      <c r="C78">
        <v>18</v>
      </c>
      <c r="D78">
        <v>127</v>
      </c>
      <c r="E78">
        <v>0</v>
      </c>
      <c r="F78">
        <v>0</v>
      </c>
      <c r="G78">
        <v>0</v>
      </c>
      <c r="H78" s="9">
        <v>127</v>
      </c>
      <c r="I78" s="4">
        <f t="shared" si="2"/>
        <v>1</v>
      </c>
      <c r="J78" s="4">
        <v>1</v>
      </c>
      <c r="L78" t="s">
        <v>219</v>
      </c>
      <c r="M78">
        <v>19</v>
      </c>
      <c r="N78" t="s">
        <v>826</v>
      </c>
      <c r="O78">
        <v>18</v>
      </c>
      <c r="P78">
        <v>4832</v>
      </c>
      <c r="Q78">
        <v>4390</v>
      </c>
      <c r="R78" s="4">
        <f t="shared" si="3"/>
        <v>0.90852649006622521</v>
      </c>
    </row>
    <row r="79" spans="1:18">
      <c r="A79" t="s">
        <v>219</v>
      </c>
      <c r="B79">
        <v>19</v>
      </c>
      <c r="C79">
        <v>19</v>
      </c>
      <c r="D79">
        <v>127</v>
      </c>
      <c r="E79">
        <v>0</v>
      </c>
      <c r="F79">
        <v>0</v>
      </c>
      <c r="G79">
        <v>0</v>
      </c>
      <c r="H79" s="9">
        <v>127</v>
      </c>
      <c r="I79" s="4">
        <f t="shared" si="2"/>
        <v>1</v>
      </c>
      <c r="J79" s="4">
        <v>1</v>
      </c>
      <c r="L79" t="s">
        <v>219</v>
      </c>
      <c r="M79">
        <v>19</v>
      </c>
      <c r="N79" t="s">
        <v>822</v>
      </c>
      <c r="O79">
        <v>19</v>
      </c>
      <c r="P79">
        <v>4832</v>
      </c>
      <c r="Q79">
        <v>4396</v>
      </c>
      <c r="R79" s="4">
        <f t="shared" si="3"/>
        <v>0.90976821192052981</v>
      </c>
    </row>
    <row r="80" spans="1:18">
      <c r="A80" t="s">
        <v>219</v>
      </c>
      <c r="B80">
        <v>19</v>
      </c>
      <c r="C80">
        <v>20</v>
      </c>
      <c r="D80">
        <v>127</v>
      </c>
      <c r="E80">
        <v>0</v>
      </c>
      <c r="F80">
        <v>0</v>
      </c>
      <c r="G80">
        <v>0</v>
      </c>
      <c r="H80" s="9">
        <v>127</v>
      </c>
      <c r="I80" s="4">
        <f t="shared" si="2"/>
        <v>1</v>
      </c>
      <c r="J80" s="4">
        <v>1</v>
      </c>
      <c r="L80" t="s">
        <v>219</v>
      </c>
      <c r="M80">
        <v>19</v>
      </c>
      <c r="N80" t="s">
        <v>823</v>
      </c>
      <c r="O80">
        <v>20</v>
      </c>
      <c r="P80">
        <v>4832</v>
      </c>
      <c r="Q80">
        <v>4405</v>
      </c>
      <c r="R80" s="4">
        <f t="shared" si="3"/>
        <v>0.91163079470198671</v>
      </c>
    </row>
    <row r="81" spans="1:18">
      <c r="A81" t="s">
        <v>219</v>
      </c>
      <c r="B81">
        <v>19</v>
      </c>
      <c r="C81">
        <v>21</v>
      </c>
      <c r="D81">
        <v>127</v>
      </c>
      <c r="E81">
        <v>0</v>
      </c>
      <c r="F81">
        <v>0</v>
      </c>
      <c r="G81">
        <v>0</v>
      </c>
      <c r="H81" s="9">
        <v>127</v>
      </c>
      <c r="I81" s="4">
        <f t="shared" si="2"/>
        <v>1</v>
      </c>
      <c r="J81" s="4">
        <v>1</v>
      </c>
      <c r="L81" t="s">
        <v>219</v>
      </c>
      <c r="M81">
        <v>19</v>
      </c>
      <c r="N81" t="s">
        <v>829</v>
      </c>
      <c r="O81">
        <v>21</v>
      </c>
      <c r="P81">
        <v>4832</v>
      </c>
      <c r="Q81">
        <v>4408</v>
      </c>
      <c r="R81" s="4">
        <f t="shared" si="3"/>
        <v>0.91225165562913912</v>
      </c>
    </row>
    <row r="82" spans="1:18">
      <c r="A82" t="s">
        <v>219</v>
      </c>
      <c r="B82">
        <v>19</v>
      </c>
      <c r="C82">
        <v>22</v>
      </c>
      <c r="D82">
        <v>127</v>
      </c>
      <c r="E82">
        <v>0</v>
      </c>
      <c r="F82">
        <v>0</v>
      </c>
      <c r="G82">
        <v>0</v>
      </c>
      <c r="H82" s="9">
        <v>127</v>
      </c>
      <c r="I82" s="4">
        <f t="shared" si="2"/>
        <v>1</v>
      </c>
      <c r="J82" s="4">
        <v>1</v>
      </c>
      <c r="L82" t="s">
        <v>219</v>
      </c>
      <c r="M82">
        <v>19</v>
      </c>
      <c r="N82" t="s">
        <v>827</v>
      </c>
      <c r="O82">
        <v>22</v>
      </c>
      <c r="P82">
        <v>4832</v>
      </c>
      <c r="Q82">
        <v>4410</v>
      </c>
      <c r="R82" s="4">
        <f t="shared" si="3"/>
        <v>0.91266556291390732</v>
      </c>
    </row>
    <row r="83" spans="1:18">
      <c r="A83" t="s">
        <v>219</v>
      </c>
      <c r="B83">
        <v>19</v>
      </c>
      <c r="C83">
        <v>23</v>
      </c>
      <c r="D83">
        <v>127</v>
      </c>
      <c r="E83">
        <v>0</v>
      </c>
      <c r="F83">
        <v>0</v>
      </c>
      <c r="G83">
        <v>0</v>
      </c>
      <c r="H83" s="9">
        <v>127</v>
      </c>
      <c r="I83" s="4">
        <f t="shared" si="2"/>
        <v>1</v>
      </c>
      <c r="J83" s="4">
        <v>1</v>
      </c>
      <c r="L83" t="s">
        <v>219</v>
      </c>
      <c r="M83">
        <v>19</v>
      </c>
      <c r="N83" t="s">
        <v>825</v>
      </c>
      <c r="O83">
        <v>23</v>
      </c>
      <c r="P83">
        <v>4832</v>
      </c>
      <c r="Q83">
        <v>4420</v>
      </c>
      <c r="R83" s="4">
        <f t="shared" si="3"/>
        <v>0.91473509933774833</v>
      </c>
    </row>
    <row r="84" spans="1:18">
      <c r="A84" t="s">
        <v>219</v>
      </c>
      <c r="B84">
        <v>19</v>
      </c>
      <c r="C84">
        <v>24</v>
      </c>
      <c r="D84">
        <v>127</v>
      </c>
      <c r="E84">
        <v>0</v>
      </c>
      <c r="F84">
        <v>0</v>
      </c>
      <c r="G84">
        <v>0</v>
      </c>
      <c r="H84" s="9">
        <v>127</v>
      </c>
      <c r="I84" s="4">
        <f t="shared" si="2"/>
        <v>1</v>
      </c>
      <c r="J84" s="4">
        <v>1</v>
      </c>
      <c r="L84" t="s">
        <v>219</v>
      </c>
      <c r="M84">
        <v>19</v>
      </c>
      <c r="N84" t="s">
        <v>832</v>
      </c>
      <c r="O84">
        <v>24</v>
      </c>
      <c r="P84">
        <v>4832</v>
      </c>
      <c r="Q84">
        <v>4441</v>
      </c>
      <c r="R84" s="4">
        <f t="shared" si="3"/>
        <v>0.91908112582781454</v>
      </c>
    </row>
    <row r="85" spans="1:18">
      <c r="A85" t="s">
        <v>219</v>
      </c>
      <c r="B85">
        <v>19</v>
      </c>
      <c r="C85">
        <v>25</v>
      </c>
      <c r="D85">
        <v>127</v>
      </c>
      <c r="E85">
        <v>0</v>
      </c>
      <c r="F85">
        <v>0</v>
      </c>
      <c r="G85">
        <v>0</v>
      </c>
      <c r="H85" s="9">
        <v>127</v>
      </c>
      <c r="I85" s="4">
        <f t="shared" si="2"/>
        <v>1</v>
      </c>
      <c r="J85" s="4">
        <v>1</v>
      </c>
      <c r="L85" t="s">
        <v>219</v>
      </c>
      <c r="M85">
        <v>19</v>
      </c>
      <c r="N85" t="s">
        <v>831</v>
      </c>
      <c r="O85">
        <v>25</v>
      </c>
      <c r="P85">
        <v>4832</v>
      </c>
      <c r="Q85">
        <v>4477</v>
      </c>
      <c r="R85" s="4">
        <f t="shared" si="3"/>
        <v>0.92653145695364236</v>
      </c>
    </row>
    <row r="86" spans="1:18">
      <c r="A86" t="s">
        <v>219</v>
      </c>
      <c r="B86">
        <v>19</v>
      </c>
      <c r="C86">
        <v>26</v>
      </c>
      <c r="D86">
        <v>127</v>
      </c>
      <c r="E86">
        <v>0</v>
      </c>
      <c r="F86">
        <v>0</v>
      </c>
      <c r="G86">
        <v>0</v>
      </c>
      <c r="H86" s="9">
        <v>127</v>
      </c>
      <c r="I86" s="4">
        <f t="shared" si="2"/>
        <v>1</v>
      </c>
      <c r="J86" s="4">
        <v>1</v>
      </c>
      <c r="L86" t="s">
        <v>219</v>
      </c>
      <c r="M86">
        <v>19</v>
      </c>
      <c r="N86" t="s">
        <v>833</v>
      </c>
      <c r="O86">
        <v>26</v>
      </c>
      <c r="P86">
        <v>4832</v>
      </c>
      <c r="Q86">
        <v>4519</v>
      </c>
      <c r="R86" s="4">
        <f t="shared" si="3"/>
        <v>0.93522350993377479</v>
      </c>
    </row>
    <row r="87" spans="1:18">
      <c r="A87" t="s">
        <v>219</v>
      </c>
      <c r="B87">
        <v>19</v>
      </c>
      <c r="C87">
        <v>27</v>
      </c>
      <c r="D87">
        <v>127</v>
      </c>
      <c r="E87">
        <v>0</v>
      </c>
      <c r="F87">
        <v>0</v>
      </c>
      <c r="G87">
        <v>0</v>
      </c>
      <c r="H87" s="9">
        <v>127</v>
      </c>
      <c r="I87" s="4">
        <f t="shared" si="2"/>
        <v>1</v>
      </c>
      <c r="J87" s="4">
        <v>1</v>
      </c>
      <c r="L87" t="s">
        <v>219</v>
      </c>
      <c r="M87">
        <v>19</v>
      </c>
      <c r="N87" t="s">
        <v>835</v>
      </c>
      <c r="O87">
        <v>27</v>
      </c>
      <c r="P87">
        <v>4832</v>
      </c>
      <c r="Q87">
        <v>4534</v>
      </c>
      <c r="R87" s="4">
        <f t="shared" si="3"/>
        <v>0.9383278145695364</v>
      </c>
    </row>
    <row r="88" spans="1:18">
      <c r="A88" t="s">
        <v>219</v>
      </c>
      <c r="B88">
        <v>19</v>
      </c>
      <c r="C88">
        <v>28</v>
      </c>
      <c r="D88">
        <v>127</v>
      </c>
      <c r="E88">
        <v>0</v>
      </c>
      <c r="F88">
        <v>0</v>
      </c>
      <c r="G88">
        <v>0</v>
      </c>
      <c r="H88" s="9">
        <v>127</v>
      </c>
      <c r="I88" s="4">
        <f t="shared" si="2"/>
        <v>1</v>
      </c>
      <c r="J88" s="4">
        <v>1</v>
      </c>
      <c r="L88" t="s">
        <v>219</v>
      </c>
      <c r="M88">
        <v>19</v>
      </c>
      <c r="N88" t="s">
        <v>834</v>
      </c>
      <c r="O88">
        <v>28</v>
      </c>
      <c r="P88">
        <v>4832</v>
      </c>
      <c r="Q88">
        <v>4614</v>
      </c>
      <c r="R88" s="4">
        <f t="shared" si="3"/>
        <v>0.95488410596026485</v>
      </c>
    </row>
    <row r="89" spans="1:18">
      <c r="A89" t="s">
        <v>219</v>
      </c>
      <c r="B89">
        <v>19</v>
      </c>
      <c r="C89">
        <v>29</v>
      </c>
      <c r="D89">
        <v>127</v>
      </c>
      <c r="E89">
        <v>0</v>
      </c>
      <c r="F89">
        <v>0</v>
      </c>
      <c r="G89">
        <v>0</v>
      </c>
      <c r="H89" s="9">
        <v>127</v>
      </c>
      <c r="I89" s="4">
        <f t="shared" si="2"/>
        <v>1</v>
      </c>
      <c r="J89" s="4">
        <v>1</v>
      </c>
      <c r="L89" t="s">
        <v>219</v>
      </c>
      <c r="M89">
        <v>19</v>
      </c>
      <c r="N89" t="s">
        <v>821</v>
      </c>
      <c r="O89">
        <v>29</v>
      </c>
      <c r="P89">
        <v>4832</v>
      </c>
      <c r="Q89">
        <v>6082</v>
      </c>
      <c r="R89" s="4">
        <f t="shared" si="3"/>
        <v>1.2586920529801324</v>
      </c>
    </row>
    <row r="90" spans="1:18">
      <c r="A90" t="s">
        <v>219</v>
      </c>
      <c r="B90">
        <v>20</v>
      </c>
      <c r="C90">
        <v>1</v>
      </c>
      <c r="D90">
        <v>20</v>
      </c>
      <c r="E90">
        <v>0</v>
      </c>
      <c r="F90">
        <v>7</v>
      </c>
      <c r="G90">
        <v>0</v>
      </c>
      <c r="H90" s="9">
        <v>101</v>
      </c>
      <c r="I90" s="4">
        <f t="shared" si="2"/>
        <v>0.19801980198019803</v>
      </c>
      <c r="J90" s="4">
        <v>0.19801980198019803</v>
      </c>
      <c r="L90" t="s">
        <v>219</v>
      </c>
      <c r="M90">
        <v>20</v>
      </c>
      <c r="N90" t="s">
        <v>308</v>
      </c>
      <c r="O90">
        <v>1</v>
      </c>
      <c r="P90">
        <v>3172</v>
      </c>
      <c r="Q90">
        <v>392</v>
      </c>
      <c r="R90" s="4">
        <f t="shared" si="3"/>
        <v>0.1235813366960908</v>
      </c>
    </row>
    <row r="91" spans="1:18">
      <c r="A91" t="s">
        <v>219</v>
      </c>
      <c r="B91">
        <v>20</v>
      </c>
      <c r="C91">
        <v>2</v>
      </c>
      <c r="D91">
        <v>23</v>
      </c>
      <c r="E91">
        <v>0</v>
      </c>
      <c r="F91">
        <v>6</v>
      </c>
      <c r="G91">
        <v>0</v>
      </c>
      <c r="H91" s="9">
        <v>101</v>
      </c>
      <c r="I91" s="4">
        <f t="shared" si="2"/>
        <v>0.22772277227722773</v>
      </c>
      <c r="J91" s="4">
        <v>0.22772277227722773</v>
      </c>
      <c r="L91" t="s">
        <v>219</v>
      </c>
      <c r="M91">
        <v>20</v>
      </c>
      <c r="N91" t="s">
        <v>310</v>
      </c>
      <c r="O91">
        <v>2</v>
      </c>
      <c r="P91">
        <v>3172</v>
      </c>
      <c r="Q91">
        <v>424</v>
      </c>
      <c r="R91" s="4">
        <f t="shared" si="3"/>
        <v>0.13366960907944514</v>
      </c>
    </row>
    <row r="92" spans="1:18">
      <c r="A92" t="s">
        <v>219</v>
      </c>
      <c r="B92">
        <v>20</v>
      </c>
      <c r="C92">
        <v>3</v>
      </c>
      <c r="D92">
        <v>26</v>
      </c>
      <c r="E92">
        <v>0</v>
      </c>
      <c r="F92">
        <v>6</v>
      </c>
      <c r="G92">
        <v>0</v>
      </c>
      <c r="H92" s="9">
        <v>101</v>
      </c>
      <c r="I92" s="4">
        <f t="shared" si="2"/>
        <v>0.25742574257425743</v>
      </c>
      <c r="J92" s="4">
        <v>0.25742574257425743</v>
      </c>
      <c r="L92" t="s">
        <v>219</v>
      </c>
      <c r="M92">
        <v>20</v>
      </c>
      <c r="N92" t="s">
        <v>309</v>
      </c>
      <c r="O92">
        <v>3</v>
      </c>
      <c r="P92">
        <v>3172</v>
      </c>
      <c r="Q92">
        <v>431</v>
      </c>
      <c r="R92" s="4">
        <f t="shared" si="3"/>
        <v>0.13587641866330391</v>
      </c>
    </row>
    <row r="93" spans="1:18">
      <c r="A93" t="s">
        <v>219</v>
      </c>
      <c r="B93">
        <v>20</v>
      </c>
      <c r="C93">
        <v>4</v>
      </c>
      <c r="D93">
        <v>29</v>
      </c>
      <c r="E93">
        <v>0</v>
      </c>
      <c r="F93">
        <v>9</v>
      </c>
      <c r="G93">
        <v>0</v>
      </c>
      <c r="H93" s="9">
        <v>101</v>
      </c>
      <c r="I93" s="4">
        <f t="shared" si="2"/>
        <v>0.28712871287128711</v>
      </c>
      <c r="J93" s="4">
        <v>0.28712871287128711</v>
      </c>
      <c r="L93" t="s">
        <v>219</v>
      </c>
      <c r="M93">
        <v>20</v>
      </c>
      <c r="N93" t="s">
        <v>311</v>
      </c>
      <c r="O93">
        <v>4</v>
      </c>
      <c r="P93">
        <v>3172</v>
      </c>
      <c r="Q93">
        <v>467</v>
      </c>
      <c r="R93" s="4">
        <f t="shared" si="3"/>
        <v>0.14722572509457754</v>
      </c>
    </row>
    <row r="94" spans="1:18">
      <c r="A94" t="s">
        <v>219</v>
      </c>
      <c r="B94">
        <v>20</v>
      </c>
      <c r="C94">
        <v>5</v>
      </c>
      <c r="D94">
        <v>29</v>
      </c>
      <c r="E94">
        <v>0</v>
      </c>
      <c r="F94">
        <v>9</v>
      </c>
      <c r="G94">
        <v>0</v>
      </c>
      <c r="H94" s="9">
        <v>101</v>
      </c>
      <c r="I94" s="4">
        <f t="shared" si="2"/>
        <v>0.28712871287128711</v>
      </c>
      <c r="J94" s="4">
        <v>0.44554455445544555</v>
      </c>
      <c r="L94" t="s">
        <v>219</v>
      </c>
      <c r="M94">
        <v>20</v>
      </c>
      <c r="N94" t="s">
        <v>313</v>
      </c>
      <c r="O94">
        <v>5</v>
      </c>
      <c r="P94">
        <v>3172</v>
      </c>
      <c r="Q94">
        <v>486</v>
      </c>
      <c r="R94" s="4">
        <f t="shared" si="3"/>
        <v>0.15321563682219419</v>
      </c>
    </row>
    <row r="95" spans="1:18">
      <c r="A95" t="s">
        <v>219</v>
      </c>
      <c r="B95">
        <v>20</v>
      </c>
      <c r="C95">
        <v>6</v>
      </c>
      <c r="D95">
        <v>37</v>
      </c>
      <c r="E95">
        <v>0</v>
      </c>
      <c r="F95">
        <v>7</v>
      </c>
      <c r="G95">
        <v>0</v>
      </c>
      <c r="H95" s="9">
        <v>101</v>
      </c>
      <c r="I95" s="4">
        <f t="shared" si="2"/>
        <v>0.36633663366336633</v>
      </c>
      <c r="J95" s="4">
        <v>0.44554455445544555</v>
      </c>
      <c r="L95" t="s">
        <v>219</v>
      </c>
      <c r="M95">
        <v>20</v>
      </c>
      <c r="N95" t="s">
        <v>314</v>
      </c>
      <c r="O95">
        <v>6</v>
      </c>
      <c r="P95">
        <v>3172</v>
      </c>
      <c r="Q95">
        <v>487</v>
      </c>
      <c r="R95" s="4">
        <f t="shared" si="3"/>
        <v>0.15353089533417402</v>
      </c>
    </row>
    <row r="96" spans="1:18">
      <c r="A96" t="s">
        <v>219</v>
      </c>
      <c r="B96">
        <v>20</v>
      </c>
      <c r="C96">
        <v>7</v>
      </c>
      <c r="D96">
        <v>37</v>
      </c>
      <c r="E96">
        <v>0</v>
      </c>
      <c r="F96">
        <v>7</v>
      </c>
      <c r="G96">
        <v>0</v>
      </c>
      <c r="H96" s="9">
        <v>101</v>
      </c>
      <c r="I96" s="4">
        <f t="shared" si="2"/>
        <v>0.36633663366336633</v>
      </c>
      <c r="J96" s="4">
        <v>0.52475247524752477</v>
      </c>
      <c r="L96" t="s">
        <v>219</v>
      </c>
      <c r="M96">
        <v>20</v>
      </c>
      <c r="N96" t="s">
        <v>315</v>
      </c>
      <c r="O96">
        <v>7</v>
      </c>
      <c r="P96">
        <v>3172</v>
      </c>
      <c r="Q96">
        <v>505</v>
      </c>
      <c r="R96" s="4">
        <f t="shared" si="3"/>
        <v>0.15920554854981084</v>
      </c>
    </row>
    <row r="97" spans="1:18">
      <c r="A97" t="s">
        <v>219</v>
      </c>
      <c r="B97">
        <v>20</v>
      </c>
      <c r="C97">
        <v>8</v>
      </c>
      <c r="D97">
        <v>53</v>
      </c>
      <c r="E97">
        <v>0</v>
      </c>
      <c r="F97">
        <v>7</v>
      </c>
      <c r="G97">
        <v>0</v>
      </c>
      <c r="H97" s="9">
        <v>101</v>
      </c>
      <c r="I97" s="4">
        <f t="shared" si="2"/>
        <v>0.52475247524752477</v>
      </c>
      <c r="J97" s="4">
        <v>0.52475247524752477</v>
      </c>
      <c r="L97" t="s">
        <v>219</v>
      </c>
      <c r="M97">
        <v>20</v>
      </c>
      <c r="N97" t="s">
        <v>312</v>
      </c>
      <c r="O97">
        <v>8</v>
      </c>
      <c r="P97">
        <v>3172</v>
      </c>
      <c r="Q97">
        <v>509</v>
      </c>
      <c r="R97" s="4">
        <f t="shared" si="3"/>
        <v>0.16046658259773014</v>
      </c>
    </row>
    <row r="98" spans="1:18">
      <c r="A98" t="s">
        <v>219</v>
      </c>
      <c r="B98">
        <v>20</v>
      </c>
      <c r="C98">
        <v>9</v>
      </c>
      <c r="D98">
        <v>53</v>
      </c>
      <c r="E98">
        <v>0</v>
      </c>
      <c r="F98">
        <v>7</v>
      </c>
      <c r="G98">
        <v>0</v>
      </c>
      <c r="H98" s="9">
        <v>101</v>
      </c>
      <c r="I98" s="4">
        <f t="shared" si="2"/>
        <v>0.52475247524752477</v>
      </c>
      <c r="J98" s="4">
        <v>0.52475247524752477</v>
      </c>
      <c r="L98" t="s">
        <v>219</v>
      </c>
      <c r="M98">
        <v>20</v>
      </c>
      <c r="N98" t="s">
        <v>316</v>
      </c>
      <c r="O98">
        <v>9</v>
      </c>
      <c r="P98">
        <v>3172</v>
      </c>
      <c r="Q98">
        <v>521</v>
      </c>
      <c r="R98" s="4">
        <f t="shared" si="3"/>
        <v>0.16424968474148802</v>
      </c>
    </row>
    <row r="99" spans="1:18">
      <c r="A99" t="s">
        <v>219</v>
      </c>
      <c r="B99">
        <v>20</v>
      </c>
      <c r="C99">
        <v>10</v>
      </c>
      <c r="D99">
        <v>53</v>
      </c>
      <c r="E99">
        <v>0</v>
      </c>
      <c r="F99">
        <v>7</v>
      </c>
      <c r="G99">
        <v>0</v>
      </c>
      <c r="H99" s="9">
        <v>101</v>
      </c>
      <c r="I99" s="4">
        <f t="shared" si="2"/>
        <v>0.52475247524752477</v>
      </c>
      <c r="J99" s="4">
        <v>0.52475247524752477</v>
      </c>
      <c r="L99" t="s">
        <v>219</v>
      </c>
      <c r="M99">
        <v>20</v>
      </c>
      <c r="N99" t="s">
        <v>317</v>
      </c>
      <c r="O99">
        <v>10</v>
      </c>
      <c r="P99">
        <v>3172</v>
      </c>
      <c r="Q99">
        <v>552</v>
      </c>
      <c r="R99" s="4">
        <f t="shared" si="3"/>
        <v>0.17402269861286254</v>
      </c>
    </row>
    <row r="100" spans="1:18">
      <c r="A100" t="s">
        <v>219</v>
      </c>
      <c r="B100">
        <v>20</v>
      </c>
      <c r="C100">
        <v>11</v>
      </c>
      <c r="D100">
        <v>56</v>
      </c>
      <c r="E100">
        <v>0</v>
      </c>
      <c r="F100">
        <v>12</v>
      </c>
      <c r="G100">
        <v>0</v>
      </c>
      <c r="H100" s="9">
        <v>101</v>
      </c>
      <c r="I100" s="4">
        <f t="shared" si="2"/>
        <v>0.5544554455445545</v>
      </c>
      <c r="J100" s="4">
        <v>0.5544554455445545</v>
      </c>
      <c r="L100" t="s">
        <v>219</v>
      </c>
      <c r="M100">
        <v>20</v>
      </c>
      <c r="N100" t="s">
        <v>845</v>
      </c>
      <c r="O100">
        <v>11</v>
      </c>
      <c r="P100">
        <v>3172</v>
      </c>
      <c r="Q100">
        <v>558</v>
      </c>
      <c r="R100" s="4">
        <f t="shared" si="3"/>
        <v>0.17591424968474148</v>
      </c>
    </row>
    <row r="101" spans="1:18">
      <c r="A101" t="s">
        <v>219</v>
      </c>
      <c r="B101">
        <v>20</v>
      </c>
      <c r="C101">
        <v>12</v>
      </c>
      <c r="D101">
        <v>56</v>
      </c>
      <c r="E101">
        <v>0</v>
      </c>
      <c r="F101">
        <v>12</v>
      </c>
      <c r="G101">
        <v>0</v>
      </c>
      <c r="H101" s="9">
        <v>101</v>
      </c>
      <c r="I101" s="4">
        <f t="shared" si="2"/>
        <v>0.5544554455445545</v>
      </c>
      <c r="J101" s="4">
        <v>0.5544554455445545</v>
      </c>
      <c r="L101" t="s">
        <v>219</v>
      </c>
      <c r="M101">
        <v>20</v>
      </c>
      <c r="N101" t="s">
        <v>318</v>
      </c>
      <c r="O101">
        <v>12</v>
      </c>
      <c r="P101">
        <v>3172</v>
      </c>
      <c r="Q101">
        <v>573</v>
      </c>
      <c r="R101" s="4">
        <f t="shared" si="3"/>
        <v>0.18064312736443883</v>
      </c>
    </row>
    <row r="102" spans="1:18">
      <c r="A102" t="s">
        <v>219</v>
      </c>
      <c r="B102">
        <v>20</v>
      </c>
      <c r="C102">
        <v>13</v>
      </c>
      <c r="D102">
        <v>56</v>
      </c>
      <c r="E102">
        <v>0</v>
      </c>
      <c r="F102">
        <v>12</v>
      </c>
      <c r="G102">
        <v>0</v>
      </c>
      <c r="H102" s="9">
        <v>101</v>
      </c>
      <c r="I102" s="4">
        <f t="shared" si="2"/>
        <v>0.5544554455445545</v>
      </c>
      <c r="J102" s="4">
        <v>0.5544554455445545</v>
      </c>
      <c r="L102" t="s">
        <v>219</v>
      </c>
      <c r="M102">
        <v>20</v>
      </c>
      <c r="N102" t="s">
        <v>319</v>
      </c>
      <c r="O102">
        <v>13</v>
      </c>
      <c r="P102">
        <v>3172</v>
      </c>
      <c r="Q102">
        <v>581</v>
      </c>
      <c r="R102" s="4">
        <f t="shared" si="3"/>
        <v>0.18316519546027743</v>
      </c>
    </row>
    <row r="103" spans="1:18">
      <c r="A103" t="s">
        <v>219</v>
      </c>
      <c r="B103">
        <v>20</v>
      </c>
      <c r="C103">
        <v>14</v>
      </c>
      <c r="D103">
        <v>56</v>
      </c>
      <c r="E103">
        <v>0</v>
      </c>
      <c r="F103">
        <v>12</v>
      </c>
      <c r="G103">
        <v>0</v>
      </c>
      <c r="H103" s="9">
        <v>101</v>
      </c>
      <c r="I103" s="4">
        <f t="shared" si="2"/>
        <v>0.5544554455445545</v>
      </c>
      <c r="J103" s="4">
        <v>0.5544554455445545</v>
      </c>
      <c r="L103" t="s">
        <v>219</v>
      </c>
      <c r="M103">
        <v>20</v>
      </c>
      <c r="N103" t="s">
        <v>846</v>
      </c>
      <c r="O103">
        <v>14</v>
      </c>
      <c r="P103">
        <v>3172</v>
      </c>
      <c r="Q103">
        <v>588</v>
      </c>
      <c r="R103" s="4">
        <f t="shared" si="3"/>
        <v>0.1853720050441362</v>
      </c>
    </row>
    <row r="104" spans="1:18">
      <c r="A104" t="s">
        <v>219</v>
      </c>
      <c r="B104">
        <v>20</v>
      </c>
      <c r="C104">
        <v>15</v>
      </c>
      <c r="D104">
        <v>56</v>
      </c>
      <c r="E104">
        <v>0</v>
      </c>
      <c r="F104">
        <v>12</v>
      </c>
      <c r="G104">
        <v>0</v>
      </c>
      <c r="H104" s="9">
        <v>101</v>
      </c>
      <c r="I104" s="4">
        <f t="shared" si="2"/>
        <v>0.5544554455445545</v>
      </c>
      <c r="J104" s="4">
        <v>0.5544554455445545</v>
      </c>
      <c r="L104" t="s">
        <v>219</v>
      </c>
      <c r="M104">
        <v>20</v>
      </c>
      <c r="N104" t="s">
        <v>837</v>
      </c>
      <c r="O104">
        <v>15</v>
      </c>
      <c r="P104">
        <v>3172</v>
      </c>
      <c r="Q104">
        <v>589</v>
      </c>
      <c r="R104" s="4">
        <f t="shared" si="3"/>
        <v>0.18568726355611601</v>
      </c>
    </row>
    <row r="105" spans="1:18">
      <c r="A105" t="s">
        <v>219</v>
      </c>
      <c r="B105">
        <v>20</v>
      </c>
      <c r="C105">
        <v>16</v>
      </c>
      <c r="D105">
        <v>56</v>
      </c>
      <c r="E105">
        <v>0</v>
      </c>
      <c r="F105">
        <v>12</v>
      </c>
      <c r="G105">
        <v>0</v>
      </c>
      <c r="H105" s="9">
        <v>101</v>
      </c>
      <c r="I105" s="4">
        <f t="shared" si="2"/>
        <v>0.5544554455445545</v>
      </c>
      <c r="J105" s="4">
        <v>0.5544554455445545</v>
      </c>
      <c r="L105" t="s">
        <v>219</v>
      </c>
      <c r="M105">
        <v>20</v>
      </c>
      <c r="N105" t="s">
        <v>320</v>
      </c>
      <c r="O105">
        <v>16</v>
      </c>
      <c r="P105">
        <v>3172</v>
      </c>
      <c r="Q105">
        <v>591</v>
      </c>
      <c r="R105" s="4">
        <f t="shared" si="3"/>
        <v>0.18631778058007567</v>
      </c>
    </row>
    <row r="106" spans="1:18">
      <c r="A106" t="s">
        <v>219</v>
      </c>
      <c r="B106">
        <v>20</v>
      </c>
      <c r="C106">
        <v>17</v>
      </c>
      <c r="D106">
        <v>74</v>
      </c>
      <c r="E106">
        <v>0</v>
      </c>
      <c r="F106">
        <v>10</v>
      </c>
      <c r="G106">
        <v>0</v>
      </c>
      <c r="H106" s="9">
        <v>101</v>
      </c>
      <c r="I106" s="4">
        <f t="shared" si="2"/>
        <v>0.73267326732673266</v>
      </c>
      <c r="J106" s="4">
        <v>0.73267326732673266</v>
      </c>
      <c r="L106" t="s">
        <v>219</v>
      </c>
      <c r="M106">
        <v>20</v>
      </c>
      <c r="N106" t="s">
        <v>321</v>
      </c>
      <c r="O106">
        <v>17</v>
      </c>
      <c r="P106">
        <v>3172</v>
      </c>
      <c r="Q106">
        <v>609</v>
      </c>
      <c r="R106" s="4">
        <f t="shared" si="3"/>
        <v>0.19199243379571249</v>
      </c>
    </row>
    <row r="107" spans="1:18">
      <c r="A107" t="s">
        <v>219</v>
      </c>
      <c r="B107">
        <v>20</v>
      </c>
      <c r="C107">
        <v>18</v>
      </c>
      <c r="D107">
        <v>74</v>
      </c>
      <c r="E107">
        <v>0</v>
      </c>
      <c r="F107">
        <v>10</v>
      </c>
      <c r="G107">
        <v>0</v>
      </c>
      <c r="H107" s="9">
        <v>101</v>
      </c>
      <c r="I107" s="4">
        <f t="shared" si="2"/>
        <v>0.73267326732673266</v>
      </c>
      <c r="J107" s="4">
        <v>0.73267326732673266</v>
      </c>
      <c r="L107" t="s">
        <v>219</v>
      </c>
      <c r="M107">
        <v>20</v>
      </c>
      <c r="N107" t="s">
        <v>322</v>
      </c>
      <c r="O107">
        <v>18</v>
      </c>
      <c r="P107">
        <v>3172</v>
      </c>
      <c r="Q107">
        <v>626</v>
      </c>
      <c r="R107" s="4">
        <f t="shared" si="3"/>
        <v>0.19735182849936947</v>
      </c>
    </row>
    <row r="108" spans="1:18">
      <c r="A108" t="s">
        <v>219</v>
      </c>
      <c r="B108">
        <v>20</v>
      </c>
      <c r="C108">
        <v>19</v>
      </c>
      <c r="D108">
        <v>74</v>
      </c>
      <c r="E108">
        <v>0</v>
      </c>
      <c r="F108">
        <v>10</v>
      </c>
      <c r="G108">
        <v>0</v>
      </c>
      <c r="H108" s="9">
        <v>101</v>
      </c>
      <c r="I108" s="4">
        <f t="shared" si="2"/>
        <v>0.73267326732673266</v>
      </c>
      <c r="J108" s="4">
        <v>0.73267326732673266</v>
      </c>
      <c r="L108" t="s">
        <v>219</v>
      </c>
      <c r="M108">
        <v>20</v>
      </c>
      <c r="N108" t="s">
        <v>838</v>
      </c>
      <c r="O108">
        <v>19</v>
      </c>
      <c r="P108">
        <v>3172</v>
      </c>
      <c r="Q108">
        <v>647</v>
      </c>
      <c r="R108" s="4">
        <f t="shared" si="3"/>
        <v>0.20397225725094578</v>
      </c>
    </row>
    <row r="109" spans="1:18">
      <c r="A109" t="s">
        <v>219</v>
      </c>
      <c r="B109">
        <v>20</v>
      </c>
      <c r="C109">
        <v>20</v>
      </c>
      <c r="D109">
        <v>74</v>
      </c>
      <c r="E109">
        <v>0</v>
      </c>
      <c r="F109">
        <v>10</v>
      </c>
      <c r="G109">
        <v>0</v>
      </c>
      <c r="H109" s="9">
        <v>101</v>
      </c>
      <c r="I109" s="4">
        <f t="shared" si="2"/>
        <v>0.73267326732673266</v>
      </c>
      <c r="J109" s="4">
        <v>0.73267326732673266</v>
      </c>
      <c r="L109" t="s">
        <v>219</v>
      </c>
      <c r="M109">
        <v>20</v>
      </c>
      <c r="N109" t="s">
        <v>839</v>
      </c>
      <c r="O109">
        <v>20</v>
      </c>
      <c r="P109">
        <v>3172</v>
      </c>
      <c r="Q109">
        <v>665</v>
      </c>
      <c r="R109" s="4">
        <f t="shared" si="3"/>
        <v>0.2096469104665826</v>
      </c>
    </row>
    <row r="110" spans="1:18">
      <c r="A110" t="s">
        <v>219</v>
      </c>
      <c r="B110">
        <v>20</v>
      </c>
      <c r="C110">
        <v>21</v>
      </c>
      <c r="D110">
        <v>74</v>
      </c>
      <c r="E110">
        <v>0</v>
      </c>
      <c r="F110">
        <v>10</v>
      </c>
      <c r="G110">
        <v>0</v>
      </c>
      <c r="H110" s="9">
        <v>101</v>
      </c>
      <c r="I110" s="4">
        <f t="shared" si="2"/>
        <v>0.73267326732673266</v>
      </c>
      <c r="J110" s="4">
        <v>0.73267326732673266</v>
      </c>
      <c r="L110" t="s">
        <v>219</v>
      </c>
      <c r="M110">
        <v>20</v>
      </c>
      <c r="N110" t="s">
        <v>840</v>
      </c>
      <c r="O110">
        <v>21</v>
      </c>
      <c r="P110">
        <v>3172</v>
      </c>
      <c r="Q110">
        <v>669</v>
      </c>
      <c r="R110" s="4">
        <f t="shared" si="3"/>
        <v>0.2109079445145019</v>
      </c>
    </row>
    <row r="111" spans="1:18">
      <c r="A111" t="s">
        <v>219</v>
      </c>
      <c r="B111">
        <v>20</v>
      </c>
      <c r="C111">
        <v>22</v>
      </c>
      <c r="D111">
        <v>74</v>
      </c>
      <c r="E111">
        <v>0</v>
      </c>
      <c r="F111">
        <v>10</v>
      </c>
      <c r="G111">
        <v>0</v>
      </c>
      <c r="H111" s="9">
        <v>101</v>
      </c>
      <c r="I111" s="4">
        <f t="shared" si="2"/>
        <v>0.73267326732673266</v>
      </c>
      <c r="J111" s="4">
        <v>0.73267326732673266</v>
      </c>
      <c r="L111" t="s">
        <v>219</v>
      </c>
      <c r="M111">
        <v>20</v>
      </c>
      <c r="N111" t="s">
        <v>324</v>
      </c>
      <c r="O111">
        <v>22</v>
      </c>
      <c r="P111">
        <v>3172</v>
      </c>
      <c r="Q111">
        <v>670</v>
      </c>
      <c r="R111" s="4">
        <f t="shared" si="3"/>
        <v>0.2112232030264817</v>
      </c>
    </row>
    <row r="112" spans="1:18">
      <c r="A112" t="s">
        <v>219</v>
      </c>
      <c r="B112">
        <v>20</v>
      </c>
      <c r="C112">
        <v>23</v>
      </c>
      <c r="D112">
        <v>74</v>
      </c>
      <c r="E112">
        <v>0</v>
      </c>
      <c r="F112">
        <v>10</v>
      </c>
      <c r="G112">
        <v>0</v>
      </c>
      <c r="H112" s="9">
        <v>101</v>
      </c>
      <c r="I112" s="4">
        <f t="shared" si="2"/>
        <v>0.73267326732673266</v>
      </c>
      <c r="J112" s="4">
        <v>0.73267326732673266</v>
      </c>
      <c r="L112" t="s">
        <v>219</v>
      </c>
      <c r="M112">
        <v>20</v>
      </c>
      <c r="N112" t="s">
        <v>323</v>
      </c>
      <c r="O112">
        <v>23</v>
      </c>
      <c r="P112">
        <v>3172</v>
      </c>
      <c r="Q112">
        <v>679</v>
      </c>
      <c r="R112" s="4">
        <f t="shared" si="3"/>
        <v>0.21406052963430014</v>
      </c>
    </row>
    <row r="113" spans="1:18">
      <c r="A113" t="s">
        <v>219</v>
      </c>
      <c r="B113">
        <v>20</v>
      </c>
      <c r="C113">
        <v>24</v>
      </c>
      <c r="D113">
        <v>74</v>
      </c>
      <c r="E113">
        <v>0</v>
      </c>
      <c r="F113">
        <v>10</v>
      </c>
      <c r="G113">
        <v>0</v>
      </c>
      <c r="H113" s="9">
        <v>101</v>
      </c>
      <c r="I113" s="4">
        <f t="shared" si="2"/>
        <v>0.73267326732673266</v>
      </c>
      <c r="J113" s="4">
        <v>0.73267326732673266</v>
      </c>
      <c r="L113" t="s">
        <v>219</v>
      </c>
      <c r="M113">
        <v>20</v>
      </c>
      <c r="N113" t="s">
        <v>325</v>
      </c>
      <c r="O113">
        <v>24</v>
      </c>
      <c r="P113">
        <v>3172</v>
      </c>
      <c r="Q113">
        <v>701</v>
      </c>
      <c r="R113" s="4">
        <f t="shared" si="3"/>
        <v>0.22099621689785623</v>
      </c>
    </row>
    <row r="114" spans="1:18">
      <c r="A114" t="s">
        <v>219</v>
      </c>
      <c r="B114">
        <v>20</v>
      </c>
      <c r="C114">
        <v>25</v>
      </c>
      <c r="D114">
        <v>74</v>
      </c>
      <c r="E114">
        <v>0</v>
      </c>
      <c r="F114">
        <v>10</v>
      </c>
      <c r="G114">
        <v>0</v>
      </c>
      <c r="H114" s="9">
        <v>101</v>
      </c>
      <c r="I114" s="4">
        <f t="shared" si="2"/>
        <v>0.73267326732673266</v>
      </c>
      <c r="J114" s="4">
        <v>0.73267326732673266</v>
      </c>
      <c r="L114" t="s">
        <v>219</v>
      </c>
      <c r="M114">
        <v>20</v>
      </c>
      <c r="N114" t="s">
        <v>841</v>
      </c>
      <c r="O114">
        <v>25</v>
      </c>
      <c r="P114">
        <v>3172</v>
      </c>
      <c r="Q114">
        <v>704</v>
      </c>
      <c r="R114" s="4">
        <f t="shared" si="3"/>
        <v>0.22194199243379573</v>
      </c>
    </row>
    <row r="115" spans="1:18">
      <c r="A115" t="s">
        <v>219</v>
      </c>
      <c r="B115">
        <v>20</v>
      </c>
      <c r="C115">
        <v>26</v>
      </c>
      <c r="D115">
        <v>74</v>
      </c>
      <c r="E115">
        <v>0</v>
      </c>
      <c r="F115">
        <v>10</v>
      </c>
      <c r="G115">
        <v>0</v>
      </c>
      <c r="H115" s="9">
        <v>101</v>
      </c>
      <c r="I115" s="4">
        <f t="shared" si="2"/>
        <v>0.73267326732673266</v>
      </c>
      <c r="J115" s="4">
        <v>0.73267326732673266</v>
      </c>
      <c r="L115" t="s">
        <v>219</v>
      </c>
      <c r="M115">
        <v>20</v>
      </c>
      <c r="N115" t="s">
        <v>326</v>
      </c>
      <c r="O115">
        <v>26</v>
      </c>
      <c r="P115">
        <v>3172</v>
      </c>
      <c r="Q115">
        <v>722</v>
      </c>
      <c r="R115" s="4">
        <f t="shared" si="3"/>
        <v>0.22761664564943254</v>
      </c>
    </row>
    <row r="116" spans="1:18">
      <c r="A116" t="s">
        <v>219</v>
      </c>
      <c r="B116">
        <v>20</v>
      </c>
      <c r="C116">
        <v>27</v>
      </c>
      <c r="D116">
        <v>74</v>
      </c>
      <c r="E116">
        <v>0</v>
      </c>
      <c r="F116">
        <v>10</v>
      </c>
      <c r="G116">
        <v>0</v>
      </c>
      <c r="H116" s="9">
        <v>101</v>
      </c>
      <c r="I116" s="4">
        <f t="shared" si="2"/>
        <v>0.73267326732673266</v>
      </c>
      <c r="J116" s="4">
        <v>0.73267326732673266</v>
      </c>
      <c r="L116" t="s">
        <v>219</v>
      </c>
      <c r="M116">
        <v>20</v>
      </c>
      <c r="N116" t="s">
        <v>327</v>
      </c>
      <c r="O116">
        <v>27</v>
      </c>
      <c r="P116">
        <v>3172</v>
      </c>
      <c r="Q116">
        <v>752</v>
      </c>
      <c r="R116" s="4">
        <f t="shared" si="3"/>
        <v>0.23707440100882723</v>
      </c>
    </row>
    <row r="117" spans="1:18">
      <c r="A117" t="s">
        <v>219</v>
      </c>
      <c r="B117">
        <v>20</v>
      </c>
      <c r="C117">
        <v>28</v>
      </c>
      <c r="D117">
        <v>74</v>
      </c>
      <c r="E117">
        <v>0</v>
      </c>
      <c r="F117">
        <v>10</v>
      </c>
      <c r="G117">
        <v>0</v>
      </c>
      <c r="H117" s="9">
        <v>101</v>
      </c>
      <c r="I117" s="4">
        <f t="shared" si="2"/>
        <v>0.73267326732673266</v>
      </c>
      <c r="J117" s="4">
        <v>0.73267326732673266</v>
      </c>
      <c r="L117" t="s">
        <v>219</v>
      </c>
      <c r="M117">
        <v>20</v>
      </c>
      <c r="N117" t="s">
        <v>328</v>
      </c>
      <c r="O117">
        <v>28</v>
      </c>
      <c r="P117">
        <v>3172</v>
      </c>
      <c r="Q117">
        <v>765</v>
      </c>
      <c r="R117" s="4">
        <f t="shared" si="3"/>
        <v>0.24117276166456494</v>
      </c>
    </row>
    <row r="118" spans="1:18">
      <c r="A118" t="s">
        <v>219</v>
      </c>
      <c r="B118">
        <v>20</v>
      </c>
      <c r="C118">
        <v>29</v>
      </c>
      <c r="D118">
        <v>74</v>
      </c>
      <c r="E118">
        <v>0</v>
      </c>
      <c r="F118">
        <v>10</v>
      </c>
      <c r="G118">
        <v>0</v>
      </c>
      <c r="H118" s="9">
        <v>101</v>
      </c>
      <c r="I118" s="4">
        <f t="shared" si="2"/>
        <v>0.73267326732673266</v>
      </c>
      <c r="J118" s="4">
        <v>0.73267326732673266</v>
      </c>
      <c r="L118" t="s">
        <v>219</v>
      </c>
      <c r="M118">
        <v>20</v>
      </c>
      <c r="N118" t="s">
        <v>842</v>
      </c>
      <c r="O118">
        <v>29</v>
      </c>
      <c r="P118">
        <v>3172</v>
      </c>
      <c r="Q118">
        <v>768</v>
      </c>
      <c r="R118" s="4">
        <f t="shared" si="3"/>
        <v>0.24211853720050441</v>
      </c>
    </row>
    <row r="119" spans="1:18">
      <c r="A119" t="s">
        <v>219</v>
      </c>
      <c r="B119">
        <v>20</v>
      </c>
      <c r="C119">
        <v>30</v>
      </c>
      <c r="D119">
        <v>74</v>
      </c>
      <c r="E119">
        <v>0</v>
      </c>
      <c r="F119">
        <v>10</v>
      </c>
      <c r="G119">
        <v>0</v>
      </c>
      <c r="H119" s="9">
        <v>101</v>
      </c>
      <c r="I119" s="4">
        <f t="shared" si="2"/>
        <v>0.73267326732673266</v>
      </c>
      <c r="J119" s="4">
        <v>0.73267326732673266</v>
      </c>
      <c r="L119" t="s">
        <v>219</v>
      </c>
      <c r="M119">
        <v>20</v>
      </c>
      <c r="N119" t="s">
        <v>329</v>
      </c>
      <c r="O119">
        <v>30</v>
      </c>
      <c r="P119">
        <v>3172</v>
      </c>
      <c r="Q119">
        <v>795</v>
      </c>
      <c r="R119" s="4">
        <f t="shared" si="3"/>
        <v>0.25063051702395966</v>
      </c>
    </row>
    <row r="120" spans="1:18">
      <c r="A120" t="s">
        <v>219</v>
      </c>
      <c r="B120">
        <v>20</v>
      </c>
      <c r="C120">
        <v>31</v>
      </c>
      <c r="D120">
        <v>74</v>
      </c>
      <c r="E120">
        <v>0</v>
      </c>
      <c r="F120">
        <v>10</v>
      </c>
      <c r="G120">
        <v>0</v>
      </c>
      <c r="H120" s="9">
        <v>101</v>
      </c>
      <c r="I120" s="4">
        <f t="shared" si="2"/>
        <v>0.73267326732673266</v>
      </c>
      <c r="J120" s="4">
        <v>0.73267326732673266</v>
      </c>
      <c r="L120" t="s">
        <v>219</v>
      </c>
      <c r="M120">
        <v>20</v>
      </c>
      <c r="N120" t="s">
        <v>843</v>
      </c>
      <c r="O120">
        <v>31</v>
      </c>
      <c r="P120">
        <v>3172</v>
      </c>
      <c r="Q120">
        <v>844</v>
      </c>
      <c r="R120" s="4">
        <f t="shared" si="3"/>
        <v>0.26607818411097101</v>
      </c>
    </row>
    <row r="121" spans="1:18">
      <c r="A121" t="s">
        <v>219</v>
      </c>
      <c r="B121">
        <v>20</v>
      </c>
      <c r="C121">
        <v>32</v>
      </c>
      <c r="D121">
        <v>74</v>
      </c>
      <c r="E121">
        <v>0</v>
      </c>
      <c r="F121">
        <v>10</v>
      </c>
      <c r="G121">
        <v>0</v>
      </c>
      <c r="H121" s="9">
        <v>101</v>
      </c>
      <c r="I121" s="4">
        <f t="shared" si="2"/>
        <v>0.73267326732673266</v>
      </c>
      <c r="J121" s="4">
        <v>0.73267326732673266</v>
      </c>
      <c r="L121" t="s">
        <v>219</v>
      </c>
      <c r="M121">
        <v>20</v>
      </c>
      <c r="N121" t="s">
        <v>844</v>
      </c>
      <c r="O121">
        <v>32</v>
      </c>
      <c r="P121">
        <v>3172</v>
      </c>
      <c r="Q121">
        <v>859</v>
      </c>
      <c r="R121" s="4">
        <f t="shared" si="3"/>
        <v>0.27080706179066832</v>
      </c>
    </row>
    <row r="122" spans="1:18">
      <c r="A122" t="s">
        <v>219</v>
      </c>
      <c r="B122">
        <v>20</v>
      </c>
      <c r="C122">
        <v>33</v>
      </c>
      <c r="D122">
        <v>74</v>
      </c>
      <c r="E122">
        <v>0</v>
      </c>
      <c r="F122">
        <v>10</v>
      </c>
      <c r="G122">
        <v>0</v>
      </c>
      <c r="H122" s="9">
        <v>101</v>
      </c>
      <c r="I122" s="4">
        <f t="shared" si="2"/>
        <v>0.73267326732673266</v>
      </c>
      <c r="J122" s="4">
        <v>0.73267326732673266</v>
      </c>
      <c r="L122" t="s">
        <v>219</v>
      </c>
      <c r="M122">
        <v>20</v>
      </c>
      <c r="N122" t="s">
        <v>851</v>
      </c>
      <c r="O122">
        <v>33</v>
      </c>
      <c r="P122">
        <v>3172</v>
      </c>
      <c r="Q122">
        <v>887</v>
      </c>
      <c r="R122" s="4">
        <f t="shared" si="3"/>
        <v>0.27963430012610341</v>
      </c>
    </row>
    <row r="123" spans="1:18">
      <c r="A123" t="s">
        <v>219</v>
      </c>
      <c r="B123">
        <v>20</v>
      </c>
      <c r="C123">
        <v>34</v>
      </c>
      <c r="D123">
        <v>75</v>
      </c>
      <c r="E123">
        <v>0</v>
      </c>
      <c r="F123">
        <v>9</v>
      </c>
      <c r="G123">
        <v>0</v>
      </c>
      <c r="H123" s="9">
        <v>101</v>
      </c>
      <c r="I123" s="4">
        <f t="shared" si="2"/>
        <v>0.74257425742574257</v>
      </c>
      <c r="J123" s="4">
        <v>0.76237623762376239</v>
      </c>
      <c r="L123" t="s">
        <v>219</v>
      </c>
      <c r="M123">
        <v>20</v>
      </c>
      <c r="N123" t="s">
        <v>386</v>
      </c>
      <c r="O123">
        <v>34</v>
      </c>
      <c r="P123">
        <v>3172</v>
      </c>
      <c r="Q123">
        <v>1100</v>
      </c>
      <c r="R123" s="4">
        <f t="shared" si="3"/>
        <v>0.34678436317780581</v>
      </c>
    </row>
    <row r="124" spans="1:18">
      <c r="A124" t="s">
        <v>219</v>
      </c>
      <c r="B124">
        <v>20</v>
      </c>
      <c r="C124">
        <v>35</v>
      </c>
      <c r="D124">
        <v>78</v>
      </c>
      <c r="E124">
        <v>0</v>
      </c>
      <c r="F124">
        <v>6</v>
      </c>
      <c r="G124">
        <v>0</v>
      </c>
      <c r="H124" s="9">
        <v>101</v>
      </c>
      <c r="I124" s="4">
        <f t="shared" si="2"/>
        <v>0.7722772277227723</v>
      </c>
      <c r="J124" s="4">
        <v>0.76237623762376239</v>
      </c>
      <c r="L124" t="s">
        <v>219</v>
      </c>
      <c r="M124">
        <v>20</v>
      </c>
      <c r="N124" t="s">
        <v>847</v>
      </c>
      <c r="O124">
        <v>35</v>
      </c>
      <c r="P124">
        <v>3172</v>
      </c>
      <c r="Q124">
        <v>1833</v>
      </c>
      <c r="R124" s="4">
        <f t="shared" si="3"/>
        <v>0.57786885245901642</v>
      </c>
    </row>
    <row r="125" spans="1:18">
      <c r="A125" t="s">
        <v>219</v>
      </c>
      <c r="B125">
        <v>20</v>
      </c>
      <c r="C125">
        <v>36</v>
      </c>
      <c r="D125">
        <v>78</v>
      </c>
      <c r="E125">
        <v>0</v>
      </c>
      <c r="F125">
        <v>6</v>
      </c>
      <c r="G125">
        <v>0</v>
      </c>
      <c r="H125" s="9">
        <v>101</v>
      </c>
      <c r="I125" s="4">
        <f t="shared" si="2"/>
        <v>0.7722772277227723</v>
      </c>
      <c r="J125" s="4">
        <v>0.76237623762376239</v>
      </c>
      <c r="L125" t="s">
        <v>219</v>
      </c>
      <c r="M125">
        <v>20</v>
      </c>
      <c r="N125" t="s">
        <v>848</v>
      </c>
      <c r="O125">
        <v>36</v>
      </c>
      <c r="P125">
        <v>3172</v>
      </c>
      <c r="Q125">
        <v>1887</v>
      </c>
      <c r="R125" s="4">
        <f t="shared" si="3"/>
        <v>0.59489281210592682</v>
      </c>
    </row>
    <row r="126" spans="1:18">
      <c r="A126" t="s">
        <v>219</v>
      </c>
      <c r="B126">
        <v>20</v>
      </c>
      <c r="C126">
        <v>37</v>
      </c>
      <c r="D126">
        <v>78</v>
      </c>
      <c r="E126">
        <v>0</v>
      </c>
      <c r="F126">
        <v>6</v>
      </c>
      <c r="G126">
        <v>0</v>
      </c>
      <c r="H126" s="9">
        <v>101</v>
      </c>
      <c r="I126" s="4">
        <f t="shared" si="2"/>
        <v>0.7722772277227723</v>
      </c>
      <c r="J126" s="4">
        <v>0.76237623762376239</v>
      </c>
      <c r="L126" t="s">
        <v>219</v>
      </c>
      <c r="M126">
        <v>20</v>
      </c>
      <c r="N126" t="s">
        <v>849</v>
      </c>
      <c r="O126">
        <v>37</v>
      </c>
      <c r="P126">
        <v>3172</v>
      </c>
      <c r="Q126">
        <v>1900</v>
      </c>
      <c r="R126" s="4">
        <f t="shared" si="3"/>
        <v>0.59899117276166458</v>
      </c>
    </row>
    <row r="127" spans="1:18">
      <c r="A127" t="s">
        <v>219</v>
      </c>
      <c r="B127">
        <v>20</v>
      </c>
      <c r="C127">
        <v>38</v>
      </c>
      <c r="D127">
        <v>78</v>
      </c>
      <c r="E127">
        <v>0</v>
      </c>
      <c r="F127">
        <v>6</v>
      </c>
      <c r="G127">
        <v>0</v>
      </c>
      <c r="H127" s="9">
        <v>101</v>
      </c>
      <c r="I127" s="4">
        <f t="shared" si="2"/>
        <v>0.7722772277227723</v>
      </c>
      <c r="J127" s="4">
        <v>0.76237623762376239</v>
      </c>
      <c r="L127" t="s">
        <v>219</v>
      </c>
      <c r="M127">
        <v>20</v>
      </c>
      <c r="N127" t="s">
        <v>850</v>
      </c>
      <c r="O127">
        <v>38</v>
      </c>
      <c r="P127">
        <v>3172</v>
      </c>
      <c r="Q127">
        <v>1929</v>
      </c>
      <c r="R127" s="4">
        <f t="shared" si="3"/>
        <v>0.60813366960907944</v>
      </c>
    </row>
    <row r="128" spans="1:18">
      <c r="A128" t="s">
        <v>219</v>
      </c>
      <c r="B128">
        <v>20</v>
      </c>
      <c r="C128">
        <v>39</v>
      </c>
      <c r="D128">
        <v>78</v>
      </c>
      <c r="E128">
        <v>0</v>
      </c>
      <c r="F128">
        <v>6</v>
      </c>
      <c r="G128">
        <v>0</v>
      </c>
      <c r="H128" s="9">
        <v>101</v>
      </c>
      <c r="I128" s="4">
        <f t="shared" si="2"/>
        <v>0.7722772277227723</v>
      </c>
      <c r="J128" s="4">
        <v>0.76237623762376239</v>
      </c>
      <c r="L128" t="s">
        <v>219</v>
      </c>
      <c r="M128">
        <v>20</v>
      </c>
      <c r="N128" t="s">
        <v>853</v>
      </c>
      <c r="O128">
        <v>39</v>
      </c>
      <c r="P128">
        <v>3172</v>
      </c>
      <c r="Q128">
        <v>1964</v>
      </c>
      <c r="R128" s="4">
        <f t="shared" si="3"/>
        <v>0.6191677175283733</v>
      </c>
    </row>
    <row r="129" spans="1:18">
      <c r="A129" t="s">
        <v>219</v>
      </c>
      <c r="B129">
        <v>20</v>
      </c>
      <c r="C129">
        <v>40</v>
      </c>
      <c r="D129">
        <v>78</v>
      </c>
      <c r="E129">
        <v>0</v>
      </c>
      <c r="F129">
        <v>6</v>
      </c>
      <c r="G129">
        <v>0</v>
      </c>
      <c r="H129" s="9">
        <v>101</v>
      </c>
      <c r="I129" s="4">
        <f t="shared" si="2"/>
        <v>0.7722772277227723</v>
      </c>
      <c r="J129" s="4">
        <v>0.76237623762376239</v>
      </c>
      <c r="L129" t="s">
        <v>219</v>
      </c>
      <c r="M129">
        <v>20</v>
      </c>
      <c r="N129" t="s">
        <v>852</v>
      </c>
      <c r="O129">
        <v>40</v>
      </c>
      <c r="P129">
        <v>3172</v>
      </c>
      <c r="Q129">
        <v>1988</v>
      </c>
      <c r="R129" s="4">
        <f t="shared" si="3"/>
        <v>0.62673392181588905</v>
      </c>
    </row>
    <row r="130" spans="1:18">
      <c r="A130" t="s">
        <v>219</v>
      </c>
      <c r="B130">
        <v>20</v>
      </c>
      <c r="C130">
        <v>41</v>
      </c>
      <c r="D130">
        <v>78</v>
      </c>
      <c r="E130">
        <v>0</v>
      </c>
      <c r="F130">
        <v>6</v>
      </c>
      <c r="G130">
        <v>0</v>
      </c>
      <c r="H130" s="9">
        <v>101</v>
      </c>
      <c r="I130" s="4">
        <f t="shared" si="2"/>
        <v>0.7722772277227723</v>
      </c>
      <c r="J130" s="4">
        <v>0.76237623762376239</v>
      </c>
      <c r="L130" t="s">
        <v>219</v>
      </c>
      <c r="M130">
        <v>20</v>
      </c>
      <c r="N130" t="s">
        <v>854</v>
      </c>
      <c r="O130">
        <v>41</v>
      </c>
      <c r="P130">
        <v>3172</v>
      </c>
      <c r="Q130">
        <v>2030</v>
      </c>
      <c r="R130" s="4">
        <f t="shared" si="3"/>
        <v>0.63997477931904156</v>
      </c>
    </row>
    <row r="131" spans="1:18">
      <c r="A131" t="s">
        <v>219</v>
      </c>
      <c r="B131">
        <v>20</v>
      </c>
      <c r="C131">
        <v>42</v>
      </c>
      <c r="D131">
        <v>78</v>
      </c>
      <c r="E131">
        <v>0</v>
      </c>
      <c r="F131">
        <v>6</v>
      </c>
      <c r="G131">
        <v>0</v>
      </c>
      <c r="H131" s="9">
        <v>101</v>
      </c>
      <c r="I131" s="4">
        <f t="shared" ref="I131:I194" si="4">D131/H131</f>
        <v>0.7722772277227723</v>
      </c>
      <c r="J131" s="4">
        <v>0.76237623762376239</v>
      </c>
      <c r="L131" t="s">
        <v>219</v>
      </c>
      <c r="M131">
        <v>20</v>
      </c>
      <c r="N131" t="s">
        <v>858</v>
      </c>
      <c r="O131">
        <v>42</v>
      </c>
      <c r="P131">
        <v>3172</v>
      </c>
      <c r="Q131">
        <v>2118</v>
      </c>
      <c r="R131" s="4">
        <f t="shared" ref="R131:R194" si="5">Q131/P131</f>
        <v>0.66771752837326603</v>
      </c>
    </row>
    <row r="132" spans="1:18">
      <c r="A132" t="s">
        <v>219</v>
      </c>
      <c r="B132">
        <v>20</v>
      </c>
      <c r="C132">
        <v>43</v>
      </c>
      <c r="D132">
        <v>78</v>
      </c>
      <c r="E132">
        <v>0</v>
      </c>
      <c r="F132">
        <v>6</v>
      </c>
      <c r="G132">
        <v>0</v>
      </c>
      <c r="H132" s="9">
        <v>101</v>
      </c>
      <c r="I132" s="4">
        <f t="shared" si="4"/>
        <v>0.7722772277227723</v>
      </c>
      <c r="J132" s="4">
        <v>0.76237623762376239</v>
      </c>
      <c r="L132" t="s">
        <v>219</v>
      </c>
      <c r="M132">
        <v>20</v>
      </c>
      <c r="N132" t="s">
        <v>856</v>
      </c>
      <c r="O132">
        <v>43</v>
      </c>
      <c r="P132">
        <v>3172</v>
      </c>
      <c r="Q132">
        <v>2127</v>
      </c>
      <c r="R132" s="4">
        <f t="shared" si="5"/>
        <v>0.67055485498108447</v>
      </c>
    </row>
    <row r="133" spans="1:18">
      <c r="A133" t="s">
        <v>219</v>
      </c>
      <c r="B133">
        <v>20</v>
      </c>
      <c r="C133">
        <v>44</v>
      </c>
      <c r="D133">
        <v>78</v>
      </c>
      <c r="E133">
        <v>0</v>
      </c>
      <c r="F133">
        <v>6</v>
      </c>
      <c r="G133">
        <v>0</v>
      </c>
      <c r="H133" s="9">
        <v>101</v>
      </c>
      <c r="I133" s="4">
        <f t="shared" si="4"/>
        <v>0.7722772277227723</v>
      </c>
      <c r="J133" s="4">
        <v>0.76237623762376239</v>
      </c>
      <c r="L133" t="s">
        <v>219</v>
      </c>
      <c r="M133">
        <v>20</v>
      </c>
      <c r="N133" t="s">
        <v>855</v>
      </c>
      <c r="O133">
        <v>44</v>
      </c>
      <c r="P133">
        <v>3172</v>
      </c>
      <c r="Q133">
        <v>2162</v>
      </c>
      <c r="R133" s="4">
        <f t="shared" si="5"/>
        <v>0.68158890290037832</v>
      </c>
    </row>
    <row r="134" spans="1:18">
      <c r="A134" t="s">
        <v>219</v>
      </c>
      <c r="B134">
        <v>20</v>
      </c>
      <c r="C134">
        <v>45</v>
      </c>
      <c r="D134">
        <v>78</v>
      </c>
      <c r="E134">
        <v>0</v>
      </c>
      <c r="F134">
        <v>6</v>
      </c>
      <c r="G134">
        <v>0</v>
      </c>
      <c r="H134" s="9">
        <v>101</v>
      </c>
      <c r="I134" s="4">
        <f t="shared" si="4"/>
        <v>0.7722772277227723</v>
      </c>
      <c r="J134" s="4">
        <v>0.7722772277227723</v>
      </c>
      <c r="L134" t="s">
        <v>219</v>
      </c>
      <c r="M134">
        <v>20</v>
      </c>
      <c r="N134" t="s">
        <v>857</v>
      </c>
      <c r="O134">
        <v>45</v>
      </c>
      <c r="P134">
        <v>3172</v>
      </c>
      <c r="Q134">
        <v>2190</v>
      </c>
      <c r="R134" s="4">
        <f t="shared" si="5"/>
        <v>0.69041614123581341</v>
      </c>
    </row>
    <row r="135" spans="1:18">
      <c r="A135" t="s">
        <v>220</v>
      </c>
      <c r="B135">
        <v>1</v>
      </c>
      <c r="C135">
        <v>1</v>
      </c>
      <c r="D135">
        <v>12</v>
      </c>
      <c r="E135">
        <v>0</v>
      </c>
      <c r="F135">
        <v>7</v>
      </c>
      <c r="G135">
        <v>0</v>
      </c>
      <c r="H135" s="9">
        <v>19</v>
      </c>
      <c r="I135" s="4">
        <f t="shared" si="4"/>
        <v>0.63157894736842102</v>
      </c>
      <c r="J135" s="4">
        <v>0.57894736842105265</v>
      </c>
      <c r="L135" t="s">
        <v>220</v>
      </c>
      <c r="M135">
        <v>1</v>
      </c>
      <c r="N135" t="s">
        <v>179</v>
      </c>
      <c r="O135">
        <v>1</v>
      </c>
      <c r="P135">
        <v>3533</v>
      </c>
      <c r="Q135">
        <v>1436</v>
      </c>
      <c r="R135" s="4">
        <f t="shared" si="5"/>
        <v>0.40645343900367958</v>
      </c>
    </row>
    <row r="136" spans="1:18">
      <c r="A136" t="s">
        <v>220</v>
      </c>
      <c r="B136">
        <v>1</v>
      </c>
      <c r="C136">
        <v>2</v>
      </c>
      <c r="D136">
        <v>12</v>
      </c>
      <c r="E136">
        <v>0</v>
      </c>
      <c r="F136">
        <v>7</v>
      </c>
      <c r="G136">
        <v>0</v>
      </c>
      <c r="H136" s="9">
        <v>19</v>
      </c>
      <c r="I136" s="4">
        <f t="shared" si="4"/>
        <v>0.63157894736842102</v>
      </c>
      <c r="J136" s="4">
        <v>0.57894736842105265</v>
      </c>
      <c r="L136" t="s">
        <v>220</v>
      </c>
      <c r="M136">
        <v>1</v>
      </c>
      <c r="N136" t="s">
        <v>215</v>
      </c>
      <c r="O136">
        <v>2</v>
      </c>
      <c r="P136">
        <v>3533</v>
      </c>
      <c r="Q136">
        <v>1813</v>
      </c>
      <c r="R136" s="4">
        <f t="shared" si="5"/>
        <v>0.51316161902066237</v>
      </c>
    </row>
    <row r="137" spans="1:18">
      <c r="A137" t="s">
        <v>220</v>
      </c>
      <c r="B137">
        <v>1</v>
      </c>
      <c r="C137">
        <v>3</v>
      </c>
      <c r="D137">
        <v>12</v>
      </c>
      <c r="E137">
        <v>0</v>
      </c>
      <c r="F137">
        <v>7</v>
      </c>
      <c r="G137">
        <v>0</v>
      </c>
      <c r="H137" s="9">
        <v>19</v>
      </c>
      <c r="I137" s="4">
        <f t="shared" si="4"/>
        <v>0.63157894736842102</v>
      </c>
      <c r="J137" s="4">
        <v>0.57894736842105265</v>
      </c>
      <c r="L137" t="s">
        <v>220</v>
      </c>
      <c r="M137">
        <v>1</v>
      </c>
      <c r="N137" t="s">
        <v>204</v>
      </c>
      <c r="O137">
        <v>3</v>
      </c>
      <c r="P137">
        <v>3533</v>
      </c>
      <c r="Q137">
        <v>1825</v>
      </c>
      <c r="R137" s="4">
        <f t="shared" si="5"/>
        <v>0.51655816586470427</v>
      </c>
    </row>
    <row r="138" spans="1:18">
      <c r="A138" t="s">
        <v>220</v>
      </c>
      <c r="B138">
        <v>1</v>
      </c>
      <c r="C138">
        <v>4</v>
      </c>
      <c r="D138">
        <v>12</v>
      </c>
      <c r="E138">
        <v>0</v>
      </c>
      <c r="F138">
        <v>7</v>
      </c>
      <c r="G138">
        <v>0</v>
      </c>
      <c r="H138" s="9">
        <v>19</v>
      </c>
      <c r="I138" s="4">
        <f t="shared" si="4"/>
        <v>0.63157894736842102</v>
      </c>
      <c r="J138" s="4">
        <v>0.63157894736842102</v>
      </c>
      <c r="L138" t="s">
        <v>220</v>
      </c>
      <c r="M138">
        <v>1</v>
      </c>
      <c r="N138" t="s">
        <v>205</v>
      </c>
      <c r="O138">
        <v>4</v>
      </c>
      <c r="P138">
        <v>3533</v>
      </c>
      <c r="Q138">
        <v>2463</v>
      </c>
      <c r="R138" s="4">
        <f t="shared" si="5"/>
        <v>0.69714123973959807</v>
      </c>
    </row>
    <row r="139" spans="1:18">
      <c r="A139" t="s">
        <v>220</v>
      </c>
      <c r="B139">
        <v>1</v>
      </c>
      <c r="C139">
        <v>5</v>
      </c>
      <c r="D139">
        <v>17</v>
      </c>
      <c r="E139">
        <v>0</v>
      </c>
      <c r="F139">
        <v>2</v>
      </c>
      <c r="G139">
        <v>0</v>
      </c>
      <c r="H139" s="9">
        <v>19</v>
      </c>
      <c r="I139" s="4">
        <f t="shared" si="4"/>
        <v>0.89473684210526316</v>
      </c>
      <c r="J139" s="4">
        <v>0.89473684210526316</v>
      </c>
      <c r="L139" t="s">
        <v>220</v>
      </c>
      <c r="M139">
        <v>1</v>
      </c>
      <c r="N139" t="s">
        <v>203</v>
      </c>
      <c r="O139">
        <v>5</v>
      </c>
      <c r="P139">
        <v>3533</v>
      </c>
      <c r="Q139">
        <v>2538</v>
      </c>
      <c r="R139" s="4">
        <f t="shared" si="5"/>
        <v>0.71836965751485993</v>
      </c>
    </row>
    <row r="140" spans="1:18">
      <c r="A140" t="s">
        <v>220</v>
      </c>
      <c r="B140">
        <v>6</v>
      </c>
      <c r="C140">
        <v>1</v>
      </c>
      <c r="D140">
        <v>5</v>
      </c>
      <c r="E140">
        <v>0</v>
      </c>
      <c r="F140">
        <v>1</v>
      </c>
      <c r="G140">
        <v>0</v>
      </c>
      <c r="H140" s="9">
        <v>112</v>
      </c>
      <c r="I140" s="4">
        <f t="shared" si="4"/>
        <v>4.4642857142857144E-2</v>
      </c>
      <c r="J140" s="4">
        <v>4.4642857142857144E-2</v>
      </c>
      <c r="L140" t="s">
        <v>220</v>
      </c>
      <c r="M140">
        <v>6</v>
      </c>
      <c r="N140" t="s">
        <v>2</v>
      </c>
      <c r="O140">
        <v>1</v>
      </c>
      <c r="P140">
        <v>3070</v>
      </c>
      <c r="Q140">
        <v>167</v>
      </c>
      <c r="R140" s="4">
        <f t="shared" si="5"/>
        <v>5.4397394136807817E-2</v>
      </c>
    </row>
    <row r="141" spans="1:18">
      <c r="A141" t="s">
        <v>220</v>
      </c>
      <c r="B141">
        <v>6</v>
      </c>
      <c r="C141">
        <v>2</v>
      </c>
      <c r="D141">
        <v>56</v>
      </c>
      <c r="E141">
        <v>0</v>
      </c>
      <c r="F141">
        <v>12</v>
      </c>
      <c r="G141">
        <v>0</v>
      </c>
      <c r="H141" s="9">
        <v>112</v>
      </c>
      <c r="I141" s="4">
        <f t="shared" si="4"/>
        <v>0.5</v>
      </c>
      <c r="J141" s="4">
        <v>0.5</v>
      </c>
      <c r="L141" t="s">
        <v>220</v>
      </c>
      <c r="M141">
        <v>6</v>
      </c>
      <c r="N141" t="s">
        <v>444</v>
      </c>
      <c r="O141">
        <v>2</v>
      </c>
      <c r="P141">
        <v>3070</v>
      </c>
      <c r="Q141">
        <v>1595</v>
      </c>
      <c r="R141" s="4">
        <f t="shared" si="5"/>
        <v>0.51954397394136809</v>
      </c>
    </row>
    <row r="142" spans="1:18">
      <c r="A142" t="s">
        <v>220</v>
      </c>
      <c r="B142">
        <v>6</v>
      </c>
      <c r="C142">
        <v>3</v>
      </c>
      <c r="D142">
        <v>112</v>
      </c>
      <c r="E142">
        <v>0</v>
      </c>
      <c r="F142">
        <v>0</v>
      </c>
      <c r="G142">
        <v>0</v>
      </c>
      <c r="H142" s="9">
        <v>112</v>
      </c>
      <c r="I142" s="4">
        <f t="shared" si="4"/>
        <v>1</v>
      </c>
      <c r="J142" s="4">
        <v>1</v>
      </c>
      <c r="L142" t="s">
        <v>220</v>
      </c>
      <c r="M142">
        <v>6</v>
      </c>
      <c r="N142" t="s">
        <v>445</v>
      </c>
      <c r="O142">
        <v>3</v>
      </c>
      <c r="P142">
        <v>3070</v>
      </c>
      <c r="Q142">
        <v>3024</v>
      </c>
      <c r="R142" s="4">
        <f t="shared" si="5"/>
        <v>0.98501628664495111</v>
      </c>
    </row>
    <row r="143" spans="1:18">
      <c r="A143" t="s">
        <v>225</v>
      </c>
      <c r="B143">
        <v>3</v>
      </c>
      <c r="C143">
        <v>1</v>
      </c>
      <c r="D143">
        <v>27</v>
      </c>
      <c r="E143">
        <v>0</v>
      </c>
      <c r="F143">
        <v>8</v>
      </c>
      <c r="G143">
        <v>0</v>
      </c>
      <c r="H143" s="9">
        <v>175</v>
      </c>
      <c r="I143" s="4">
        <f t="shared" si="4"/>
        <v>0.15428571428571428</v>
      </c>
      <c r="J143" s="4">
        <v>0.10857142857142857</v>
      </c>
      <c r="L143" t="s">
        <v>225</v>
      </c>
      <c r="M143">
        <v>3</v>
      </c>
      <c r="N143" t="s">
        <v>503</v>
      </c>
      <c r="O143">
        <v>1</v>
      </c>
      <c r="P143">
        <v>7001</v>
      </c>
      <c r="Q143">
        <v>814</v>
      </c>
      <c r="R143" s="4">
        <f t="shared" si="5"/>
        <v>0.11626910441365519</v>
      </c>
    </row>
    <row r="144" spans="1:18">
      <c r="A144" t="s">
        <v>225</v>
      </c>
      <c r="B144">
        <v>3</v>
      </c>
      <c r="C144">
        <v>2</v>
      </c>
      <c r="D144">
        <v>27</v>
      </c>
      <c r="E144">
        <v>0</v>
      </c>
      <c r="F144">
        <v>8</v>
      </c>
      <c r="G144">
        <v>0</v>
      </c>
      <c r="H144" s="9">
        <v>175</v>
      </c>
      <c r="I144" s="4">
        <f t="shared" si="4"/>
        <v>0.15428571428571428</v>
      </c>
      <c r="J144" s="4">
        <v>0.16</v>
      </c>
      <c r="L144" t="s">
        <v>225</v>
      </c>
      <c r="M144">
        <v>3</v>
      </c>
      <c r="N144" t="s">
        <v>439</v>
      </c>
      <c r="O144">
        <v>2</v>
      </c>
      <c r="P144">
        <v>7001</v>
      </c>
      <c r="Q144">
        <v>1511</v>
      </c>
      <c r="R144" s="4">
        <f t="shared" si="5"/>
        <v>0.21582631052706755</v>
      </c>
    </row>
    <row r="145" spans="1:18">
      <c r="A145" t="s">
        <v>225</v>
      </c>
      <c r="B145">
        <v>3</v>
      </c>
      <c r="C145">
        <v>3</v>
      </c>
      <c r="D145">
        <v>53</v>
      </c>
      <c r="E145">
        <v>0</v>
      </c>
      <c r="F145">
        <v>9</v>
      </c>
      <c r="G145">
        <v>0</v>
      </c>
      <c r="H145" s="9">
        <v>175</v>
      </c>
      <c r="I145" s="4">
        <f t="shared" si="4"/>
        <v>0.30285714285714288</v>
      </c>
      <c r="J145" s="4">
        <v>0.30857142857142855</v>
      </c>
      <c r="L145" t="s">
        <v>225</v>
      </c>
      <c r="M145">
        <v>3</v>
      </c>
      <c r="N145" t="s">
        <v>861</v>
      </c>
      <c r="O145">
        <v>3</v>
      </c>
      <c r="P145">
        <v>7001</v>
      </c>
      <c r="Q145">
        <v>1600</v>
      </c>
      <c r="R145" s="4">
        <f t="shared" si="5"/>
        <v>0.22853878017426082</v>
      </c>
    </row>
    <row r="146" spans="1:18">
      <c r="A146" t="s">
        <v>225</v>
      </c>
      <c r="B146">
        <v>3</v>
      </c>
      <c r="C146">
        <v>4</v>
      </c>
      <c r="D146">
        <v>95</v>
      </c>
      <c r="E146">
        <v>0</v>
      </c>
      <c r="F146">
        <v>10</v>
      </c>
      <c r="G146">
        <v>0</v>
      </c>
      <c r="H146" s="9">
        <v>175</v>
      </c>
      <c r="I146" s="4">
        <f t="shared" si="4"/>
        <v>0.54285714285714282</v>
      </c>
      <c r="J146" s="4">
        <v>0.45714285714285713</v>
      </c>
      <c r="L146" t="s">
        <v>225</v>
      </c>
      <c r="M146">
        <v>3</v>
      </c>
      <c r="N146" t="s">
        <v>863</v>
      </c>
      <c r="O146">
        <v>4</v>
      </c>
      <c r="P146">
        <v>7001</v>
      </c>
      <c r="Q146">
        <v>2076</v>
      </c>
      <c r="R146" s="4">
        <f t="shared" si="5"/>
        <v>0.2965290672761034</v>
      </c>
    </row>
    <row r="147" spans="1:18">
      <c r="A147" t="s">
        <v>225</v>
      </c>
      <c r="B147">
        <v>3</v>
      </c>
      <c r="C147">
        <v>5</v>
      </c>
      <c r="D147">
        <v>121</v>
      </c>
      <c r="E147">
        <v>0</v>
      </c>
      <c r="F147">
        <v>11</v>
      </c>
      <c r="G147">
        <v>0</v>
      </c>
      <c r="H147" s="9">
        <v>175</v>
      </c>
      <c r="I147" s="4">
        <f t="shared" si="4"/>
        <v>0.69142857142857139</v>
      </c>
      <c r="J147" s="4">
        <v>0.50857142857142856</v>
      </c>
      <c r="L147" t="s">
        <v>225</v>
      </c>
      <c r="M147">
        <v>3</v>
      </c>
      <c r="N147" t="s">
        <v>860</v>
      </c>
      <c r="O147">
        <v>5</v>
      </c>
      <c r="P147">
        <v>7001</v>
      </c>
      <c r="Q147">
        <v>2195</v>
      </c>
      <c r="R147" s="4">
        <f t="shared" si="5"/>
        <v>0.31352663905156408</v>
      </c>
    </row>
    <row r="148" spans="1:18">
      <c r="A148" t="s">
        <v>225</v>
      </c>
      <c r="B148">
        <v>3</v>
      </c>
      <c r="C148">
        <v>6</v>
      </c>
      <c r="D148">
        <v>130</v>
      </c>
      <c r="E148">
        <v>0</v>
      </c>
      <c r="F148">
        <v>8</v>
      </c>
      <c r="G148">
        <v>0</v>
      </c>
      <c r="H148" s="9">
        <v>175</v>
      </c>
      <c r="I148" s="4">
        <f t="shared" si="4"/>
        <v>0.74285714285714288</v>
      </c>
      <c r="J148" s="4">
        <v>0.56000000000000005</v>
      </c>
      <c r="L148" t="s">
        <v>225</v>
      </c>
      <c r="M148">
        <v>3</v>
      </c>
      <c r="N148" t="s">
        <v>862</v>
      </c>
      <c r="O148">
        <v>6</v>
      </c>
      <c r="P148">
        <v>7001</v>
      </c>
      <c r="Q148">
        <v>2285</v>
      </c>
      <c r="R148" s="4">
        <f t="shared" si="5"/>
        <v>0.32638194543636623</v>
      </c>
    </row>
    <row r="149" spans="1:18">
      <c r="A149" t="s">
        <v>225</v>
      </c>
      <c r="B149">
        <v>3</v>
      </c>
      <c r="C149">
        <v>7</v>
      </c>
      <c r="D149">
        <v>130</v>
      </c>
      <c r="E149">
        <v>0</v>
      </c>
      <c r="F149">
        <v>8</v>
      </c>
      <c r="G149">
        <v>0</v>
      </c>
      <c r="H149" s="9">
        <v>175</v>
      </c>
      <c r="I149" s="4">
        <f t="shared" si="4"/>
        <v>0.74285714285714288</v>
      </c>
      <c r="J149" s="4">
        <v>0.8</v>
      </c>
      <c r="L149" t="s">
        <v>225</v>
      </c>
      <c r="M149">
        <v>3</v>
      </c>
      <c r="N149" t="s">
        <v>859</v>
      </c>
      <c r="O149">
        <v>7</v>
      </c>
      <c r="P149">
        <v>7001</v>
      </c>
      <c r="Q149">
        <v>2519</v>
      </c>
      <c r="R149" s="4">
        <f t="shared" si="5"/>
        <v>0.35980574203685189</v>
      </c>
    </row>
    <row r="150" spans="1:18">
      <c r="A150" t="s">
        <v>225</v>
      </c>
      <c r="B150">
        <v>3</v>
      </c>
      <c r="C150">
        <v>8</v>
      </c>
      <c r="D150">
        <v>150</v>
      </c>
      <c r="E150">
        <v>0</v>
      </c>
      <c r="F150">
        <v>7</v>
      </c>
      <c r="G150">
        <v>0</v>
      </c>
      <c r="H150" s="9">
        <v>175</v>
      </c>
      <c r="I150" s="4">
        <f t="shared" si="4"/>
        <v>0.8571428571428571</v>
      </c>
      <c r="J150" s="4">
        <v>0.88571428571428568</v>
      </c>
      <c r="L150" t="s">
        <v>225</v>
      </c>
      <c r="M150">
        <v>3</v>
      </c>
      <c r="N150" t="s">
        <v>507</v>
      </c>
      <c r="O150">
        <v>8</v>
      </c>
      <c r="P150">
        <v>7001</v>
      </c>
      <c r="Q150">
        <v>3288</v>
      </c>
      <c r="R150" s="4">
        <f t="shared" si="5"/>
        <v>0.469647193258106</v>
      </c>
    </row>
    <row r="151" spans="1:18" s="14" customFormat="1">
      <c r="A151" s="14" t="s">
        <v>225</v>
      </c>
      <c r="B151" s="14">
        <v>3</v>
      </c>
      <c r="C151" s="14">
        <v>9</v>
      </c>
      <c r="D151" s="14">
        <v>165</v>
      </c>
      <c r="E151" s="14">
        <v>0</v>
      </c>
      <c r="F151" s="14">
        <v>4</v>
      </c>
      <c r="G151" s="14">
        <v>0</v>
      </c>
      <c r="H151" s="14">
        <v>175</v>
      </c>
      <c r="I151" s="15">
        <f t="shared" si="4"/>
        <v>0.94285714285714284</v>
      </c>
      <c r="J151" s="15">
        <v>1</v>
      </c>
      <c r="K151" s="15"/>
      <c r="L151" s="14" t="s">
        <v>225</v>
      </c>
      <c r="M151" s="14">
        <v>3</v>
      </c>
      <c r="N151" s="14" t="s">
        <v>864</v>
      </c>
      <c r="O151" s="14">
        <v>9</v>
      </c>
      <c r="P151" s="14">
        <v>7001</v>
      </c>
      <c r="Q151" s="14">
        <v>3633</v>
      </c>
      <c r="R151" s="15">
        <f t="shared" si="5"/>
        <v>0.51892586773318095</v>
      </c>
    </row>
    <row r="152" spans="1:18">
      <c r="A152" t="s">
        <v>225</v>
      </c>
      <c r="B152">
        <v>4</v>
      </c>
      <c r="C152">
        <v>1</v>
      </c>
      <c r="D152">
        <v>19</v>
      </c>
      <c r="E152">
        <v>0</v>
      </c>
      <c r="F152">
        <v>1</v>
      </c>
      <c r="G152">
        <v>0</v>
      </c>
      <c r="H152" s="9">
        <v>272</v>
      </c>
      <c r="I152" s="4">
        <f t="shared" si="4"/>
        <v>6.985294117647059E-2</v>
      </c>
      <c r="J152" s="4">
        <v>6.985294117647059E-2</v>
      </c>
      <c r="L152" t="s">
        <v>225</v>
      </c>
      <c r="M152">
        <v>4</v>
      </c>
      <c r="N152" t="s">
        <v>439</v>
      </c>
      <c r="O152">
        <v>1</v>
      </c>
      <c r="P152">
        <v>16540</v>
      </c>
      <c r="Q152">
        <v>568</v>
      </c>
      <c r="R152" s="4">
        <f t="shared" si="5"/>
        <v>3.4340991535671099E-2</v>
      </c>
    </row>
    <row r="153" spans="1:18">
      <c r="A153" t="s">
        <v>225</v>
      </c>
      <c r="B153">
        <v>4</v>
      </c>
      <c r="C153">
        <v>2</v>
      </c>
      <c r="D153">
        <v>31</v>
      </c>
      <c r="E153">
        <v>0</v>
      </c>
      <c r="F153">
        <v>13</v>
      </c>
      <c r="G153">
        <v>0</v>
      </c>
      <c r="H153" s="9">
        <v>272</v>
      </c>
      <c r="I153" s="4">
        <f t="shared" si="4"/>
        <v>0.11397058823529412</v>
      </c>
      <c r="J153" s="4">
        <v>0.11397058823529412</v>
      </c>
      <c r="L153" t="s">
        <v>225</v>
      </c>
      <c r="M153">
        <v>4</v>
      </c>
      <c r="N153" t="s">
        <v>508</v>
      </c>
      <c r="O153">
        <v>2</v>
      </c>
      <c r="P153">
        <v>16540</v>
      </c>
      <c r="Q153">
        <v>1057</v>
      </c>
      <c r="R153" s="4">
        <f t="shared" si="5"/>
        <v>6.3905683192261184E-2</v>
      </c>
    </row>
    <row r="154" spans="1:18">
      <c r="A154" t="s">
        <v>225</v>
      </c>
      <c r="B154">
        <v>4</v>
      </c>
      <c r="C154">
        <v>3</v>
      </c>
      <c r="D154">
        <v>66</v>
      </c>
      <c r="E154">
        <v>0</v>
      </c>
      <c r="F154">
        <v>11</v>
      </c>
      <c r="G154">
        <v>0</v>
      </c>
      <c r="H154" s="9">
        <v>272</v>
      </c>
      <c r="I154" s="4">
        <f t="shared" si="4"/>
        <v>0.24264705882352941</v>
      </c>
      <c r="J154" s="4">
        <v>0.24264705882352941</v>
      </c>
      <c r="L154" t="s">
        <v>225</v>
      </c>
      <c r="M154">
        <v>4</v>
      </c>
      <c r="N154" t="s">
        <v>505</v>
      </c>
      <c r="O154">
        <v>3</v>
      </c>
      <c r="P154">
        <v>16540</v>
      </c>
      <c r="Q154">
        <v>1753</v>
      </c>
      <c r="R154" s="4">
        <f t="shared" si="5"/>
        <v>0.10598548972188633</v>
      </c>
    </row>
    <row r="155" spans="1:18">
      <c r="A155" t="s">
        <v>225</v>
      </c>
      <c r="B155">
        <v>4</v>
      </c>
      <c r="C155">
        <v>4</v>
      </c>
      <c r="D155">
        <v>101</v>
      </c>
      <c r="E155">
        <v>0</v>
      </c>
      <c r="F155">
        <v>9</v>
      </c>
      <c r="G155">
        <v>0</v>
      </c>
      <c r="H155" s="9">
        <v>272</v>
      </c>
      <c r="I155" s="4">
        <f t="shared" si="4"/>
        <v>0.37132352941176472</v>
      </c>
      <c r="J155" s="4">
        <v>0.37132352941176472</v>
      </c>
      <c r="L155" t="s">
        <v>225</v>
      </c>
      <c r="M155">
        <v>4</v>
      </c>
      <c r="N155" t="s">
        <v>504</v>
      </c>
      <c r="O155">
        <v>4</v>
      </c>
      <c r="P155">
        <v>16540</v>
      </c>
      <c r="Q155">
        <v>1757</v>
      </c>
      <c r="R155" s="4">
        <f t="shared" si="5"/>
        <v>0.1062273276904474</v>
      </c>
    </row>
    <row r="156" spans="1:18">
      <c r="A156" t="s">
        <v>225</v>
      </c>
      <c r="B156">
        <v>4</v>
      </c>
      <c r="C156">
        <v>5</v>
      </c>
      <c r="D156">
        <v>140</v>
      </c>
      <c r="E156">
        <v>0</v>
      </c>
      <c r="F156">
        <v>10</v>
      </c>
      <c r="G156">
        <v>0</v>
      </c>
      <c r="H156" s="9">
        <v>272</v>
      </c>
      <c r="I156" s="4">
        <f t="shared" si="4"/>
        <v>0.51470588235294112</v>
      </c>
      <c r="J156" s="4">
        <v>0.51470588235294112</v>
      </c>
      <c r="L156" t="s">
        <v>225</v>
      </c>
      <c r="M156">
        <v>4</v>
      </c>
      <c r="N156" t="s">
        <v>863</v>
      </c>
      <c r="O156">
        <v>5</v>
      </c>
      <c r="P156">
        <v>16540</v>
      </c>
      <c r="Q156">
        <v>2128</v>
      </c>
      <c r="R156" s="4">
        <f t="shared" si="5"/>
        <v>0.12865779927448609</v>
      </c>
    </row>
    <row r="157" spans="1:18">
      <c r="A157" t="s">
        <v>225</v>
      </c>
      <c r="B157">
        <v>4</v>
      </c>
      <c r="C157">
        <v>6</v>
      </c>
      <c r="D157">
        <v>154</v>
      </c>
      <c r="E157">
        <v>0</v>
      </c>
      <c r="F157">
        <v>7</v>
      </c>
      <c r="G157">
        <v>0</v>
      </c>
      <c r="H157" s="9">
        <v>272</v>
      </c>
      <c r="I157" s="4">
        <f t="shared" si="4"/>
        <v>0.56617647058823528</v>
      </c>
      <c r="J157" s="4">
        <v>0.56617647058823528</v>
      </c>
      <c r="L157" t="s">
        <v>225</v>
      </c>
      <c r="M157">
        <v>4</v>
      </c>
      <c r="N157" t="s">
        <v>864</v>
      </c>
      <c r="O157">
        <v>6</v>
      </c>
      <c r="P157">
        <v>16540</v>
      </c>
      <c r="Q157">
        <v>3006</v>
      </c>
      <c r="R157" s="4">
        <f t="shared" si="5"/>
        <v>0.18174123337363965</v>
      </c>
    </row>
    <row r="158" spans="1:18">
      <c r="A158" t="s">
        <v>225</v>
      </c>
      <c r="B158">
        <v>4</v>
      </c>
      <c r="C158">
        <v>7</v>
      </c>
      <c r="D158">
        <v>175</v>
      </c>
      <c r="E158">
        <v>0</v>
      </c>
      <c r="F158">
        <v>5</v>
      </c>
      <c r="G158">
        <v>0</v>
      </c>
      <c r="H158" s="9">
        <v>272</v>
      </c>
      <c r="I158" s="4">
        <f t="shared" si="4"/>
        <v>0.64338235294117652</v>
      </c>
      <c r="J158" s="4">
        <v>0.64338235294117652</v>
      </c>
      <c r="L158" t="s">
        <v>225</v>
      </c>
      <c r="M158">
        <v>4</v>
      </c>
      <c r="N158" t="s">
        <v>507</v>
      </c>
      <c r="O158">
        <v>7</v>
      </c>
      <c r="P158">
        <v>16540</v>
      </c>
      <c r="Q158">
        <v>3357</v>
      </c>
      <c r="R158" s="4">
        <f t="shared" si="5"/>
        <v>0.20296251511487304</v>
      </c>
    </row>
    <row r="159" spans="1:18">
      <c r="A159" s="9" t="s">
        <v>225</v>
      </c>
      <c r="B159" s="9">
        <v>4</v>
      </c>
      <c r="C159" s="9">
        <v>8</v>
      </c>
      <c r="D159" s="9">
        <v>202</v>
      </c>
      <c r="E159" s="9">
        <v>0</v>
      </c>
      <c r="F159" s="9">
        <v>3</v>
      </c>
      <c r="G159" s="9">
        <v>0</v>
      </c>
      <c r="H159" s="9">
        <v>272</v>
      </c>
      <c r="I159" s="4">
        <f t="shared" si="4"/>
        <v>0.74264705882352944</v>
      </c>
      <c r="J159" s="4">
        <v>0.74264705882352944</v>
      </c>
      <c r="L159" t="s">
        <v>225</v>
      </c>
      <c r="M159">
        <v>4</v>
      </c>
      <c r="N159" t="s">
        <v>509</v>
      </c>
      <c r="O159">
        <v>8</v>
      </c>
      <c r="P159">
        <v>16540</v>
      </c>
      <c r="Q159">
        <v>3835</v>
      </c>
      <c r="R159" s="4">
        <f t="shared" si="5"/>
        <v>0.23186215235792018</v>
      </c>
    </row>
    <row r="160" spans="1:18">
      <c r="A160" t="s">
        <v>225</v>
      </c>
      <c r="B160">
        <v>4</v>
      </c>
      <c r="C160">
        <v>9</v>
      </c>
      <c r="D160">
        <v>234</v>
      </c>
      <c r="E160">
        <v>0</v>
      </c>
      <c r="F160">
        <v>1</v>
      </c>
      <c r="G160">
        <v>0</v>
      </c>
      <c r="H160" s="9">
        <v>272</v>
      </c>
      <c r="I160" s="4">
        <f t="shared" si="4"/>
        <v>0.86029411764705888</v>
      </c>
      <c r="J160" s="4">
        <v>0.86029411764705888</v>
      </c>
      <c r="L160" t="s">
        <v>225</v>
      </c>
      <c r="M160">
        <v>4</v>
      </c>
      <c r="N160" t="s">
        <v>510</v>
      </c>
      <c r="O160">
        <v>9</v>
      </c>
      <c r="P160">
        <v>16540</v>
      </c>
      <c r="Q160">
        <v>4156</v>
      </c>
      <c r="R160" s="4">
        <f t="shared" si="5"/>
        <v>0.25126964933494561</v>
      </c>
    </row>
    <row r="161" spans="1:18">
      <c r="A161" t="s">
        <v>225</v>
      </c>
      <c r="B161">
        <v>4</v>
      </c>
      <c r="C161">
        <v>10</v>
      </c>
      <c r="D161">
        <v>272</v>
      </c>
      <c r="E161">
        <v>0</v>
      </c>
      <c r="F161">
        <v>0</v>
      </c>
      <c r="G161">
        <v>0</v>
      </c>
      <c r="H161" s="9">
        <v>272</v>
      </c>
      <c r="I161" s="4">
        <f t="shared" si="4"/>
        <v>1</v>
      </c>
      <c r="J161" s="4">
        <v>1</v>
      </c>
      <c r="L161" t="s">
        <v>225</v>
      </c>
      <c r="M161">
        <v>4</v>
      </c>
      <c r="N161" t="s">
        <v>511</v>
      </c>
      <c r="O161">
        <v>10</v>
      </c>
      <c r="P161">
        <v>16540</v>
      </c>
      <c r="Q161">
        <v>5153</v>
      </c>
      <c r="R161" s="4">
        <f t="shared" si="5"/>
        <v>0.31154776299879083</v>
      </c>
    </row>
    <row r="162" spans="1:18">
      <c r="A162" t="s">
        <v>225</v>
      </c>
      <c r="B162">
        <v>8</v>
      </c>
      <c r="C162">
        <v>1</v>
      </c>
      <c r="D162">
        <v>19</v>
      </c>
      <c r="E162">
        <v>0</v>
      </c>
      <c r="F162">
        <v>1</v>
      </c>
      <c r="G162">
        <v>0</v>
      </c>
      <c r="H162" s="9">
        <v>162</v>
      </c>
      <c r="I162" s="4">
        <f t="shared" si="4"/>
        <v>0.11728395061728394</v>
      </c>
      <c r="J162" s="4">
        <v>0.11728395061728394</v>
      </c>
      <c r="L162" t="s">
        <v>225</v>
      </c>
      <c r="M162">
        <v>8</v>
      </c>
      <c r="N162" t="s">
        <v>439</v>
      </c>
      <c r="O162">
        <v>1</v>
      </c>
      <c r="P162">
        <v>6471</v>
      </c>
      <c r="Q162">
        <v>530</v>
      </c>
      <c r="R162" s="4">
        <f t="shared" si="5"/>
        <v>8.190387884407356E-2</v>
      </c>
    </row>
    <row r="163" spans="1:18">
      <c r="A163" t="s">
        <v>225</v>
      </c>
      <c r="B163">
        <v>8</v>
      </c>
      <c r="C163">
        <v>2</v>
      </c>
      <c r="D163">
        <v>28</v>
      </c>
      <c r="E163">
        <v>0</v>
      </c>
      <c r="F163">
        <v>7</v>
      </c>
      <c r="G163">
        <v>0</v>
      </c>
      <c r="H163" s="9">
        <v>162</v>
      </c>
      <c r="I163" s="4">
        <f t="shared" si="4"/>
        <v>0.1728395061728395</v>
      </c>
      <c r="J163" s="4">
        <v>0.1728395061728395</v>
      </c>
      <c r="L163" t="s">
        <v>225</v>
      </c>
      <c r="M163">
        <v>8</v>
      </c>
      <c r="N163" t="s">
        <v>533</v>
      </c>
      <c r="O163">
        <v>2</v>
      </c>
      <c r="P163">
        <v>6471</v>
      </c>
      <c r="Q163">
        <v>821</v>
      </c>
      <c r="R163" s="4">
        <f t="shared" si="5"/>
        <v>0.12687374439808377</v>
      </c>
    </row>
    <row r="164" spans="1:18">
      <c r="A164" t="s">
        <v>225</v>
      </c>
      <c r="B164">
        <v>8</v>
      </c>
      <c r="C164">
        <v>3</v>
      </c>
      <c r="D164">
        <v>56</v>
      </c>
      <c r="E164">
        <v>0</v>
      </c>
      <c r="F164">
        <v>13</v>
      </c>
      <c r="G164">
        <v>1</v>
      </c>
      <c r="H164" s="9">
        <v>162</v>
      </c>
      <c r="I164" s="4">
        <f t="shared" si="4"/>
        <v>0.34567901234567899</v>
      </c>
      <c r="J164" s="4">
        <v>0.34567901234567899</v>
      </c>
      <c r="L164" t="s">
        <v>225</v>
      </c>
      <c r="M164">
        <v>8</v>
      </c>
      <c r="N164" t="s">
        <v>865</v>
      </c>
      <c r="O164">
        <v>3</v>
      </c>
      <c r="P164">
        <v>6471</v>
      </c>
      <c r="Q164">
        <v>1533</v>
      </c>
      <c r="R164" s="4">
        <f t="shared" si="5"/>
        <v>0.23690310616597127</v>
      </c>
    </row>
    <row r="165" spans="1:18">
      <c r="A165" t="s">
        <v>225</v>
      </c>
      <c r="B165">
        <v>8</v>
      </c>
      <c r="C165">
        <v>4</v>
      </c>
      <c r="D165">
        <v>66</v>
      </c>
      <c r="E165">
        <v>0</v>
      </c>
      <c r="F165">
        <v>8</v>
      </c>
      <c r="G165">
        <v>0</v>
      </c>
      <c r="H165" s="9">
        <v>162</v>
      </c>
      <c r="I165" s="4">
        <f t="shared" si="4"/>
        <v>0.40740740740740738</v>
      </c>
      <c r="J165" s="4">
        <v>0.53086419753086422</v>
      </c>
      <c r="L165" t="s">
        <v>225</v>
      </c>
      <c r="M165">
        <v>8</v>
      </c>
      <c r="N165" t="s">
        <v>866</v>
      </c>
      <c r="O165">
        <v>4</v>
      </c>
      <c r="P165">
        <v>6471</v>
      </c>
      <c r="Q165">
        <v>1543</v>
      </c>
      <c r="R165" s="4">
        <f t="shared" si="5"/>
        <v>0.23844846237057643</v>
      </c>
    </row>
    <row r="166" spans="1:18">
      <c r="A166" t="s">
        <v>225</v>
      </c>
      <c r="B166">
        <v>8</v>
      </c>
      <c r="C166">
        <v>5</v>
      </c>
      <c r="D166">
        <v>95</v>
      </c>
      <c r="E166">
        <v>0</v>
      </c>
      <c r="F166">
        <v>8</v>
      </c>
      <c r="G166">
        <v>0</v>
      </c>
      <c r="H166" s="9">
        <v>162</v>
      </c>
      <c r="I166" s="4">
        <f t="shared" si="4"/>
        <v>0.5864197530864198</v>
      </c>
      <c r="J166" s="4">
        <v>0.56172839506172845</v>
      </c>
      <c r="L166" t="s">
        <v>225</v>
      </c>
      <c r="M166">
        <v>8</v>
      </c>
      <c r="N166" t="s">
        <v>867</v>
      </c>
      <c r="O166">
        <v>5</v>
      </c>
      <c r="P166">
        <v>6471</v>
      </c>
      <c r="Q166">
        <v>1594</v>
      </c>
      <c r="R166" s="4">
        <f t="shared" si="5"/>
        <v>0.24632977901406275</v>
      </c>
    </row>
    <row r="167" spans="1:18">
      <c r="A167" t="s">
        <v>225</v>
      </c>
      <c r="B167">
        <v>8</v>
      </c>
      <c r="C167">
        <v>6</v>
      </c>
      <c r="D167">
        <v>101</v>
      </c>
      <c r="E167">
        <v>0</v>
      </c>
      <c r="F167">
        <v>6</v>
      </c>
      <c r="G167">
        <v>0</v>
      </c>
      <c r="H167" s="9">
        <v>162</v>
      </c>
      <c r="I167" s="4">
        <f t="shared" si="4"/>
        <v>0.62345679012345678</v>
      </c>
      <c r="J167" s="4">
        <v>0.62345679012345678</v>
      </c>
      <c r="L167" t="s">
        <v>225</v>
      </c>
      <c r="M167">
        <v>8</v>
      </c>
      <c r="N167" t="s">
        <v>868</v>
      </c>
      <c r="O167">
        <v>6</v>
      </c>
      <c r="P167">
        <v>6471</v>
      </c>
      <c r="Q167">
        <v>1612</v>
      </c>
      <c r="R167" s="4">
        <f t="shared" si="5"/>
        <v>0.24911142018235202</v>
      </c>
    </row>
    <row r="168" spans="1:18">
      <c r="A168" t="s">
        <v>225</v>
      </c>
      <c r="B168">
        <v>8</v>
      </c>
      <c r="C168">
        <v>7</v>
      </c>
      <c r="D168">
        <v>107</v>
      </c>
      <c r="E168">
        <v>0</v>
      </c>
      <c r="F168">
        <v>3</v>
      </c>
      <c r="G168">
        <v>0</v>
      </c>
      <c r="H168" s="9">
        <v>162</v>
      </c>
      <c r="I168" s="4">
        <f t="shared" si="4"/>
        <v>0.66049382716049387</v>
      </c>
      <c r="J168" s="4">
        <v>0.66049382716049387</v>
      </c>
      <c r="L168" t="s">
        <v>225</v>
      </c>
      <c r="M168">
        <v>8</v>
      </c>
      <c r="N168" t="s">
        <v>869</v>
      </c>
      <c r="O168">
        <v>7</v>
      </c>
      <c r="P168">
        <v>6471</v>
      </c>
      <c r="Q168">
        <v>2272</v>
      </c>
      <c r="R168" s="4">
        <f t="shared" si="5"/>
        <v>0.3511049296862927</v>
      </c>
    </row>
    <row r="169" spans="1:18">
      <c r="A169" t="s">
        <v>225</v>
      </c>
      <c r="B169">
        <v>8</v>
      </c>
      <c r="C169">
        <v>8</v>
      </c>
      <c r="D169">
        <v>107</v>
      </c>
      <c r="E169">
        <v>0</v>
      </c>
      <c r="F169">
        <v>3</v>
      </c>
      <c r="G169">
        <v>0</v>
      </c>
      <c r="H169" s="9">
        <v>162</v>
      </c>
      <c r="I169" s="4">
        <f t="shared" si="4"/>
        <v>0.66049382716049387</v>
      </c>
      <c r="J169" s="4">
        <v>0.66049382716049387</v>
      </c>
      <c r="L169" t="s">
        <v>225</v>
      </c>
      <c r="M169">
        <v>8</v>
      </c>
      <c r="N169" t="s">
        <v>870</v>
      </c>
      <c r="O169">
        <v>8</v>
      </c>
      <c r="P169">
        <v>6471</v>
      </c>
      <c r="Q169">
        <v>2307</v>
      </c>
      <c r="R169" s="4">
        <f t="shared" si="5"/>
        <v>0.35651367640241077</v>
      </c>
    </row>
    <row r="170" spans="1:18">
      <c r="A170" t="s">
        <v>225</v>
      </c>
      <c r="B170">
        <v>8</v>
      </c>
      <c r="C170">
        <v>9</v>
      </c>
      <c r="D170">
        <v>140</v>
      </c>
      <c r="E170">
        <v>0</v>
      </c>
      <c r="F170">
        <v>1</v>
      </c>
      <c r="G170">
        <v>0</v>
      </c>
      <c r="H170" s="9">
        <v>162</v>
      </c>
      <c r="I170" s="4">
        <f t="shared" si="4"/>
        <v>0.86419753086419748</v>
      </c>
      <c r="J170" s="4">
        <v>0.86419753086419748</v>
      </c>
      <c r="L170" t="s">
        <v>225</v>
      </c>
      <c r="M170">
        <v>8</v>
      </c>
      <c r="N170" t="s">
        <v>535</v>
      </c>
      <c r="O170">
        <v>9</v>
      </c>
      <c r="P170">
        <v>6471</v>
      </c>
      <c r="Q170">
        <v>2630</v>
      </c>
      <c r="R170" s="4">
        <f t="shared" si="5"/>
        <v>0.40642868181115749</v>
      </c>
    </row>
    <row r="171" spans="1:18">
      <c r="A171" t="s">
        <v>225</v>
      </c>
      <c r="B171">
        <v>8</v>
      </c>
      <c r="C171">
        <v>10</v>
      </c>
      <c r="D171">
        <v>162</v>
      </c>
      <c r="E171">
        <v>0</v>
      </c>
      <c r="F171">
        <v>0</v>
      </c>
      <c r="G171">
        <v>0</v>
      </c>
      <c r="H171" s="9">
        <v>162</v>
      </c>
      <c r="I171" s="4">
        <f t="shared" si="4"/>
        <v>1</v>
      </c>
      <c r="J171" s="4">
        <v>1</v>
      </c>
      <c r="L171" t="s">
        <v>225</v>
      </c>
      <c r="M171">
        <v>8</v>
      </c>
      <c r="N171" t="s">
        <v>536</v>
      </c>
      <c r="O171">
        <v>10</v>
      </c>
      <c r="P171">
        <v>6471</v>
      </c>
      <c r="Q171">
        <v>3302</v>
      </c>
      <c r="R171" s="4">
        <f t="shared" si="5"/>
        <v>0.51027661876062436</v>
      </c>
    </row>
    <row r="172" spans="1:18">
      <c r="A172" t="s">
        <v>225</v>
      </c>
      <c r="B172">
        <v>9</v>
      </c>
      <c r="C172">
        <v>1</v>
      </c>
      <c r="D172">
        <v>19</v>
      </c>
      <c r="E172">
        <v>0</v>
      </c>
      <c r="F172">
        <v>1</v>
      </c>
      <c r="G172">
        <v>0</v>
      </c>
      <c r="H172" s="9">
        <v>258</v>
      </c>
      <c r="I172" s="4">
        <f t="shared" si="4"/>
        <v>7.3643410852713184E-2</v>
      </c>
      <c r="J172" s="4">
        <v>7.3643410852713184E-2</v>
      </c>
      <c r="L172" t="s">
        <v>225</v>
      </c>
      <c r="M172">
        <v>9</v>
      </c>
      <c r="N172" t="s">
        <v>439</v>
      </c>
      <c r="O172">
        <v>1</v>
      </c>
      <c r="P172">
        <v>16072</v>
      </c>
      <c r="Q172">
        <v>552</v>
      </c>
      <c r="R172" s="4">
        <f t="shared" si="5"/>
        <v>3.4345445495271278E-2</v>
      </c>
    </row>
    <row r="173" spans="1:18">
      <c r="A173" t="s">
        <v>225</v>
      </c>
      <c r="B173">
        <v>9</v>
      </c>
      <c r="C173">
        <v>2</v>
      </c>
      <c r="D173">
        <v>31</v>
      </c>
      <c r="E173">
        <v>0</v>
      </c>
      <c r="F173">
        <v>13</v>
      </c>
      <c r="G173">
        <v>0</v>
      </c>
      <c r="H173" s="9">
        <v>258</v>
      </c>
      <c r="I173" s="4">
        <f t="shared" si="4"/>
        <v>0.12015503875968993</v>
      </c>
      <c r="J173" s="4">
        <v>0.12015503875968993</v>
      </c>
      <c r="L173" t="s">
        <v>225</v>
      </c>
      <c r="M173">
        <v>9</v>
      </c>
      <c r="N173" t="s">
        <v>537</v>
      </c>
      <c r="O173">
        <v>2</v>
      </c>
      <c r="P173">
        <v>16072</v>
      </c>
      <c r="Q173">
        <v>1008</v>
      </c>
      <c r="R173" s="4">
        <f t="shared" si="5"/>
        <v>6.2717770034843204E-2</v>
      </c>
    </row>
    <row r="174" spans="1:18">
      <c r="A174" t="s">
        <v>225</v>
      </c>
      <c r="B174">
        <v>9</v>
      </c>
      <c r="C174">
        <v>3</v>
      </c>
      <c r="D174">
        <v>66</v>
      </c>
      <c r="E174">
        <v>0</v>
      </c>
      <c r="F174">
        <v>11</v>
      </c>
      <c r="G174">
        <v>0</v>
      </c>
      <c r="H174" s="9">
        <v>258</v>
      </c>
      <c r="I174" s="4">
        <f t="shared" si="4"/>
        <v>0.2558139534883721</v>
      </c>
      <c r="J174" s="4">
        <v>0.2558139534883721</v>
      </c>
      <c r="L174" t="s">
        <v>225</v>
      </c>
      <c r="M174">
        <v>9</v>
      </c>
      <c r="N174" t="s">
        <v>505</v>
      </c>
      <c r="O174">
        <v>3</v>
      </c>
      <c r="P174">
        <v>16072</v>
      </c>
      <c r="Q174">
        <v>1671</v>
      </c>
      <c r="R174" s="4">
        <f t="shared" si="5"/>
        <v>0.10396963663514186</v>
      </c>
    </row>
    <row r="175" spans="1:18">
      <c r="A175" t="s">
        <v>225</v>
      </c>
      <c r="B175">
        <v>9</v>
      </c>
      <c r="C175">
        <v>4</v>
      </c>
      <c r="D175">
        <v>100</v>
      </c>
      <c r="E175">
        <v>0</v>
      </c>
      <c r="F175">
        <v>14</v>
      </c>
      <c r="G175">
        <v>1</v>
      </c>
      <c r="H175" s="9">
        <v>258</v>
      </c>
      <c r="I175" s="4">
        <f t="shared" si="4"/>
        <v>0.38759689922480622</v>
      </c>
      <c r="J175" s="4">
        <v>0.38759689922480622</v>
      </c>
      <c r="L175" t="s">
        <v>225</v>
      </c>
      <c r="M175">
        <v>9</v>
      </c>
      <c r="N175" t="s">
        <v>871</v>
      </c>
      <c r="O175">
        <v>4</v>
      </c>
      <c r="P175">
        <v>16072</v>
      </c>
      <c r="Q175">
        <v>1791</v>
      </c>
      <c r="R175" s="4">
        <f t="shared" si="5"/>
        <v>0.11143603782976605</v>
      </c>
    </row>
    <row r="176" spans="1:18">
      <c r="A176" t="s">
        <v>225</v>
      </c>
      <c r="B176">
        <v>9</v>
      </c>
      <c r="C176">
        <v>5</v>
      </c>
      <c r="D176">
        <v>100</v>
      </c>
      <c r="E176">
        <v>0</v>
      </c>
      <c r="F176">
        <v>14</v>
      </c>
      <c r="G176">
        <v>1</v>
      </c>
      <c r="H176" s="9">
        <v>258</v>
      </c>
      <c r="I176" s="4">
        <f t="shared" si="4"/>
        <v>0.38759689922480622</v>
      </c>
      <c r="J176" s="4">
        <v>0.4263565891472868</v>
      </c>
      <c r="L176" t="s">
        <v>225</v>
      </c>
      <c r="M176">
        <v>9</v>
      </c>
      <c r="N176" t="s">
        <v>535</v>
      </c>
      <c r="O176">
        <v>5</v>
      </c>
      <c r="P176">
        <v>16072</v>
      </c>
      <c r="Q176">
        <v>2054</v>
      </c>
      <c r="R176" s="4">
        <f t="shared" si="5"/>
        <v>0.12779990044798406</v>
      </c>
    </row>
    <row r="177" spans="1:18">
      <c r="A177" t="s">
        <v>225</v>
      </c>
      <c r="B177">
        <v>9</v>
      </c>
      <c r="C177">
        <v>6</v>
      </c>
      <c r="D177">
        <v>110</v>
      </c>
      <c r="E177">
        <v>0</v>
      </c>
      <c r="F177">
        <v>9</v>
      </c>
      <c r="G177">
        <v>0</v>
      </c>
      <c r="H177" s="9">
        <v>258</v>
      </c>
      <c r="I177" s="4">
        <f t="shared" si="4"/>
        <v>0.4263565891472868</v>
      </c>
      <c r="J177" s="4">
        <v>0.55426356589147285</v>
      </c>
      <c r="L177" t="s">
        <v>225</v>
      </c>
      <c r="M177">
        <v>9</v>
      </c>
      <c r="N177" t="s">
        <v>872</v>
      </c>
      <c r="O177">
        <v>6</v>
      </c>
      <c r="P177">
        <v>16072</v>
      </c>
      <c r="Q177">
        <v>2413</v>
      </c>
      <c r="R177" s="4">
        <f t="shared" si="5"/>
        <v>0.15013688402190145</v>
      </c>
    </row>
    <row r="178" spans="1:18">
      <c r="A178" t="s">
        <v>225</v>
      </c>
      <c r="B178">
        <v>9</v>
      </c>
      <c r="C178">
        <v>7</v>
      </c>
      <c r="D178">
        <v>137</v>
      </c>
      <c r="E178">
        <v>0</v>
      </c>
      <c r="F178">
        <v>7</v>
      </c>
      <c r="G178">
        <v>0</v>
      </c>
      <c r="H178" s="9">
        <v>258</v>
      </c>
      <c r="I178" s="4">
        <f t="shared" si="4"/>
        <v>0.53100775193798455</v>
      </c>
      <c r="J178" s="4">
        <v>0.63953488372093026</v>
      </c>
      <c r="L178" t="s">
        <v>225</v>
      </c>
      <c r="M178">
        <v>9</v>
      </c>
      <c r="N178" t="s">
        <v>538</v>
      </c>
      <c r="O178">
        <v>7</v>
      </c>
      <c r="P178">
        <v>16072</v>
      </c>
      <c r="Q178">
        <v>3841</v>
      </c>
      <c r="R178" s="4">
        <f t="shared" si="5"/>
        <v>0.23898705823792932</v>
      </c>
    </row>
    <row r="179" spans="1:18">
      <c r="A179" t="s">
        <v>225</v>
      </c>
      <c r="B179">
        <v>9</v>
      </c>
      <c r="C179">
        <v>8</v>
      </c>
      <c r="D179">
        <v>172</v>
      </c>
      <c r="E179">
        <v>0</v>
      </c>
      <c r="F179">
        <v>6</v>
      </c>
      <c r="G179">
        <v>0</v>
      </c>
      <c r="H179" s="9">
        <v>258</v>
      </c>
      <c r="I179" s="4">
        <f t="shared" si="4"/>
        <v>0.66666666666666663</v>
      </c>
      <c r="J179" s="4">
        <v>0.7441860465116279</v>
      </c>
      <c r="L179" t="s">
        <v>225</v>
      </c>
      <c r="M179">
        <v>9</v>
      </c>
      <c r="N179" t="s">
        <v>540</v>
      </c>
      <c r="O179">
        <v>8</v>
      </c>
      <c r="P179">
        <v>16072</v>
      </c>
      <c r="Q179">
        <v>4673</v>
      </c>
      <c r="R179" s="4">
        <f t="shared" si="5"/>
        <v>0.29075410652065703</v>
      </c>
    </row>
    <row r="180" spans="1:18">
      <c r="A180" t="s">
        <v>225</v>
      </c>
      <c r="B180">
        <v>9</v>
      </c>
      <c r="C180">
        <v>9</v>
      </c>
      <c r="D180">
        <v>194</v>
      </c>
      <c r="E180">
        <v>0</v>
      </c>
      <c r="F180">
        <v>4</v>
      </c>
      <c r="G180">
        <v>0</v>
      </c>
      <c r="H180" s="9">
        <v>258</v>
      </c>
      <c r="I180" s="4">
        <f t="shared" si="4"/>
        <v>0.75193798449612403</v>
      </c>
      <c r="J180" s="4">
        <v>0.86434108527131781</v>
      </c>
      <c r="L180" t="s">
        <v>225</v>
      </c>
      <c r="M180">
        <v>9</v>
      </c>
      <c r="N180" t="s">
        <v>536</v>
      </c>
      <c r="O180">
        <v>9</v>
      </c>
      <c r="P180">
        <v>16072</v>
      </c>
      <c r="Q180">
        <v>4732</v>
      </c>
      <c r="R180" s="4">
        <f t="shared" si="5"/>
        <v>0.29442508710801396</v>
      </c>
    </row>
    <row r="181" spans="1:18" s="14" customFormat="1">
      <c r="A181" s="14" t="s">
        <v>225</v>
      </c>
      <c r="B181" s="14">
        <v>9</v>
      </c>
      <c r="C181" s="14">
        <v>10</v>
      </c>
      <c r="D181" s="14">
        <v>225</v>
      </c>
      <c r="E181" s="14">
        <v>0</v>
      </c>
      <c r="F181" s="14">
        <v>2</v>
      </c>
      <c r="G181" s="14">
        <v>0</v>
      </c>
      <c r="H181" s="14">
        <v>258</v>
      </c>
      <c r="I181" s="15">
        <f t="shared" si="4"/>
        <v>0.87209302325581395</v>
      </c>
      <c r="J181" s="15">
        <v>1</v>
      </c>
      <c r="K181" s="15"/>
      <c r="L181" s="14" t="s">
        <v>225</v>
      </c>
      <c r="M181" s="14">
        <v>9</v>
      </c>
      <c r="N181" s="14" t="s">
        <v>539</v>
      </c>
      <c r="O181" s="14">
        <v>10</v>
      </c>
      <c r="P181" s="14">
        <v>16072</v>
      </c>
      <c r="Q181" s="14">
        <v>4834</v>
      </c>
      <c r="R181" s="15">
        <f t="shared" si="5"/>
        <v>0.30077152812344449</v>
      </c>
    </row>
    <row r="182" spans="1:18">
      <c r="A182" t="s">
        <v>225</v>
      </c>
      <c r="B182">
        <v>10</v>
      </c>
      <c r="C182">
        <v>1</v>
      </c>
      <c r="D182">
        <v>8</v>
      </c>
      <c r="E182">
        <v>0</v>
      </c>
      <c r="F182">
        <v>2</v>
      </c>
      <c r="G182">
        <v>0</v>
      </c>
      <c r="H182" s="9">
        <v>10</v>
      </c>
      <c r="I182" s="4">
        <f t="shared" si="4"/>
        <v>0.8</v>
      </c>
      <c r="J182" s="4">
        <v>0.5</v>
      </c>
      <c r="L182" t="s">
        <v>225</v>
      </c>
      <c r="M182">
        <v>10</v>
      </c>
      <c r="N182" t="s">
        <v>203</v>
      </c>
      <c r="O182">
        <v>1</v>
      </c>
      <c r="P182">
        <v>527</v>
      </c>
      <c r="Q182">
        <v>495</v>
      </c>
      <c r="R182" s="4">
        <f t="shared" si="5"/>
        <v>0.93927893738140422</v>
      </c>
    </row>
    <row r="183" spans="1:18">
      <c r="A183" t="s">
        <v>225</v>
      </c>
      <c r="B183">
        <v>10</v>
      </c>
      <c r="C183">
        <v>2</v>
      </c>
      <c r="D183">
        <v>9</v>
      </c>
      <c r="E183">
        <v>0</v>
      </c>
      <c r="F183">
        <v>1</v>
      </c>
      <c r="G183">
        <v>0</v>
      </c>
      <c r="H183" s="9">
        <v>10</v>
      </c>
      <c r="I183" s="4">
        <f t="shared" si="4"/>
        <v>0.9</v>
      </c>
      <c r="J183" s="4">
        <v>0.9</v>
      </c>
      <c r="L183" t="s">
        <v>225</v>
      </c>
      <c r="M183">
        <v>10</v>
      </c>
      <c r="N183" t="s">
        <v>2</v>
      </c>
      <c r="O183">
        <v>2</v>
      </c>
      <c r="P183">
        <v>527</v>
      </c>
      <c r="Q183">
        <v>1832</v>
      </c>
      <c r="R183" s="4">
        <f t="shared" si="5"/>
        <v>3.4762808349146108</v>
      </c>
    </row>
    <row r="184" spans="1:18">
      <c r="A184" t="s">
        <v>225</v>
      </c>
      <c r="B184">
        <v>11</v>
      </c>
      <c r="C184">
        <v>1</v>
      </c>
      <c r="D184">
        <v>18</v>
      </c>
      <c r="E184">
        <v>0</v>
      </c>
      <c r="F184">
        <v>1</v>
      </c>
      <c r="G184">
        <v>0</v>
      </c>
      <c r="H184" s="9">
        <v>53</v>
      </c>
      <c r="I184" s="4">
        <f t="shared" si="4"/>
        <v>0.33962264150943394</v>
      </c>
      <c r="J184" s="4">
        <v>0.33962264150943394</v>
      </c>
      <c r="L184" t="s">
        <v>225</v>
      </c>
      <c r="M184">
        <v>11</v>
      </c>
      <c r="N184" t="s">
        <v>2</v>
      </c>
      <c r="O184">
        <v>1</v>
      </c>
      <c r="P184">
        <v>4296</v>
      </c>
      <c r="Q184">
        <v>260</v>
      </c>
      <c r="R184" s="4">
        <f t="shared" si="5"/>
        <v>6.0521415270018621E-2</v>
      </c>
    </row>
    <row r="185" spans="1:18">
      <c r="A185" t="s">
        <v>225</v>
      </c>
      <c r="B185">
        <v>11</v>
      </c>
      <c r="C185">
        <v>2</v>
      </c>
      <c r="D185">
        <v>45</v>
      </c>
      <c r="E185">
        <v>0</v>
      </c>
      <c r="F185">
        <v>5</v>
      </c>
      <c r="G185">
        <v>0</v>
      </c>
      <c r="H185" s="9">
        <v>53</v>
      </c>
      <c r="I185" s="4">
        <f t="shared" si="4"/>
        <v>0.84905660377358494</v>
      </c>
      <c r="J185" s="4">
        <v>0.84905660377358494</v>
      </c>
      <c r="L185" t="s">
        <v>225</v>
      </c>
      <c r="M185">
        <v>11</v>
      </c>
      <c r="N185" t="s">
        <v>0</v>
      </c>
      <c r="O185">
        <v>2</v>
      </c>
      <c r="P185">
        <v>4296</v>
      </c>
      <c r="Q185">
        <v>2962</v>
      </c>
      <c r="R185" s="4">
        <f t="shared" si="5"/>
        <v>0.68947858472998136</v>
      </c>
    </row>
    <row r="186" spans="1:18">
      <c r="A186" t="s">
        <v>225</v>
      </c>
      <c r="B186">
        <v>11</v>
      </c>
      <c r="C186">
        <v>3</v>
      </c>
      <c r="D186">
        <v>51</v>
      </c>
      <c r="E186">
        <v>0</v>
      </c>
      <c r="F186">
        <v>2</v>
      </c>
      <c r="G186">
        <v>0</v>
      </c>
      <c r="H186" s="9">
        <v>53</v>
      </c>
      <c r="I186" s="4">
        <f t="shared" si="4"/>
        <v>0.96226415094339623</v>
      </c>
      <c r="J186" s="4">
        <v>0.96226415094339623</v>
      </c>
      <c r="L186" t="s">
        <v>225</v>
      </c>
      <c r="M186">
        <v>11</v>
      </c>
      <c r="N186" t="s">
        <v>1</v>
      </c>
      <c r="O186">
        <v>3</v>
      </c>
      <c r="P186">
        <v>4296</v>
      </c>
      <c r="Q186">
        <v>4144</v>
      </c>
      <c r="R186" s="4">
        <f t="shared" si="5"/>
        <v>0.96461824953445063</v>
      </c>
    </row>
    <row r="187" spans="1:18">
      <c r="A187" t="s">
        <v>225</v>
      </c>
      <c r="B187">
        <v>14</v>
      </c>
      <c r="C187">
        <v>1</v>
      </c>
      <c r="D187">
        <v>2</v>
      </c>
      <c r="E187">
        <v>0</v>
      </c>
      <c r="F187">
        <v>2</v>
      </c>
      <c r="G187">
        <v>0</v>
      </c>
      <c r="H187" s="9">
        <v>958</v>
      </c>
      <c r="I187" s="4">
        <f t="shared" si="4"/>
        <v>2.0876826722338203E-3</v>
      </c>
      <c r="J187" s="4">
        <v>1.0438413361169101E-3</v>
      </c>
      <c r="L187" t="s">
        <v>225</v>
      </c>
      <c r="M187">
        <v>14</v>
      </c>
      <c r="N187" t="s">
        <v>179</v>
      </c>
      <c r="O187">
        <v>1</v>
      </c>
      <c r="P187">
        <v>41149</v>
      </c>
      <c r="Q187">
        <v>2094</v>
      </c>
      <c r="R187" s="4">
        <f t="shared" si="5"/>
        <v>5.0888235437070162E-2</v>
      </c>
    </row>
    <row r="188" spans="1:18">
      <c r="A188" t="s">
        <v>225</v>
      </c>
      <c r="B188">
        <v>14</v>
      </c>
      <c r="C188">
        <v>2</v>
      </c>
      <c r="D188">
        <v>3</v>
      </c>
      <c r="E188">
        <v>0</v>
      </c>
      <c r="F188">
        <v>1</v>
      </c>
      <c r="G188">
        <v>0</v>
      </c>
      <c r="H188" s="9">
        <v>958</v>
      </c>
      <c r="I188" s="4">
        <f t="shared" si="4"/>
        <v>3.1315240083507308E-3</v>
      </c>
      <c r="J188" s="4">
        <v>3.1315240083507308E-3</v>
      </c>
      <c r="L188" t="s">
        <v>225</v>
      </c>
      <c r="M188">
        <v>14</v>
      </c>
      <c r="N188" t="s">
        <v>203</v>
      </c>
      <c r="O188">
        <v>2</v>
      </c>
      <c r="P188">
        <v>41149</v>
      </c>
      <c r="Q188">
        <v>2110</v>
      </c>
      <c r="R188" s="4">
        <f t="shared" si="5"/>
        <v>5.1277066271355316E-2</v>
      </c>
    </row>
    <row r="189" spans="1:18">
      <c r="A189" t="s">
        <v>225</v>
      </c>
      <c r="B189">
        <v>14</v>
      </c>
      <c r="C189">
        <v>3</v>
      </c>
      <c r="D189">
        <v>5</v>
      </c>
      <c r="E189">
        <v>0</v>
      </c>
      <c r="F189">
        <v>1</v>
      </c>
      <c r="G189">
        <v>0</v>
      </c>
      <c r="H189" s="9">
        <v>958</v>
      </c>
      <c r="I189" s="4">
        <f t="shared" si="4"/>
        <v>5.2192066805845511E-3</v>
      </c>
      <c r="J189" s="4">
        <v>5.2192066805845511E-3</v>
      </c>
      <c r="L189" t="s">
        <v>225</v>
      </c>
      <c r="M189">
        <v>14</v>
      </c>
      <c r="N189" t="s">
        <v>541</v>
      </c>
      <c r="O189">
        <v>3</v>
      </c>
      <c r="P189">
        <v>41149</v>
      </c>
      <c r="Q189">
        <v>2191</v>
      </c>
      <c r="R189" s="4">
        <f t="shared" si="5"/>
        <v>5.3245522369923935E-2</v>
      </c>
    </row>
    <row r="190" spans="1:18">
      <c r="A190" t="s">
        <v>225</v>
      </c>
      <c r="B190">
        <v>14</v>
      </c>
      <c r="C190">
        <v>4</v>
      </c>
      <c r="D190">
        <v>350</v>
      </c>
      <c r="E190">
        <v>0</v>
      </c>
      <c r="F190">
        <v>6</v>
      </c>
      <c r="G190">
        <v>0</v>
      </c>
      <c r="H190" s="9">
        <v>958</v>
      </c>
      <c r="I190" s="4">
        <f t="shared" si="4"/>
        <v>0.3653444676409186</v>
      </c>
      <c r="J190" s="4">
        <v>0.39874739039665968</v>
      </c>
      <c r="L190" t="s">
        <v>225</v>
      </c>
      <c r="M190">
        <v>14</v>
      </c>
      <c r="N190" t="s">
        <v>687</v>
      </c>
      <c r="O190">
        <v>4</v>
      </c>
      <c r="P190">
        <v>41149</v>
      </c>
      <c r="Q190">
        <v>18265</v>
      </c>
      <c r="R190" s="4">
        <f t="shared" si="5"/>
        <v>0.44387469926365158</v>
      </c>
    </row>
    <row r="191" spans="1:18">
      <c r="A191" t="s">
        <v>225</v>
      </c>
      <c r="B191">
        <v>14</v>
      </c>
      <c r="C191">
        <v>5</v>
      </c>
      <c r="D191">
        <v>352</v>
      </c>
      <c r="E191">
        <v>0</v>
      </c>
      <c r="F191">
        <v>4</v>
      </c>
      <c r="G191">
        <v>0</v>
      </c>
      <c r="H191" s="9">
        <v>958</v>
      </c>
      <c r="I191" s="4">
        <f t="shared" si="4"/>
        <v>0.36743215031315241</v>
      </c>
      <c r="J191" s="4">
        <v>0.58768267223382042</v>
      </c>
      <c r="L191" t="s">
        <v>225</v>
      </c>
      <c r="M191">
        <v>14</v>
      </c>
      <c r="N191" t="s">
        <v>686</v>
      </c>
      <c r="O191">
        <v>5</v>
      </c>
      <c r="P191">
        <v>41149</v>
      </c>
      <c r="Q191">
        <v>18284</v>
      </c>
      <c r="R191" s="4">
        <f t="shared" si="5"/>
        <v>0.44433643587936522</v>
      </c>
    </row>
    <row r="192" spans="1:18">
      <c r="A192" t="s">
        <v>225</v>
      </c>
      <c r="B192">
        <v>14</v>
      </c>
      <c r="C192">
        <v>6</v>
      </c>
      <c r="D192">
        <v>562</v>
      </c>
      <c r="E192">
        <v>0</v>
      </c>
      <c r="F192">
        <v>2</v>
      </c>
      <c r="G192">
        <v>0</v>
      </c>
      <c r="H192" s="9">
        <v>958</v>
      </c>
      <c r="I192" s="4">
        <f t="shared" si="4"/>
        <v>0.58663883089770352</v>
      </c>
      <c r="J192" s="4">
        <v>0.58872651356993733</v>
      </c>
      <c r="L192" t="s">
        <v>225</v>
      </c>
      <c r="M192">
        <v>14</v>
      </c>
      <c r="N192" t="s">
        <v>685</v>
      </c>
      <c r="O192">
        <v>6</v>
      </c>
      <c r="P192">
        <v>41149</v>
      </c>
      <c r="Q192">
        <v>18335</v>
      </c>
      <c r="R192" s="4">
        <f t="shared" si="5"/>
        <v>0.44557583416364915</v>
      </c>
    </row>
    <row r="193" spans="1:18">
      <c r="A193" t="s">
        <v>225</v>
      </c>
      <c r="B193">
        <v>14</v>
      </c>
      <c r="C193">
        <v>7</v>
      </c>
      <c r="D193">
        <v>564</v>
      </c>
      <c r="E193">
        <v>0</v>
      </c>
      <c r="F193">
        <v>1</v>
      </c>
      <c r="G193">
        <v>0</v>
      </c>
      <c r="H193" s="9">
        <v>958</v>
      </c>
      <c r="I193" s="4">
        <f t="shared" si="4"/>
        <v>0.58872651356993733</v>
      </c>
      <c r="J193" s="4">
        <v>0.58872651356993733</v>
      </c>
      <c r="L193" t="s">
        <v>225</v>
      </c>
      <c r="M193">
        <v>14</v>
      </c>
      <c r="N193" t="s">
        <v>689</v>
      </c>
      <c r="O193">
        <v>7</v>
      </c>
      <c r="P193">
        <v>41149</v>
      </c>
      <c r="Q193">
        <v>18343</v>
      </c>
      <c r="R193" s="4">
        <f t="shared" si="5"/>
        <v>0.44577024958079176</v>
      </c>
    </row>
    <row r="194" spans="1:18">
      <c r="A194" t="s">
        <v>225</v>
      </c>
      <c r="B194">
        <v>14</v>
      </c>
      <c r="C194">
        <v>8</v>
      </c>
      <c r="D194">
        <v>564</v>
      </c>
      <c r="E194">
        <v>0</v>
      </c>
      <c r="F194">
        <v>1</v>
      </c>
      <c r="G194">
        <v>0</v>
      </c>
      <c r="H194" s="9">
        <v>958</v>
      </c>
      <c r="I194" s="4">
        <f t="shared" si="4"/>
        <v>0.58872651356993733</v>
      </c>
      <c r="J194" s="4">
        <v>0.75782881002087688</v>
      </c>
      <c r="L194" t="s">
        <v>225</v>
      </c>
      <c r="M194">
        <v>14</v>
      </c>
      <c r="N194" t="s">
        <v>690</v>
      </c>
      <c r="O194">
        <v>8</v>
      </c>
      <c r="P194">
        <v>41149</v>
      </c>
      <c r="Q194">
        <v>18379</v>
      </c>
      <c r="R194" s="4">
        <f t="shared" si="5"/>
        <v>0.44664511895793335</v>
      </c>
    </row>
    <row r="195" spans="1:18">
      <c r="A195" t="s">
        <v>225</v>
      </c>
      <c r="B195">
        <v>14</v>
      </c>
      <c r="C195">
        <v>9</v>
      </c>
      <c r="D195">
        <v>564</v>
      </c>
      <c r="E195">
        <v>0</v>
      </c>
      <c r="F195">
        <v>1</v>
      </c>
      <c r="G195">
        <v>0</v>
      </c>
      <c r="H195" s="9">
        <v>958</v>
      </c>
      <c r="I195" s="4">
        <f t="shared" ref="I195:I258" si="6">D195/H195</f>
        <v>0.58872651356993733</v>
      </c>
      <c r="J195" s="4">
        <v>0.75887265135699378</v>
      </c>
      <c r="L195" t="s">
        <v>225</v>
      </c>
      <c r="M195">
        <v>14</v>
      </c>
      <c r="N195" t="s">
        <v>688</v>
      </c>
      <c r="O195">
        <v>9</v>
      </c>
      <c r="P195">
        <v>41149</v>
      </c>
      <c r="Q195">
        <v>18585</v>
      </c>
      <c r="R195" s="4">
        <f t="shared" ref="R195:R258" si="7">Q195/P195</f>
        <v>0.45165131594935476</v>
      </c>
    </row>
    <row r="196" spans="1:18">
      <c r="A196" t="s">
        <v>225</v>
      </c>
      <c r="B196">
        <v>14</v>
      </c>
      <c r="C196">
        <v>10</v>
      </c>
      <c r="D196">
        <v>726</v>
      </c>
      <c r="E196">
        <v>0</v>
      </c>
      <c r="F196">
        <v>4</v>
      </c>
      <c r="G196">
        <v>0</v>
      </c>
      <c r="H196" s="9">
        <v>958</v>
      </c>
      <c r="I196" s="4">
        <f t="shared" si="6"/>
        <v>0.75782881002087688</v>
      </c>
      <c r="J196" s="4">
        <v>0.75887265135699378</v>
      </c>
      <c r="L196" t="s">
        <v>225</v>
      </c>
      <c r="M196">
        <v>14</v>
      </c>
      <c r="N196" t="s">
        <v>873</v>
      </c>
      <c r="O196">
        <v>10</v>
      </c>
      <c r="P196">
        <v>41149</v>
      </c>
      <c r="Q196">
        <v>18900</v>
      </c>
      <c r="R196" s="4">
        <f t="shared" si="7"/>
        <v>0.45930642299934382</v>
      </c>
    </row>
    <row r="197" spans="1:18">
      <c r="A197" t="s">
        <v>225</v>
      </c>
      <c r="B197">
        <v>14</v>
      </c>
      <c r="C197">
        <v>11</v>
      </c>
      <c r="D197">
        <v>727</v>
      </c>
      <c r="E197">
        <v>0</v>
      </c>
      <c r="F197">
        <v>3</v>
      </c>
      <c r="G197">
        <v>0</v>
      </c>
      <c r="H197" s="9">
        <v>958</v>
      </c>
      <c r="I197" s="4">
        <f t="shared" si="6"/>
        <v>0.75887265135699378</v>
      </c>
      <c r="J197" s="4">
        <v>0.75887265135699378</v>
      </c>
      <c r="L197" t="s">
        <v>225</v>
      </c>
      <c r="M197">
        <v>14</v>
      </c>
      <c r="N197" t="s">
        <v>874</v>
      </c>
      <c r="O197">
        <v>11</v>
      </c>
      <c r="P197">
        <v>41149</v>
      </c>
      <c r="Q197">
        <v>19113</v>
      </c>
      <c r="R197" s="4">
        <f t="shared" si="7"/>
        <v>0.46448273348076502</v>
      </c>
    </row>
    <row r="198" spans="1:18">
      <c r="A198" t="s">
        <v>225</v>
      </c>
      <c r="B198">
        <v>14</v>
      </c>
      <c r="C198">
        <v>12</v>
      </c>
      <c r="D198">
        <v>909</v>
      </c>
      <c r="E198">
        <v>0</v>
      </c>
      <c r="F198">
        <v>2</v>
      </c>
      <c r="G198">
        <v>0</v>
      </c>
      <c r="H198" s="9">
        <v>958</v>
      </c>
      <c r="I198" s="4">
        <f t="shared" si="6"/>
        <v>0.94885177453027136</v>
      </c>
      <c r="J198" s="4">
        <v>0.94885177453027136</v>
      </c>
      <c r="L198" t="s">
        <v>225</v>
      </c>
      <c r="M198">
        <v>14</v>
      </c>
      <c r="N198" t="s">
        <v>876</v>
      </c>
      <c r="O198">
        <v>12</v>
      </c>
      <c r="P198">
        <v>41149</v>
      </c>
      <c r="Q198">
        <v>30143</v>
      </c>
      <c r="R198" s="4">
        <f t="shared" si="7"/>
        <v>0.73253298986609638</v>
      </c>
    </row>
    <row r="199" spans="1:18">
      <c r="A199" t="s">
        <v>225</v>
      </c>
      <c r="B199">
        <v>14</v>
      </c>
      <c r="C199">
        <v>13</v>
      </c>
      <c r="D199">
        <v>958</v>
      </c>
      <c r="E199">
        <v>0</v>
      </c>
      <c r="F199">
        <v>0</v>
      </c>
      <c r="G199">
        <v>0</v>
      </c>
      <c r="H199" s="9">
        <v>958</v>
      </c>
      <c r="I199" s="4">
        <f t="shared" si="6"/>
        <v>1</v>
      </c>
      <c r="J199" s="4">
        <v>0.94885177453027136</v>
      </c>
      <c r="L199" t="s">
        <v>225</v>
      </c>
      <c r="M199">
        <v>14</v>
      </c>
      <c r="N199" t="s">
        <v>877</v>
      </c>
      <c r="O199">
        <v>13</v>
      </c>
      <c r="P199">
        <v>41149</v>
      </c>
      <c r="Q199">
        <v>31910</v>
      </c>
      <c r="R199" s="4">
        <f t="shared" si="7"/>
        <v>0.77547449512746358</v>
      </c>
    </row>
    <row r="200" spans="1:18">
      <c r="A200" t="s">
        <v>225</v>
      </c>
      <c r="B200">
        <v>14</v>
      </c>
      <c r="C200">
        <v>14</v>
      </c>
      <c r="D200">
        <v>958</v>
      </c>
      <c r="E200">
        <v>0</v>
      </c>
      <c r="F200">
        <v>0</v>
      </c>
      <c r="G200">
        <v>0</v>
      </c>
      <c r="H200" s="9">
        <v>958</v>
      </c>
      <c r="I200" s="4">
        <f t="shared" si="6"/>
        <v>1</v>
      </c>
      <c r="J200" s="4">
        <v>1</v>
      </c>
      <c r="L200" t="s">
        <v>225</v>
      </c>
      <c r="M200">
        <v>14</v>
      </c>
      <c r="N200" t="s">
        <v>875</v>
      </c>
      <c r="O200">
        <v>14</v>
      </c>
      <c r="P200">
        <v>41149</v>
      </c>
      <c r="Q200">
        <v>32344</v>
      </c>
      <c r="R200" s="4">
        <f t="shared" si="7"/>
        <v>0.78602153150744858</v>
      </c>
    </row>
    <row r="201" spans="1:18">
      <c r="A201" t="s">
        <v>225</v>
      </c>
      <c r="B201">
        <v>14</v>
      </c>
      <c r="C201">
        <v>15</v>
      </c>
      <c r="D201">
        <v>958</v>
      </c>
      <c r="E201">
        <v>0</v>
      </c>
      <c r="F201">
        <v>0</v>
      </c>
      <c r="G201">
        <v>0</v>
      </c>
      <c r="H201" s="9">
        <v>958</v>
      </c>
      <c r="I201" s="4">
        <f t="shared" si="6"/>
        <v>1</v>
      </c>
      <c r="J201" s="4">
        <v>1</v>
      </c>
      <c r="L201" t="s">
        <v>225</v>
      </c>
      <c r="M201">
        <v>14</v>
      </c>
      <c r="N201" t="s">
        <v>878</v>
      </c>
      <c r="O201">
        <v>15</v>
      </c>
      <c r="P201">
        <v>41149</v>
      </c>
      <c r="Q201">
        <v>32462</v>
      </c>
      <c r="R201" s="4">
        <f t="shared" si="7"/>
        <v>0.78888915891030154</v>
      </c>
    </row>
    <row r="202" spans="1:18">
      <c r="A202" t="s">
        <v>225</v>
      </c>
      <c r="B202">
        <v>21</v>
      </c>
      <c r="C202">
        <v>1</v>
      </c>
      <c r="D202">
        <v>30</v>
      </c>
      <c r="E202">
        <v>0</v>
      </c>
      <c r="F202">
        <v>2</v>
      </c>
      <c r="G202">
        <v>0</v>
      </c>
      <c r="H202" s="9">
        <v>57</v>
      </c>
      <c r="I202" s="4">
        <f t="shared" si="6"/>
        <v>0.52631578947368418</v>
      </c>
      <c r="J202" s="4">
        <v>0.47368421052631576</v>
      </c>
      <c r="L202" t="s">
        <v>225</v>
      </c>
      <c r="M202">
        <v>21</v>
      </c>
      <c r="N202" t="s">
        <v>179</v>
      </c>
      <c r="O202">
        <v>1</v>
      </c>
      <c r="P202">
        <v>7304</v>
      </c>
      <c r="Q202">
        <v>3759</v>
      </c>
      <c r="R202" s="4">
        <f t="shared" si="7"/>
        <v>0.51464950711938662</v>
      </c>
    </row>
    <row r="203" spans="1:18">
      <c r="A203" t="s">
        <v>225</v>
      </c>
      <c r="B203">
        <v>21</v>
      </c>
      <c r="C203">
        <v>2</v>
      </c>
      <c r="D203">
        <v>52</v>
      </c>
      <c r="E203">
        <v>0</v>
      </c>
      <c r="F203">
        <v>3</v>
      </c>
      <c r="G203">
        <v>0</v>
      </c>
      <c r="H203" s="9">
        <v>57</v>
      </c>
      <c r="I203" s="4">
        <f t="shared" si="6"/>
        <v>0.91228070175438591</v>
      </c>
      <c r="J203" s="4">
        <v>0.85964912280701755</v>
      </c>
      <c r="L203" t="s">
        <v>225</v>
      </c>
      <c r="M203">
        <v>21</v>
      </c>
      <c r="N203" t="s">
        <v>211</v>
      </c>
      <c r="O203">
        <v>2</v>
      </c>
      <c r="P203">
        <v>7304</v>
      </c>
      <c r="Q203">
        <v>3802</v>
      </c>
      <c r="R203" s="4">
        <f t="shared" si="7"/>
        <v>0.52053669222343923</v>
      </c>
    </row>
    <row r="204" spans="1:18">
      <c r="A204" t="s">
        <v>225</v>
      </c>
      <c r="B204">
        <v>21</v>
      </c>
      <c r="C204">
        <v>3</v>
      </c>
      <c r="D204">
        <v>53</v>
      </c>
      <c r="E204">
        <v>0</v>
      </c>
      <c r="F204">
        <v>2</v>
      </c>
      <c r="G204">
        <v>0</v>
      </c>
      <c r="H204" s="9">
        <v>57</v>
      </c>
      <c r="I204" s="4">
        <f t="shared" si="6"/>
        <v>0.92982456140350878</v>
      </c>
      <c r="J204" s="4">
        <v>0.92982456140350878</v>
      </c>
      <c r="L204" t="s">
        <v>225</v>
      </c>
      <c r="M204">
        <v>21</v>
      </c>
      <c r="N204" t="s">
        <v>180</v>
      </c>
      <c r="O204">
        <v>3</v>
      </c>
      <c r="P204">
        <v>7304</v>
      </c>
      <c r="Q204">
        <v>3810</v>
      </c>
      <c r="R204" s="4">
        <f t="shared" si="7"/>
        <v>0.52163198247535592</v>
      </c>
    </row>
    <row r="205" spans="1:18">
      <c r="A205" t="s">
        <v>225</v>
      </c>
      <c r="B205">
        <v>21</v>
      </c>
      <c r="C205">
        <v>4</v>
      </c>
      <c r="D205">
        <v>57</v>
      </c>
      <c r="E205">
        <v>0</v>
      </c>
      <c r="F205">
        <v>0</v>
      </c>
      <c r="G205">
        <v>0</v>
      </c>
      <c r="H205" s="9">
        <v>57</v>
      </c>
      <c r="I205" s="4">
        <f t="shared" si="6"/>
        <v>1</v>
      </c>
      <c r="J205" s="4">
        <v>1</v>
      </c>
      <c r="L205" t="s">
        <v>225</v>
      </c>
      <c r="M205">
        <v>21</v>
      </c>
      <c r="N205" t="s">
        <v>879</v>
      </c>
      <c r="O205">
        <v>4</v>
      </c>
      <c r="P205">
        <v>7304</v>
      </c>
      <c r="Q205">
        <v>3818</v>
      </c>
      <c r="R205" s="4">
        <f t="shared" si="7"/>
        <v>0.52272727272727271</v>
      </c>
    </row>
    <row r="206" spans="1:18">
      <c r="A206" t="s">
        <v>226</v>
      </c>
      <c r="B206">
        <v>2</v>
      </c>
      <c r="C206">
        <v>1</v>
      </c>
      <c r="D206">
        <v>47</v>
      </c>
      <c r="E206">
        <v>0</v>
      </c>
      <c r="F206">
        <v>7</v>
      </c>
      <c r="G206">
        <v>0</v>
      </c>
      <c r="H206" s="9">
        <v>65</v>
      </c>
      <c r="I206" s="4">
        <f t="shared" si="6"/>
        <v>0.72307692307692306</v>
      </c>
      <c r="J206" s="4">
        <v>0.72307692307692306</v>
      </c>
      <c r="L206" t="s">
        <v>226</v>
      </c>
      <c r="M206">
        <v>2</v>
      </c>
      <c r="N206" t="s">
        <v>880</v>
      </c>
      <c r="O206">
        <v>1</v>
      </c>
      <c r="P206">
        <v>10621</v>
      </c>
      <c r="Q206">
        <v>4938</v>
      </c>
      <c r="R206" s="4">
        <f t="shared" si="7"/>
        <v>0.46492797288390925</v>
      </c>
    </row>
    <row r="207" spans="1:18">
      <c r="A207" t="s">
        <v>226</v>
      </c>
      <c r="B207">
        <v>2</v>
      </c>
      <c r="C207">
        <v>2</v>
      </c>
      <c r="D207">
        <v>63</v>
      </c>
      <c r="E207">
        <v>0</v>
      </c>
      <c r="F207">
        <v>2</v>
      </c>
      <c r="G207">
        <v>0</v>
      </c>
      <c r="H207" s="9">
        <v>65</v>
      </c>
      <c r="I207" s="4">
        <f t="shared" si="6"/>
        <v>0.96923076923076923</v>
      </c>
      <c r="J207" s="4">
        <v>0.96923076923076923</v>
      </c>
      <c r="L207" t="s">
        <v>226</v>
      </c>
      <c r="M207">
        <v>2</v>
      </c>
      <c r="N207" t="s">
        <v>881</v>
      </c>
      <c r="O207">
        <v>2</v>
      </c>
      <c r="P207">
        <v>10621</v>
      </c>
      <c r="Q207">
        <v>7862</v>
      </c>
      <c r="R207" s="4">
        <f t="shared" si="7"/>
        <v>0.74023161660860559</v>
      </c>
    </row>
    <row r="208" spans="1:18">
      <c r="A208" t="s">
        <v>226</v>
      </c>
      <c r="B208">
        <v>3</v>
      </c>
      <c r="C208">
        <v>1</v>
      </c>
      <c r="D208">
        <v>7</v>
      </c>
      <c r="E208">
        <v>0</v>
      </c>
      <c r="F208">
        <v>1</v>
      </c>
      <c r="G208">
        <v>0</v>
      </c>
      <c r="H208" s="9">
        <v>147</v>
      </c>
      <c r="I208" s="4">
        <f t="shared" si="6"/>
        <v>4.7619047619047616E-2</v>
      </c>
      <c r="J208" s="4">
        <v>4.7619047619047616E-2</v>
      </c>
      <c r="L208" t="s">
        <v>226</v>
      </c>
      <c r="M208">
        <v>3</v>
      </c>
      <c r="N208" t="s">
        <v>2</v>
      </c>
      <c r="O208">
        <v>1</v>
      </c>
      <c r="P208">
        <v>18262</v>
      </c>
      <c r="Q208">
        <v>796</v>
      </c>
      <c r="R208" s="4">
        <f t="shared" si="7"/>
        <v>4.3587777899463366E-2</v>
      </c>
    </row>
    <row r="209" spans="1:18">
      <c r="A209" t="s">
        <v>226</v>
      </c>
      <c r="B209">
        <v>3</v>
      </c>
      <c r="C209">
        <v>2</v>
      </c>
      <c r="D209">
        <v>30</v>
      </c>
      <c r="E209">
        <v>0</v>
      </c>
      <c r="F209">
        <v>3</v>
      </c>
      <c r="G209">
        <v>0</v>
      </c>
      <c r="H209" s="9">
        <v>147</v>
      </c>
      <c r="I209" s="4">
        <f t="shared" si="6"/>
        <v>0.20408163265306123</v>
      </c>
      <c r="J209" s="4">
        <v>0.20408163265306123</v>
      </c>
      <c r="L209" t="s">
        <v>226</v>
      </c>
      <c r="M209">
        <v>3</v>
      </c>
      <c r="N209" t="s">
        <v>542</v>
      </c>
      <c r="O209">
        <v>2</v>
      </c>
      <c r="P209">
        <v>18262</v>
      </c>
      <c r="Q209">
        <v>3460</v>
      </c>
      <c r="R209" s="4">
        <f t="shared" si="7"/>
        <v>0.18946446172379805</v>
      </c>
    </row>
    <row r="210" spans="1:18">
      <c r="A210" t="s">
        <v>226</v>
      </c>
      <c r="B210">
        <v>3</v>
      </c>
      <c r="C210">
        <v>3</v>
      </c>
      <c r="D210">
        <v>45</v>
      </c>
      <c r="E210">
        <v>0</v>
      </c>
      <c r="F210">
        <v>6</v>
      </c>
      <c r="G210">
        <v>0</v>
      </c>
      <c r="H210" s="9">
        <v>147</v>
      </c>
      <c r="I210" s="4">
        <f t="shared" si="6"/>
        <v>0.30612244897959184</v>
      </c>
      <c r="J210" s="4">
        <v>0.30612244897959184</v>
      </c>
      <c r="L210" t="s">
        <v>226</v>
      </c>
      <c r="M210">
        <v>3</v>
      </c>
      <c r="N210" t="s">
        <v>882</v>
      </c>
      <c r="O210">
        <v>3</v>
      </c>
      <c r="P210">
        <v>18262</v>
      </c>
      <c r="Q210">
        <v>4543</v>
      </c>
      <c r="R210" s="4">
        <f t="shared" si="7"/>
        <v>0.24876793341364581</v>
      </c>
    </row>
    <row r="211" spans="1:18">
      <c r="A211" t="s">
        <v>226</v>
      </c>
      <c r="B211">
        <v>3</v>
      </c>
      <c r="C211">
        <v>4</v>
      </c>
      <c r="D211">
        <v>51</v>
      </c>
      <c r="E211">
        <v>0</v>
      </c>
      <c r="F211">
        <v>3</v>
      </c>
      <c r="G211">
        <v>0</v>
      </c>
      <c r="H211" s="9">
        <v>147</v>
      </c>
      <c r="I211" s="4">
        <f t="shared" si="6"/>
        <v>0.34693877551020408</v>
      </c>
      <c r="J211" s="4">
        <v>0.34693877551020408</v>
      </c>
      <c r="L211" t="s">
        <v>226</v>
      </c>
      <c r="M211">
        <v>3</v>
      </c>
      <c r="N211" t="s">
        <v>543</v>
      </c>
      <c r="O211">
        <v>4</v>
      </c>
      <c r="P211">
        <v>18262</v>
      </c>
      <c r="Q211">
        <v>5598</v>
      </c>
      <c r="R211" s="4">
        <f t="shared" si="7"/>
        <v>0.30653816668491951</v>
      </c>
    </row>
    <row r="212" spans="1:18">
      <c r="A212" t="s">
        <v>226</v>
      </c>
      <c r="B212">
        <v>3</v>
      </c>
      <c r="C212">
        <v>5</v>
      </c>
      <c r="D212">
        <v>147</v>
      </c>
      <c r="E212">
        <v>0</v>
      </c>
      <c r="F212">
        <v>0</v>
      </c>
      <c r="G212">
        <v>0</v>
      </c>
      <c r="H212" s="9">
        <v>147</v>
      </c>
      <c r="I212" s="4">
        <f t="shared" si="6"/>
        <v>1</v>
      </c>
      <c r="J212" s="4">
        <v>1</v>
      </c>
      <c r="L212" t="s">
        <v>226</v>
      </c>
      <c r="M212">
        <v>3</v>
      </c>
      <c r="N212" t="s">
        <v>883</v>
      </c>
      <c r="O212">
        <v>5</v>
      </c>
      <c r="P212">
        <v>18262</v>
      </c>
      <c r="Q212">
        <v>16455</v>
      </c>
      <c r="R212" s="4">
        <f t="shared" si="7"/>
        <v>0.90105136348702219</v>
      </c>
    </row>
    <row r="213" spans="1:18">
      <c r="A213" t="s">
        <v>226</v>
      </c>
      <c r="B213">
        <v>3</v>
      </c>
      <c r="C213">
        <v>6</v>
      </c>
      <c r="D213">
        <v>147</v>
      </c>
      <c r="E213">
        <v>0</v>
      </c>
      <c r="F213">
        <v>0</v>
      </c>
      <c r="G213">
        <v>0</v>
      </c>
      <c r="H213" s="9">
        <v>147</v>
      </c>
      <c r="I213" s="4">
        <f t="shared" si="6"/>
        <v>1</v>
      </c>
      <c r="J213" s="4">
        <v>1</v>
      </c>
      <c r="L213" t="s">
        <v>226</v>
      </c>
      <c r="M213">
        <v>3</v>
      </c>
      <c r="N213" t="s">
        <v>884</v>
      </c>
      <c r="O213">
        <v>6</v>
      </c>
      <c r="P213">
        <v>18262</v>
      </c>
      <c r="Q213">
        <v>17898</v>
      </c>
      <c r="R213" s="4">
        <f t="shared" si="7"/>
        <v>0.98006790055853688</v>
      </c>
    </row>
    <row r="214" spans="1:18">
      <c r="A214" t="s">
        <v>229</v>
      </c>
      <c r="B214">
        <v>3</v>
      </c>
      <c r="C214">
        <v>1</v>
      </c>
      <c r="D214">
        <v>626</v>
      </c>
      <c r="E214">
        <v>0</v>
      </c>
      <c r="F214">
        <v>2</v>
      </c>
      <c r="G214">
        <v>0</v>
      </c>
      <c r="H214" s="9">
        <v>654</v>
      </c>
      <c r="I214" s="4">
        <f t="shared" si="6"/>
        <v>0.95718654434250761</v>
      </c>
      <c r="J214" s="4">
        <v>0.96177370030581044</v>
      </c>
      <c r="L214" t="s">
        <v>229</v>
      </c>
      <c r="M214">
        <v>3</v>
      </c>
      <c r="N214" t="s">
        <v>2</v>
      </c>
      <c r="O214">
        <v>1</v>
      </c>
      <c r="P214">
        <v>33249</v>
      </c>
      <c r="Q214">
        <v>29737</v>
      </c>
      <c r="R214" s="4">
        <f t="shared" si="7"/>
        <v>0.8943727630906193</v>
      </c>
    </row>
    <row r="215" spans="1:18">
      <c r="A215" t="s">
        <v>229</v>
      </c>
      <c r="B215">
        <v>3</v>
      </c>
      <c r="C215">
        <v>2</v>
      </c>
      <c r="D215">
        <v>654</v>
      </c>
      <c r="E215">
        <v>0</v>
      </c>
      <c r="F215">
        <v>0</v>
      </c>
      <c r="G215">
        <v>0</v>
      </c>
      <c r="H215" s="9">
        <v>654</v>
      </c>
      <c r="I215" s="4">
        <f t="shared" si="6"/>
        <v>1</v>
      </c>
      <c r="J215" s="4">
        <v>1</v>
      </c>
      <c r="L215" t="s">
        <v>229</v>
      </c>
      <c r="M215">
        <v>3</v>
      </c>
      <c r="N215" t="s">
        <v>203</v>
      </c>
      <c r="O215">
        <v>2</v>
      </c>
      <c r="P215">
        <v>33249</v>
      </c>
      <c r="Q215">
        <v>30302</v>
      </c>
      <c r="R215" s="4">
        <f t="shared" si="7"/>
        <v>0.91136575536106346</v>
      </c>
    </row>
    <row r="216" spans="1:18">
      <c r="A216" t="s">
        <v>230</v>
      </c>
      <c r="B216">
        <v>1</v>
      </c>
      <c r="C216">
        <v>1</v>
      </c>
      <c r="D216">
        <v>7</v>
      </c>
      <c r="E216">
        <v>0</v>
      </c>
      <c r="F216">
        <v>3</v>
      </c>
      <c r="G216">
        <v>0</v>
      </c>
      <c r="H216" s="9">
        <v>169</v>
      </c>
      <c r="I216" s="4">
        <f t="shared" si="6"/>
        <v>4.142011834319527E-2</v>
      </c>
      <c r="J216" s="4">
        <v>4.142011834319527E-2</v>
      </c>
      <c r="L216" t="s">
        <v>230</v>
      </c>
      <c r="M216">
        <v>1</v>
      </c>
      <c r="N216" t="s">
        <v>179</v>
      </c>
      <c r="O216">
        <v>1</v>
      </c>
      <c r="P216">
        <v>16476</v>
      </c>
      <c r="Q216">
        <v>1079</v>
      </c>
      <c r="R216" s="4">
        <f t="shared" si="7"/>
        <v>6.5489196406894878E-2</v>
      </c>
    </row>
    <row r="217" spans="1:18">
      <c r="A217" t="s">
        <v>230</v>
      </c>
      <c r="B217">
        <v>1</v>
      </c>
      <c r="C217">
        <v>2</v>
      </c>
      <c r="D217">
        <v>11</v>
      </c>
      <c r="E217">
        <v>0</v>
      </c>
      <c r="F217">
        <v>5</v>
      </c>
      <c r="G217">
        <v>0</v>
      </c>
      <c r="H217" s="9">
        <v>169</v>
      </c>
      <c r="I217" s="4">
        <f t="shared" si="6"/>
        <v>6.5088757396449703E-2</v>
      </c>
      <c r="J217" s="4">
        <v>6.5088757396449703E-2</v>
      </c>
      <c r="L217" t="s">
        <v>230</v>
      </c>
      <c r="M217">
        <v>1</v>
      </c>
      <c r="N217" t="s">
        <v>885</v>
      </c>
      <c r="O217">
        <v>2</v>
      </c>
      <c r="P217">
        <v>16476</v>
      </c>
      <c r="Q217">
        <v>1319</v>
      </c>
      <c r="R217" s="4">
        <f t="shared" si="7"/>
        <v>8.005583879582423E-2</v>
      </c>
    </row>
    <row r="218" spans="1:18">
      <c r="A218" t="s">
        <v>230</v>
      </c>
      <c r="B218">
        <v>1</v>
      </c>
      <c r="C218">
        <v>3</v>
      </c>
      <c r="D218">
        <v>15</v>
      </c>
      <c r="E218">
        <v>0</v>
      </c>
      <c r="F218">
        <v>7</v>
      </c>
      <c r="G218">
        <v>0</v>
      </c>
      <c r="H218" s="9">
        <v>169</v>
      </c>
      <c r="I218" s="4">
        <f t="shared" si="6"/>
        <v>8.8757396449704137E-2</v>
      </c>
      <c r="J218" s="4">
        <v>8.8757396449704137E-2</v>
      </c>
      <c r="L218" t="s">
        <v>230</v>
      </c>
      <c r="M218">
        <v>1</v>
      </c>
      <c r="N218" t="s">
        <v>886</v>
      </c>
      <c r="O218">
        <v>3</v>
      </c>
      <c r="P218">
        <v>16476</v>
      </c>
      <c r="Q218">
        <v>1527</v>
      </c>
      <c r="R218" s="4">
        <f t="shared" si="7"/>
        <v>9.2680262199563004E-2</v>
      </c>
    </row>
    <row r="219" spans="1:18">
      <c r="A219" t="s">
        <v>230</v>
      </c>
      <c r="B219">
        <v>1</v>
      </c>
      <c r="C219">
        <v>4</v>
      </c>
      <c r="D219">
        <v>18</v>
      </c>
      <c r="E219">
        <v>0</v>
      </c>
      <c r="F219">
        <v>10</v>
      </c>
      <c r="G219">
        <v>0</v>
      </c>
      <c r="H219" s="9">
        <v>169</v>
      </c>
      <c r="I219" s="4">
        <f t="shared" si="6"/>
        <v>0.10650887573964497</v>
      </c>
      <c r="J219" s="4">
        <v>0.10650887573964497</v>
      </c>
      <c r="L219" t="s">
        <v>230</v>
      </c>
      <c r="M219">
        <v>1</v>
      </c>
      <c r="N219" t="s">
        <v>887</v>
      </c>
      <c r="O219">
        <v>4</v>
      </c>
      <c r="P219">
        <v>16476</v>
      </c>
      <c r="Q219">
        <v>1586</v>
      </c>
      <c r="R219" s="4">
        <f t="shared" si="7"/>
        <v>9.6261228453508138E-2</v>
      </c>
    </row>
    <row r="220" spans="1:18">
      <c r="A220" t="s">
        <v>230</v>
      </c>
      <c r="B220">
        <v>1</v>
      </c>
      <c r="C220">
        <v>5</v>
      </c>
      <c r="D220">
        <v>21</v>
      </c>
      <c r="E220">
        <v>0</v>
      </c>
      <c r="F220">
        <v>10</v>
      </c>
      <c r="G220">
        <v>0</v>
      </c>
      <c r="H220" s="9">
        <v>169</v>
      </c>
      <c r="I220" s="4">
        <f t="shared" si="6"/>
        <v>0.1242603550295858</v>
      </c>
      <c r="J220" s="4">
        <v>0.1242603550295858</v>
      </c>
      <c r="L220" t="s">
        <v>230</v>
      </c>
      <c r="M220">
        <v>1</v>
      </c>
      <c r="N220" t="s">
        <v>888</v>
      </c>
      <c r="O220">
        <v>5</v>
      </c>
      <c r="P220">
        <v>16476</v>
      </c>
      <c r="Q220">
        <v>1767</v>
      </c>
      <c r="R220" s="4">
        <f t="shared" si="7"/>
        <v>0.10724690458849236</v>
      </c>
    </row>
    <row r="221" spans="1:18">
      <c r="A221" t="s">
        <v>230</v>
      </c>
      <c r="B221">
        <v>1</v>
      </c>
      <c r="C221">
        <v>6</v>
      </c>
      <c r="D221">
        <v>24</v>
      </c>
      <c r="E221">
        <v>0</v>
      </c>
      <c r="F221">
        <v>10</v>
      </c>
      <c r="G221">
        <v>0</v>
      </c>
      <c r="H221" s="9">
        <v>169</v>
      </c>
      <c r="I221" s="4">
        <f t="shared" si="6"/>
        <v>0.14201183431952663</v>
      </c>
      <c r="J221" s="4">
        <v>0.14201183431952663</v>
      </c>
      <c r="L221" t="s">
        <v>230</v>
      </c>
      <c r="M221">
        <v>1</v>
      </c>
      <c r="N221" t="s">
        <v>889</v>
      </c>
      <c r="O221">
        <v>6</v>
      </c>
      <c r="P221">
        <v>16476</v>
      </c>
      <c r="Q221">
        <v>1965</v>
      </c>
      <c r="R221" s="4">
        <f t="shared" si="7"/>
        <v>0.11926438455935907</v>
      </c>
    </row>
    <row r="222" spans="1:18">
      <c r="A222" t="s">
        <v>230</v>
      </c>
      <c r="B222">
        <v>1</v>
      </c>
      <c r="C222">
        <v>7</v>
      </c>
      <c r="D222">
        <v>39</v>
      </c>
      <c r="E222">
        <v>0</v>
      </c>
      <c r="F222">
        <v>11</v>
      </c>
      <c r="G222">
        <v>0</v>
      </c>
      <c r="H222" s="9">
        <v>169</v>
      </c>
      <c r="I222" s="4">
        <f t="shared" si="6"/>
        <v>0.23076923076923078</v>
      </c>
      <c r="J222" s="4">
        <v>0.23076923076923078</v>
      </c>
      <c r="L222" t="s">
        <v>230</v>
      </c>
      <c r="M222">
        <v>1</v>
      </c>
      <c r="N222" t="s">
        <v>204</v>
      </c>
      <c r="O222">
        <v>7</v>
      </c>
      <c r="P222">
        <v>16476</v>
      </c>
      <c r="Q222">
        <v>3048</v>
      </c>
      <c r="R222" s="4">
        <f t="shared" si="7"/>
        <v>0.18499635833940276</v>
      </c>
    </row>
    <row r="223" spans="1:18">
      <c r="A223" t="s">
        <v>230</v>
      </c>
      <c r="B223">
        <v>1</v>
      </c>
      <c r="C223">
        <v>8</v>
      </c>
      <c r="D223">
        <v>54</v>
      </c>
      <c r="E223">
        <v>0</v>
      </c>
      <c r="F223">
        <v>12</v>
      </c>
      <c r="G223">
        <v>0</v>
      </c>
      <c r="H223" s="9">
        <v>169</v>
      </c>
      <c r="I223" s="4">
        <f t="shared" si="6"/>
        <v>0.31952662721893493</v>
      </c>
      <c r="J223" s="4">
        <v>0.31952662721893493</v>
      </c>
      <c r="L223" t="s">
        <v>230</v>
      </c>
      <c r="M223">
        <v>1</v>
      </c>
      <c r="N223" t="s">
        <v>890</v>
      </c>
      <c r="O223">
        <v>8</v>
      </c>
      <c r="P223">
        <v>16476</v>
      </c>
      <c r="Q223">
        <v>3258</v>
      </c>
      <c r="R223" s="4">
        <f t="shared" si="7"/>
        <v>0.19774217042971595</v>
      </c>
    </row>
    <row r="224" spans="1:18">
      <c r="A224" t="s">
        <v>230</v>
      </c>
      <c r="B224">
        <v>1</v>
      </c>
      <c r="C224">
        <v>9</v>
      </c>
      <c r="D224">
        <v>69</v>
      </c>
      <c r="E224">
        <v>0</v>
      </c>
      <c r="F224">
        <v>13</v>
      </c>
      <c r="G224">
        <v>0</v>
      </c>
      <c r="H224" s="9">
        <v>169</v>
      </c>
      <c r="I224" s="4">
        <f t="shared" si="6"/>
        <v>0.40828402366863903</v>
      </c>
      <c r="J224" s="4">
        <v>0.40236686390532544</v>
      </c>
      <c r="L224" t="s">
        <v>230</v>
      </c>
      <c r="M224">
        <v>1</v>
      </c>
      <c r="N224" t="s">
        <v>894</v>
      </c>
      <c r="O224">
        <v>9</v>
      </c>
      <c r="P224">
        <v>16476</v>
      </c>
      <c r="Q224">
        <v>3484</v>
      </c>
      <c r="R224" s="4">
        <f t="shared" si="7"/>
        <v>0.21145909201262442</v>
      </c>
    </row>
    <row r="225" spans="1:18">
      <c r="A225" t="s">
        <v>230</v>
      </c>
      <c r="B225">
        <v>1</v>
      </c>
      <c r="C225">
        <v>10</v>
      </c>
      <c r="D225">
        <v>83</v>
      </c>
      <c r="E225">
        <v>0</v>
      </c>
      <c r="F225">
        <v>10</v>
      </c>
      <c r="G225">
        <v>0</v>
      </c>
      <c r="H225" s="9">
        <v>169</v>
      </c>
      <c r="I225" s="4">
        <f t="shared" si="6"/>
        <v>0.4911242603550296</v>
      </c>
      <c r="J225" s="4">
        <v>0.4911242603550296</v>
      </c>
      <c r="L225" t="s">
        <v>230</v>
      </c>
      <c r="M225">
        <v>1</v>
      </c>
      <c r="N225" t="s">
        <v>541</v>
      </c>
      <c r="O225">
        <v>10</v>
      </c>
      <c r="P225">
        <v>16476</v>
      </c>
      <c r="Q225">
        <v>3508</v>
      </c>
      <c r="R225" s="4">
        <f t="shared" si="7"/>
        <v>0.21291575625151735</v>
      </c>
    </row>
    <row r="226" spans="1:18">
      <c r="A226" t="s">
        <v>230</v>
      </c>
      <c r="B226">
        <v>1</v>
      </c>
      <c r="C226">
        <v>11</v>
      </c>
      <c r="D226">
        <v>97</v>
      </c>
      <c r="E226">
        <v>0</v>
      </c>
      <c r="F226">
        <v>7</v>
      </c>
      <c r="G226">
        <v>0</v>
      </c>
      <c r="H226" s="9">
        <v>169</v>
      </c>
      <c r="I226" s="4">
        <f t="shared" si="6"/>
        <v>0.57396449704142016</v>
      </c>
      <c r="J226" s="4">
        <v>0.57988165680473369</v>
      </c>
      <c r="L226" t="s">
        <v>230</v>
      </c>
      <c r="M226">
        <v>1</v>
      </c>
      <c r="N226" t="s">
        <v>891</v>
      </c>
      <c r="O226">
        <v>11</v>
      </c>
      <c r="P226">
        <v>16476</v>
      </c>
      <c r="Q226">
        <v>3735</v>
      </c>
      <c r="R226" s="4">
        <f t="shared" si="7"/>
        <v>0.22669337217771304</v>
      </c>
    </row>
    <row r="227" spans="1:18">
      <c r="A227" t="s">
        <v>230</v>
      </c>
      <c r="B227">
        <v>1</v>
      </c>
      <c r="C227">
        <v>12</v>
      </c>
      <c r="D227">
        <v>112</v>
      </c>
      <c r="E227">
        <v>0</v>
      </c>
      <c r="F227">
        <v>8</v>
      </c>
      <c r="G227">
        <v>0</v>
      </c>
      <c r="H227" s="9">
        <v>169</v>
      </c>
      <c r="I227" s="4">
        <f t="shared" si="6"/>
        <v>0.66272189349112431</v>
      </c>
      <c r="J227" s="4">
        <v>0.66272189349112431</v>
      </c>
      <c r="L227" t="s">
        <v>230</v>
      </c>
      <c r="M227">
        <v>1</v>
      </c>
      <c r="N227" t="s">
        <v>896</v>
      </c>
      <c r="O227">
        <v>12</v>
      </c>
      <c r="P227">
        <v>16476</v>
      </c>
      <c r="Q227">
        <v>3752</v>
      </c>
      <c r="R227" s="4">
        <f t="shared" si="7"/>
        <v>0.22772517601359554</v>
      </c>
    </row>
    <row r="228" spans="1:18">
      <c r="A228" t="s">
        <v>230</v>
      </c>
      <c r="B228">
        <v>1</v>
      </c>
      <c r="C228">
        <v>13</v>
      </c>
      <c r="D228">
        <v>126</v>
      </c>
      <c r="E228">
        <v>0</v>
      </c>
      <c r="F228">
        <v>5</v>
      </c>
      <c r="G228">
        <v>0</v>
      </c>
      <c r="H228" s="9">
        <v>169</v>
      </c>
      <c r="I228" s="4">
        <f t="shared" si="6"/>
        <v>0.74556213017751483</v>
      </c>
      <c r="J228" s="4">
        <v>0.75147928994082835</v>
      </c>
      <c r="L228" t="s">
        <v>230</v>
      </c>
      <c r="M228">
        <v>1</v>
      </c>
      <c r="N228" t="s">
        <v>892</v>
      </c>
      <c r="O228">
        <v>13</v>
      </c>
      <c r="P228">
        <v>16476</v>
      </c>
      <c r="Q228">
        <v>3931</v>
      </c>
      <c r="R228" s="4">
        <f t="shared" si="7"/>
        <v>0.23858946346200535</v>
      </c>
    </row>
    <row r="229" spans="1:18">
      <c r="A229" t="s">
        <v>230</v>
      </c>
      <c r="B229">
        <v>1</v>
      </c>
      <c r="C229">
        <v>14</v>
      </c>
      <c r="D229">
        <v>141</v>
      </c>
      <c r="E229">
        <v>0</v>
      </c>
      <c r="F229">
        <v>6</v>
      </c>
      <c r="G229">
        <v>0</v>
      </c>
      <c r="H229" s="9">
        <v>169</v>
      </c>
      <c r="I229" s="4">
        <f t="shared" si="6"/>
        <v>0.83431952662721898</v>
      </c>
      <c r="J229" s="4">
        <v>0.83431952662721898</v>
      </c>
      <c r="L229" t="s">
        <v>230</v>
      </c>
      <c r="M229">
        <v>1</v>
      </c>
      <c r="N229" t="s">
        <v>893</v>
      </c>
      <c r="O229">
        <v>14</v>
      </c>
      <c r="P229">
        <v>16476</v>
      </c>
      <c r="Q229">
        <v>3943</v>
      </c>
      <c r="R229" s="4">
        <f t="shared" si="7"/>
        <v>0.2393177955814518</v>
      </c>
    </row>
    <row r="230" spans="1:18">
      <c r="A230" t="s">
        <v>230</v>
      </c>
      <c r="B230">
        <v>1</v>
      </c>
      <c r="C230">
        <v>15</v>
      </c>
      <c r="D230">
        <v>155</v>
      </c>
      <c r="E230">
        <v>0</v>
      </c>
      <c r="F230">
        <v>3</v>
      </c>
      <c r="G230">
        <v>0</v>
      </c>
      <c r="H230" s="9">
        <v>169</v>
      </c>
      <c r="I230" s="4">
        <f t="shared" si="6"/>
        <v>0.91715976331360949</v>
      </c>
      <c r="J230" s="4">
        <v>0.91715976331360949</v>
      </c>
      <c r="L230" t="s">
        <v>230</v>
      </c>
      <c r="M230">
        <v>1</v>
      </c>
      <c r="N230" t="s">
        <v>895</v>
      </c>
      <c r="O230">
        <v>15</v>
      </c>
      <c r="P230">
        <v>16476</v>
      </c>
      <c r="Q230">
        <v>4230</v>
      </c>
      <c r="R230" s="4">
        <f t="shared" si="7"/>
        <v>0.25673707210487984</v>
      </c>
    </row>
    <row r="231" spans="1:18">
      <c r="A231" t="s">
        <v>230</v>
      </c>
      <c r="B231">
        <v>1</v>
      </c>
      <c r="C231">
        <v>16</v>
      </c>
      <c r="D231">
        <v>169</v>
      </c>
      <c r="E231">
        <v>0</v>
      </c>
      <c r="F231">
        <v>0</v>
      </c>
      <c r="G231">
        <v>0</v>
      </c>
      <c r="H231" s="9">
        <v>169</v>
      </c>
      <c r="I231" s="4">
        <f t="shared" si="6"/>
        <v>1</v>
      </c>
      <c r="J231" s="4">
        <v>1</v>
      </c>
      <c r="L231" t="s">
        <v>230</v>
      </c>
      <c r="M231">
        <v>1</v>
      </c>
      <c r="N231" t="s">
        <v>897</v>
      </c>
      <c r="O231">
        <v>16</v>
      </c>
      <c r="P231">
        <v>16476</v>
      </c>
      <c r="Q231">
        <v>4440</v>
      </c>
      <c r="R231" s="4">
        <f t="shared" si="7"/>
        <v>0.26948288419519301</v>
      </c>
    </row>
    <row r="232" spans="1:18">
      <c r="A232" t="s">
        <v>231</v>
      </c>
      <c r="B232">
        <v>4</v>
      </c>
      <c r="C232">
        <v>1</v>
      </c>
      <c r="D232">
        <v>8</v>
      </c>
      <c r="E232">
        <v>0</v>
      </c>
      <c r="F232">
        <v>1</v>
      </c>
      <c r="G232">
        <v>0</v>
      </c>
      <c r="H232" s="9">
        <v>77</v>
      </c>
      <c r="I232" s="4">
        <f t="shared" si="6"/>
        <v>0.1038961038961039</v>
      </c>
      <c r="J232" s="4">
        <v>0.1038961038961039</v>
      </c>
      <c r="L232" t="s">
        <v>231</v>
      </c>
      <c r="M232">
        <v>4</v>
      </c>
      <c r="N232" t="s">
        <v>2</v>
      </c>
      <c r="O232">
        <v>1</v>
      </c>
      <c r="P232">
        <v>7930</v>
      </c>
      <c r="Q232">
        <v>156</v>
      </c>
      <c r="R232" s="4">
        <f t="shared" si="7"/>
        <v>1.9672131147540985E-2</v>
      </c>
    </row>
    <row r="233" spans="1:18">
      <c r="A233" t="s">
        <v>231</v>
      </c>
      <c r="B233">
        <v>4</v>
      </c>
      <c r="C233">
        <v>2</v>
      </c>
      <c r="D233">
        <v>20</v>
      </c>
      <c r="E233">
        <v>0</v>
      </c>
      <c r="F233">
        <v>2</v>
      </c>
      <c r="G233">
        <v>0</v>
      </c>
      <c r="H233" s="9">
        <v>77</v>
      </c>
      <c r="I233" s="4">
        <f t="shared" si="6"/>
        <v>0.25974025974025972</v>
      </c>
      <c r="J233" s="4">
        <v>0.25974025974025972</v>
      </c>
      <c r="L233" t="s">
        <v>231</v>
      </c>
      <c r="M233">
        <v>4</v>
      </c>
      <c r="N233" t="s">
        <v>0</v>
      </c>
      <c r="O233">
        <v>2</v>
      </c>
      <c r="P233">
        <v>7930</v>
      </c>
      <c r="Q233">
        <v>1026</v>
      </c>
      <c r="R233" s="4">
        <f t="shared" si="7"/>
        <v>0.12938209331651954</v>
      </c>
    </row>
    <row r="234" spans="1:18">
      <c r="A234" t="s">
        <v>231</v>
      </c>
      <c r="B234">
        <v>4</v>
      </c>
      <c r="C234">
        <v>3</v>
      </c>
      <c r="D234">
        <v>41</v>
      </c>
      <c r="E234">
        <v>0</v>
      </c>
      <c r="F234">
        <v>7</v>
      </c>
      <c r="G234">
        <v>0</v>
      </c>
      <c r="H234" s="9">
        <v>77</v>
      </c>
      <c r="I234" s="4">
        <f t="shared" si="6"/>
        <v>0.53246753246753242</v>
      </c>
      <c r="J234" s="4">
        <v>0.53246753246753242</v>
      </c>
      <c r="L234" t="s">
        <v>231</v>
      </c>
      <c r="M234">
        <v>4</v>
      </c>
      <c r="N234" t="s">
        <v>898</v>
      </c>
      <c r="O234">
        <v>3</v>
      </c>
      <c r="P234">
        <v>7930</v>
      </c>
      <c r="Q234">
        <v>2522</v>
      </c>
      <c r="R234" s="4">
        <f t="shared" si="7"/>
        <v>0.31803278688524589</v>
      </c>
    </row>
    <row r="235" spans="1:18">
      <c r="A235" t="s">
        <v>231</v>
      </c>
      <c r="B235">
        <v>4</v>
      </c>
      <c r="C235">
        <v>4</v>
      </c>
      <c r="D235">
        <v>43</v>
      </c>
      <c r="E235">
        <v>0</v>
      </c>
      <c r="F235">
        <v>8</v>
      </c>
      <c r="G235">
        <v>0</v>
      </c>
      <c r="H235" s="9">
        <v>77</v>
      </c>
      <c r="I235" s="4">
        <f t="shared" si="6"/>
        <v>0.55844155844155841</v>
      </c>
      <c r="J235" s="4">
        <v>0.55844155844155841</v>
      </c>
      <c r="L235" t="s">
        <v>231</v>
      </c>
      <c r="M235">
        <v>4</v>
      </c>
      <c r="N235" t="s">
        <v>899</v>
      </c>
      <c r="O235">
        <v>4</v>
      </c>
      <c r="P235">
        <v>7930</v>
      </c>
      <c r="Q235">
        <v>2547</v>
      </c>
      <c r="R235" s="4">
        <f t="shared" si="7"/>
        <v>0.32118537200504416</v>
      </c>
    </row>
    <row r="236" spans="1:18">
      <c r="A236" t="s">
        <v>231</v>
      </c>
      <c r="B236">
        <v>4</v>
      </c>
      <c r="C236">
        <v>5</v>
      </c>
      <c r="D236">
        <v>48</v>
      </c>
      <c r="E236">
        <v>0</v>
      </c>
      <c r="F236">
        <v>8</v>
      </c>
      <c r="G236">
        <v>0</v>
      </c>
      <c r="H236" s="9">
        <v>77</v>
      </c>
      <c r="I236" s="4">
        <f t="shared" si="6"/>
        <v>0.62337662337662336</v>
      </c>
      <c r="J236" s="4">
        <v>0.62337662337662336</v>
      </c>
      <c r="L236" t="s">
        <v>231</v>
      </c>
      <c r="M236">
        <v>4</v>
      </c>
      <c r="N236" t="s">
        <v>233</v>
      </c>
      <c r="O236">
        <v>5</v>
      </c>
      <c r="P236">
        <v>7930</v>
      </c>
      <c r="Q236">
        <v>2782</v>
      </c>
      <c r="R236" s="4">
        <f t="shared" si="7"/>
        <v>0.35081967213114756</v>
      </c>
    </row>
    <row r="237" spans="1:18">
      <c r="A237" t="s">
        <v>231</v>
      </c>
      <c r="B237">
        <v>4</v>
      </c>
      <c r="C237">
        <v>6</v>
      </c>
      <c r="D237">
        <v>57</v>
      </c>
      <c r="E237">
        <v>0</v>
      </c>
      <c r="F237">
        <v>6</v>
      </c>
      <c r="G237">
        <v>0</v>
      </c>
      <c r="H237" s="9">
        <v>77</v>
      </c>
      <c r="I237" s="4">
        <f t="shared" si="6"/>
        <v>0.74025974025974028</v>
      </c>
      <c r="J237" s="4">
        <v>0.74025974025974028</v>
      </c>
      <c r="L237" t="s">
        <v>231</v>
      </c>
      <c r="M237">
        <v>4</v>
      </c>
      <c r="N237" t="s">
        <v>900</v>
      </c>
      <c r="O237">
        <v>6</v>
      </c>
      <c r="P237">
        <v>7930</v>
      </c>
      <c r="Q237">
        <v>3916</v>
      </c>
      <c r="R237" s="4">
        <f t="shared" si="7"/>
        <v>0.49382093316519549</v>
      </c>
    </row>
    <row r="238" spans="1:18">
      <c r="A238" t="s">
        <v>231</v>
      </c>
      <c r="B238">
        <v>4</v>
      </c>
      <c r="C238">
        <v>7</v>
      </c>
      <c r="D238">
        <v>73</v>
      </c>
      <c r="E238">
        <v>0</v>
      </c>
      <c r="F238">
        <v>4</v>
      </c>
      <c r="G238">
        <v>0</v>
      </c>
      <c r="H238" s="9">
        <v>77</v>
      </c>
      <c r="I238" s="4">
        <f t="shared" si="6"/>
        <v>0.94805194805194803</v>
      </c>
      <c r="J238" s="4">
        <v>0.94805194805194803</v>
      </c>
      <c r="L238" t="s">
        <v>231</v>
      </c>
      <c r="M238">
        <v>4</v>
      </c>
      <c r="N238" t="s">
        <v>901</v>
      </c>
      <c r="O238">
        <v>7</v>
      </c>
      <c r="P238">
        <v>7930</v>
      </c>
      <c r="Q238">
        <v>6209</v>
      </c>
      <c r="R238" s="4">
        <f t="shared" si="7"/>
        <v>0.78297604035308954</v>
      </c>
    </row>
    <row r="239" spans="1:18">
      <c r="A239" t="s">
        <v>231</v>
      </c>
      <c r="B239">
        <v>5</v>
      </c>
      <c r="C239">
        <v>1</v>
      </c>
      <c r="D239">
        <v>38</v>
      </c>
      <c r="E239">
        <v>0</v>
      </c>
      <c r="F239">
        <v>7</v>
      </c>
      <c r="G239">
        <v>0</v>
      </c>
      <c r="H239" s="9">
        <v>127</v>
      </c>
      <c r="I239" s="4">
        <f t="shared" si="6"/>
        <v>0.29921259842519687</v>
      </c>
      <c r="J239" s="4">
        <v>0.29921259842519687</v>
      </c>
      <c r="L239" t="s">
        <v>231</v>
      </c>
      <c r="M239">
        <v>5</v>
      </c>
      <c r="N239" t="s">
        <v>902</v>
      </c>
      <c r="O239">
        <v>1</v>
      </c>
      <c r="P239">
        <v>15502</v>
      </c>
      <c r="Q239">
        <v>2855</v>
      </c>
      <c r="R239" s="4">
        <f t="shared" si="7"/>
        <v>0.18416978454392982</v>
      </c>
    </row>
    <row r="240" spans="1:18">
      <c r="A240" t="s">
        <v>231</v>
      </c>
      <c r="B240">
        <v>5</v>
      </c>
      <c r="C240">
        <v>2</v>
      </c>
      <c r="D240">
        <v>41</v>
      </c>
      <c r="E240">
        <v>0</v>
      </c>
      <c r="F240">
        <v>10</v>
      </c>
      <c r="G240">
        <v>0</v>
      </c>
      <c r="H240" s="9">
        <v>127</v>
      </c>
      <c r="I240" s="4">
        <f t="shared" si="6"/>
        <v>0.32283464566929132</v>
      </c>
      <c r="J240" s="4">
        <v>0.32283464566929132</v>
      </c>
      <c r="L240" t="s">
        <v>231</v>
      </c>
      <c r="M240">
        <v>5</v>
      </c>
      <c r="N240" t="s">
        <v>554</v>
      </c>
      <c r="O240">
        <v>2</v>
      </c>
      <c r="P240">
        <v>15502</v>
      </c>
      <c r="Q240">
        <v>2945</v>
      </c>
      <c r="R240" s="4">
        <f t="shared" si="7"/>
        <v>0.18997548703393111</v>
      </c>
    </row>
    <row r="241" spans="1:18">
      <c r="A241" t="s">
        <v>231</v>
      </c>
      <c r="B241">
        <v>5</v>
      </c>
      <c r="C241">
        <v>3</v>
      </c>
      <c r="D241">
        <v>46</v>
      </c>
      <c r="E241">
        <v>0</v>
      </c>
      <c r="F241">
        <v>10</v>
      </c>
      <c r="G241">
        <v>0</v>
      </c>
      <c r="H241" s="9">
        <v>127</v>
      </c>
      <c r="I241" s="4">
        <f t="shared" si="6"/>
        <v>0.36220472440944884</v>
      </c>
      <c r="J241" s="4">
        <v>0.36220472440944884</v>
      </c>
      <c r="L241" t="s">
        <v>231</v>
      </c>
      <c r="M241">
        <v>5</v>
      </c>
      <c r="N241" t="s">
        <v>2</v>
      </c>
      <c r="O241">
        <v>3</v>
      </c>
      <c r="P241">
        <v>15502</v>
      </c>
      <c r="Q241">
        <v>3104</v>
      </c>
      <c r="R241" s="4">
        <f t="shared" si="7"/>
        <v>0.20023222809960006</v>
      </c>
    </row>
    <row r="242" spans="1:18">
      <c r="A242" t="s">
        <v>231</v>
      </c>
      <c r="B242">
        <v>5</v>
      </c>
      <c r="C242">
        <v>4</v>
      </c>
      <c r="D242">
        <v>49</v>
      </c>
      <c r="E242">
        <v>0</v>
      </c>
      <c r="F242">
        <v>10</v>
      </c>
      <c r="G242">
        <v>0</v>
      </c>
      <c r="H242" s="9">
        <v>127</v>
      </c>
      <c r="I242" s="4">
        <f t="shared" si="6"/>
        <v>0.38582677165354329</v>
      </c>
      <c r="J242" s="4">
        <v>0.38582677165354329</v>
      </c>
      <c r="L242" t="s">
        <v>231</v>
      </c>
      <c r="M242">
        <v>5</v>
      </c>
      <c r="N242" t="s">
        <v>903</v>
      </c>
      <c r="O242">
        <v>4</v>
      </c>
      <c r="P242">
        <v>15502</v>
      </c>
      <c r="Q242">
        <v>3207</v>
      </c>
      <c r="R242" s="4">
        <f t="shared" si="7"/>
        <v>0.20687653206037931</v>
      </c>
    </row>
    <row r="243" spans="1:18">
      <c r="A243" t="s">
        <v>231</v>
      </c>
      <c r="B243">
        <v>5</v>
      </c>
      <c r="C243">
        <v>5</v>
      </c>
      <c r="D243">
        <v>58</v>
      </c>
      <c r="E243">
        <v>0</v>
      </c>
      <c r="F243">
        <v>8</v>
      </c>
      <c r="G243">
        <v>0</v>
      </c>
      <c r="H243" s="9">
        <v>127</v>
      </c>
      <c r="I243" s="4">
        <f t="shared" si="6"/>
        <v>0.45669291338582679</v>
      </c>
      <c r="J243" s="4">
        <v>0.45669291338582679</v>
      </c>
      <c r="L243" t="s">
        <v>231</v>
      </c>
      <c r="M243">
        <v>5</v>
      </c>
      <c r="N243" t="s">
        <v>189</v>
      </c>
      <c r="O243">
        <v>5</v>
      </c>
      <c r="P243">
        <v>15502</v>
      </c>
      <c r="Q243">
        <v>4400</v>
      </c>
      <c r="R243" s="4">
        <f t="shared" si="7"/>
        <v>0.28383434395561863</v>
      </c>
    </row>
    <row r="244" spans="1:18">
      <c r="A244" t="s">
        <v>231</v>
      </c>
      <c r="B244">
        <v>5</v>
      </c>
      <c r="C244">
        <v>6</v>
      </c>
      <c r="D244">
        <v>74</v>
      </c>
      <c r="E244">
        <v>0</v>
      </c>
      <c r="F244">
        <v>6</v>
      </c>
      <c r="G244">
        <v>0</v>
      </c>
      <c r="H244" s="9">
        <v>127</v>
      </c>
      <c r="I244" s="4">
        <f t="shared" si="6"/>
        <v>0.58267716535433067</v>
      </c>
      <c r="J244" s="4">
        <v>0.58267716535433067</v>
      </c>
      <c r="L244" t="s">
        <v>231</v>
      </c>
      <c r="M244">
        <v>5</v>
      </c>
      <c r="N244" t="s">
        <v>555</v>
      </c>
      <c r="O244">
        <v>6</v>
      </c>
      <c r="P244">
        <v>15502</v>
      </c>
      <c r="Q244">
        <v>7490</v>
      </c>
      <c r="R244" s="4">
        <f t="shared" si="7"/>
        <v>0.48316346277899624</v>
      </c>
    </row>
    <row r="245" spans="1:18">
      <c r="A245" t="s">
        <v>231</v>
      </c>
      <c r="B245">
        <v>5</v>
      </c>
      <c r="C245">
        <v>7</v>
      </c>
      <c r="D245">
        <v>106</v>
      </c>
      <c r="E245">
        <v>0</v>
      </c>
      <c r="F245">
        <v>13</v>
      </c>
      <c r="G245">
        <v>0</v>
      </c>
      <c r="H245" s="9">
        <v>127</v>
      </c>
      <c r="I245" s="4">
        <f t="shared" si="6"/>
        <v>0.83464566929133854</v>
      </c>
      <c r="J245" s="4">
        <v>0.83464566929133854</v>
      </c>
      <c r="L245" t="s">
        <v>231</v>
      </c>
      <c r="M245">
        <v>5</v>
      </c>
      <c r="N245" t="s">
        <v>904</v>
      </c>
      <c r="O245">
        <v>7</v>
      </c>
      <c r="P245">
        <v>15502</v>
      </c>
      <c r="Q245">
        <v>8590</v>
      </c>
      <c r="R245" s="4">
        <f t="shared" si="7"/>
        <v>0.55412204876790094</v>
      </c>
    </row>
    <row r="246" spans="1:18">
      <c r="A246" t="s">
        <v>231</v>
      </c>
      <c r="B246">
        <v>5</v>
      </c>
      <c r="C246">
        <v>8</v>
      </c>
      <c r="D246">
        <v>123</v>
      </c>
      <c r="E246">
        <v>0</v>
      </c>
      <c r="F246">
        <v>4</v>
      </c>
      <c r="G246">
        <v>0</v>
      </c>
      <c r="H246" s="9">
        <v>127</v>
      </c>
      <c r="I246" s="4">
        <f t="shared" si="6"/>
        <v>0.96850393700787396</v>
      </c>
      <c r="J246" s="4">
        <v>0.96850393700787396</v>
      </c>
      <c r="L246" t="s">
        <v>231</v>
      </c>
      <c r="M246">
        <v>5</v>
      </c>
      <c r="N246" t="s">
        <v>905</v>
      </c>
      <c r="O246">
        <v>8</v>
      </c>
      <c r="P246">
        <v>15502</v>
      </c>
      <c r="Q246">
        <v>9520</v>
      </c>
      <c r="R246" s="4">
        <f t="shared" si="7"/>
        <v>0.61411430783124754</v>
      </c>
    </row>
    <row r="247" spans="1:18">
      <c r="A247" t="s">
        <v>231</v>
      </c>
      <c r="B247">
        <v>7</v>
      </c>
      <c r="C247">
        <v>1</v>
      </c>
      <c r="D247">
        <v>10</v>
      </c>
      <c r="E247">
        <v>0</v>
      </c>
      <c r="F247">
        <v>5</v>
      </c>
      <c r="G247">
        <v>0</v>
      </c>
      <c r="H247" s="9">
        <v>33</v>
      </c>
      <c r="I247" s="4">
        <f t="shared" si="6"/>
        <v>0.30303030303030304</v>
      </c>
      <c r="J247" s="4">
        <v>0.30303030303030304</v>
      </c>
      <c r="L247" t="s">
        <v>231</v>
      </c>
      <c r="M247">
        <v>7</v>
      </c>
      <c r="N247" t="s">
        <v>1</v>
      </c>
      <c r="O247">
        <v>1</v>
      </c>
      <c r="P247">
        <v>671</v>
      </c>
      <c r="Q247">
        <v>204</v>
      </c>
      <c r="R247" s="4">
        <f t="shared" si="7"/>
        <v>0.30402384500745155</v>
      </c>
    </row>
    <row r="248" spans="1:18">
      <c r="A248" t="s">
        <v>231</v>
      </c>
      <c r="B248">
        <v>7</v>
      </c>
      <c r="C248">
        <v>2</v>
      </c>
      <c r="D248">
        <v>12</v>
      </c>
      <c r="E248">
        <v>0</v>
      </c>
      <c r="F248">
        <v>5</v>
      </c>
      <c r="G248">
        <v>0</v>
      </c>
      <c r="H248" s="9">
        <v>33</v>
      </c>
      <c r="I248" s="4">
        <f t="shared" si="6"/>
        <v>0.36363636363636365</v>
      </c>
      <c r="J248" s="4">
        <v>0.36363636363636365</v>
      </c>
      <c r="L248" t="s">
        <v>231</v>
      </c>
      <c r="M248">
        <v>7</v>
      </c>
      <c r="N248" t="s">
        <v>780</v>
      </c>
      <c r="O248">
        <v>2</v>
      </c>
      <c r="P248">
        <v>671</v>
      </c>
      <c r="Q248">
        <v>252</v>
      </c>
      <c r="R248" s="4">
        <f t="shared" si="7"/>
        <v>0.37555886736214605</v>
      </c>
    </row>
    <row r="249" spans="1:18">
      <c r="A249" t="s">
        <v>231</v>
      </c>
      <c r="B249">
        <v>7</v>
      </c>
      <c r="C249">
        <v>3</v>
      </c>
      <c r="D249">
        <v>24</v>
      </c>
      <c r="E249">
        <v>0</v>
      </c>
      <c r="F249">
        <v>3</v>
      </c>
      <c r="G249">
        <v>0</v>
      </c>
      <c r="H249" s="9">
        <v>33</v>
      </c>
      <c r="I249" s="4">
        <f t="shared" si="6"/>
        <v>0.72727272727272729</v>
      </c>
      <c r="J249" s="4">
        <v>0.72727272727272729</v>
      </c>
      <c r="L249" t="s">
        <v>231</v>
      </c>
      <c r="M249">
        <v>7</v>
      </c>
      <c r="N249" t="s">
        <v>2</v>
      </c>
      <c r="O249">
        <v>3</v>
      </c>
      <c r="P249">
        <v>671</v>
      </c>
      <c r="Q249">
        <v>388</v>
      </c>
      <c r="R249" s="4">
        <f t="shared" si="7"/>
        <v>0.57824143070044709</v>
      </c>
    </row>
    <row r="250" spans="1:18">
      <c r="A250" t="s">
        <v>231</v>
      </c>
      <c r="B250">
        <v>7</v>
      </c>
      <c r="C250">
        <v>4</v>
      </c>
      <c r="D250">
        <v>33</v>
      </c>
      <c r="E250">
        <v>0</v>
      </c>
      <c r="F250">
        <v>0</v>
      </c>
      <c r="G250">
        <v>0</v>
      </c>
      <c r="H250" s="9">
        <v>33</v>
      </c>
      <c r="I250" s="4">
        <f t="shared" si="6"/>
        <v>1</v>
      </c>
      <c r="J250" s="4">
        <v>1</v>
      </c>
      <c r="L250" t="s">
        <v>231</v>
      </c>
      <c r="M250">
        <v>7</v>
      </c>
      <c r="N250" t="s">
        <v>239</v>
      </c>
      <c r="O250">
        <v>4</v>
      </c>
      <c r="P250">
        <v>671</v>
      </c>
      <c r="Q250">
        <v>596</v>
      </c>
      <c r="R250" s="4">
        <f t="shared" si="7"/>
        <v>0.8882265275707899</v>
      </c>
    </row>
    <row r="251" spans="1:18">
      <c r="A251" t="s">
        <v>231</v>
      </c>
      <c r="B251">
        <v>8</v>
      </c>
      <c r="C251">
        <v>1</v>
      </c>
      <c r="D251">
        <v>19</v>
      </c>
      <c r="E251">
        <v>0</v>
      </c>
      <c r="F251">
        <v>6</v>
      </c>
      <c r="G251">
        <v>0</v>
      </c>
      <c r="H251" s="9">
        <v>50</v>
      </c>
      <c r="I251" s="4">
        <f t="shared" si="6"/>
        <v>0.38</v>
      </c>
      <c r="J251" s="4">
        <v>0.38</v>
      </c>
      <c r="L251" t="s">
        <v>231</v>
      </c>
      <c r="M251">
        <v>8</v>
      </c>
      <c r="N251" t="s">
        <v>209</v>
      </c>
      <c r="O251">
        <v>1</v>
      </c>
      <c r="P251">
        <v>868</v>
      </c>
      <c r="Q251">
        <v>281</v>
      </c>
      <c r="R251" s="4">
        <f t="shared" si="7"/>
        <v>0.32373271889400923</v>
      </c>
    </row>
    <row r="252" spans="1:18">
      <c r="A252" t="s">
        <v>231</v>
      </c>
      <c r="B252">
        <v>8</v>
      </c>
      <c r="C252">
        <v>2</v>
      </c>
      <c r="D252">
        <v>28</v>
      </c>
      <c r="E252">
        <v>0</v>
      </c>
      <c r="F252">
        <v>4</v>
      </c>
      <c r="G252">
        <v>0</v>
      </c>
      <c r="H252" s="9">
        <v>50</v>
      </c>
      <c r="I252" s="4">
        <f t="shared" si="6"/>
        <v>0.56000000000000005</v>
      </c>
      <c r="J252" s="4">
        <v>0.56000000000000005</v>
      </c>
      <c r="L252" t="s">
        <v>231</v>
      </c>
      <c r="M252">
        <v>8</v>
      </c>
      <c r="N252" t="s">
        <v>180</v>
      </c>
      <c r="O252">
        <v>2</v>
      </c>
      <c r="P252">
        <v>868</v>
      </c>
      <c r="Q252">
        <v>457</v>
      </c>
      <c r="R252" s="4">
        <f t="shared" si="7"/>
        <v>0.52649769585253459</v>
      </c>
    </row>
    <row r="253" spans="1:18">
      <c r="A253" t="s">
        <v>231</v>
      </c>
      <c r="B253">
        <v>8</v>
      </c>
      <c r="C253">
        <v>3</v>
      </c>
      <c r="D253">
        <v>34</v>
      </c>
      <c r="E253">
        <v>0</v>
      </c>
      <c r="F253">
        <v>4</v>
      </c>
      <c r="G253">
        <v>0</v>
      </c>
      <c r="H253" s="9">
        <v>50</v>
      </c>
      <c r="I253" s="4">
        <f t="shared" si="6"/>
        <v>0.68</v>
      </c>
      <c r="J253" s="4">
        <v>0.82</v>
      </c>
      <c r="L253" t="s">
        <v>231</v>
      </c>
      <c r="M253">
        <v>8</v>
      </c>
      <c r="N253" t="s">
        <v>879</v>
      </c>
      <c r="O253">
        <v>3</v>
      </c>
      <c r="P253">
        <v>868</v>
      </c>
      <c r="Q253">
        <v>471</v>
      </c>
      <c r="R253" s="4">
        <f t="shared" si="7"/>
        <v>0.54262672811059909</v>
      </c>
    </row>
    <row r="254" spans="1:18">
      <c r="A254" t="s">
        <v>231</v>
      </c>
      <c r="B254">
        <v>8</v>
      </c>
      <c r="C254">
        <v>4</v>
      </c>
      <c r="D254">
        <v>44</v>
      </c>
      <c r="E254">
        <v>0</v>
      </c>
      <c r="F254">
        <v>2</v>
      </c>
      <c r="G254">
        <v>0</v>
      </c>
      <c r="H254" s="9">
        <v>50</v>
      </c>
      <c r="I254" s="4">
        <f t="shared" si="6"/>
        <v>0.88</v>
      </c>
      <c r="J254" s="4">
        <v>0.88</v>
      </c>
      <c r="L254" t="s">
        <v>231</v>
      </c>
      <c r="M254">
        <v>8</v>
      </c>
      <c r="N254" t="s">
        <v>211</v>
      </c>
      <c r="O254">
        <v>4</v>
      </c>
      <c r="P254">
        <v>868</v>
      </c>
      <c r="Q254">
        <v>488</v>
      </c>
      <c r="R254" s="4">
        <f t="shared" si="7"/>
        <v>0.56221198156682028</v>
      </c>
    </row>
    <row r="255" spans="1:18">
      <c r="A255" t="s">
        <v>231</v>
      </c>
      <c r="B255">
        <v>8</v>
      </c>
      <c r="C255">
        <v>5</v>
      </c>
      <c r="D255">
        <v>50</v>
      </c>
      <c r="E255">
        <v>0</v>
      </c>
      <c r="F255">
        <v>0</v>
      </c>
      <c r="G255">
        <v>0</v>
      </c>
      <c r="H255" s="9">
        <v>50</v>
      </c>
      <c r="I255" s="4">
        <f t="shared" si="6"/>
        <v>1</v>
      </c>
      <c r="J255" s="4">
        <v>1</v>
      </c>
      <c r="L255" t="s">
        <v>231</v>
      </c>
      <c r="M255">
        <v>8</v>
      </c>
      <c r="N255" t="s">
        <v>906</v>
      </c>
      <c r="O255">
        <v>5</v>
      </c>
      <c r="P255">
        <v>868</v>
      </c>
      <c r="Q255">
        <v>630</v>
      </c>
      <c r="R255" s="4">
        <f t="shared" si="7"/>
        <v>0.72580645161290325</v>
      </c>
    </row>
    <row r="256" spans="1:18">
      <c r="A256" t="s">
        <v>231</v>
      </c>
      <c r="B256">
        <v>9</v>
      </c>
      <c r="C256">
        <v>1</v>
      </c>
      <c r="D256">
        <v>7</v>
      </c>
      <c r="E256">
        <v>0</v>
      </c>
      <c r="F256">
        <v>5</v>
      </c>
      <c r="G256">
        <v>0</v>
      </c>
      <c r="H256" s="9">
        <v>36</v>
      </c>
      <c r="I256" s="4">
        <f t="shared" si="6"/>
        <v>0.19444444444444445</v>
      </c>
      <c r="J256" s="4">
        <v>0.19444444444444445</v>
      </c>
      <c r="L256" t="s">
        <v>231</v>
      </c>
      <c r="M256">
        <v>9</v>
      </c>
      <c r="N256" t="s">
        <v>557</v>
      </c>
      <c r="O256">
        <v>1</v>
      </c>
      <c r="P256">
        <v>714</v>
      </c>
      <c r="Q256">
        <v>180</v>
      </c>
      <c r="R256" s="4">
        <f t="shared" si="7"/>
        <v>0.25210084033613445</v>
      </c>
    </row>
    <row r="257" spans="1:18">
      <c r="A257" t="s">
        <v>231</v>
      </c>
      <c r="B257">
        <v>9</v>
      </c>
      <c r="C257">
        <v>2</v>
      </c>
      <c r="D257">
        <v>11</v>
      </c>
      <c r="E257">
        <v>0</v>
      </c>
      <c r="F257">
        <v>6</v>
      </c>
      <c r="G257">
        <v>0</v>
      </c>
      <c r="H257" s="9">
        <v>36</v>
      </c>
      <c r="I257" s="4">
        <f t="shared" si="6"/>
        <v>0.30555555555555558</v>
      </c>
      <c r="J257" s="4">
        <v>0.30555555555555558</v>
      </c>
      <c r="L257" t="s">
        <v>231</v>
      </c>
      <c r="M257">
        <v>9</v>
      </c>
      <c r="N257" t="s">
        <v>558</v>
      </c>
      <c r="O257">
        <v>2</v>
      </c>
      <c r="P257">
        <v>714</v>
      </c>
      <c r="Q257">
        <v>182</v>
      </c>
      <c r="R257" s="4">
        <f t="shared" si="7"/>
        <v>0.25490196078431371</v>
      </c>
    </row>
    <row r="258" spans="1:18">
      <c r="A258" t="s">
        <v>231</v>
      </c>
      <c r="B258">
        <v>9</v>
      </c>
      <c r="C258">
        <v>3</v>
      </c>
      <c r="D258">
        <v>12</v>
      </c>
      <c r="E258">
        <v>0</v>
      </c>
      <c r="F258">
        <v>5</v>
      </c>
      <c r="G258">
        <v>0</v>
      </c>
      <c r="H258" s="9">
        <v>36</v>
      </c>
      <c r="I258" s="4">
        <f t="shared" si="6"/>
        <v>0.33333333333333331</v>
      </c>
      <c r="J258" s="4">
        <v>0.33333333333333331</v>
      </c>
      <c r="L258" t="s">
        <v>231</v>
      </c>
      <c r="M258">
        <v>9</v>
      </c>
      <c r="N258" t="s">
        <v>559</v>
      </c>
      <c r="O258">
        <v>3</v>
      </c>
      <c r="P258">
        <v>714</v>
      </c>
      <c r="Q258">
        <v>186</v>
      </c>
      <c r="R258" s="4">
        <f t="shared" si="7"/>
        <v>0.26050420168067229</v>
      </c>
    </row>
    <row r="259" spans="1:18">
      <c r="A259" t="s">
        <v>231</v>
      </c>
      <c r="B259">
        <v>9</v>
      </c>
      <c r="C259">
        <v>4</v>
      </c>
      <c r="D259">
        <v>17</v>
      </c>
      <c r="E259">
        <v>0</v>
      </c>
      <c r="F259">
        <v>5</v>
      </c>
      <c r="G259">
        <v>0</v>
      </c>
      <c r="H259" s="9">
        <v>36</v>
      </c>
      <c r="I259" s="4">
        <f t="shared" ref="I259:I312" si="8">D259/H259</f>
        <v>0.47222222222222221</v>
      </c>
      <c r="J259" s="4">
        <v>0.47222222222222221</v>
      </c>
      <c r="L259" t="s">
        <v>231</v>
      </c>
      <c r="M259">
        <v>9</v>
      </c>
      <c r="N259" t="s">
        <v>560</v>
      </c>
      <c r="O259">
        <v>4</v>
      </c>
      <c r="P259">
        <v>714</v>
      </c>
      <c r="Q259">
        <v>212</v>
      </c>
      <c r="R259" s="4">
        <f t="shared" ref="R259:R312" si="9">Q259/P259</f>
        <v>0.2969187675070028</v>
      </c>
    </row>
    <row r="260" spans="1:18">
      <c r="A260" t="s">
        <v>231</v>
      </c>
      <c r="B260">
        <v>9</v>
      </c>
      <c r="C260">
        <v>5</v>
      </c>
      <c r="D260">
        <v>18</v>
      </c>
      <c r="E260">
        <v>0</v>
      </c>
      <c r="F260">
        <v>4</v>
      </c>
      <c r="G260">
        <v>0</v>
      </c>
      <c r="H260" s="9">
        <v>36</v>
      </c>
      <c r="I260" s="4">
        <f t="shared" si="8"/>
        <v>0.5</v>
      </c>
      <c r="J260" s="4">
        <v>0.52777777777777779</v>
      </c>
      <c r="L260" t="s">
        <v>231</v>
      </c>
      <c r="M260">
        <v>9</v>
      </c>
      <c r="N260" t="s">
        <v>563</v>
      </c>
      <c r="O260">
        <v>5</v>
      </c>
      <c r="P260">
        <v>714</v>
      </c>
      <c r="Q260">
        <v>228</v>
      </c>
      <c r="R260" s="4">
        <f t="shared" si="9"/>
        <v>0.31932773109243695</v>
      </c>
    </row>
    <row r="261" spans="1:18">
      <c r="A261" t="s">
        <v>231</v>
      </c>
      <c r="B261">
        <v>9</v>
      </c>
      <c r="C261">
        <v>6</v>
      </c>
      <c r="D261">
        <v>22</v>
      </c>
      <c r="E261">
        <v>0</v>
      </c>
      <c r="F261">
        <v>4</v>
      </c>
      <c r="G261">
        <v>0</v>
      </c>
      <c r="H261" s="9">
        <v>36</v>
      </c>
      <c r="I261" s="4">
        <f t="shared" si="8"/>
        <v>0.61111111111111116</v>
      </c>
      <c r="J261" s="4">
        <v>0.61111111111111116</v>
      </c>
      <c r="L261" t="s">
        <v>231</v>
      </c>
      <c r="M261">
        <v>9</v>
      </c>
      <c r="N261" t="s">
        <v>205</v>
      </c>
      <c r="O261">
        <v>6</v>
      </c>
      <c r="P261">
        <v>714</v>
      </c>
      <c r="Q261">
        <v>231</v>
      </c>
      <c r="R261" s="4">
        <f t="shared" si="9"/>
        <v>0.3235294117647059</v>
      </c>
    </row>
    <row r="262" spans="1:18">
      <c r="A262" t="s">
        <v>231</v>
      </c>
      <c r="B262">
        <v>9</v>
      </c>
      <c r="C262">
        <v>7</v>
      </c>
      <c r="D262">
        <v>23</v>
      </c>
      <c r="E262">
        <v>0</v>
      </c>
      <c r="F262">
        <v>3</v>
      </c>
      <c r="G262">
        <v>0</v>
      </c>
      <c r="H262" s="9">
        <v>36</v>
      </c>
      <c r="I262" s="4">
        <f t="shared" si="8"/>
        <v>0.63888888888888884</v>
      </c>
      <c r="J262" s="4">
        <v>0.63888888888888884</v>
      </c>
      <c r="L262" t="s">
        <v>231</v>
      </c>
      <c r="M262">
        <v>9</v>
      </c>
      <c r="N262" t="s">
        <v>564</v>
      </c>
      <c r="O262">
        <v>7</v>
      </c>
      <c r="P262">
        <v>714</v>
      </c>
      <c r="Q262">
        <v>237</v>
      </c>
      <c r="R262" s="4">
        <f t="shared" si="9"/>
        <v>0.33193277310924368</v>
      </c>
    </row>
    <row r="263" spans="1:18">
      <c r="A263" t="s">
        <v>231</v>
      </c>
      <c r="B263">
        <v>9</v>
      </c>
      <c r="C263">
        <v>8</v>
      </c>
      <c r="D263">
        <v>24</v>
      </c>
      <c r="E263">
        <v>0</v>
      </c>
      <c r="F263">
        <v>2</v>
      </c>
      <c r="G263">
        <v>0</v>
      </c>
      <c r="H263" s="9">
        <v>36</v>
      </c>
      <c r="I263" s="4">
        <f t="shared" si="8"/>
        <v>0.66666666666666663</v>
      </c>
      <c r="J263" s="4">
        <v>0.63888888888888884</v>
      </c>
      <c r="L263" t="s">
        <v>231</v>
      </c>
      <c r="M263">
        <v>9</v>
      </c>
      <c r="N263" t="s">
        <v>561</v>
      </c>
      <c r="O263">
        <v>8</v>
      </c>
      <c r="P263">
        <v>714</v>
      </c>
      <c r="Q263">
        <v>238</v>
      </c>
      <c r="R263" s="4">
        <f t="shared" si="9"/>
        <v>0.33333333333333331</v>
      </c>
    </row>
    <row r="264" spans="1:18">
      <c r="A264" t="s">
        <v>231</v>
      </c>
      <c r="B264">
        <v>9</v>
      </c>
      <c r="C264">
        <v>9</v>
      </c>
      <c r="D264">
        <v>24</v>
      </c>
      <c r="E264">
        <v>0</v>
      </c>
      <c r="F264">
        <v>2</v>
      </c>
      <c r="G264">
        <v>0</v>
      </c>
      <c r="H264" s="9">
        <v>36</v>
      </c>
      <c r="I264" s="4">
        <f t="shared" si="8"/>
        <v>0.66666666666666663</v>
      </c>
      <c r="J264" s="4">
        <v>0.66666666666666663</v>
      </c>
      <c r="L264" t="s">
        <v>231</v>
      </c>
      <c r="M264">
        <v>9</v>
      </c>
      <c r="N264" t="s">
        <v>566</v>
      </c>
      <c r="O264">
        <v>9</v>
      </c>
      <c r="P264">
        <v>714</v>
      </c>
      <c r="Q264">
        <v>239</v>
      </c>
      <c r="R264" s="4">
        <f t="shared" si="9"/>
        <v>0.33473389355742295</v>
      </c>
    </row>
    <row r="265" spans="1:18">
      <c r="A265" t="s">
        <v>231</v>
      </c>
      <c r="B265">
        <v>9</v>
      </c>
      <c r="C265">
        <v>10</v>
      </c>
      <c r="D265">
        <v>24</v>
      </c>
      <c r="E265">
        <v>0</v>
      </c>
      <c r="F265">
        <v>2</v>
      </c>
      <c r="G265">
        <v>0</v>
      </c>
      <c r="H265" s="9">
        <v>36</v>
      </c>
      <c r="I265" s="4">
        <f t="shared" si="8"/>
        <v>0.66666666666666663</v>
      </c>
      <c r="J265" s="4">
        <v>0.66666666666666663</v>
      </c>
      <c r="L265" t="s">
        <v>231</v>
      </c>
      <c r="M265">
        <v>9</v>
      </c>
      <c r="N265" t="s">
        <v>565</v>
      </c>
      <c r="O265">
        <v>10</v>
      </c>
      <c r="P265">
        <v>714</v>
      </c>
      <c r="Q265">
        <v>241</v>
      </c>
      <c r="R265" s="4">
        <f t="shared" si="9"/>
        <v>0.33753501400560226</v>
      </c>
    </row>
    <row r="266" spans="1:18">
      <c r="A266" t="s">
        <v>231</v>
      </c>
      <c r="B266">
        <v>9</v>
      </c>
      <c r="C266">
        <v>11</v>
      </c>
      <c r="D266">
        <v>24</v>
      </c>
      <c r="E266">
        <v>0</v>
      </c>
      <c r="F266">
        <v>2</v>
      </c>
      <c r="G266">
        <v>0</v>
      </c>
      <c r="H266" s="9">
        <v>36</v>
      </c>
      <c r="I266" s="4">
        <f t="shared" si="8"/>
        <v>0.66666666666666663</v>
      </c>
      <c r="J266" s="4">
        <v>0.66666666666666663</v>
      </c>
      <c r="L266" t="s">
        <v>231</v>
      </c>
      <c r="M266">
        <v>9</v>
      </c>
      <c r="N266" t="s">
        <v>562</v>
      </c>
      <c r="O266">
        <v>11</v>
      </c>
      <c r="P266">
        <v>714</v>
      </c>
      <c r="Q266">
        <v>248</v>
      </c>
      <c r="R266" s="4">
        <f t="shared" si="9"/>
        <v>0.34733893557422968</v>
      </c>
    </row>
    <row r="267" spans="1:18">
      <c r="A267" t="s">
        <v>231</v>
      </c>
      <c r="B267">
        <v>9</v>
      </c>
      <c r="C267">
        <v>12</v>
      </c>
      <c r="D267">
        <v>24</v>
      </c>
      <c r="E267">
        <v>0</v>
      </c>
      <c r="F267">
        <v>2</v>
      </c>
      <c r="G267">
        <v>0</v>
      </c>
      <c r="H267" s="9">
        <v>36</v>
      </c>
      <c r="I267" s="4">
        <f t="shared" si="8"/>
        <v>0.66666666666666663</v>
      </c>
      <c r="J267" s="4">
        <v>0.66666666666666663</v>
      </c>
      <c r="L267" t="s">
        <v>231</v>
      </c>
      <c r="M267">
        <v>9</v>
      </c>
      <c r="N267" t="s">
        <v>568</v>
      </c>
      <c r="O267">
        <v>12</v>
      </c>
      <c r="P267">
        <v>714</v>
      </c>
      <c r="Q267">
        <v>276</v>
      </c>
      <c r="R267" s="4">
        <f t="shared" si="9"/>
        <v>0.38655462184873951</v>
      </c>
    </row>
    <row r="268" spans="1:18">
      <c r="A268" t="s">
        <v>231</v>
      </c>
      <c r="B268">
        <v>9</v>
      </c>
      <c r="C268">
        <v>13</v>
      </c>
      <c r="D268">
        <v>24</v>
      </c>
      <c r="E268">
        <v>0</v>
      </c>
      <c r="F268">
        <v>2</v>
      </c>
      <c r="G268">
        <v>0</v>
      </c>
      <c r="H268" s="9">
        <v>36</v>
      </c>
      <c r="I268" s="4">
        <f t="shared" si="8"/>
        <v>0.66666666666666663</v>
      </c>
      <c r="J268" s="4">
        <v>0.66666666666666663</v>
      </c>
      <c r="L268" t="s">
        <v>231</v>
      </c>
      <c r="M268">
        <v>9</v>
      </c>
      <c r="N268" t="s">
        <v>567</v>
      </c>
      <c r="O268">
        <v>13</v>
      </c>
      <c r="P268">
        <v>714</v>
      </c>
      <c r="Q268">
        <v>283</v>
      </c>
      <c r="R268" s="4">
        <f t="shared" si="9"/>
        <v>0.39635854341736693</v>
      </c>
    </row>
    <row r="269" spans="1:18">
      <c r="A269" t="s">
        <v>231</v>
      </c>
      <c r="B269">
        <v>9</v>
      </c>
      <c r="C269">
        <v>14</v>
      </c>
      <c r="D269">
        <v>28</v>
      </c>
      <c r="E269">
        <v>0</v>
      </c>
      <c r="F269">
        <v>3</v>
      </c>
      <c r="G269">
        <v>0</v>
      </c>
      <c r="H269" s="9">
        <v>36</v>
      </c>
      <c r="I269" s="4">
        <f t="shared" si="8"/>
        <v>0.77777777777777779</v>
      </c>
      <c r="J269" s="4">
        <v>0.77777777777777779</v>
      </c>
      <c r="L269" t="s">
        <v>231</v>
      </c>
      <c r="M269">
        <v>9</v>
      </c>
      <c r="N269" t="s">
        <v>569</v>
      </c>
      <c r="O269">
        <v>14</v>
      </c>
      <c r="P269">
        <v>714</v>
      </c>
      <c r="Q269">
        <v>324</v>
      </c>
      <c r="R269" s="4">
        <f t="shared" si="9"/>
        <v>0.45378151260504201</v>
      </c>
    </row>
    <row r="270" spans="1:18">
      <c r="A270" t="s">
        <v>231</v>
      </c>
      <c r="B270">
        <v>9</v>
      </c>
      <c r="C270">
        <v>15</v>
      </c>
      <c r="D270">
        <v>34</v>
      </c>
      <c r="E270">
        <v>0</v>
      </c>
      <c r="F270">
        <v>2</v>
      </c>
      <c r="G270">
        <v>0</v>
      </c>
      <c r="H270" s="9">
        <v>36</v>
      </c>
      <c r="I270" s="4">
        <f t="shared" si="8"/>
        <v>0.94444444444444442</v>
      </c>
      <c r="J270" s="4">
        <v>0.94444444444444442</v>
      </c>
      <c r="L270" t="s">
        <v>231</v>
      </c>
      <c r="M270">
        <v>9</v>
      </c>
      <c r="N270" t="s">
        <v>907</v>
      </c>
      <c r="O270">
        <v>15</v>
      </c>
      <c r="P270">
        <v>714</v>
      </c>
      <c r="Q270">
        <v>450</v>
      </c>
      <c r="R270" s="4">
        <f t="shared" si="9"/>
        <v>0.63025210084033612</v>
      </c>
    </row>
    <row r="271" spans="1:18">
      <c r="A271" t="s">
        <v>231</v>
      </c>
      <c r="B271">
        <v>9</v>
      </c>
      <c r="C271">
        <v>16</v>
      </c>
      <c r="D271">
        <v>35</v>
      </c>
      <c r="E271">
        <v>0</v>
      </c>
      <c r="F271">
        <v>1</v>
      </c>
      <c r="G271">
        <v>0</v>
      </c>
      <c r="H271" s="9">
        <v>36</v>
      </c>
      <c r="I271" s="4">
        <f t="shared" si="8"/>
        <v>0.97222222222222221</v>
      </c>
      <c r="J271" s="4">
        <v>0.97222222222222221</v>
      </c>
      <c r="L271" t="s">
        <v>231</v>
      </c>
      <c r="M271">
        <v>9</v>
      </c>
      <c r="N271" t="s">
        <v>908</v>
      </c>
      <c r="O271">
        <v>16</v>
      </c>
      <c r="P271">
        <v>714</v>
      </c>
      <c r="Q271">
        <v>453</v>
      </c>
      <c r="R271" s="4">
        <f t="shared" si="9"/>
        <v>0.63445378151260501</v>
      </c>
    </row>
    <row r="272" spans="1:18">
      <c r="A272" t="s">
        <v>231</v>
      </c>
      <c r="B272">
        <v>9</v>
      </c>
      <c r="C272">
        <v>17</v>
      </c>
      <c r="D272">
        <v>35</v>
      </c>
      <c r="E272">
        <v>0</v>
      </c>
      <c r="F272">
        <v>1</v>
      </c>
      <c r="G272">
        <v>0</v>
      </c>
      <c r="H272" s="9">
        <v>36</v>
      </c>
      <c r="I272" s="4">
        <f t="shared" si="8"/>
        <v>0.97222222222222221</v>
      </c>
      <c r="J272" s="4">
        <v>0.97222222222222221</v>
      </c>
      <c r="L272" t="s">
        <v>231</v>
      </c>
      <c r="M272">
        <v>9</v>
      </c>
      <c r="N272" t="s">
        <v>909</v>
      </c>
      <c r="O272">
        <v>17</v>
      </c>
      <c r="P272">
        <v>714</v>
      </c>
      <c r="Q272">
        <v>478</v>
      </c>
      <c r="R272" s="4">
        <f t="shared" si="9"/>
        <v>0.66946778711484589</v>
      </c>
    </row>
    <row r="273" spans="1:18">
      <c r="A273" t="s">
        <v>231</v>
      </c>
      <c r="B273">
        <v>9</v>
      </c>
      <c r="C273">
        <v>18</v>
      </c>
      <c r="D273">
        <v>36</v>
      </c>
      <c r="E273">
        <v>0</v>
      </c>
      <c r="F273">
        <v>0</v>
      </c>
      <c r="G273">
        <v>0</v>
      </c>
      <c r="H273" s="9">
        <v>36</v>
      </c>
      <c r="I273" s="4">
        <f t="shared" si="8"/>
        <v>1</v>
      </c>
      <c r="J273" s="4">
        <v>1</v>
      </c>
      <c r="L273" t="s">
        <v>231</v>
      </c>
      <c r="M273">
        <v>9</v>
      </c>
      <c r="N273" t="s">
        <v>910</v>
      </c>
      <c r="O273">
        <v>18</v>
      </c>
      <c r="P273">
        <v>714</v>
      </c>
      <c r="Q273">
        <v>509</v>
      </c>
      <c r="R273" s="4">
        <f t="shared" si="9"/>
        <v>0.71288515406162467</v>
      </c>
    </row>
    <row r="274" spans="1:18">
      <c r="A274" t="s">
        <v>231</v>
      </c>
      <c r="B274">
        <v>9</v>
      </c>
      <c r="C274">
        <v>19</v>
      </c>
      <c r="D274">
        <v>36</v>
      </c>
      <c r="E274">
        <v>0</v>
      </c>
      <c r="F274">
        <v>0</v>
      </c>
      <c r="G274">
        <v>0</v>
      </c>
      <c r="H274" s="9">
        <v>36</v>
      </c>
      <c r="I274" s="4">
        <f t="shared" si="8"/>
        <v>1</v>
      </c>
      <c r="J274" s="4">
        <v>1</v>
      </c>
      <c r="L274" t="s">
        <v>231</v>
      </c>
      <c r="M274">
        <v>9</v>
      </c>
      <c r="N274" t="s">
        <v>911</v>
      </c>
      <c r="O274">
        <v>19</v>
      </c>
      <c r="P274">
        <v>714</v>
      </c>
      <c r="Q274">
        <v>510</v>
      </c>
      <c r="R274" s="4">
        <f t="shared" si="9"/>
        <v>0.7142857142857143</v>
      </c>
    </row>
    <row r="275" spans="1:18">
      <c r="A275" t="s">
        <v>231</v>
      </c>
      <c r="B275">
        <v>9</v>
      </c>
      <c r="C275">
        <v>20</v>
      </c>
      <c r="D275">
        <v>36</v>
      </c>
      <c r="E275">
        <v>0</v>
      </c>
      <c r="F275">
        <v>0</v>
      </c>
      <c r="G275">
        <v>0</v>
      </c>
      <c r="H275" s="9">
        <v>36</v>
      </c>
      <c r="I275" s="4">
        <f t="shared" si="8"/>
        <v>1</v>
      </c>
      <c r="J275" s="4">
        <v>1</v>
      </c>
      <c r="L275" t="s">
        <v>231</v>
      </c>
      <c r="M275">
        <v>9</v>
      </c>
      <c r="N275" t="s">
        <v>912</v>
      </c>
      <c r="O275">
        <v>20</v>
      </c>
      <c r="P275">
        <v>714</v>
      </c>
      <c r="Q275">
        <v>528</v>
      </c>
      <c r="R275" s="4">
        <f t="shared" si="9"/>
        <v>0.73949579831932777</v>
      </c>
    </row>
    <row r="276" spans="1:18">
      <c r="A276" t="s">
        <v>231</v>
      </c>
      <c r="B276">
        <v>10</v>
      </c>
      <c r="C276">
        <v>1</v>
      </c>
      <c r="D276">
        <v>22</v>
      </c>
      <c r="E276">
        <v>0</v>
      </c>
      <c r="F276">
        <v>7</v>
      </c>
      <c r="G276">
        <v>0</v>
      </c>
      <c r="H276" s="9">
        <v>30</v>
      </c>
      <c r="I276" s="4">
        <f t="shared" si="8"/>
        <v>0.73333333333333328</v>
      </c>
      <c r="J276" s="4">
        <v>0.73333333333333328</v>
      </c>
      <c r="L276" t="s">
        <v>231</v>
      </c>
      <c r="M276">
        <v>10</v>
      </c>
      <c r="N276" t="s">
        <v>233</v>
      </c>
      <c r="O276">
        <v>1</v>
      </c>
      <c r="P276">
        <v>838</v>
      </c>
      <c r="Q276">
        <v>753</v>
      </c>
      <c r="R276" s="4">
        <f t="shared" si="9"/>
        <v>0.89856801909307871</v>
      </c>
    </row>
    <row r="277" spans="1:18">
      <c r="A277" s="9" t="s">
        <v>231</v>
      </c>
      <c r="B277" s="9">
        <v>10</v>
      </c>
      <c r="C277" s="9">
        <v>2</v>
      </c>
      <c r="D277" s="9">
        <v>28</v>
      </c>
      <c r="E277" s="9">
        <v>0</v>
      </c>
      <c r="F277" s="9">
        <v>2</v>
      </c>
      <c r="G277" s="9">
        <v>0</v>
      </c>
      <c r="H277" s="9">
        <v>30</v>
      </c>
      <c r="I277" s="4">
        <f t="shared" si="8"/>
        <v>0.93333333333333335</v>
      </c>
      <c r="J277" s="4">
        <v>0.8666666666666667</v>
      </c>
      <c r="L277" t="s">
        <v>231</v>
      </c>
      <c r="M277">
        <v>10</v>
      </c>
      <c r="N277" t="s">
        <v>209</v>
      </c>
      <c r="O277">
        <v>2</v>
      </c>
      <c r="P277">
        <v>838</v>
      </c>
      <c r="Q277">
        <v>779</v>
      </c>
      <c r="R277" s="4">
        <f t="shared" si="9"/>
        <v>0.92959427207637235</v>
      </c>
    </row>
    <row r="278" spans="1:18">
      <c r="A278" t="s">
        <v>231</v>
      </c>
      <c r="B278">
        <v>10</v>
      </c>
      <c r="C278">
        <v>3</v>
      </c>
      <c r="D278">
        <v>28</v>
      </c>
      <c r="E278">
        <v>0</v>
      </c>
      <c r="F278">
        <v>2</v>
      </c>
      <c r="G278">
        <v>0</v>
      </c>
      <c r="H278" s="9">
        <v>30</v>
      </c>
      <c r="I278" s="4">
        <f t="shared" si="8"/>
        <v>0.93333333333333335</v>
      </c>
      <c r="J278" s="4">
        <v>0.93333333333333335</v>
      </c>
      <c r="L278" t="s">
        <v>231</v>
      </c>
      <c r="M278">
        <v>10</v>
      </c>
      <c r="N278" t="s">
        <v>541</v>
      </c>
      <c r="O278">
        <v>3</v>
      </c>
      <c r="P278">
        <v>838</v>
      </c>
      <c r="Q278">
        <v>780</v>
      </c>
      <c r="R278" s="4">
        <f t="shared" si="9"/>
        <v>0.93078758949880669</v>
      </c>
    </row>
    <row r="279" spans="1:18">
      <c r="A279" t="s">
        <v>231</v>
      </c>
      <c r="B279">
        <v>10</v>
      </c>
      <c r="C279">
        <v>4</v>
      </c>
      <c r="D279">
        <v>30</v>
      </c>
      <c r="E279">
        <v>0</v>
      </c>
      <c r="F279">
        <v>0</v>
      </c>
      <c r="G279">
        <v>0</v>
      </c>
      <c r="H279" s="9">
        <v>30</v>
      </c>
      <c r="I279" s="4">
        <f t="shared" si="8"/>
        <v>1</v>
      </c>
      <c r="J279" s="4">
        <v>0.93333333333333335</v>
      </c>
      <c r="L279" t="s">
        <v>231</v>
      </c>
      <c r="M279">
        <v>10</v>
      </c>
      <c r="N279" t="s">
        <v>234</v>
      </c>
      <c r="O279">
        <v>4</v>
      </c>
      <c r="P279">
        <v>838</v>
      </c>
      <c r="Q279">
        <v>800</v>
      </c>
      <c r="R279" s="4">
        <f t="shared" si="9"/>
        <v>0.95465393794749398</v>
      </c>
    </row>
    <row r="280" spans="1:18">
      <c r="A280" t="s">
        <v>231</v>
      </c>
      <c r="B280">
        <v>10</v>
      </c>
      <c r="C280">
        <v>5</v>
      </c>
      <c r="D280">
        <v>30</v>
      </c>
      <c r="E280">
        <v>0</v>
      </c>
      <c r="F280">
        <v>0</v>
      </c>
      <c r="G280">
        <v>0</v>
      </c>
      <c r="H280" s="9">
        <v>30</v>
      </c>
      <c r="I280" s="4">
        <f t="shared" si="8"/>
        <v>1</v>
      </c>
      <c r="J280" s="4">
        <v>1</v>
      </c>
      <c r="L280" t="s">
        <v>231</v>
      </c>
      <c r="M280">
        <v>10</v>
      </c>
      <c r="N280" t="s">
        <v>204</v>
      </c>
      <c r="O280">
        <v>5</v>
      </c>
      <c r="P280">
        <v>838</v>
      </c>
      <c r="Q280">
        <v>803</v>
      </c>
      <c r="R280" s="4">
        <f t="shared" si="9"/>
        <v>0.9582338902147971</v>
      </c>
    </row>
    <row r="281" spans="1:18">
      <c r="A281" t="s">
        <v>231</v>
      </c>
      <c r="B281">
        <v>10</v>
      </c>
      <c r="C281">
        <v>6</v>
      </c>
      <c r="D281">
        <v>30</v>
      </c>
      <c r="E281">
        <v>0</v>
      </c>
      <c r="F281">
        <v>0</v>
      </c>
      <c r="G281">
        <v>0</v>
      </c>
      <c r="H281" s="9">
        <v>30</v>
      </c>
      <c r="I281" s="4">
        <f t="shared" si="8"/>
        <v>1</v>
      </c>
      <c r="J281" s="4">
        <v>1</v>
      </c>
      <c r="L281" t="s">
        <v>231</v>
      </c>
      <c r="M281">
        <v>10</v>
      </c>
      <c r="N281" t="s">
        <v>780</v>
      </c>
      <c r="O281">
        <v>6</v>
      </c>
      <c r="P281">
        <v>838</v>
      </c>
      <c r="Q281">
        <v>1427</v>
      </c>
      <c r="R281" s="4">
        <f t="shared" si="9"/>
        <v>1.7028639618138426</v>
      </c>
    </row>
    <row r="282" spans="1:18">
      <c r="A282" t="s">
        <v>231</v>
      </c>
      <c r="B282">
        <v>10</v>
      </c>
      <c r="C282">
        <v>7</v>
      </c>
      <c r="D282">
        <v>30</v>
      </c>
      <c r="E282">
        <v>0</v>
      </c>
      <c r="F282">
        <v>0</v>
      </c>
      <c r="G282">
        <v>0</v>
      </c>
      <c r="H282" s="9">
        <v>30</v>
      </c>
      <c r="I282" s="4">
        <f t="shared" si="8"/>
        <v>1</v>
      </c>
      <c r="J282" s="4">
        <v>1</v>
      </c>
      <c r="L282" t="s">
        <v>231</v>
      </c>
      <c r="M282">
        <v>10</v>
      </c>
      <c r="N282" t="s">
        <v>239</v>
      </c>
      <c r="O282">
        <v>7</v>
      </c>
      <c r="P282">
        <v>838</v>
      </c>
      <c r="Q282">
        <v>1445</v>
      </c>
      <c r="R282" s="4">
        <f t="shared" si="9"/>
        <v>1.7243436754176611</v>
      </c>
    </row>
    <row r="283" spans="1:18">
      <c r="A283" t="s">
        <v>231</v>
      </c>
      <c r="B283">
        <v>10</v>
      </c>
      <c r="C283">
        <v>8</v>
      </c>
      <c r="D283">
        <v>30</v>
      </c>
      <c r="E283">
        <v>0</v>
      </c>
      <c r="F283">
        <v>0</v>
      </c>
      <c r="G283">
        <v>0</v>
      </c>
      <c r="H283" s="9">
        <v>30</v>
      </c>
      <c r="I283" s="4">
        <f t="shared" si="8"/>
        <v>1</v>
      </c>
      <c r="J283" s="4">
        <v>1</v>
      </c>
      <c r="L283" t="s">
        <v>231</v>
      </c>
      <c r="M283">
        <v>10</v>
      </c>
      <c r="N283" t="s">
        <v>906</v>
      </c>
      <c r="O283">
        <v>8</v>
      </c>
      <c r="P283">
        <v>838</v>
      </c>
      <c r="Q283">
        <v>1460</v>
      </c>
      <c r="R283" s="4">
        <f t="shared" si="9"/>
        <v>1.7422434367541766</v>
      </c>
    </row>
    <row r="284" spans="1:18">
      <c r="A284" t="s">
        <v>598</v>
      </c>
      <c r="B284">
        <v>2</v>
      </c>
      <c r="C284">
        <v>1</v>
      </c>
      <c r="D284">
        <v>25</v>
      </c>
      <c r="E284">
        <v>0</v>
      </c>
      <c r="F284">
        <v>3</v>
      </c>
      <c r="G284">
        <v>0</v>
      </c>
      <c r="H284" s="9">
        <v>71</v>
      </c>
      <c r="I284" s="4">
        <f t="shared" si="8"/>
        <v>0.352112676056338</v>
      </c>
      <c r="J284" s="4">
        <v>0.352112676056338</v>
      </c>
      <c r="L284" t="s">
        <v>598</v>
      </c>
      <c r="M284">
        <v>2</v>
      </c>
      <c r="N284" t="s">
        <v>693</v>
      </c>
      <c r="O284">
        <v>1</v>
      </c>
      <c r="P284">
        <v>1776</v>
      </c>
      <c r="Q284">
        <v>569</v>
      </c>
      <c r="R284" s="4">
        <f t="shared" si="9"/>
        <v>0.32038288288288286</v>
      </c>
    </row>
    <row r="285" spans="1:18">
      <c r="A285" t="s">
        <v>598</v>
      </c>
      <c r="B285">
        <v>2</v>
      </c>
      <c r="C285">
        <v>2</v>
      </c>
      <c r="D285">
        <v>45</v>
      </c>
      <c r="E285">
        <v>0</v>
      </c>
      <c r="F285">
        <v>4</v>
      </c>
      <c r="G285">
        <v>0</v>
      </c>
      <c r="H285" s="9">
        <v>71</v>
      </c>
      <c r="I285" s="4">
        <f t="shared" si="8"/>
        <v>0.63380281690140849</v>
      </c>
      <c r="J285" s="4">
        <v>0.63380281690140849</v>
      </c>
      <c r="L285" t="s">
        <v>598</v>
      </c>
      <c r="M285">
        <v>2</v>
      </c>
      <c r="N285" t="s">
        <v>599</v>
      </c>
      <c r="O285">
        <v>2</v>
      </c>
      <c r="P285">
        <v>1776</v>
      </c>
      <c r="Q285">
        <v>800</v>
      </c>
      <c r="R285" s="4">
        <f t="shared" si="9"/>
        <v>0.45045045045045046</v>
      </c>
    </row>
    <row r="286" spans="1:18">
      <c r="A286" t="s">
        <v>598</v>
      </c>
      <c r="B286">
        <v>2</v>
      </c>
      <c r="C286">
        <v>3</v>
      </c>
      <c r="D286">
        <v>50</v>
      </c>
      <c r="E286">
        <v>0</v>
      </c>
      <c r="F286">
        <v>2</v>
      </c>
      <c r="G286">
        <v>0</v>
      </c>
      <c r="H286" s="9">
        <v>71</v>
      </c>
      <c r="I286" s="4">
        <f t="shared" si="8"/>
        <v>0.70422535211267601</v>
      </c>
      <c r="J286" s="4">
        <v>0.70422535211267601</v>
      </c>
      <c r="L286" t="s">
        <v>598</v>
      </c>
      <c r="M286">
        <v>2</v>
      </c>
      <c r="N286" t="s">
        <v>913</v>
      </c>
      <c r="O286">
        <v>3</v>
      </c>
      <c r="P286">
        <v>1776</v>
      </c>
      <c r="Q286">
        <v>813</v>
      </c>
      <c r="R286" s="4">
        <f t="shared" si="9"/>
        <v>0.45777027027027029</v>
      </c>
    </row>
    <row r="287" spans="1:18">
      <c r="A287" t="s">
        <v>598</v>
      </c>
      <c r="B287">
        <v>2</v>
      </c>
      <c r="C287">
        <v>4</v>
      </c>
      <c r="D287">
        <v>60</v>
      </c>
      <c r="E287">
        <v>0</v>
      </c>
      <c r="F287">
        <v>2</v>
      </c>
      <c r="G287">
        <v>0</v>
      </c>
      <c r="H287" s="9">
        <v>71</v>
      </c>
      <c r="I287" s="4">
        <f t="shared" si="8"/>
        <v>0.84507042253521125</v>
      </c>
      <c r="J287" s="4">
        <v>0.84507042253521125</v>
      </c>
      <c r="L287" t="s">
        <v>598</v>
      </c>
      <c r="M287">
        <v>2</v>
      </c>
      <c r="N287" t="s">
        <v>914</v>
      </c>
      <c r="O287">
        <v>4</v>
      </c>
      <c r="P287">
        <v>1776</v>
      </c>
      <c r="Q287">
        <v>948</v>
      </c>
      <c r="R287" s="4">
        <f t="shared" si="9"/>
        <v>0.53378378378378377</v>
      </c>
    </row>
    <row r="288" spans="1:18">
      <c r="A288" t="s">
        <v>598</v>
      </c>
      <c r="B288">
        <v>2</v>
      </c>
      <c r="C288">
        <v>5</v>
      </c>
      <c r="D288">
        <v>71</v>
      </c>
      <c r="E288">
        <v>0</v>
      </c>
      <c r="F288">
        <v>0</v>
      </c>
      <c r="G288">
        <v>0</v>
      </c>
      <c r="H288" s="9">
        <v>71</v>
      </c>
      <c r="I288" s="4">
        <f t="shared" si="8"/>
        <v>1</v>
      </c>
      <c r="J288" s="4">
        <v>1</v>
      </c>
      <c r="L288" t="s">
        <v>598</v>
      </c>
      <c r="M288">
        <v>2</v>
      </c>
      <c r="N288" t="s">
        <v>915</v>
      </c>
      <c r="O288">
        <v>5</v>
      </c>
      <c r="P288">
        <v>1776</v>
      </c>
      <c r="Q288">
        <v>1236</v>
      </c>
      <c r="R288" s="4">
        <f t="shared" si="9"/>
        <v>0.69594594594594594</v>
      </c>
    </row>
    <row r="289" spans="1:18">
      <c r="A289" t="s">
        <v>598</v>
      </c>
      <c r="B289">
        <v>11</v>
      </c>
      <c r="C289">
        <v>1</v>
      </c>
      <c r="D289">
        <v>57</v>
      </c>
      <c r="E289">
        <v>0</v>
      </c>
      <c r="F289">
        <v>8</v>
      </c>
      <c r="G289">
        <v>0</v>
      </c>
      <c r="H289" s="9">
        <v>115</v>
      </c>
      <c r="I289" s="4">
        <f t="shared" si="8"/>
        <v>0.4956521739130435</v>
      </c>
      <c r="J289" s="4">
        <v>0.4956521739130435</v>
      </c>
      <c r="L289" t="s">
        <v>598</v>
      </c>
      <c r="M289">
        <v>11</v>
      </c>
      <c r="N289" t="s">
        <v>916</v>
      </c>
      <c r="O289">
        <v>1</v>
      </c>
      <c r="P289">
        <v>7914</v>
      </c>
      <c r="Q289">
        <v>4942</v>
      </c>
      <c r="R289" s="4">
        <f t="shared" si="9"/>
        <v>0.62446297700277986</v>
      </c>
    </row>
    <row r="290" spans="1:18">
      <c r="A290" t="s">
        <v>598</v>
      </c>
      <c r="B290">
        <v>11</v>
      </c>
      <c r="C290">
        <v>2</v>
      </c>
      <c r="D290">
        <v>67</v>
      </c>
      <c r="E290">
        <v>0</v>
      </c>
      <c r="F290">
        <v>5</v>
      </c>
      <c r="G290">
        <v>0</v>
      </c>
      <c r="H290" s="9">
        <v>115</v>
      </c>
      <c r="I290" s="4">
        <f t="shared" si="8"/>
        <v>0.58260869565217388</v>
      </c>
      <c r="J290" s="4">
        <v>0.58260869565217388</v>
      </c>
      <c r="L290" t="s">
        <v>598</v>
      </c>
      <c r="M290">
        <v>11</v>
      </c>
      <c r="N290" t="s">
        <v>917</v>
      </c>
      <c r="O290">
        <v>2</v>
      </c>
      <c r="P290">
        <v>7914</v>
      </c>
      <c r="Q290">
        <v>5279</v>
      </c>
      <c r="R290" s="4">
        <f t="shared" si="9"/>
        <v>0.66704574172352793</v>
      </c>
    </row>
    <row r="291" spans="1:18">
      <c r="A291" t="s">
        <v>598</v>
      </c>
      <c r="B291">
        <v>11</v>
      </c>
      <c r="C291">
        <v>3</v>
      </c>
      <c r="D291">
        <v>76</v>
      </c>
      <c r="E291">
        <v>0</v>
      </c>
      <c r="F291">
        <v>5</v>
      </c>
      <c r="G291">
        <v>0</v>
      </c>
      <c r="H291" s="9">
        <v>115</v>
      </c>
      <c r="I291" s="4">
        <f t="shared" si="8"/>
        <v>0.66086956521739126</v>
      </c>
      <c r="J291" s="4">
        <v>0.70434782608695656</v>
      </c>
      <c r="L291" t="s">
        <v>598</v>
      </c>
      <c r="M291">
        <v>11</v>
      </c>
      <c r="N291" t="s">
        <v>918</v>
      </c>
      <c r="O291">
        <v>3</v>
      </c>
      <c r="P291">
        <v>7914</v>
      </c>
      <c r="Q291">
        <v>5498</v>
      </c>
      <c r="R291" s="4">
        <f t="shared" si="9"/>
        <v>0.69471822087439983</v>
      </c>
    </row>
    <row r="292" spans="1:18">
      <c r="A292" t="s">
        <v>598</v>
      </c>
      <c r="B292">
        <v>11</v>
      </c>
      <c r="C292">
        <v>4</v>
      </c>
      <c r="D292">
        <v>90</v>
      </c>
      <c r="E292">
        <v>0</v>
      </c>
      <c r="F292">
        <v>8</v>
      </c>
      <c r="G292">
        <v>0</v>
      </c>
      <c r="H292" s="9">
        <v>115</v>
      </c>
      <c r="I292" s="4">
        <f t="shared" si="8"/>
        <v>0.78260869565217395</v>
      </c>
      <c r="J292" s="4">
        <v>0.78260869565217395</v>
      </c>
      <c r="L292" t="s">
        <v>598</v>
      </c>
      <c r="M292">
        <v>11</v>
      </c>
      <c r="N292" t="s">
        <v>919</v>
      </c>
      <c r="O292">
        <v>4</v>
      </c>
      <c r="P292">
        <v>7914</v>
      </c>
      <c r="Q292">
        <v>5533</v>
      </c>
      <c r="R292" s="4">
        <f t="shared" si="9"/>
        <v>0.69914076320444785</v>
      </c>
    </row>
    <row r="293" spans="1:18">
      <c r="A293" t="s">
        <v>598</v>
      </c>
      <c r="B293">
        <v>11</v>
      </c>
      <c r="C293">
        <v>5</v>
      </c>
      <c r="D293">
        <v>90</v>
      </c>
      <c r="E293">
        <v>0</v>
      </c>
      <c r="F293">
        <v>8</v>
      </c>
      <c r="G293">
        <v>0</v>
      </c>
      <c r="H293" s="9">
        <v>115</v>
      </c>
      <c r="I293" s="4">
        <f t="shared" si="8"/>
        <v>0.78260869565217395</v>
      </c>
      <c r="J293" s="4">
        <v>0.89565217391304353</v>
      </c>
      <c r="L293" t="s">
        <v>598</v>
      </c>
      <c r="M293">
        <v>11</v>
      </c>
      <c r="N293" t="s">
        <v>923</v>
      </c>
      <c r="O293">
        <v>5</v>
      </c>
      <c r="P293">
        <v>7914</v>
      </c>
      <c r="Q293">
        <v>5835</v>
      </c>
      <c r="R293" s="4">
        <f t="shared" si="9"/>
        <v>0.73730098559514778</v>
      </c>
    </row>
    <row r="294" spans="1:18">
      <c r="A294" t="s">
        <v>598</v>
      </c>
      <c r="B294">
        <v>11</v>
      </c>
      <c r="C294">
        <v>6</v>
      </c>
      <c r="D294">
        <v>103</v>
      </c>
      <c r="E294">
        <v>0</v>
      </c>
      <c r="F294">
        <v>2</v>
      </c>
      <c r="G294">
        <v>0</v>
      </c>
      <c r="H294" s="9">
        <v>115</v>
      </c>
      <c r="I294" s="4">
        <f t="shared" si="8"/>
        <v>0.89565217391304353</v>
      </c>
      <c r="J294" s="4">
        <v>0.89565217391304353</v>
      </c>
      <c r="L294" t="s">
        <v>598</v>
      </c>
      <c r="M294">
        <v>11</v>
      </c>
      <c r="N294" t="s">
        <v>921</v>
      </c>
      <c r="O294">
        <v>6</v>
      </c>
      <c r="P294">
        <v>7914</v>
      </c>
      <c r="Q294">
        <v>5844</v>
      </c>
      <c r="R294" s="4">
        <f t="shared" si="9"/>
        <v>0.73843821076573157</v>
      </c>
    </row>
    <row r="295" spans="1:18">
      <c r="A295" t="s">
        <v>598</v>
      </c>
      <c r="B295">
        <v>11</v>
      </c>
      <c r="C295">
        <v>7</v>
      </c>
      <c r="D295">
        <v>114</v>
      </c>
      <c r="E295">
        <v>0</v>
      </c>
      <c r="F295">
        <v>1</v>
      </c>
      <c r="G295">
        <v>0</v>
      </c>
      <c r="H295" s="9">
        <v>115</v>
      </c>
      <c r="I295" s="4">
        <f t="shared" si="8"/>
        <v>0.99130434782608701</v>
      </c>
      <c r="J295" s="4">
        <v>0.99130434782608701</v>
      </c>
      <c r="L295" t="s">
        <v>598</v>
      </c>
      <c r="M295">
        <v>11</v>
      </c>
      <c r="N295" t="s">
        <v>922</v>
      </c>
      <c r="O295">
        <v>7</v>
      </c>
      <c r="P295">
        <v>7914</v>
      </c>
      <c r="Q295">
        <v>5926</v>
      </c>
      <c r="R295" s="4">
        <f t="shared" si="9"/>
        <v>0.7487995956532727</v>
      </c>
    </row>
    <row r="296" spans="1:18">
      <c r="A296" t="s">
        <v>598</v>
      </c>
      <c r="B296">
        <v>11</v>
      </c>
      <c r="C296">
        <v>8</v>
      </c>
      <c r="D296">
        <v>114</v>
      </c>
      <c r="E296">
        <v>0</v>
      </c>
      <c r="F296">
        <v>1</v>
      </c>
      <c r="G296">
        <v>0</v>
      </c>
      <c r="H296" s="9">
        <v>115</v>
      </c>
      <c r="I296" s="4">
        <f t="shared" si="8"/>
        <v>0.99130434782608701</v>
      </c>
      <c r="J296" s="4">
        <v>0.99130434782608701</v>
      </c>
      <c r="L296" t="s">
        <v>598</v>
      </c>
      <c r="M296">
        <v>11</v>
      </c>
      <c r="N296" t="s">
        <v>920</v>
      </c>
      <c r="O296">
        <v>8</v>
      </c>
      <c r="P296">
        <v>7914</v>
      </c>
      <c r="Q296">
        <v>5950</v>
      </c>
      <c r="R296" s="4">
        <f t="shared" si="9"/>
        <v>0.75183219610816276</v>
      </c>
    </row>
    <row r="297" spans="1:18">
      <c r="A297" t="s">
        <v>598</v>
      </c>
      <c r="B297">
        <v>11</v>
      </c>
      <c r="C297">
        <v>9</v>
      </c>
      <c r="D297">
        <v>115</v>
      </c>
      <c r="E297">
        <v>0</v>
      </c>
      <c r="F297">
        <v>0</v>
      </c>
      <c r="G297">
        <v>0</v>
      </c>
      <c r="H297" s="9">
        <v>115</v>
      </c>
      <c r="I297" s="4">
        <f t="shared" si="8"/>
        <v>1</v>
      </c>
      <c r="J297" s="4">
        <v>1</v>
      </c>
      <c r="L297" t="s">
        <v>598</v>
      </c>
      <c r="M297">
        <v>11</v>
      </c>
      <c r="N297" t="s">
        <v>924</v>
      </c>
      <c r="O297">
        <v>9</v>
      </c>
      <c r="P297">
        <v>7914</v>
      </c>
      <c r="Q297">
        <v>6024</v>
      </c>
      <c r="R297" s="4">
        <f t="shared" si="9"/>
        <v>0.76118271417740713</v>
      </c>
    </row>
    <row r="298" spans="1:18">
      <c r="A298" t="s">
        <v>598</v>
      </c>
      <c r="B298">
        <v>11</v>
      </c>
      <c r="C298">
        <v>10</v>
      </c>
      <c r="D298">
        <v>115</v>
      </c>
      <c r="E298">
        <v>0</v>
      </c>
      <c r="F298">
        <v>0</v>
      </c>
      <c r="G298">
        <v>0</v>
      </c>
      <c r="H298" s="9">
        <v>115</v>
      </c>
      <c r="I298" s="4">
        <f>D298/H298</f>
        <v>1</v>
      </c>
      <c r="J298" s="4">
        <v>1</v>
      </c>
      <c r="L298" t="s">
        <v>598</v>
      </c>
      <c r="M298">
        <v>11</v>
      </c>
      <c r="N298" t="s">
        <v>935</v>
      </c>
      <c r="O298">
        <v>10</v>
      </c>
      <c r="P298">
        <v>7914</v>
      </c>
      <c r="Q298">
        <v>6196</v>
      </c>
      <c r="R298" s="4">
        <f t="shared" si="9"/>
        <v>0.78291635077078592</v>
      </c>
    </row>
    <row r="299" spans="1:18">
      <c r="A299" t="s">
        <v>598</v>
      </c>
      <c r="B299">
        <v>11</v>
      </c>
      <c r="C299">
        <v>11</v>
      </c>
      <c r="D299">
        <v>115</v>
      </c>
      <c r="E299">
        <v>0</v>
      </c>
      <c r="F299">
        <v>0</v>
      </c>
      <c r="G299">
        <v>0</v>
      </c>
      <c r="H299" s="9">
        <v>115</v>
      </c>
      <c r="I299" s="4">
        <f t="shared" si="8"/>
        <v>1</v>
      </c>
      <c r="J299" s="4">
        <v>1</v>
      </c>
      <c r="L299" t="s">
        <v>598</v>
      </c>
      <c r="M299">
        <v>11</v>
      </c>
      <c r="N299" t="s">
        <v>926</v>
      </c>
      <c r="O299">
        <v>11</v>
      </c>
      <c r="P299">
        <v>7914</v>
      </c>
      <c r="Q299">
        <v>6198</v>
      </c>
      <c r="R299" s="4">
        <f t="shared" si="9"/>
        <v>0.78316906747536008</v>
      </c>
    </row>
    <row r="300" spans="1:18">
      <c r="A300" t="s">
        <v>598</v>
      </c>
      <c r="B300">
        <v>11</v>
      </c>
      <c r="C300">
        <v>12</v>
      </c>
      <c r="D300">
        <v>115</v>
      </c>
      <c r="E300">
        <v>0</v>
      </c>
      <c r="F300">
        <v>0</v>
      </c>
      <c r="G300">
        <v>0</v>
      </c>
      <c r="H300" s="9">
        <v>115</v>
      </c>
      <c r="I300" s="4">
        <f t="shared" si="8"/>
        <v>1</v>
      </c>
      <c r="J300" s="4">
        <v>1</v>
      </c>
      <c r="L300" t="s">
        <v>598</v>
      </c>
      <c r="M300">
        <v>11</v>
      </c>
      <c r="N300" t="s">
        <v>925</v>
      </c>
      <c r="O300">
        <v>12</v>
      </c>
      <c r="P300">
        <v>7914</v>
      </c>
      <c r="Q300">
        <v>6199</v>
      </c>
      <c r="R300" s="4">
        <f t="shared" si="9"/>
        <v>0.78329542582764722</v>
      </c>
    </row>
    <row r="301" spans="1:18">
      <c r="A301" t="s">
        <v>598</v>
      </c>
      <c r="B301">
        <v>11</v>
      </c>
      <c r="C301">
        <v>13</v>
      </c>
      <c r="D301">
        <v>115</v>
      </c>
      <c r="E301">
        <v>0</v>
      </c>
      <c r="F301">
        <v>0</v>
      </c>
      <c r="G301">
        <v>0</v>
      </c>
      <c r="H301" s="9">
        <v>115</v>
      </c>
      <c r="I301" s="4">
        <f t="shared" si="8"/>
        <v>1</v>
      </c>
      <c r="J301" s="4">
        <v>1</v>
      </c>
      <c r="L301" t="s">
        <v>598</v>
      </c>
      <c r="M301">
        <v>11</v>
      </c>
      <c r="N301" t="s">
        <v>927</v>
      </c>
      <c r="O301">
        <v>13</v>
      </c>
      <c r="P301">
        <v>7914</v>
      </c>
      <c r="Q301">
        <v>6383</v>
      </c>
      <c r="R301" s="4">
        <f t="shared" si="9"/>
        <v>0.8065453626484711</v>
      </c>
    </row>
    <row r="302" spans="1:18">
      <c r="A302" t="s">
        <v>598</v>
      </c>
      <c r="B302">
        <v>11</v>
      </c>
      <c r="C302">
        <v>14</v>
      </c>
      <c r="D302">
        <v>115</v>
      </c>
      <c r="E302">
        <v>0</v>
      </c>
      <c r="F302">
        <v>0</v>
      </c>
      <c r="G302">
        <v>0</v>
      </c>
      <c r="H302" s="9">
        <v>115</v>
      </c>
      <c r="I302" s="4">
        <f t="shared" si="8"/>
        <v>1</v>
      </c>
      <c r="J302" s="4">
        <v>1</v>
      </c>
      <c r="L302" t="s">
        <v>598</v>
      </c>
      <c r="M302">
        <v>11</v>
      </c>
      <c r="N302" t="s">
        <v>930</v>
      </c>
      <c r="O302">
        <v>14</v>
      </c>
      <c r="P302">
        <v>7914</v>
      </c>
      <c r="Q302">
        <v>6443</v>
      </c>
      <c r="R302" s="4">
        <f t="shared" si="9"/>
        <v>0.81412686378569621</v>
      </c>
    </row>
    <row r="303" spans="1:18">
      <c r="A303" t="s">
        <v>598</v>
      </c>
      <c r="B303">
        <v>11</v>
      </c>
      <c r="C303">
        <v>15</v>
      </c>
      <c r="D303">
        <v>115</v>
      </c>
      <c r="E303">
        <v>0</v>
      </c>
      <c r="F303">
        <v>0</v>
      </c>
      <c r="G303">
        <v>0</v>
      </c>
      <c r="H303" s="9">
        <v>115</v>
      </c>
      <c r="I303" s="4">
        <f t="shared" si="8"/>
        <v>1</v>
      </c>
      <c r="J303" s="4">
        <v>1</v>
      </c>
      <c r="L303" t="s">
        <v>598</v>
      </c>
      <c r="M303">
        <v>11</v>
      </c>
      <c r="N303" t="s">
        <v>928</v>
      </c>
      <c r="O303">
        <v>15</v>
      </c>
      <c r="P303">
        <v>7914</v>
      </c>
      <c r="Q303">
        <v>6458</v>
      </c>
      <c r="R303" s="4">
        <f t="shared" si="9"/>
        <v>0.81602223907000249</v>
      </c>
    </row>
    <row r="304" spans="1:18">
      <c r="A304" t="s">
        <v>598</v>
      </c>
      <c r="B304">
        <v>11</v>
      </c>
      <c r="C304">
        <v>16</v>
      </c>
      <c r="D304">
        <v>115</v>
      </c>
      <c r="E304">
        <v>0</v>
      </c>
      <c r="F304">
        <v>0</v>
      </c>
      <c r="G304">
        <v>0</v>
      </c>
      <c r="H304" s="9">
        <v>115</v>
      </c>
      <c r="I304" s="4">
        <f t="shared" si="8"/>
        <v>1</v>
      </c>
      <c r="J304" s="4">
        <v>1</v>
      </c>
      <c r="L304" t="s">
        <v>598</v>
      </c>
      <c r="M304">
        <v>11</v>
      </c>
      <c r="N304" t="s">
        <v>931</v>
      </c>
      <c r="O304">
        <v>16</v>
      </c>
      <c r="P304">
        <v>7914</v>
      </c>
      <c r="Q304">
        <v>6578</v>
      </c>
      <c r="R304" s="4">
        <f t="shared" si="9"/>
        <v>0.83118524134445282</v>
      </c>
    </row>
    <row r="305" spans="1:18">
      <c r="A305" t="s">
        <v>598</v>
      </c>
      <c r="B305">
        <v>11</v>
      </c>
      <c r="C305">
        <v>17</v>
      </c>
      <c r="D305">
        <v>115</v>
      </c>
      <c r="E305">
        <v>0</v>
      </c>
      <c r="F305">
        <v>0</v>
      </c>
      <c r="G305">
        <v>0</v>
      </c>
      <c r="H305" s="9">
        <v>115</v>
      </c>
      <c r="I305" s="4">
        <f t="shared" si="8"/>
        <v>1</v>
      </c>
      <c r="J305" s="4">
        <v>1</v>
      </c>
      <c r="L305" t="s">
        <v>598</v>
      </c>
      <c r="M305">
        <v>11</v>
      </c>
      <c r="N305" t="s">
        <v>932</v>
      </c>
      <c r="O305">
        <v>17</v>
      </c>
      <c r="P305">
        <v>7914</v>
      </c>
      <c r="Q305">
        <v>6771</v>
      </c>
      <c r="R305" s="4">
        <f t="shared" si="9"/>
        <v>0.85557240333586049</v>
      </c>
    </row>
    <row r="306" spans="1:18">
      <c r="A306" t="s">
        <v>598</v>
      </c>
      <c r="B306">
        <v>11</v>
      </c>
      <c r="C306">
        <v>18</v>
      </c>
      <c r="D306">
        <v>115</v>
      </c>
      <c r="E306">
        <v>0</v>
      </c>
      <c r="F306">
        <v>0</v>
      </c>
      <c r="G306">
        <v>0</v>
      </c>
      <c r="H306" s="9">
        <v>115</v>
      </c>
      <c r="I306" s="4">
        <f t="shared" si="8"/>
        <v>1</v>
      </c>
      <c r="J306" s="4">
        <v>1</v>
      </c>
      <c r="L306" t="s">
        <v>598</v>
      </c>
      <c r="M306">
        <v>11</v>
      </c>
      <c r="N306" t="s">
        <v>934</v>
      </c>
      <c r="O306">
        <v>18</v>
      </c>
      <c r="P306">
        <v>7914</v>
      </c>
      <c r="Q306">
        <v>6825</v>
      </c>
      <c r="R306" s="4">
        <f t="shared" si="9"/>
        <v>0.86239575435936311</v>
      </c>
    </row>
    <row r="307" spans="1:18">
      <c r="A307" t="s">
        <v>598</v>
      </c>
      <c r="B307">
        <v>11</v>
      </c>
      <c r="C307">
        <v>19</v>
      </c>
      <c r="D307">
        <v>115</v>
      </c>
      <c r="E307">
        <v>0</v>
      </c>
      <c r="F307">
        <v>0</v>
      </c>
      <c r="G307">
        <v>0</v>
      </c>
      <c r="H307" s="9">
        <v>115</v>
      </c>
      <c r="I307" s="4">
        <f t="shared" si="8"/>
        <v>1</v>
      </c>
      <c r="J307" s="4">
        <v>1</v>
      </c>
      <c r="L307" t="s">
        <v>598</v>
      </c>
      <c r="M307">
        <v>11</v>
      </c>
      <c r="N307" t="s">
        <v>933</v>
      </c>
      <c r="O307">
        <v>19</v>
      </c>
      <c r="P307">
        <v>7914</v>
      </c>
      <c r="Q307">
        <v>6836</v>
      </c>
      <c r="R307" s="4">
        <f t="shared" si="9"/>
        <v>0.86378569623452106</v>
      </c>
    </row>
    <row r="308" spans="1:18">
      <c r="A308" t="s">
        <v>598</v>
      </c>
      <c r="B308">
        <v>11</v>
      </c>
      <c r="C308">
        <v>20</v>
      </c>
      <c r="D308">
        <v>115</v>
      </c>
      <c r="E308">
        <v>0</v>
      </c>
      <c r="F308">
        <v>0</v>
      </c>
      <c r="G308">
        <v>0</v>
      </c>
      <c r="H308" s="9">
        <v>115</v>
      </c>
      <c r="I308" s="4">
        <f t="shared" si="8"/>
        <v>1</v>
      </c>
      <c r="J308" s="4">
        <v>1</v>
      </c>
      <c r="L308" t="s">
        <v>598</v>
      </c>
      <c r="M308">
        <v>11</v>
      </c>
      <c r="N308" t="s">
        <v>939</v>
      </c>
      <c r="O308">
        <v>20</v>
      </c>
      <c r="P308">
        <v>7914</v>
      </c>
      <c r="Q308">
        <v>6946</v>
      </c>
      <c r="R308" s="4">
        <f t="shared" si="9"/>
        <v>0.87768511498610058</v>
      </c>
    </row>
    <row r="309" spans="1:18">
      <c r="A309" t="s">
        <v>598</v>
      </c>
      <c r="B309">
        <v>11</v>
      </c>
      <c r="C309">
        <v>21</v>
      </c>
      <c r="D309">
        <v>115</v>
      </c>
      <c r="E309">
        <v>0</v>
      </c>
      <c r="F309">
        <v>0</v>
      </c>
      <c r="G309">
        <v>0</v>
      </c>
      <c r="H309" s="9">
        <v>115</v>
      </c>
      <c r="I309" s="4">
        <f t="shared" si="8"/>
        <v>1</v>
      </c>
      <c r="J309" s="4">
        <v>1</v>
      </c>
      <c r="L309" t="s">
        <v>598</v>
      </c>
      <c r="M309">
        <v>11</v>
      </c>
      <c r="N309" t="s">
        <v>936</v>
      </c>
      <c r="O309">
        <v>21</v>
      </c>
      <c r="P309">
        <v>7914</v>
      </c>
      <c r="Q309">
        <v>7061</v>
      </c>
      <c r="R309" s="4">
        <f t="shared" si="9"/>
        <v>0.89221632549911545</v>
      </c>
    </row>
    <row r="310" spans="1:18">
      <c r="A310" t="s">
        <v>598</v>
      </c>
      <c r="B310">
        <v>11</v>
      </c>
      <c r="C310">
        <v>22</v>
      </c>
      <c r="D310">
        <v>115</v>
      </c>
      <c r="E310">
        <v>0</v>
      </c>
      <c r="F310">
        <v>0</v>
      </c>
      <c r="G310">
        <v>0</v>
      </c>
      <c r="H310" s="9">
        <v>115</v>
      </c>
      <c r="I310" s="4">
        <f t="shared" si="8"/>
        <v>1</v>
      </c>
      <c r="J310" s="4">
        <v>1</v>
      </c>
      <c r="L310" t="s">
        <v>598</v>
      </c>
      <c r="M310">
        <v>11</v>
      </c>
      <c r="N310" t="s">
        <v>937</v>
      </c>
      <c r="O310">
        <v>22</v>
      </c>
      <c r="P310">
        <v>7914</v>
      </c>
      <c r="Q310">
        <v>7117</v>
      </c>
      <c r="R310" s="4">
        <f t="shared" si="9"/>
        <v>0.89929239322719234</v>
      </c>
    </row>
    <row r="311" spans="1:18">
      <c r="A311" t="s">
        <v>598</v>
      </c>
      <c r="B311">
        <v>11</v>
      </c>
      <c r="C311">
        <v>23</v>
      </c>
      <c r="D311">
        <v>115</v>
      </c>
      <c r="E311">
        <v>0</v>
      </c>
      <c r="F311">
        <v>0</v>
      </c>
      <c r="G311">
        <v>0</v>
      </c>
      <c r="H311" s="9">
        <v>115</v>
      </c>
      <c r="I311" s="4">
        <f t="shared" si="8"/>
        <v>1</v>
      </c>
      <c r="J311" s="4">
        <v>1</v>
      </c>
      <c r="L311" t="s">
        <v>598</v>
      </c>
      <c r="M311">
        <v>11</v>
      </c>
      <c r="N311" t="s">
        <v>929</v>
      </c>
      <c r="O311">
        <v>23</v>
      </c>
      <c r="P311">
        <v>7914</v>
      </c>
      <c r="Q311">
        <v>7181</v>
      </c>
      <c r="R311" s="4">
        <f t="shared" si="9"/>
        <v>0.90737932777356578</v>
      </c>
    </row>
    <row r="312" spans="1:18">
      <c r="A312" t="s">
        <v>598</v>
      </c>
      <c r="B312">
        <v>11</v>
      </c>
      <c r="C312">
        <v>24</v>
      </c>
      <c r="D312">
        <v>115</v>
      </c>
      <c r="E312">
        <v>0</v>
      </c>
      <c r="F312">
        <v>0</v>
      </c>
      <c r="G312">
        <v>0</v>
      </c>
      <c r="H312" s="9">
        <v>115</v>
      </c>
      <c r="I312" s="4">
        <f t="shared" si="8"/>
        <v>1</v>
      </c>
      <c r="J312" s="4">
        <v>1</v>
      </c>
      <c r="L312" t="s">
        <v>598</v>
      </c>
      <c r="M312">
        <v>11</v>
      </c>
      <c r="N312" t="s">
        <v>938</v>
      </c>
      <c r="O312">
        <v>24</v>
      </c>
      <c r="P312">
        <v>7914</v>
      </c>
      <c r="Q312">
        <v>7239</v>
      </c>
      <c r="R312" s="4">
        <f t="shared" si="9"/>
        <v>0.91470811220621684</v>
      </c>
    </row>
    <row r="313" spans="1:18">
      <c r="I313" s="4"/>
      <c r="R313" s="4"/>
    </row>
    <row r="314" spans="1:18">
      <c r="I314" s="4"/>
      <c r="R314" s="4"/>
    </row>
    <row r="315" spans="1:18">
      <c r="I315" s="4"/>
      <c r="R315" s="4"/>
    </row>
    <row r="316" spans="1:18">
      <c r="I316" s="4"/>
      <c r="R316" s="4"/>
    </row>
    <row r="317" spans="1:18">
      <c r="I317" s="4"/>
      <c r="R317" s="4"/>
    </row>
    <row r="318" spans="1:18">
      <c r="I318" s="4"/>
      <c r="R318" s="4"/>
    </row>
    <row r="319" spans="1:18">
      <c r="I319" s="4"/>
      <c r="R319" s="4"/>
    </row>
    <row r="320" spans="1:18">
      <c r="I320" s="4"/>
      <c r="R320" s="4"/>
    </row>
    <row r="321" spans="9:18">
      <c r="I321" s="4"/>
      <c r="R321" s="4"/>
    </row>
    <row r="322" spans="9:18">
      <c r="I322" s="4"/>
      <c r="R322" s="4"/>
    </row>
    <row r="323" spans="9:18">
      <c r="I323" s="4"/>
      <c r="R323" s="4"/>
    </row>
    <row r="324" spans="9:18">
      <c r="I324" s="4"/>
      <c r="R324" s="4"/>
    </row>
    <row r="325" spans="9:18">
      <c r="I325" s="4"/>
      <c r="R325" s="4"/>
    </row>
    <row r="326" spans="9:18">
      <c r="I326" s="4"/>
      <c r="R326" s="4"/>
    </row>
    <row r="327" spans="9:18">
      <c r="I327" s="4"/>
      <c r="R327" s="4"/>
    </row>
    <row r="328" spans="9:18">
      <c r="I328" s="4"/>
      <c r="R328" s="4"/>
    </row>
    <row r="329" spans="9:18">
      <c r="I329" s="4"/>
      <c r="R329" s="4"/>
    </row>
    <row r="330" spans="9:18">
      <c r="I330" s="4"/>
      <c r="R330" s="4"/>
    </row>
    <row r="331" spans="9:18">
      <c r="I331" s="4"/>
      <c r="R331" s="4"/>
    </row>
    <row r="332" spans="9:18">
      <c r="I332" s="4"/>
      <c r="R332" s="4"/>
    </row>
    <row r="333" spans="9:18">
      <c r="I333" s="4"/>
      <c r="R333" s="4"/>
    </row>
    <row r="334" spans="9:18">
      <c r="I334" s="4"/>
      <c r="R334" s="4"/>
    </row>
    <row r="335" spans="9:18">
      <c r="I335" s="4"/>
      <c r="R335" s="4"/>
    </row>
    <row r="336" spans="9:18">
      <c r="I336" s="4"/>
      <c r="R336" s="4"/>
    </row>
    <row r="337" spans="9:18">
      <c r="I337" s="4"/>
      <c r="R337" s="4"/>
    </row>
    <row r="338" spans="9:18">
      <c r="I338" s="4"/>
      <c r="R338" s="4"/>
    </row>
    <row r="339" spans="9:18">
      <c r="I339" s="4"/>
      <c r="R339" s="4"/>
    </row>
    <row r="340" spans="9:18">
      <c r="I340" s="4"/>
      <c r="R340" s="4"/>
    </row>
    <row r="341" spans="9:18">
      <c r="I341" s="4"/>
      <c r="R341" s="4"/>
    </row>
    <row r="342" spans="9:18">
      <c r="I342" s="4"/>
      <c r="R342" s="4"/>
    </row>
    <row r="343" spans="9:18">
      <c r="I343" s="4"/>
      <c r="R343" s="4"/>
    </row>
    <row r="344" spans="9:18">
      <c r="I344" s="4"/>
      <c r="R344" s="4"/>
    </row>
    <row r="345" spans="9:18">
      <c r="I345" s="4"/>
      <c r="R345" s="4"/>
    </row>
    <row r="346" spans="9:18">
      <c r="I346" s="4"/>
      <c r="R346" s="4"/>
    </row>
    <row r="347" spans="9:18">
      <c r="I347" s="4"/>
      <c r="R347" s="4"/>
    </row>
    <row r="348" spans="9:18">
      <c r="I348" s="4"/>
      <c r="R348" s="4"/>
    </row>
    <row r="349" spans="9:18">
      <c r="I349" s="4"/>
      <c r="R349" s="4"/>
    </row>
    <row r="350" spans="9:18">
      <c r="I350" s="4"/>
      <c r="R350" s="4"/>
    </row>
    <row r="351" spans="9:18">
      <c r="I351" s="4"/>
      <c r="R351" s="4"/>
    </row>
    <row r="352" spans="9:18">
      <c r="I352" s="4"/>
      <c r="R352" s="4"/>
    </row>
    <row r="353" spans="9:18">
      <c r="I353" s="4"/>
      <c r="R353" s="4"/>
    </row>
    <row r="354" spans="9:18">
      <c r="I354" s="4"/>
      <c r="R354" s="4"/>
    </row>
    <row r="355" spans="9:18">
      <c r="I355" s="4"/>
      <c r="R355" s="4"/>
    </row>
    <row r="356" spans="9:18">
      <c r="I356" s="4"/>
      <c r="R356" s="4"/>
    </row>
    <row r="357" spans="9:18">
      <c r="I357" s="4"/>
      <c r="R357" s="4"/>
    </row>
    <row r="358" spans="9:18">
      <c r="I358" s="4"/>
      <c r="R358" s="4"/>
    </row>
    <row r="359" spans="9:18">
      <c r="I359" s="4"/>
      <c r="R359" s="4"/>
    </row>
    <row r="360" spans="9:18">
      <c r="I360" s="4"/>
      <c r="R360" s="4"/>
    </row>
    <row r="361" spans="9:18">
      <c r="I361" s="4"/>
      <c r="R361" s="4"/>
    </row>
    <row r="362" spans="9:18">
      <c r="I362" s="4"/>
      <c r="R362" s="4"/>
    </row>
    <row r="363" spans="9:18">
      <c r="I363" s="4"/>
      <c r="R363" s="4"/>
    </row>
    <row r="364" spans="9:18">
      <c r="I364" s="4"/>
      <c r="R364" s="4"/>
    </row>
    <row r="365" spans="9:18">
      <c r="I365" s="4"/>
      <c r="R365" s="4"/>
    </row>
    <row r="366" spans="9:18">
      <c r="I366" s="4"/>
      <c r="R366" s="4"/>
    </row>
    <row r="367" spans="9:18">
      <c r="I367" s="4"/>
      <c r="R367" s="4"/>
    </row>
    <row r="368" spans="9:18">
      <c r="I368" s="4"/>
      <c r="R368" s="4"/>
    </row>
    <row r="369" spans="9:18">
      <c r="I369" s="4"/>
      <c r="R369" s="4"/>
    </row>
    <row r="370" spans="9:18">
      <c r="I370" s="4"/>
      <c r="R370" s="4"/>
    </row>
    <row r="371" spans="9:18">
      <c r="I371" s="4"/>
      <c r="R371" s="4"/>
    </row>
    <row r="372" spans="9:18">
      <c r="I372" s="4"/>
      <c r="R372" s="4"/>
    </row>
    <row r="373" spans="9:18">
      <c r="I373" s="4"/>
      <c r="R373" s="4"/>
    </row>
    <row r="374" spans="9:18">
      <c r="I374" s="4"/>
      <c r="R374" s="4"/>
    </row>
    <row r="375" spans="9:18">
      <c r="I375" s="4"/>
      <c r="R375" s="4"/>
    </row>
    <row r="376" spans="9:18">
      <c r="I376" s="4"/>
      <c r="R376" s="4"/>
    </row>
    <row r="377" spans="9:18">
      <c r="I377" s="4"/>
      <c r="R377" s="4"/>
    </row>
    <row r="378" spans="9:18">
      <c r="I378" s="4"/>
      <c r="R378" s="4"/>
    </row>
    <row r="379" spans="9:18">
      <c r="I379" s="4"/>
      <c r="R379" s="4"/>
    </row>
    <row r="380" spans="9:18">
      <c r="I380" s="4"/>
      <c r="R380" s="4"/>
    </row>
    <row r="381" spans="9:18">
      <c r="I381" s="4"/>
      <c r="R381" s="4"/>
    </row>
    <row r="382" spans="9:18">
      <c r="I382" s="4"/>
      <c r="R382" s="4"/>
    </row>
    <row r="383" spans="9:18">
      <c r="I383" s="4"/>
      <c r="R383" s="4"/>
    </row>
    <row r="384" spans="9:18">
      <c r="I384" s="4"/>
      <c r="R384" s="4"/>
    </row>
    <row r="385" spans="1:18">
      <c r="I385" s="4"/>
      <c r="R385" s="4"/>
    </row>
    <row r="386" spans="1:18">
      <c r="I386" s="4"/>
      <c r="R386" s="4"/>
    </row>
    <row r="387" spans="1:18">
      <c r="I387" s="4"/>
      <c r="R387" s="4"/>
    </row>
    <row r="388" spans="1:18">
      <c r="I388" s="4"/>
      <c r="R388" s="4"/>
    </row>
    <row r="389" spans="1:18">
      <c r="A389" s="9"/>
      <c r="B389" s="9"/>
      <c r="C389" s="9"/>
      <c r="D389" s="9"/>
      <c r="E389" s="9"/>
      <c r="F389" s="9"/>
      <c r="G389" s="9"/>
      <c r="I389" s="4"/>
      <c r="R389" s="4"/>
    </row>
    <row r="390" spans="1:18">
      <c r="I390" s="4"/>
      <c r="R390" s="4"/>
    </row>
    <row r="391" spans="1:18">
      <c r="I391" s="4"/>
      <c r="R391" s="4"/>
    </row>
    <row r="392" spans="1:18">
      <c r="I392" s="4"/>
      <c r="R392" s="4"/>
    </row>
    <row r="393" spans="1:18">
      <c r="I393" s="4"/>
      <c r="R393" s="4"/>
    </row>
    <row r="394" spans="1:18">
      <c r="I394" s="4"/>
      <c r="R394" s="4"/>
    </row>
    <row r="395" spans="1:18">
      <c r="I395" s="4"/>
      <c r="R395" s="4"/>
    </row>
    <row r="396" spans="1:18">
      <c r="I396" s="4"/>
      <c r="R396" s="4"/>
    </row>
    <row r="397" spans="1:18">
      <c r="I397" s="4"/>
      <c r="R397" s="4"/>
    </row>
    <row r="398" spans="1:18">
      <c r="I398" s="4"/>
      <c r="R398" s="4"/>
    </row>
    <row r="399" spans="1:18">
      <c r="I399" s="4"/>
      <c r="R399" s="4"/>
    </row>
    <row r="400" spans="1:18">
      <c r="I400" s="4"/>
      <c r="R400" s="4"/>
    </row>
    <row r="401" spans="9:18">
      <c r="I401" s="4"/>
      <c r="R401" s="4"/>
    </row>
    <row r="402" spans="9:18">
      <c r="I402" s="4"/>
      <c r="R402" s="4"/>
    </row>
    <row r="403" spans="9:18">
      <c r="I403" s="4"/>
      <c r="R403" s="4"/>
    </row>
    <row r="404" spans="9:18">
      <c r="I404" s="4"/>
      <c r="R404" s="4"/>
    </row>
    <row r="405" spans="9:18">
      <c r="I405" s="4"/>
      <c r="R405" s="4"/>
    </row>
    <row r="406" spans="9:18">
      <c r="I406" s="4"/>
      <c r="R406" s="4"/>
    </row>
    <row r="407" spans="9:18">
      <c r="I407" s="4"/>
      <c r="R407" s="4"/>
    </row>
    <row r="408" spans="9:18">
      <c r="I408" s="4"/>
      <c r="R408" s="4"/>
    </row>
    <row r="409" spans="9:18">
      <c r="I409" s="4"/>
      <c r="R409" s="4"/>
    </row>
    <row r="410" spans="9:18">
      <c r="I410" s="4"/>
      <c r="R410" s="4"/>
    </row>
    <row r="411" spans="9:18">
      <c r="I411" s="4"/>
      <c r="R411" s="4"/>
    </row>
    <row r="412" spans="9:18">
      <c r="I412" s="4"/>
      <c r="R412" s="4"/>
    </row>
    <row r="413" spans="9:18">
      <c r="I413" s="4"/>
      <c r="R413" s="4"/>
    </row>
    <row r="414" spans="9:18">
      <c r="I414" s="4"/>
      <c r="R414" s="4"/>
    </row>
    <row r="415" spans="9:18">
      <c r="I415" s="4"/>
      <c r="R415" s="4"/>
    </row>
    <row r="416" spans="9:18">
      <c r="I416" s="4"/>
      <c r="R416" s="4"/>
    </row>
    <row r="417" spans="1:18">
      <c r="I417" s="4"/>
      <c r="R417" s="4"/>
    </row>
    <row r="418" spans="1:18">
      <c r="I418" s="4"/>
      <c r="R418" s="4"/>
    </row>
    <row r="419" spans="1:18">
      <c r="I419" s="4"/>
      <c r="R419" s="4"/>
    </row>
    <row r="420" spans="1:18">
      <c r="A420" s="9"/>
      <c r="B420" s="9"/>
      <c r="C420" s="9"/>
      <c r="D420" s="9"/>
      <c r="E420" s="9"/>
      <c r="F420" s="9"/>
      <c r="G420" s="9"/>
      <c r="I420" s="4"/>
      <c r="R420" s="4"/>
    </row>
    <row r="421" spans="1:18">
      <c r="I421" s="4"/>
      <c r="R421" s="4"/>
    </row>
    <row r="422" spans="1:18">
      <c r="I422" s="4"/>
      <c r="R422" s="4"/>
    </row>
    <row r="423" spans="1:18">
      <c r="I423" s="4"/>
      <c r="R423" s="4"/>
    </row>
    <row r="424" spans="1:18">
      <c r="I424" s="4"/>
      <c r="R424" s="4"/>
    </row>
    <row r="425" spans="1:18">
      <c r="I425" s="4"/>
      <c r="R425" s="4"/>
    </row>
    <row r="426" spans="1:18">
      <c r="I426" s="4"/>
      <c r="R426" s="4"/>
    </row>
    <row r="427" spans="1:18">
      <c r="I427" s="4"/>
      <c r="R427" s="4"/>
    </row>
    <row r="428" spans="1:18">
      <c r="I428" s="4"/>
      <c r="R428" s="4"/>
    </row>
    <row r="429" spans="1:18">
      <c r="I429" s="4"/>
      <c r="R429" s="4"/>
    </row>
    <row r="430" spans="1:18">
      <c r="I430" s="4"/>
      <c r="R430" s="4"/>
    </row>
    <row r="431" spans="1:18">
      <c r="I431" s="4"/>
      <c r="R431" s="4"/>
    </row>
    <row r="432" spans="1:18">
      <c r="I432" s="4"/>
      <c r="R432" s="4"/>
    </row>
    <row r="433" spans="9:18">
      <c r="I433" s="4"/>
      <c r="R433" s="4"/>
    </row>
    <row r="434" spans="9:18">
      <c r="I434" s="4"/>
      <c r="R434" s="4"/>
    </row>
    <row r="435" spans="9:18">
      <c r="I435" s="4"/>
      <c r="R435" s="4"/>
    </row>
    <row r="436" spans="9:18">
      <c r="I436" s="4"/>
      <c r="R436" s="4"/>
    </row>
    <row r="437" spans="9:18">
      <c r="I437" s="4"/>
      <c r="R437" s="4"/>
    </row>
    <row r="438" spans="9:18">
      <c r="I438" s="4"/>
      <c r="R438" s="4"/>
    </row>
    <row r="439" spans="9:18">
      <c r="I439" s="4"/>
      <c r="R439" s="4"/>
    </row>
    <row r="440" spans="9:18">
      <c r="I440" s="4"/>
      <c r="R440" s="4"/>
    </row>
    <row r="441" spans="9:18">
      <c r="I441" s="4"/>
      <c r="R441" s="4"/>
    </row>
    <row r="442" spans="9:18">
      <c r="I442" s="4"/>
      <c r="R442" s="4"/>
    </row>
    <row r="443" spans="9:18">
      <c r="I443" s="4"/>
      <c r="R443" s="4"/>
    </row>
    <row r="444" spans="9:18">
      <c r="I444" s="4"/>
      <c r="R444" s="4"/>
    </row>
    <row r="445" spans="9:18">
      <c r="I445" s="4"/>
      <c r="R445" s="4"/>
    </row>
    <row r="446" spans="9:18">
      <c r="I446" s="4"/>
      <c r="R446" s="4"/>
    </row>
    <row r="447" spans="9:18">
      <c r="I447" s="4"/>
      <c r="R447" s="4"/>
    </row>
    <row r="448" spans="9:18">
      <c r="I448" s="4"/>
      <c r="R448" s="4"/>
    </row>
    <row r="449" spans="9:18">
      <c r="I449" s="4"/>
      <c r="R449" s="4"/>
    </row>
    <row r="450" spans="9:18">
      <c r="I450" s="4"/>
      <c r="R450" s="4"/>
    </row>
    <row r="451" spans="9:18">
      <c r="I451" s="4"/>
      <c r="R451" s="4"/>
    </row>
    <row r="452" spans="9:18">
      <c r="I452" s="4"/>
      <c r="R452" s="4"/>
    </row>
    <row r="453" spans="9:18">
      <c r="I453" s="4"/>
      <c r="R453" s="4"/>
    </row>
    <row r="454" spans="9:18">
      <c r="I454" s="4"/>
      <c r="R454" s="4"/>
    </row>
    <row r="455" spans="9:18">
      <c r="I455" s="4"/>
      <c r="R455" s="4"/>
    </row>
    <row r="456" spans="9:18">
      <c r="I456" s="4"/>
      <c r="R456" s="4"/>
    </row>
    <row r="457" spans="9:18">
      <c r="I457" s="4"/>
      <c r="R457" s="4"/>
    </row>
    <row r="458" spans="9:18">
      <c r="I458" s="4"/>
      <c r="R458" s="4"/>
    </row>
    <row r="459" spans="9:18">
      <c r="I459" s="4"/>
      <c r="R459" s="4"/>
    </row>
    <row r="460" spans="9:18">
      <c r="I460" s="4"/>
      <c r="R460" s="4"/>
    </row>
    <row r="461" spans="9:18">
      <c r="I461" s="4"/>
      <c r="R461" s="4"/>
    </row>
    <row r="462" spans="9:18">
      <c r="I462" s="4"/>
      <c r="R462" s="4"/>
    </row>
    <row r="463" spans="9:18">
      <c r="I463" s="4"/>
      <c r="R463" s="4"/>
    </row>
    <row r="464" spans="9:18">
      <c r="I464" s="4"/>
      <c r="R464" s="4"/>
    </row>
    <row r="465" spans="9:18">
      <c r="I465" s="4"/>
      <c r="R465" s="4"/>
    </row>
    <row r="466" spans="9:18">
      <c r="I466" s="4"/>
      <c r="R466" s="4"/>
    </row>
    <row r="467" spans="9:18">
      <c r="I467" s="4"/>
      <c r="R467" s="4"/>
    </row>
    <row r="468" spans="9:18">
      <c r="I468" s="4"/>
      <c r="R468" s="4"/>
    </row>
    <row r="469" spans="9:18">
      <c r="I469" s="4"/>
      <c r="R469" s="4"/>
    </row>
    <row r="470" spans="9:18">
      <c r="I470" s="4"/>
      <c r="R470" s="4"/>
    </row>
    <row r="471" spans="9:18">
      <c r="I471" s="4"/>
      <c r="R471" s="4"/>
    </row>
    <row r="472" spans="9:18">
      <c r="I472" s="4"/>
      <c r="R472" s="4"/>
    </row>
    <row r="473" spans="9:18">
      <c r="I473" s="4"/>
      <c r="R473" s="4"/>
    </row>
    <row r="474" spans="9:18">
      <c r="I474" s="4"/>
      <c r="R474" s="4"/>
    </row>
    <row r="475" spans="9:18">
      <c r="I475" s="4"/>
      <c r="R475" s="4"/>
    </row>
    <row r="476" spans="9:18">
      <c r="I476" s="4"/>
      <c r="R476" s="4"/>
    </row>
    <row r="477" spans="9:18">
      <c r="I477" s="4"/>
      <c r="R477" s="4"/>
    </row>
    <row r="478" spans="9:18">
      <c r="I478" s="4"/>
      <c r="R478" s="4"/>
    </row>
    <row r="479" spans="9:18">
      <c r="I479" s="4"/>
      <c r="R479" s="4"/>
    </row>
    <row r="480" spans="9:18">
      <c r="I480" s="4"/>
      <c r="R480" s="4"/>
    </row>
    <row r="481" spans="9:18">
      <c r="I481" s="4"/>
      <c r="R481" s="4"/>
    </row>
    <row r="482" spans="9:18">
      <c r="I482" s="4"/>
      <c r="R482" s="4"/>
    </row>
    <row r="483" spans="9:18">
      <c r="I483" s="4"/>
      <c r="R483" s="4"/>
    </row>
    <row r="484" spans="9:18">
      <c r="I484" s="4"/>
      <c r="R484" s="4"/>
    </row>
    <row r="485" spans="9:18">
      <c r="I485" s="4"/>
      <c r="R485" s="4"/>
    </row>
    <row r="486" spans="9:18">
      <c r="I486" s="4"/>
      <c r="R486" s="4"/>
    </row>
    <row r="487" spans="9:18">
      <c r="I487" s="4"/>
      <c r="R487" s="4"/>
    </row>
    <row r="488" spans="9:18">
      <c r="I488" s="4"/>
      <c r="R488" s="4"/>
    </row>
    <row r="489" spans="9:18">
      <c r="I489" s="4"/>
      <c r="R489" s="4"/>
    </row>
    <row r="490" spans="9:18">
      <c r="I490" s="4"/>
      <c r="R490" s="4"/>
    </row>
    <row r="491" spans="9:18">
      <c r="I491" s="4"/>
      <c r="R491" s="4"/>
    </row>
    <row r="492" spans="9:18">
      <c r="I492" s="4"/>
      <c r="R492" s="4"/>
    </row>
    <row r="493" spans="9:18">
      <c r="I493" s="4"/>
      <c r="R493" s="4"/>
    </row>
    <row r="494" spans="9:18">
      <c r="I494" s="4"/>
      <c r="R494" s="4"/>
    </row>
    <row r="495" spans="9:18">
      <c r="I495" s="4"/>
      <c r="R495" s="4"/>
    </row>
    <row r="496" spans="9:18">
      <c r="I496" s="4"/>
      <c r="R496" s="4"/>
    </row>
    <row r="497" spans="9:18">
      <c r="I497" s="4"/>
      <c r="R497" s="4"/>
    </row>
    <row r="498" spans="9:18">
      <c r="I498" s="4"/>
      <c r="R498" s="4"/>
    </row>
    <row r="499" spans="9:18">
      <c r="I499" s="4"/>
      <c r="R499" s="4"/>
    </row>
    <row r="500" spans="9:18">
      <c r="I500" s="4"/>
      <c r="R500" s="4"/>
    </row>
    <row r="501" spans="9:18">
      <c r="I501" s="4"/>
      <c r="R501" s="4"/>
    </row>
    <row r="502" spans="9:18">
      <c r="I502" s="4"/>
      <c r="R502" s="4"/>
    </row>
    <row r="503" spans="9:18">
      <c r="I503" s="4"/>
      <c r="R503" s="4"/>
    </row>
    <row r="504" spans="9:18">
      <c r="I504" s="4"/>
      <c r="R504" s="4"/>
    </row>
    <row r="505" spans="9:18">
      <c r="I505" s="4"/>
      <c r="R505" s="4"/>
    </row>
    <row r="506" spans="9:18">
      <c r="I506" s="4"/>
      <c r="R506" s="4"/>
    </row>
    <row r="507" spans="9:18">
      <c r="I507" s="4"/>
      <c r="R507" s="4"/>
    </row>
    <row r="508" spans="9:18">
      <c r="I508" s="4"/>
      <c r="R508" s="4"/>
    </row>
    <row r="509" spans="9:18">
      <c r="I509" s="4"/>
      <c r="R509" s="4"/>
    </row>
    <row r="510" spans="9:18">
      <c r="I510" s="4"/>
      <c r="R510" s="4"/>
    </row>
    <row r="511" spans="9:18">
      <c r="I511" s="4"/>
      <c r="R511" s="4"/>
    </row>
    <row r="512" spans="9:18">
      <c r="I512" s="4"/>
      <c r="R512" s="4"/>
    </row>
    <row r="513" spans="9:18">
      <c r="I513" s="4"/>
      <c r="R513" s="4"/>
    </row>
    <row r="514" spans="9:18">
      <c r="I514" s="4"/>
      <c r="R514" s="4"/>
    </row>
    <row r="515" spans="9:18">
      <c r="I515" s="4"/>
      <c r="R515" s="4"/>
    </row>
    <row r="516" spans="9:18">
      <c r="I516" s="4"/>
      <c r="R516" s="4"/>
    </row>
    <row r="517" spans="9:18">
      <c r="I517" s="4"/>
      <c r="R517" s="4"/>
    </row>
    <row r="518" spans="9:18">
      <c r="I518" s="4"/>
      <c r="R518" s="4"/>
    </row>
    <row r="519" spans="9:18">
      <c r="I519" s="4"/>
      <c r="R519" s="4"/>
    </row>
    <row r="520" spans="9:18">
      <c r="I520" s="4"/>
      <c r="R520" s="4"/>
    </row>
    <row r="521" spans="9:18">
      <c r="I521" s="4"/>
      <c r="R521" s="4"/>
    </row>
    <row r="522" spans="9:18">
      <c r="I522" s="4"/>
      <c r="R522" s="4"/>
    </row>
    <row r="523" spans="9:18">
      <c r="I523" s="4"/>
      <c r="R523" s="4"/>
    </row>
    <row r="524" spans="9:18">
      <c r="I524" s="4"/>
      <c r="R524" s="4"/>
    </row>
    <row r="525" spans="9:18">
      <c r="I525" s="4"/>
      <c r="R525" s="4"/>
    </row>
    <row r="526" spans="9:18">
      <c r="I526" s="4"/>
      <c r="R526" s="4"/>
    </row>
    <row r="527" spans="9:18">
      <c r="I527" s="4"/>
      <c r="R527" s="4"/>
    </row>
    <row r="528" spans="9:18">
      <c r="I528" s="4"/>
      <c r="R528" s="4"/>
    </row>
    <row r="529" spans="9:18">
      <c r="I529" s="4"/>
      <c r="R529" s="4"/>
    </row>
    <row r="530" spans="9:18">
      <c r="I530" s="4"/>
      <c r="R530" s="4"/>
    </row>
    <row r="531" spans="9:18">
      <c r="I531" s="4"/>
      <c r="R531" s="4"/>
    </row>
    <row r="532" spans="9:18">
      <c r="I532" s="4"/>
      <c r="R532" s="4"/>
    </row>
    <row r="533" spans="9:18">
      <c r="I533" s="4"/>
      <c r="R533" s="4"/>
    </row>
    <row r="534" spans="9:18">
      <c r="I534" s="4"/>
      <c r="R534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3"/>
  <sheetViews>
    <sheetView topLeftCell="A223" workbookViewId="0">
      <selection activeCell="I251" sqref="I236:I251"/>
    </sheetView>
  </sheetViews>
  <sheetFormatPr baseColWidth="10" defaultRowHeight="15" x14ac:dyDescent="0"/>
  <cols>
    <col min="1" max="1" width="25.33203125" bestFit="1" customWidth="1"/>
  </cols>
  <sheetData>
    <row r="1" spans="1:11">
      <c r="A1" t="s">
        <v>216</v>
      </c>
      <c r="B1" t="s">
        <v>217</v>
      </c>
      <c r="C1" t="s">
        <v>218</v>
      </c>
      <c r="D1" s="2" t="s">
        <v>181</v>
      </c>
      <c r="E1" s="2" t="s">
        <v>183</v>
      </c>
      <c r="F1" s="2" t="s">
        <v>182</v>
      </c>
      <c r="G1" s="2" t="s">
        <v>184</v>
      </c>
      <c r="H1" s="2" t="s">
        <v>10</v>
      </c>
      <c r="I1" s="2" t="s">
        <v>232</v>
      </c>
      <c r="K1" t="s">
        <v>608</v>
      </c>
    </row>
    <row r="2" spans="1:11">
      <c r="A2" t="s">
        <v>188</v>
      </c>
      <c r="B2">
        <v>1</v>
      </c>
      <c r="C2">
        <v>1</v>
      </c>
      <c r="D2">
        <v>47</v>
      </c>
      <c r="E2">
        <v>0</v>
      </c>
      <c r="F2">
        <v>4</v>
      </c>
      <c r="G2">
        <v>0</v>
      </c>
      <c r="H2">
        <v>51</v>
      </c>
      <c r="I2" s="4">
        <f>D2/H2</f>
        <v>0.92156862745098034</v>
      </c>
      <c r="K2" t="s">
        <v>619</v>
      </c>
    </row>
    <row r="3" spans="1:11">
      <c r="A3" t="s">
        <v>188</v>
      </c>
      <c r="B3">
        <v>1</v>
      </c>
      <c r="C3">
        <v>2</v>
      </c>
      <c r="D3">
        <v>49</v>
      </c>
      <c r="E3">
        <v>0</v>
      </c>
      <c r="F3">
        <v>2</v>
      </c>
      <c r="G3">
        <v>0</v>
      </c>
      <c r="H3">
        <v>51</v>
      </c>
      <c r="I3" s="4">
        <f t="shared" ref="I3:I66" si="0">D3/H3</f>
        <v>0.96078431372549022</v>
      </c>
      <c r="K3" t="s">
        <v>619</v>
      </c>
    </row>
    <row r="4" spans="1:11">
      <c r="A4" t="s">
        <v>188</v>
      </c>
      <c r="B4">
        <v>1</v>
      </c>
      <c r="C4">
        <v>3</v>
      </c>
      <c r="D4">
        <v>51</v>
      </c>
      <c r="E4">
        <v>0</v>
      </c>
      <c r="F4">
        <v>0</v>
      </c>
      <c r="G4">
        <v>0</v>
      </c>
      <c r="H4">
        <v>51</v>
      </c>
      <c r="I4" s="4">
        <f t="shared" si="0"/>
        <v>1</v>
      </c>
      <c r="K4" t="s">
        <v>619</v>
      </c>
    </row>
    <row r="5" spans="1:11">
      <c r="A5" t="s">
        <v>188</v>
      </c>
      <c r="B5">
        <v>1</v>
      </c>
      <c r="C5">
        <v>4</v>
      </c>
      <c r="D5">
        <v>51</v>
      </c>
      <c r="E5">
        <v>0</v>
      </c>
      <c r="F5">
        <v>0</v>
      </c>
      <c r="G5">
        <v>0</v>
      </c>
      <c r="H5">
        <v>51</v>
      </c>
      <c r="I5" s="4">
        <f t="shared" si="0"/>
        <v>1</v>
      </c>
      <c r="K5" t="s">
        <v>619</v>
      </c>
    </row>
    <row r="6" spans="1:11">
      <c r="A6" t="s">
        <v>188</v>
      </c>
      <c r="B6">
        <v>2</v>
      </c>
      <c r="C6">
        <v>1</v>
      </c>
      <c r="D6">
        <v>11</v>
      </c>
      <c r="E6">
        <v>0</v>
      </c>
      <c r="F6">
        <v>2</v>
      </c>
      <c r="G6">
        <v>0</v>
      </c>
      <c r="H6">
        <v>33</v>
      </c>
      <c r="I6" s="4">
        <f t="shared" si="0"/>
        <v>0.33333333333333331</v>
      </c>
      <c r="K6" t="s">
        <v>620</v>
      </c>
    </row>
    <row r="7" spans="1:11">
      <c r="A7" t="s">
        <v>188</v>
      </c>
      <c r="B7">
        <v>2</v>
      </c>
      <c r="C7">
        <v>2</v>
      </c>
      <c r="D7">
        <v>19</v>
      </c>
      <c r="E7">
        <v>0</v>
      </c>
      <c r="F7">
        <v>3</v>
      </c>
      <c r="G7">
        <v>0</v>
      </c>
      <c r="H7">
        <v>33</v>
      </c>
      <c r="I7" s="4">
        <f t="shared" si="0"/>
        <v>0.5757575757575758</v>
      </c>
      <c r="K7" t="s">
        <v>620</v>
      </c>
    </row>
    <row r="8" spans="1:11">
      <c r="A8" t="s">
        <v>188</v>
      </c>
      <c r="B8">
        <v>2</v>
      </c>
      <c r="C8">
        <v>3</v>
      </c>
      <c r="D8">
        <v>20</v>
      </c>
      <c r="E8">
        <v>0</v>
      </c>
      <c r="F8">
        <v>2</v>
      </c>
      <c r="G8">
        <v>0</v>
      </c>
      <c r="H8">
        <v>33</v>
      </c>
      <c r="I8" s="4">
        <f t="shared" si="0"/>
        <v>0.60606060606060608</v>
      </c>
      <c r="K8" t="s">
        <v>620</v>
      </c>
    </row>
    <row r="9" spans="1:11">
      <c r="A9" t="s">
        <v>188</v>
      </c>
      <c r="B9">
        <v>2</v>
      </c>
      <c r="C9">
        <v>4</v>
      </c>
      <c r="D9">
        <v>26</v>
      </c>
      <c r="E9">
        <v>0</v>
      </c>
      <c r="F9">
        <v>3</v>
      </c>
      <c r="G9">
        <v>0</v>
      </c>
      <c r="H9">
        <v>33</v>
      </c>
      <c r="I9" s="4">
        <f t="shared" si="0"/>
        <v>0.78787878787878785</v>
      </c>
      <c r="K9" t="s">
        <v>620</v>
      </c>
    </row>
    <row r="10" spans="1:11">
      <c r="A10" t="s">
        <v>188</v>
      </c>
      <c r="B10">
        <v>2</v>
      </c>
      <c r="C10">
        <v>5</v>
      </c>
      <c r="D10">
        <v>27</v>
      </c>
      <c r="E10">
        <v>0</v>
      </c>
      <c r="F10">
        <v>2</v>
      </c>
      <c r="G10">
        <v>0</v>
      </c>
      <c r="H10">
        <v>33</v>
      </c>
      <c r="I10" s="4">
        <f t="shared" si="0"/>
        <v>0.81818181818181823</v>
      </c>
      <c r="K10" t="s">
        <v>620</v>
      </c>
    </row>
    <row r="11" spans="1:11">
      <c r="A11" t="s">
        <v>188</v>
      </c>
      <c r="B11">
        <v>2</v>
      </c>
      <c r="C11">
        <v>6</v>
      </c>
      <c r="D11">
        <v>27</v>
      </c>
      <c r="E11">
        <v>0</v>
      </c>
      <c r="F11">
        <v>2</v>
      </c>
      <c r="G11">
        <v>0</v>
      </c>
      <c r="H11">
        <v>33</v>
      </c>
      <c r="I11" s="4">
        <f t="shared" si="0"/>
        <v>0.81818181818181823</v>
      </c>
      <c r="K11" t="s">
        <v>620</v>
      </c>
    </row>
    <row r="12" spans="1:11">
      <c r="A12" t="s">
        <v>188</v>
      </c>
      <c r="B12">
        <v>2</v>
      </c>
      <c r="C12">
        <v>7</v>
      </c>
      <c r="D12">
        <v>32</v>
      </c>
      <c r="E12">
        <v>0</v>
      </c>
      <c r="F12">
        <v>1</v>
      </c>
      <c r="G12">
        <v>0</v>
      </c>
      <c r="H12">
        <v>33</v>
      </c>
      <c r="I12" s="4">
        <f t="shared" si="0"/>
        <v>0.96969696969696972</v>
      </c>
      <c r="K12" t="s">
        <v>620</v>
      </c>
    </row>
    <row r="13" spans="1:11">
      <c r="A13" t="s">
        <v>188</v>
      </c>
      <c r="B13">
        <v>2</v>
      </c>
      <c r="C13">
        <v>8</v>
      </c>
      <c r="D13">
        <v>32</v>
      </c>
      <c r="E13">
        <v>0</v>
      </c>
      <c r="F13">
        <v>1</v>
      </c>
      <c r="G13">
        <v>0</v>
      </c>
      <c r="H13">
        <v>33</v>
      </c>
      <c r="I13" s="4">
        <f t="shared" si="0"/>
        <v>0.96969696969696972</v>
      </c>
      <c r="K13" t="s">
        <v>620</v>
      </c>
    </row>
    <row r="14" spans="1:11">
      <c r="A14" t="s">
        <v>188</v>
      </c>
      <c r="B14">
        <v>2</v>
      </c>
      <c r="C14">
        <v>9</v>
      </c>
      <c r="D14">
        <v>33</v>
      </c>
      <c r="E14">
        <v>0</v>
      </c>
      <c r="F14">
        <v>0</v>
      </c>
      <c r="G14">
        <v>0</v>
      </c>
      <c r="H14">
        <v>33</v>
      </c>
      <c r="I14" s="4">
        <f t="shared" si="0"/>
        <v>1</v>
      </c>
      <c r="K14" t="s">
        <v>620</v>
      </c>
    </row>
    <row r="15" spans="1:11">
      <c r="A15" t="s">
        <v>188</v>
      </c>
      <c r="B15">
        <v>2</v>
      </c>
      <c r="C15">
        <v>10</v>
      </c>
      <c r="D15">
        <v>33</v>
      </c>
      <c r="E15">
        <v>0</v>
      </c>
      <c r="F15">
        <v>0</v>
      </c>
      <c r="G15">
        <v>0</v>
      </c>
      <c r="H15">
        <v>33</v>
      </c>
      <c r="I15" s="4">
        <f t="shared" si="0"/>
        <v>1</v>
      </c>
      <c r="K15" t="s">
        <v>620</v>
      </c>
    </row>
    <row r="16" spans="1:11">
      <c r="A16" t="s">
        <v>188</v>
      </c>
      <c r="B16">
        <v>2</v>
      </c>
      <c r="C16">
        <v>11</v>
      </c>
      <c r="D16">
        <v>33</v>
      </c>
      <c r="E16">
        <v>0</v>
      </c>
      <c r="F16">
        <v>0</v>
      </c>
      <c r="G16">
        <v>0</v>
      </c>
      <c r="H16">
        <v>33</v>
      </c>
      <c r="I16" s="4">
        <f t="shared" si="0"/>
        <v>1</v>
      </c>
      <c r="K16" t="s">
        <v>620</v>
      </c>
    </row>
    <row r="17" spans="1:11">
      <c r="A17" t="s">
        <v>188</v>
      </c>
      <c r="B17">
        <v>2</v>
      </c>
      <c r="C17">
        <v>12</v>
      </c>
      <c r="D17">
        <v>33</v>
      </c>
      <c r="E17">
        <v>0</v>
      </c>
      <c r="F17">
        <v>0</v>
      </c>
      <c r="G17">
        <v>0</v>
      </c>
      <c r="H17">
        <v>33</v>
      </c>
      <c r="I17" s="4">
        <f t="shared" si="0"/>
        <v>1</v>
      </c>
      <c r="K17" t="s">
        <v>620</v>
      </c>
    </row>
    <row r="18" spans="1:11">
      <c r="A18" t="s">
        <v>188</v>
      </c>
      <c r="B18">
        <v>2</v>
      </c>
      <c r="C18">
        <v>13</v>
      </c>
      <c r="D18">
        <v>33</v>
      </c>
      <c r="E18">
        <v>0</v>
      </c>
      <c r="F18">
        <v>0</v>
      </c>
      <c r="G18">
        <v>0</v>
      </c>
      <c r="H18">
        <v>33</v>
      </c>
      <c r="I18" s="4">
        <f t="shared" si="0"/>
        <v>1</v>
      </c>
      <c r="K18" t="s">
        <v>620</v>
      </c>
    </row>
    <row r="19" spans="1:11">
      <c r="A19" t="s">
        <v>188</v>
      </c>
      <c r="B19">
        <v>2</v>
      </c>
      <c r="C19">
        <v>14</v>
      </c>
      <c r="D19">
        <v>33</v>
      </c>
      <c r="E19">
        <v>0</v>
      </c>
      <c r="F19">
        <v>0</v>
      </c>
      <c r="G19">
        <v>0</v>
      </c>
      <c r="H19">
        <v>33</v>
      </c>
      <c r="I19" s="4">
        <f t="shared" si="0"/>
        <v>1</v>
      </c>
      <c r="K19" t="s">
        <v>620</v>
      </c>
    </row>
    <row r="20" spans="1:11">
      <c r="A20" t="s">
        <v>188</v>
      </c>
      <c r="B20">
        <v>2</v>
      </c>
      <c r="C20">
        <v>15</v>
      </c>
      <c r="D20">
        <v>33</v>
      </c>
      <c r="E20">
        <v>0</v>
      </c>
      <c r="F20">
        <v>0</v>
      </c>
      <c r="G20">
        <v>0</v>
      </c>
      <c r="H20">
        <v>33</v>
      </c>
      <c r="I20" s="4">
        <f t="shared" si="0"/>
        <v>1</v>
      </c>
      <c r="K20" t="s">
        <v>620</v>
      </c>
    </row>
    <row r="21" spans="1:11">
      <c r="A21" t="s">
        <v>188</v>
      </c>
      <c r="B21">
        <v>6</v>
      </c>
      <c r="C21">
        <v>1</v>
      </c>
      <c r="D21">
        <v>12</v>
      </c>
      <c r="E21">
        <v>0</v>
      </c>
      <c r="F21">
        <v>6</v>
      </c>
      <c r="G21">
        <v>0</v>
      </c>
      <c r="H21">
        <v>18</v>
      </c>
      <c r="I21" s="4">
        <f t="shared" si="0"/>
        <v>0.66666666666666663</v>
      </c>
      <c r="K21" t="s">
        <v>621</v>
      </c>
    </row>
    <row r="22" spans="1:11">
      <c r="A22" t="s">
        <v>188</v>
      </c>
      <c r="B22">
        <v>6</v>
      </c>
      <c r="C22">
        <v>2</v>
      </c>
      <c r="D22">
        <v>13</v>
      </c>
      <c r="E22">
        <v>0</v>
      </c>
      <c r="F22">
        <v>5</v>
      </c>
      <c r="G22">
        <v>0</v>
      </c>
      <c r="H22">
        <v>18</v>
      </c>
      <c r="I22" s="4">
        <f t="shared" si="0"/>
        <v>0.72222222222222221</v>
      </c>
      <c r="K22" t="s">
        <v>621</v>
      </c>
    </row>
    <row r="23" spans="1:11">
      <c r="A23" t="s">
        <v>188</v>
      </c>
      <c r="B23">
        <v>6</v>
      </c>
      <c r="C23">
        <v>3</v>
      </c>
      <c r="D23">
        <v>14</v>
      </c>
      <c r="E23">
        <v>0</v>
      </c>
      <c r="F23">
        <v>4</v>
      </c>
      <c r="G23">
        <v>0</v>
      </c>
      <c r="H23">
        <v>18</v>
      </c>
      <c r="I23" s="4">
        <f t="shared" si="0"/>
        <v>0.77777777777777779</v>
      </c>
      <c r="K23" t="s">
        <v>621</v>
      </c>
    </row>
    <row r="24" spans="1:11">
      <c r="A24" t="s">
        <v>188</v>
      </c>
      <c r="B24">
        <v>6</v>
      </c>
      <c r="C24">
        <v>4</v>
      </c>
      <c r="D24">
        <v>16</v>
      </c>
      <c r="E24">
        <v>0</v>
      </c>
      <c r="F24">
        <v>2</v>
      </c>
      <c r="G24">
        <v>0</v>
      </c>
      <c r="H24">
        <v>18</v>
      </c>
      <c r="I24" s="4">
        <f t="shared" si="0"/>
        <v>0.88888888888888884</v>
      </c>
      <c r="K24" t="s">
        <v>621</v>
      </c>
    </row>
    <row r="25" spans="1:11">
      <c r="A25" t="s">
        <v>188</v>
      </c>
      <c r="B25">
        <v>6</v>
      </c>
      <c r="C25">
        <v>5</v>
      </c>
      <c r="D25">
        <v>18</v>
      </c>
      <c r="E25">
        <v>0</v>
      </c>
      <c r="F25">
        <v>0</v>
      </c>
      <c r="G25">
        <v>0</v>
      </c>
      <c r="H25">
        <v>18</v>
      </c>
      <c r="I25" s="4">
        <f t="shared" si="0"/>
        <v>1</v>
      </c>
      <c r="K25" t="s">
        <v>621</v>
      </c>
    </row>
    <row r="26" spans="1:11">
      <c r="A26" t="s">
        <v>188</v>
      </c>
      <c r="B26">
        <v>9</v>
      </c>
      <c r="C26">
        <v>1</v>
      </c>
      <c r="D26">
        <v>3</v>
      </c>
      <c r="E26">
        <v>0</v>
      </c>
      <c r="F26">
        <v>0</v>
      </c>
      <c r="G26">
        <v>0</v>
      </c>
      <c r="H26">
        <v>46</v>
      </c>
      <c r="I26" s="4">
        <f t="shared" si="0"/>
        <v>6.5217391304347824E-2</v>
      </c>
      <c r="K26" t="s">
        <v>622</v>
      </c>
    </row>
    <row r="27" spans="1:11">
      <c r="A27" t="s">
        <v>188</v>
      </c>
      <c r="B27">
        <v>9</v>
      </c>
      <c r="C27">
        <v>2</v>
      </c>
      <c r="D27">
        <v>3</v>
      </c>
      <c r="E27">
        <v>0</v>
      </c>
      <c r="F27">
        <v>0</v>
      </c>
      <c r="G27">
        <v>0</v>
      </c>
      <c r="H27">
        <v>46</v>
      </c>
      <c r="I27" s="4">
        <f t="shared" si="0"/>
        <v>6.5217391304347824E-2</v>
      </c>
      <c r="K27" t="s">
        <v>622</v>
      </c>
    </row>
    <row r="28" spans="1:11">
      <c r="A28" t="s">
        <v>188</v>
      </c>
      <c r="B28">
        <v>9</v>
      </c>
      <c r="C28">
        <v>3</v>
      </c>
      <c r="D28">
        <v>3</v>
      </c>
      <c r="E28">
        <v>0</v>
      </c>
      <c r="F28">
        <v>0</v>
      </c>
      <c r="G28">
        <v>0</v>
      </c>
      <c r="H28">
        <v>46</v>
      </c>
      <c r="I28" s="4">
        <f t="shared" si="0"/>
        <v>6.5217391304347824E-2</v>
      </c>
      <c r="K28" t="s">
        <v>622</v>
      </c>
    </row>
    <row r="29" spans="1:11">
      <c r="A29" t="s">
        <v>188</v>
      </c>
      <c r="B29">
        <v>9</v>
      </c>
      <c r="C29">
        <v>4</v>
      </c>
      <c r="D29">
        <v>7</v>
      </c>
      <c r="E29">
        <v>0</v>
      </c>
      <c r="F29">
        <v>0</v>
      </c>
      <c r="G29">
        <v>0</v>
      </c>
      <c r="H29">
        <v>46</v>
      </c>
      <c r="I29" s="4">
        <f t="shared" si="0"/>
        <v>0.15217391304347827</v>
      </c>
      <c r="K29" t="s">
        <v>622</v>
      </c>
    </row>
    <row r="30" spans="1:11">
      <c r="A30" t="s">
        <v>188</v>
      </c>
      <c r="B30">
        <v>9</v>
      </c>
      <c r="C30">
        <v>5</v>
      </c>
      <c r="D30">
        <v>11</v>
      </c>
      <c r="E30">
        <v>0</v>
      </c>
      <c r="F30">
        <v>0</v>
      </c>
      <c r="G30">
        <v>0</v>
      </c>
      <c r="H30">
        <v>46</v>
      </c>
      <c r="I30" s="4">
        <f t="shared" si="0"/>
        <v>0.2391304347826087</v>
      </c>
      <c r="K30" t="s">
        <v>622</v>
      </c>
    </row>
    <row r="31" spans="1:11">
      <c r="A31" t="s">
        <v>188</v>
      </c>
      <c r="B31">
        <v>9</v>
      </c>
      <c r="C31">
        <v>6</v>
      </c>
      <c r="D31">
        <v>23</v>
      </c>
      <c r="E31">
        <v>0</v>
      </c>
      <c r="F31">
        <v>2</v>
      </c>
      <c r="G31">
        <v>0</v>
      </c>
      <c r="H31">
        <v>46</v>
      </c>
      <c r="I31" s="4">
        <f t="shared" si="0"/>
        <v>0.5</v>
      </c>
      <c r="K31" t="s">
        <v>622</v>
      </c>
    </row>
    <row r="32" spans="1:11">
      <c r="A32" t="s">
        <v>188</v>
      </c>
      <c r="B32">
        <v>9</v>
      </c>
      <c r="C32">
        <v>7</v>
      </c>
      <c r="D32">
        <v>30</v>
      </c>
      <c r="E32">
        <v>0</v>
      </c>
      <c r="F32">
        <v>2</v>
      </c>
      <c r="G32">
        <v>0</v>
      </c>
      <c r="H32">
        <v>46</v>
      </c>
      <c r="I32" s="4">
        <f t="shared" si="0"/>
        <v>0.65217391304347827</v>
      </c>
      <c r="K32" t="s">
        <v>622</v>
      </c>
    </row>
    <row r="33" spans="1:11">
      <c r="A33" t="s">
        <v>188</v>
      </c>
      <c r="B33">
        <v>9</v>
      </c>
      <c r="C33">
        <v>8</v>
      </c>
      <c r="D33">
        <v>42</v>
      </c>
      <c r="E33">
        <v>0</v>
      </c>
      <c r="F33">
        <v>1</v>
      </c>
      <c r="G33">
        <v>0</v>
      </c>
      <c r="H33">
        <v>46</v>
      </c>
      <c r="I33" s="4">
        <f t="shared" si="0"/>
        <v>0.91304347826086951</v>
      </c>
      <c r="K33" t="s">
        <v>622</v>
      </c>
    </row>
    <row r="34" spans="1:11">
      <c r="A34" t="s">
        <v>188</v>
      </c>
      <c r="B34">
        <v>9</v>
      </c>
      <c r="C34">
        <v>9</v>
      </c>
      <c r="D34">
        <v>46</v>
      </c>
      <c r="E34">
        <v>0</v>
      </c>
      <c r="F34">
        <v>0</v>
      </c>
      <c r="G34">
        <v>0</v>
      </c>
      <c r="H34">
        <v>46</v>
      </c>
      <c r="I34" s="4">
        <f t="shared" si="0"/>
        <v>1</v>
      </c>
      <c r="K34" t="s">
        <v>622</v>
      </c>
    </row>
    <row r="35" spans="1:11">
      <c r="A35" t="s">
        <v>188</v>
      </c>
      <c r="B35">
        <v>9</v>
      </c>
      <c r="C35">
        <v>10</v>
      </c>
      <c r="D35">
        <v>46</v>
      </c>
      <c r="E35">
        <v>0</v>
      </c>
      <c r="F35">
        <v>0</v>
      </c>
      <c r="G35">
        <v>0</v>
      </c>
      <c r="H35">
        <v>46</v>
      </c>
      <c r="I35" s="4">
        <f t="shared" si="0"/>
        <v>1</v>
      </c>
      <c r="K35" t="s">
        <v>622</v>
      </c>
    </row>
    <row r="36" spans="1:11">
      <c r="A36" t="s">
        <v>219</v>
      </c>
      <c r="B36">
        <v>2</v>
      </c>
      <c r="C36">
        <v>1</v>
      </c>
      <c r="D36">
        <v>6</v>
      </c>
      <c r="E36">
        <v>0</v>
      </c>
      <c r="F36">
        <v>2</v>
      </c>
      <c r="G36">
        <v>0</v>
      </c>
      <c r="H36">
        <v>31</v>
      </c>
      <c r="I36" s="4">
        <f t="shared" si="0"/>
        <v>0.19354838709677419</v>
      </c>
      <c r="K36" t="s">
        <v>623</v>
      </c>
    </row>
    <row r="37" spans="1:11">
      <c r="A37" t="s">
        <v>219</v>
      </c>
      <c r="B37">
        <v>2</v>
      </c>
      <c r="C37">
        <v>2</v>
      </c>
      <c r="D37">
        <v>17</v>
      </c>
      <c r="E37">
        <v>0</v>
      </c>
      <c r="F37">
        <v>3</v>
      </c>
      <c r="G37">
        <v>0</v>
      </c>
      <c r="H37">
        <v>31</v>
      </c>
      <c r="I37" s="4">
        <f t="shared" si="0"/>
        <v>0.54838709677419351</v>
      </c>
      <c r="K37" t="s">
        <v>623</v>
      </c>
    </row>
    <row r="38" spans="1:11">
      <c r="A38" t="s">
        <v>219</v>
      </c>
      <c r="B38">
        <v>2</v>
      </c>
      <c r="C38">
        <v>3</v>
      </c>
      <c r="D38">
        <v>29</v>
      </c>
      <c r="E38">
        <v>0</v>
      </c>
      <c r="F38">
        <v>2</v>
      </c>
      <c r="G38">
        <v>0</v>
      </c>
      <c r="H38">
        <v>31</v>
      </c>
      <c r="I38" s="4">
        <f t="shared" si="0"/>
        <v>0.93548387096774188</v>
      </c>
      <c r="K38" t="s">
        <v>623</v>
      </c>
    </row>
    <row r="39" spans="1:11">
      <c r="A39" t="s">
        <v>219</v>
      </c>
      <c r="B39">
        <v>2</v>
      </c>
      <c r="C39">
        <v>4</v>
      </c>
      <c r="D39">
        <v>31</v>
      </c>
      <c r="E39">
        <v>0</v>
      </c>
      <c r="F39">
        <v>0</v>
      </c>
      <c r="G39">
        <v>0</v>
      </c>
      <c r="H39">
        <v>31</v>
      </c>
      <c r="I39" s="4">
        <f t="shared" si="0"/>
        <v>1</v>
      </c>
      <c r="K39" t="s">
        <v>623</v>
      </c>
    </row>
    <row r="40" spans="1:11">
      <c r="A40" t="s">
        <v>219</v>
      </c>
      <c r="B40">
        <v>4</v>
      </c>
      <c r="C40">
        <v>1</v>
      </c>
      <c r="D40">
        <v>6</v>
      </c>
      <c r="E40">
        <v>0</v>
      </c>
      <c r="F40">
        <v>2</v>
      </c>
      <c r="G40">
        <v>0</v>
      </c>
      <c r="H40">
        <v>31</v>
      </c>
      <c r="I40" s="4">
        <f t="shared" si="0"/>
        <v>0.19354838709677419</v>
      </c>
      <c r="K40" t="s">
        <v>624</v>
      </c>
    </row>
    <row r="41" spans="1:11">
      <c r="A41" t="s">
        <v>219</v>
      </c>
      <c r="B41">
        <v>4</v>
      </c>
      <c r="C41">
        <v>2</v>
      </c>
      <c r="D41">
        <v>17</v>
      </c>
      <c r="E41">
        <v>0</v>
      </c>
      <c r="F41">
        <v>3</v>
      </c>
      <c r="G41">
        <v>0</v>
      </c>
      <c r="H41">
        <v>31</v>
      </c>
      <c r="I41" s="4">
        <f t="shared" si="0"/>
        <v>0.54838709677419351</v>
      </c>
      <c r="K41" t="s">
        <v>624</v>
      </c>
    </row>
    <row r="42" spans="1:11">
      <c r="A42" t="s">
        <v>219</v>
      </c>
      <c r="B42">
        <v>4</v>
      </c>
      <c r="C42">
        <v>3</v>
      </c>
      <c r="D42">
        <v>29</v>
      </c>
      <c r="E42">
        <v>0</v>
      </c>
      <c r="F42">
        <v>2</v>
      </c>
      <c r="G42">
        <v>0</v>
      </c>
      <c r="H42">
        <v>31</v>
      </c>
      <c r="I42" s="4">
        <f t="shared" si="0"/>
        <v>0.93548387096774188</v>
      </c>
      <c r="K42" t="s">
        <v>624</v>
      </c>
    </row>
    <row r="43" spans="1:11">
      <c r="A43" t="s">
        <v>219</v>
      </c>
      <c r="B43">
        <v>4</v>
      </c>
      <c r="C43">
        <v>4</v>
      </c>
      <c r="D43">
        <v>31</v>
      </c>
      <c r="E43">
        <v>0</v>
      </c>
      <c r="F43">
        <v>0</v>
      </c>
      <c r="G43">
        <v>0</v>
      </c>
      <c r="H43">
        <v>31</v>
      </c>
      <c r="I43" s="4">
        <f t="shared" si="0"/>
        <v>1</v>
      </c>
      <c r="K43" t="s">
        <v>624</v>
      </c>
    </row>
    <row r="44" spans="1:11">
      <c r="A44" t="s">
        <v>219</v>
      </c>
      <c r="B44">
        <v>13</v>
      </c>
      <c r="C44">
        <v>1</v>
      </c>
      <c r="D44">
        <v>1</v>
      </c>
      <c r="E44">
        <v>0</v>
      </c>
      <c r="F44">
        <v>1</v>
      </c>
      <c r="G44">
        <v>0</v>
      </c>
      <c r="H44">
        <v>8</v>
      </c>
      <c r="I44" s="4">
        <f t="shared" si="0"/>
        <v>0.125</v>
      </c>
      <c r="K44" t="s">
        <v>625</v>
      </c>
    </row>
    <row r="45" spans="1:11">
      <c r="A45" t="s">
        <v>219</v>
      </c>
      <c r="B45">
        <v>13</v>
      </c>
      <c r="C45">
        <v>2</v>
      </c>
      <c r="D45">
        <v>3</v>
      </c>
      <c r="E45">
        <v>0</v>
      </c>
      <c r="F45">
        <v>1</v>
      </c>
      <c r="G45">
        <v>0</v>
      </c>
      <c r="H45">
        <v>8</v>
      </c>
      <c r="I45" s="4">
        <f t="shared" si="0"/>
        <v>0.375</v>
      </c>
      <c r="K45" t="s">
        <v>625</v>
      </c>
    </row>
    <row r="46" spans="1:11">
      <c r="A46" t="s">
        <v>219</v>
      </c>
      <c r="B46">
        <v>13</v>
      </c>
      <c r="C46">
        <v>3</v>
      </c>
      <c r="D46">
        <v>5</v>
      </c>
      <c r="E46">
        <v>0</v>
      </c>
      <c r="F46">
        <v>1</v>
      </c>
      <c r="G46">
        <v>0</v>
      </c>
      <c r="H46">
        <v>8</v>
      </c>
      <c r="I46" s="4">
        <f t="shared" si="0"/>
        <v>0.625</v>
      </c>
      <c r="K46" t="s">
        <v>625</v>
      </c>
    </row>
    <row r="47" spans="1:11">
      <c r="A47" t="s">
        <v>219</v>
      </c>
      <c r="B47">
        <v>13</v>
      </c>
      <c r="C47">
        <v>4</v>
      </c>
      <c r="D47">
        <v>7</v>
      </c>
      <c r="E47">
        <v>0</v>
      </c>
      <c r="F47">
        <v>1</v>
      </c>
      <c r="G47">
        <v>0</v>
      </c>
      <c r="H47">
        <v>8</v>
      </c>
      <c r="I47" s="4">
        <f t="shared" si="0"/>
        <v>0.875</v>
      </c>
      <c r="K47" t="s">
        <v>625</v>
      </c>
    </row>
    <row r="48" spans="1:11">
      <c r="A48" t="s">
        <v>219</v>
      </c>
      <c r="B48">
        <v>13</v>
      </c>
      <c r="C48">
        <v>5</v>
      </c>
      <c r="D48">
        <v>8</v>
      </c>
      <c r="E48">
        <v>0</v>
      </c>
      <c r="F48">
        <v>0</v>
      </c>
      <c r="G48">
        <v>0</v>
      </c>
      <c r="H48">
        <v>8</v>
      </c>
      <c r="I48" s="4">
        <f t="shared" si="0"/>
        <v>1</v>
      </c>
      <c r="K48" t="s">
        <v>625</v>
      </c>
    </row>
    <row r="49" spans="1:11">
      <c r="A49" t="s">
        <v>219</v>
      </c>
      <c r="B49">
        <v>16</v>
      </c>
      <c r="C49">
        <v>1</v>
      </c>
      <c r="D49">
        <v>3</v>
      </c>
      <c r="E49">
        <v>0</v>
      </c>
      <c r="F49">
        <v>0</v>
      </c>
      <c r="G49">
        <v>0</v>
      </c>
      <c r="H49">
        <v>183</v>
      </c>
      <c r="I49" s="4">
        <f t="shared" si="0"/>
        <v>1.6393442622950821E-2</v>
      </c>
      <c r="K49" t="s">
        <v>626</v>
      </c>
    </row>
    <row r="50" spans="1:11">
      <c r="A50" t="s">
        <v>219</v>
      </c>
      <c r="B50">
        <v>16</v>
      </c>
      <c r="C50">
        <v>2</v>
      </c>
      <c r="D50">
        <v>6</v>
      </c>
      <c r="E50">
        <v>0</v>
      </c>
      <c r="F50">
        <v>1</v>
      </c>
      <c r="G50">
        <v>0</v>
      </c>
      <c r="H50">
        <v>183</v>
      </c>
      <c r="I50" s="4">
        <f t="shared" si="0"/>
        <v>3.2786885245901641E-2</v>
      </c>
      <c r="K50" t="s">
        <v>626</v>
      </c>
    </row>
    <row r="51" spans="1:11">
      <c r="A51" t="s">
        <v>219</v>
      </c>
      <c r="B51">
        <v>16</v>
      </c>
      <c r="C51">
        <v>3</v>
      </c>
      <c r="D51">
        <v>149</v>
      </c>
      <c r="E51">
        <v>0</v>
      </c>
      <c r="F51">
        <v>1</v>
      </c>
      <c r="G51">
        <v>0</v>
      </c>
      <c r="H51">
        <v>183</v>
      </c>
      <c r="I51" s="4">
        <f t="shared" si="0"/>
        <v>0.81420765027322406</v>
      </c>
      <c r="K51" t="s">
        <v>626</v>
      </c>
    </row>
    <row r="52" spans="1:11">
      <c r="A52" t="s">
        <v>219</v>
      </c>
      <c r="B52">
        <v>16</v>
      </c>
      <c r="C52">
        <v>4</v>
      </c>
      <c r="D52">
        <v>183</v>
      </c>
      <c r="E52">
        <v>0</v>
      </c>
      <c r="F52">
        <v>0</v>
      </c>
      <c r="G52">
        <v>0</v>
      </c>
      <c r="H52">
        <v>183</v>
      </c>
      <c r="I52" s="4">
        <f t="shared" si="0"/>
        <v>1</v>
      </c>
      <c r="K52" t="s">
        <v>626</v>
      </c>
    </row>
    <row r="53" spans="1:11">
      <c r="A53" t="s">
        <v>219</v>
      </c>
      <c r="B53">
        <v>18</v>
      </c>
      <c r="C53">
        <v>1</v>
      </c>
      <c r="D53">
        <v>3</v>
      </c>
      <c r="E53">
        <v>0</v>
      </c>
      <c r="F53">
        <v>1</v>
      </c>
      <c r="G53">
        <v>0</v>
      </c>
      <c r="H53">
        <v>141</v>
      </c>
      <c r="I53" s="4">
        <f t="shared" si="0"/>
        <v>2.1276595744680851E-2</v>
      </c>
      <c r="K53" t="s">
        <v>627</v>
      </c>
    </row>
    <row r="54" spans="1:11">
      <c r="A54" t="s">
        <v>219</v>
      </c>
      <c r="B54">
        <v>18</v>
      </c>
      <c r="C54">
        <v>2</v>
      </c>
      <c r="D54">
        <v>6</v>
      </c>
      <c r="E54">
        <v>0</v>
      </c>
      <c r="F54">
        <v>1</v>
      </c>
      <c r="G54">
        <v>0</v>
      </c>
      <c r="H54">
        <v>141</v>
      </c>
      <c r="I54" s="4">
        <f t="shared" si="0"/>
        <v>4.2553191489361701E-2</v>
      </c>
      <c r="K54" t="s">
        <v>627</v>
      </c>
    </row>
    <row r="55" spans="1:11">
      <c r="A55" t="s">
        <v>219</v>
      </c>
      <c r="B55">
        <v>18</v>
      </c>
      <c r="C55">
        <v>3</v>
      </c>
      <c r="D55">
        <v>17</v>
      </c>
      <c r="E55">
        <v>0</v>
      </c>
      <c r="F55">
        <v>1</v>
      </c>
      <c r="G55">
        <v>0</v>
      </c>
      <c r="H55">
        <v>141</v>
      </c>
      <c r="I55" s="4">
        <f t="shared" si="0"/>
        <v>0.12056737588652482</v>
      </c>
      <c r="K55" t="s">
        <v>627</v>
      </c>
    </row>
    <row r="56" spans="1:11">
      <c r="A56" t="s">
        <v>219</v>
      </c>
      <c r="B56">
        <v>18</v>
      </c>
      <c r="C56">
        <v>4</v>
      </c>
      <c r="D56">
        <v>23</v>
      </c>
      <c r="E56">
        <v>0</v>
      </c>
      <c r="F56">
        <v>1</v>
      </c>
      <c r="G56">
        <v>0</v>
      </c>
      <c r="H56">
        <v>141</v>
      </c>
      <c r="I56" s="4">
        <f t="shared" si="0"/>
        <v>0.16312056737588654</v>
      </c>
      <c r="K56" t="s">
        <v>627</v>
      </c>
    </row>
    <row r="57" spans="1:11">
      <c r="A57" t="s">
        <v>219</v>
      </c>
      <c r="B57">
        <v>18</v>
      </c>
      <c r="C57">
        <v>5</v>
      </c>
      <c r="D57">
        <v>35</v>
      </c>
      <c r="E57">
        <v>0</v>
      </c>
      <c r="F57">
        <v>5</v>
      </c>
      <c r="G57">
        <v>0</v>
      </c>
      <c r="H57">
        <v>141</v>
      </c>
      <c r="I57" s="4">
        <f t="shared" si="0"/>
        <v>0.24822695035460993</v>
      </c>
      <c r="K57" t="s">
        <v>627</v>
      </c>
    </row>
    <row r="58" spans="1:11">
      <c r="A58" t="s">
        <v>219</v>
      </c>
      <c r="B58">
        <v>18</v>
      </c>
      <c r="C58">
        <v>6</v>
      </c>
      <c r="D58">
        <v>38</v>
      </c>
      <c r="E58">
        <v>0</v>
      </c>
      <c r="F58">
        <v>4</v>
      </c>
      <c r="G58">
        <v>0</v>
      </c>
      <c r="H58">
        <v>141</v>
      </c>
      <c r="I58" s="4">
        <f t="shared" si="0"/>
        <v>0.26950354609929078</v>
      </c>
      <c r="K58" t="s">
        <v>627</v>
      </c>
    </row>
    <row r="59" spans="1:11">
      <c r="A59" t="s">
        <v>219</v>
      </c>
      <c r="B59">
        <v>18</v>
      </c>
      <c r="C59">
        <v>7</v>
      </c>
      <c r="D59">
        <v>43</v>
      </c>
      <c r="E59">
        <v>0</v>
      </c>
      <c r="F59">
        <v>5</v>
      </c>
      <c r="G59">
        <v>0</v>
      </c>
      <c r="H59">
        <v>141</v>
      </c>
      <c r="I59" s="4">
        <f t="shared" si="0"/>
        <v>0.30496453900709219</v>
      </c>
      <c r="K59" t="s">
        <v>627</v>
      </c>
    </row>
    <row r="60" spans="1:11">
      <c r="A60" t="s">
        <v>219</v>
      </c>
      <c r="B60">
        <v>18</v>
      </c>
      <c r="C60">
        <v>8</v>
      </c>
      <c r="D60">
        <v>46</v>
      </c>
      <c r="E60">
        <v>0</v>
      </c>
      <c r="F60">
        <v>5</v>
      </c>
      <c r="G60">
        <v>0</v>
      </c>
      <c r="H60">
        <v>141</v>
      </c>
      <c r="I60" s="4">
        <f t="shared" si="0"/>
        <v>0.32624113475177308</v>
      </c>
      <c r="K60" t="s">
        <v>627</v>
      </c>
    </row>
    <row r="61" spans="1:11">
      <c r="A61" t="s">
        <v>219</v>
      </c>
      <c r="B61">
        <v>18</v>
      </c>
      <c r="C61">
        <v>9</v>
      </c>
      <c r="D61">
        <v>47</v>
      </c>
      <c r="E61">
        <v>0</v>
      </c>
      <c r="F61">
        <v>4</v>
      </c>
      <c r="G61">
        <v>0</v>
      </c>
      <c r="H61">
        <v>141</v>
      </c>
      <c r="I61" s="4">
        <f t="shared" si="0"/>
        <v>0.33333333333333331</v>
      </c>
      <c r="K61" t="s">
        <v>627</v>
      </c>
    </row>
    <row r="62" spans="1:11">
      <c r="A62" t="s">
        <v>219</v>
      </c>
      <c r="B62">
        <v>18</v>
      </c>
      <c r="C62">
        <v>10</v>
      </c>
      <c r="D62">
        <v>47</v>
      </c>
      <c r="E62">
        <v>0</v>
      </c>
      <c r="F62">
        <v>4</v>
      </c>
      <c r="G62">
        <v>0</v>
      </c>
      <c r="H62">
        <v>141</v>
      </c>
      <c r="I62" s="4">
        <f t="shared" si="0"/>
        <v>0.33333333333333331</v>
      </c>
      <c r="K62" t="s">
        <v>627</v>
      </c>
    </row>
    <row r="63" spans="1:11">
      <c r="A63" t="s">
        <v>219</v>
      </c>
      <c r="B63">
        <v>18</v>
      </c>
      <c r="C63">
        <v>11</v>
      </c>
      <c r="D63">
        <v>51</v>
      </c>
      <c r="E63">
        <v>0</v>
      </c>
      <c r="F63">
        <v>4</v>
      </c>
      <c r="G63">
        <v>0</v>
      </c>
      <c r="H63">
        <v>141</v>
      </c>
      <c r="I63" s="4">
        <f t="shared" si="0"/>
        <v>0.36170212765957449</v>
      </c>
      <c r="K63" t="s">
        <v>627</v>
      </c>
    </row>
    <row r="64" spans="1:11">
      <c r="A64" t="s">
        <v>219</v>
      </c>
      <c r="B64">
        <v>18</v>
      </c>
      <c r="C64">
        <v>12</v>
      </c>
      <c r="D64">
        <v>51</v>
      </c>
      <c r="E64">
        <v>0</v>
      </c>
      <c r="F64">
        <v>4</v>
      </c>
      <c r="G64">
        <v>0</v>
      </c>
      <c r="H64">
        <v>141</v>
      </c>
      <c r="I64" s="4">
        <f t="shared" si="0"/>
        <v>0.36170212765957449</v>
      </c>
      <c r="K64" t="s">
        <v>627</v>
      </c>
    </row>
    <row r="65" spans="1:11">
      <c r="A65" t="s">
        <v>219</v>
      </c>
      <c r="B65">
        <v>18</v>
      </c>
      <c r="C65">
        <v>13</v>
      </c>
      <c r="D65">
        <v>51</v>
      </c>
      <c r="E65">
        <v>0</v>
      </c>
      <c r="F65">
        <v>4</v>
      </c>
      <c r="G65">
        <v>0</v>
      </c>
      <c r="H65">
        <v>141</v>
      </c>
      <c r="I65" s="4">
        <f t="shared" si="0"/>
        <v>0.36170212765957449</v>
      </c>
      <c r="K65" t="s">
        <v>627</v>
      </c>
    </row>
    <row r="66" spans="1:11">
      <c r="A66" t="s">
        <v>219</v>
      </c>
      <c r="B66">
        <v>18</v>
      </c>
      <c r="C66">
        <v>14</v>
      </c>
      <c r="D66">
        <v>51</v>
      </c>
      <c r="E66">
        <v>0</v>
      </c>
      <c r="F66">
        <v>4</v>
      </c>
      <c r="G66">
        <v>0</v>
      </c>
      <c r="H66">
        <v>141</v>
      </c>
      <c r="I66" s="4">
        <f t="shared" si="0"/>
        <v>0.36170212765957449</v>
      </c>
      <c r="K66" t="s">
        <v>627</v>
      </c>
    </row>
    <row r="67" spans="1:11">
      <c r="A67" t="s">
        <v>219</v>
      </c>
      <c r="B67">
        <v>18</v>
      </c>
      <c r="C67">
        <v>15</v>
      </c>
      <c r="D67">
        <v>51</v>
      </c>
      <c r="E67">
        <v>0</v>
      </c>
      <c r="F67">
        <v>4</v>
      </c>
      <c r="G67">
        <v>0</v>
      </c>
      <c r="H67">
        <v>141</v>
      </c>
      <c r="I67" s="4">
        <f t="shared" ref="I67:I130" si="1">D67/H67</f>
        <v>0.36170212765957449</v>
      </c>
      <c r="K67" t="s">
        <v>627</v>
      </c>
    </row>
    <row r="68" spans="1:11">
      <c r="A68" t="s">
        <v>219</v>
      </c>
      <c r="B68">
        <v>18</v>
      </c>
      <c r="C68">
        <v>16</v>
      </c>
      <c r="D68">
        <v>51</v>
      </c>
      <c r="E68">
        <v>0</v>
      </c>
      <c r="F68">
        <v>4</v>
      </c>
      <c r="G68">
        <v>0</v>
      </c>
      <c r="H68">
        <v>141</v>
      </c>
      <c r="I68" s="4">
        <f t="shared" si="1"/>
        <v>0.36170212765957449</v>
      </c>
      <c r="K68" t="s">
        <v>627</v>
      </c>
    </row>
    <row r="69" spans="1:11">
      <c r="A69" t="s">
        <v>219</v>
      </c>
      <c r="B69">
        <v>18</v>
      </c>
      <c r="C69">
        <v>17</v>
      </c>
      <c r="D69">
        <v>51</v>
      </c>
      <c r="E69">
        <v>0</v>
      </c>
      <c r="F69">
        <v>4</v>
      </c>
      <c r="G69">
        <v>0</v>
      </c>
      <c r="H69">
        <v>141</v>
      </c>
      <c r="I69" s="4">
        <f t="shared" si="1"/>
        <v>0.36170212765957449</v>
      </c>
      <c r="K69" t="s">
        <v>627</v>
      </c>
    </row>
    <row r="70" spans="1:11">
      <c r="A70" t="s">
        <v>219</v>
      </c>
      <c r="B70">
        <v>18</v>
      </c>
      <c r="C70">
        <v>18</v>
      </c>
      <c r="D70">
        <v>51</v>
      </c>
      <c r="E70">
        <v>0</v>
      </c>
      <c r="F70">
        <v>4</v>
      </c>
      <c r="G70">
        <v>0</v>
      </c>
      <c r="H70">
        <v>141</v>
      </c>
      <c r="I70" s="4">
        <f t="shared" si="1"/>
        <v>0.36170212765957449</v>
      </c>
      <c r="K70" t="s">
        <v>627</v>
      </c>
    </row>
    <row r="71" spans="1:11">
      <c r="A71" t="s">
        <v>219</v>
      </c>
      <c r="B71">
        <v>18</v>
      </c>
      <c r="C71">
        <v>19</v>
      </c>
      <c r="D71">
        <v>65</v>
      </c>
      <c r="E71">
        <v>0</v>
      </c>
      <c r="F71">
        <v>9</v>
      </c>
      <c r="G71">
        <v>0</v>
      </c>
      <c r="H71">
        <v>141</v>
      </c>
      <c r="I71" s="4">
        <f t="shared" si="1"/>
        <v>0.46099290780141844</v>
      </c>
      <c r="K71" t="s">
        <v>627</v>
      </c>
    </row>
    <row r="72" spans="1:11">
      <c r="A72" t="s">
        <v>219</v>
      </c>
      <c r="B72">
        <v>18</v>
      </c>
      <c r="C72">
        <v>20</v>
      </c>
      <c r="D72">
        <v>84</v>
      </c>
      <c r="E72">
        <v>0</v>
      </c>
      <c r="F72">
        <v>8</v>
      </c>
      <c r="G72">
        <v>0</v>
      </c>
      <c r="H72">
        <v>141</v>
      </c>
      <c r="I72" s="4">
        <f t="shared" si="1"/>
        <v>0.5957446808510638</v>
      </c>
      <c r="K72" t="s">
        <v>627</v>
      </c>
    </row>
    <row r="73" spans="1:11">
      <c r="A73" t="s">
        <v>219</v>
      </c>
      <c r="B73">
        <v>18</v>
      </c>
      <c r="C73">
        <v>21</v>
      </c>
      <c r="D73">
        <v>84</v>
      </c>
      <c r="E73">
        <v>0</v>
      </c>
      <c r="F73">
        <v>8</v>
      </c>
      <c r="G73">
        <v>0</v>
      </c>
      <c r="H73">
        <v>141</v>
      </c>
      <c r="I73" s="4">
        <f t="shared" si="1"/>
        <v>0.5957446808510638</v>
      </c>
      <c r="K73" t="s">
        <v>627</v>
      </c>
    </row>
    <row r="74" spans="1:11">
      <c r="A74" t="s">
        <v>219</v>
      </c>
      <c r="B74">
        <v>18</v>
      </c>
      <c r="C74">
        <v>22</v>
      </c>
      <c r="D74">
        <v>89</v>
      </c>
      <c r="E74">
        <v>0</v>
      </c>
      <c r="F74">
        <v>9</v>
      </c>
      <c r="G74">
        <v>0</v>
      </c>
      <c r="H74">
        <v>141</v>
      </c>
      <c r="I74" s="4">
        <f t="shared" si="1"/>
        <v>0.63120567375886527</v>
      </c>
      <c r="K74" t="s">
        <v>627</v>
      </c>
    </row>
    <row r="75" spans="1:11">
      <c r="A75" t="s">
        <v>219</v>
      </c>
      <c r="B75">
        <v>18</v>
      </c>
      <c r="C75">
        <v>23</v>
      </c>
      <c r="D75">
        <v>102</v>
      </c>
      <c r="E75">
        <v>0</v>
      </c>
      <c r="F75">
        <v>7</v>
      </c>
      <c r="G75">
        <v>0</v>
      </c>
      <c r="H75">
        <v>141</v>
      </c>
      <c r="I75" s="4">
        <f t="shared" si="1"/>
        <v>0.72340425531914898</v>
      </c>
      <c r="K75" t="s">
        <v>627</v>
      </c>
    </row>
    <row r="76" spans="1:11">
      <c r="A76" t="s">
        <v>219</v>
      </c>
      <c r="B76">
        <v>18</v>
      </c>
      <c r="C76">
        <v>24</v>
      </c>
      <c r="D76">
        <v>102</v>
      </c>
      <c r="E76">
        <v>0</v>
      </c>
      <c r="F76">
        <v>7</v>
      </c>
      <c r="G76">
        <v>0</v>
      </c>
      <c r="H76">
        <v>141</v>
      </c>
      <c r="I76" s="4">
        <f t="shared" si="1"/>
        <v>0.72340425531914898</v>
      </c>
      <c r="K76" t="s">
        <v>627</v>
      </c>
    </row>
    <row r="77" spans="1:11">
      <c r="A77" t="s">
        <v>219</v>
      </c>
      <c r="B77">
        <v>18</v>
      </c>
      <c r="C77">
        <v>25</v>
      </c>
      <c r="D77">
        <v>102</v>
      </c>
      <c r="E77">
        <v>0</v>
      </c>
      <c r="F77">
        <v>7</v>
      </c>
      <c r="G77">
        <v>0</v>
      </c>
      <c r="H77">
        <v>141</v>
      </c>
      <c r="I77" s="4">
        <f t="shared" si="1"/>
        <v>0.72340425531914898</v>
      </c>
      <c r="K77" t="s">
        <v>627</v>
      </c>
    </row>
    <row r="78" spans="1:11">
      <c r="A78" t="s">
        <v>219</v>
      </c>
      <c r="B78">
        <v>18</v>
      </c>
      <c r="C78">
        <v>26</v>
      </c>
      <c r="D78">
        <v>102</v>
      </c>
      <c r="E78">
        <v>0</v>
      </c>
      <c r="F78">
        <v>7</v>
      </c>
      <c r="G78">
        <v>0</v>
      </c>
      <c r="H78">
        <v>141</v>
      </c>
      <c r="I78" s="4">
        <f t="shared" si="1"/>
        <v>0.72340425531914898</v>
      </c>
      <c r="K78" t="s">
        <v>627</v>
      </c>
    </row>
    <row r="79" spans="1:11">
      <c r="A79" t="s">
        <v>219</v>
      </c>
      <c r="B79">
        <v>18</v>
      </c>
      <c r="C79">
        <v>27</v>
      </c>
      <c r="D79">
        <v>102</v>
      </c>
      <c r="E79">
        <v>0</v>
      </c>
      <c r="F79">
        <v>7</v>
      </c>
      <c r="G79">
        <v>0</v>
      </c>
      <c r="H79">
        <v>141</v>
      </c>
      <c r="I79" s="4">
        <f t="shared" si="1"/>
        <v>0.72340425531914898</v>
      </c>
      <c r="K79" t="s">
        <v>627</v>
      </c>
    </row>
    <row r="80" spans="1:11">
      <c r="A80" t="s">
        <v>219</v>
      </c>
      <c r="B80">
        <v>18</v>
      </c>
      <c r="C80">
        <v>28</v>
      </c>
      <c r="D80">
        <v>107</v>
      </c>
      <c r="E80">
        <v>0</v>
      </c>
      <c r="F80">
        <v>8</v>
      </c>
      <c r="G80">
        <v>0</v>
      </c>
      <c r="H80">
        <v>141</v>
      </c>
      <c r="I80" s="4">
        <f t="shared" si="1"/>
        <v>0.75886524822695034</v>
      </c>
      <c r="K80" t="s">
        <v>627</v>
      </c>
    </row>
    <row r="81" spans="1:11">
      <c r="A81" t="s">
        <v>219</v>
      </c>
      <c r="B81">
        <v>18</v>
      </c>
      <c r="C81">
        <v>29</v>
      </c>
      <c r="D81">
        <v>107</v>
      </c>
      <c r="E81">
        <v>0</v>
      </c>
      <c r="F81">
        <v>8</v>
      </c>
      <c r="G81">
        <v>0</v>
      </c>
      <c r="H81">
        <v>141</v>
      </c>
      <c r="I81" s="4">
        <f t="shared" si="1"/>
        <v>0.75886524822695034</v>
      </c>
      <c r="K81" t="s">
        <v>627</v>
      </c>
    </row>
    <row r="82" spans="1:11">
      <c r="A82" t="s">
        <v>219</v>
      </c>
      <c r="B82">
        <v>18</v>
      </c>
      <c r="C82">
        <v>30</v>
      </c>
      <c r="D82">
        <v>107</v>
      </c>
      <c r="E82">
        <v>0</v>
      </c>
      <c r="F82">
        <v>8</v>
      </c>
      <c r="G82">
        <v>0</v>
      </c>
      <c r="H82">
        <v>141</v>
      </c>
      <c r="I82" s="4">
        <f t="shared" si="1"/>
        <v>0.75886524822695034</v>
      </c>
      <c r="K82" t="s">
        <v>627</v>
      </c>
    </row>
    <row r="83" spans="1:11">
      <c r="A83" t="s">
        <v>219</v>
      </c>
      <c r="B83">
        <v>18</v>
      </c>
      <c r="C83">
        <v>31</v>
      </c>
      <c r="D83">
        <v>107</v>
      </c>
      <c r="E83">
        <v>0</v>
      </c>
      <c r="F83">
        <v>8</v>
      </c>
      <c r="G83">
        <v>0</v>
      </c>
      <c r="H83">
        <v>141</v>
      </c>
      <c r="I83" s="4">
        <f t="shared" si="1"/>
        <v>0.75886524822695034</v>
      </c>
      <c r="K83" t="s">
        <v>627</v>
      </c>
    </row>
    <row r="84" spans="1:11">
      <c r="A84" t="s">
        <v>219</v>
      </c>
      <c r="B84">
        <v>18</v>
      </c>
      <c r="C84">
        <v>32</v>
      </c>
      <c r="D84">
        <v>107</v>
      </c>
      <c r="E84">
        <v>0</v>
      </c>
      <c r="F84">
        <v>8</v>
      </c>
      <c r="G84">
        <v>0</v>
      </c>
      <c r="H84">
        <v>141</v>
      </c>
      <c r="I84" s="4">
        <f t="shared" si="1"/>
        <v>0.75886524822695034</v>
      </c>
      <c r="K84" t="s">
        <v>627</v>
      </c>
    </row>
    <row r="85" spans="1:11">
      <c r="A85" t="s">
        <v>219</v>
      </c>
      <c r="B85">
        <v>18</v>
      </c>
      <c r="C85">
        <v>33</v>
      </c>
      <c r="D85">
        <v>107</v>
      </c>
      <c r="E85">
        <v>0</v>
      </c>
      <c r="F85">
        <v>8</v>
      </c>
      <c r="G85">
        <v>0</v>
      </c>
      <c r="H85">
        <v>141</v>
      </c>
      <c r="I85" s="4">
        <f t="shared" si="1"/>
        <v>0.75886524822695034</v>
      </c>
      <c r="K85" t="s">
        <v>627</v>
      </c>
    </row>
    <row r="86" spans="1:11">
      <c r="A86" t="s">
        <v>219</v>
      </c>
      <c r="B86">
        <v>18</v>
      </c>
      <c r="C86">
        <v>34</v>
      </c>
      <c r="D86">
        <v>107</v>
      </c>
      <c r="E86">
        <v>0</v>
      </c>
      <c r="F86">
        <v>8</v>
      </c>
      <c r="G86">
        <v>0</v>
      </c>
      <c r="H86">
        <v>141</v>
      </c>
      <c r="I86" s="4">
        <f t="shared" si="1"/>
        <v>0.75886524822695034</v>
      </c>
      <c r="K86" t="s">
        <v>627</v>
      </c>
    </row>
    <row r="87" spans="1:11">
      <c r="A87" t="s">
        <v>219</v>
      </c>
      <c r="B87">
        <v>18</v>
      </c>
      <c r="C87">
        <v>35</v>
      </c>
      <c r="D87">
        <v>107</v>
      </c>
      <c r="E87">
        <v>0</v>
      </c>
      <c r="F87">
        <v>8</v>
      </c>
      <c r="G87">
        <v>0</v>
      </c>
      <c r="H87">
        <v>141</v>
      </c>
      <c r="I87" s="4">
        <f t="shared" si="1"/>
        <v>0.75886524822695034</v>
      </c>
      <c r="K87" t="s">
        <v>627</v>
      </c>
    </row>
    <row r="88" spans="1:11">
      <c r="A88" t="s">
        <v>219</v>
      </c>
      <c r="B88">
        <v>18</v>
      </c>
      <c r="C88">
        <v>36</v>
      </c>
      <c r="D88">
        <v>107</v>
      </c>
      <c r="E88">
        <v>0</v>
      </c>
      <c r="F88">
        <v>8</v>
      </c>
      <c r="G88">
        <v>0</v>
      </c>
      <c r="H88">
        <v>141</v>
      </c>
      <c r="I88" s="4">
        <f t="shared" si="1"/>
        <v>0.75886524822695034</v>
      </c>
      <c r="K88" t="s">
        <v>627</v>
      </c>
    </row>
    <row r="89" spans="1:11">
      <c r="A89" t="s">
        <v>219</v>
      </c>
      <c r="B89">
        <v>18</v>
      </c>
      <c r="C89">
        <v>37</v>
      </c>
      <c r="D89">
        <v>107</v>
      </c>
      <c r="E89">
        <v>0</v>
      </c>
      <c r="F89">
        <v>8</v>
      </c>
      <c r="G89">
        <v>0</v>
      </c>
      <c r="H89">
        <v>141</v>
      </c>
      <c r="I89" s="4">
        <f t="shared" si="1"/>
        <v>0.75886524822695034</v>
      </c>
      <c r="K89" t="s">
        <v>627</v>
      </c>
    </row>
    <row r="90" spans="1:11">
      <c r="A90" t="s">
        <v>219</v>
      </c>
      <c r="B90">
        <v>18</v>
      </c>
      <c r="C90">
        <v>38</v>
      </c>
      <c r="D90">
        <v>107</v>
      </c>
      <c r="E90">
        <v>0</v>
      </c>
      <c r="F90">
        <v>8</v>
      </c>
      <c r="G90">
        <v>0</v>
      </c>
      <c r="H90">
        <v>141</v>
      </c>
      <c r="I90" s="4">
        <f t="shared" si="1"/>
        <v>0.75886524822695034</v>
      </c>
      <c r="K90" t="s">
        <v>627</v>
      </c>
    </row>
    <row r="91" spans="1:11">
      <c r="A91" t="s">
        <v>219</v>
      </c>
      <c r="B91">
        <v>18</v>
      </c>
      <c r="C91">
        <v>39</v>
      </c>
      <c r="D91">
        <v>107</v>
      </c>
      <c r="E91">
        <v>0</v>
      </c>
      <c r="F91">
        <v>8</v>
      </c>
      <c r="G91">
        <v>0</v>
      </c>
      <c r="H91">
        <v>141</v>
      </c>
      <c r="I91" s="4">
        <f t="shared" si="1"/>
        <v>0.75886524822695034</v>
      </c>
      <c r="K91" t="s">
        <v>627</v>
      </c>
    </row>
    <row r="92" spans="1:11">
      <c r="A92" t="s">
        <v>219</v>
      </c>
      <c r="B92">
        <v>18</v>
      </c>
      <c r="C92">
        <v>40</v>
      </c>
      <c r="D92">
        <v>141</v>
      </c>
      <c r="E92">
        <v>0</v>
      </c>
      <c r="F92">
        <v>0</v>
      </c>
      <c r="G92">
        <v>0</v>
      </c>
      <c r="H92">
        <v>141</v>
      </c>
      <c r="I92" s="4">
        <f t="shared" si="1"/>
        <v>1</v>
      </c>
      <c r="K92" t="s">
        <v>627</v>
      </c>
    </row>
    <row r="93" spans="1:11">
      <c r="A93" t="s">
        <v>219</v>
      </c>
      <c r="B93">
        <v>18</v>
      </c>
      <c r="C93">
        <v>41</v>
      </c>
      <c r="D93">
        <v>141</v>
      </c>
      <c r="E93">
        <v>0</v>
      </c>
      <c r="F93">
        <v>0</v>
      </c>
      <c r="G93">
        <v>0</v>
      </c>
      <c r="H93">
        <v>141</v>
      </c>
      <c r="I93" s="4">
        <f t="shared" si="1"/>
        <v>1</v>
      </c>
      <c r="K93" t="s">
        <v>627</v>
      </c>
    </row>
    <row r="94" spans="1:11">
      <c r="A94" t="s">
        <v>219</v>
      </c>
      <c r="B94">
        <v>18</v>
      </c>
      <c r="C94">
        <v>42</v>
      </c>
      <c r="D94">
        <v>141</v>
      </c>
      <c r="E94">
        <v>0</v>
      </c>
      <c r="F94">
        <v>0</v>
      </c>
      <c r="G94">
        <v>0</v>
      </c>
      <c r="H94">
        <v>141</v>
      </c>
      <c r="I94" s="4">
        <f t="shared" si="1"/>
        <v>1</v>
      </c>
      <c r="K94" t="s">
        <v>627</v>
      </c>
    </row>
    <row r="95" spans="1:11">
      <c r="A95" t="s">
        <v>219</v>
      </c>
      <c r="B95">
        <v>18</v>
      </c>
      <c r="C95">
        <v>43</v>
      </c>
      <c r="D95">
        <v>141</v>
      </c>
      <c r="E95">
        <v>0</v>
      </c>
      <c r="F95">
        <v>0</v>
      </c>
      <c r="G95">
        <v>0</v>
      </c>
      <c r="H95">
        <v>141</v>
      </c>
      <c r="I95" s="4">
        <f t="shared" si="1"/>
        <v>1</v>
      </c>
      <c r="K95" t="s">
        <v>627</v>
      </c>
    </row>
    <row r="96" spans="1:11">
      <c r="A96" t="s">
        <v>219</v>
      </c>
      <c r="B96">
        <v>18</v>
      </c>
      <c r="C96">
        <v>44</v>
      </c>
      <c r="D96">
        <v>141</v>
      </c>
      <c r="E96">
        <v>0</v>
      </c>
      <c r="F96">
        <v>0</v>
      </c>
      <c r="G96">
        <v>0</v>
      </c>
      <c r="H96">
        <v>141</v>
      </c>
      <c r="I96" s="4">
        <f t="shared" si="1"/>
        <v>1</v>
      </c>
      <c r="K96" t="s">
        <v>627</v>
      </c>
    </row>
    <row r="97" spans="1:11">
      <c r="A97" t="s">
        <v>219</v>
      </c>
      <c r="B97">
        <v>18</v>
      </c>
      <c r="C97">
        <v>45</v>
      </c>
      <c r="D97">
        <v>141</v>
      </c>
      <c r="E97">
        <v>0</v>
      </c>
      <c r="F97">
        <v>0</v>
      </c>
      <c r="G97">
        <v>0</v>
      </c>
      <c r="H97">
        <v>141</v>
      </c>
      <c r="I97" s="4">
        <f t="shared" si="1"/>
        <v>1</v>
      </c>
      <c r="K97" t="s">
        <v>627</v>
      </c>
    </row>
    <row r="98" spans="1:11">
      <c r="A98" t="s">
        <v>219</v>
      </c>
      <c r="B98">
        <v>18</v>
      </c>
      <c r="C98">
        <v>46</v>
      </c>
      <c r="D98">
        <v>141</v>
      </c>
      <c r="E98">
        <v>0</v>
      </c>
      <c r="F98">
        <v>0</v>
      </c>
      <c r="G98">
        <v>0</v>
      </c>
      <c r="H98">
        <v>141</v>
      </c>
      <c r="I98" s="4">
        <f t="shared" si="1"/>
        <v>1</v>
      </c>
      <c r="K98" t="s">
        <v>627</v>
      </c>
    </row>
    <row r="99" spans="1:11">
      <c r="A99" t="s">
        <v>219</v>
      </c>
      <c r="B99">
        <v>19</v>
      </c>
      <c r="C99">
        <v>1</v>
      </c>
      <c r="D99">
        <v>3</v>
      </c>
      <c r="E99">
        <v>0</v>
      </c>
      <c r="F99">
        <v>1</v>
      </c>
      <c r="G99">
        <v>0</v>
      </c>
      <c r="H99">
        <v>127</v>
      </c>
      <c r="I99" s="4">
        <f t="shared" si="1"/>
        <v>2.3622047244094488E-2</v>
      </c>
      <c r="K99" t="s">
        <v>628</v>
      </c>
    </row>
    <row r="100" spans="1:11">
      <c r="A100" t="s">
        <v>219</v>
      </c>
      <c r="B100">
        <v>19</v>
      </c>
      <c r="C100">
        <v>2</v>
      </c>
      <c r="D100">
        <v>6</v>
      </c>
      <c r="E100">
        <v>0</v>
      </c>
      <c r="F100">
        <v>1</v>
      </c>
      <c r="G100">
        <v>0</v>
      </c>
      <c r="H100">
        <v>127</v>
      </c>
      <c r="I100" s="4">
        <f t="shared" si="1"/>
        <v>4.7244094488188976E-2</v>
      </c>
      <c r="K100" t="s">
        <v>628</v>
      </c>
    </row>
    <row r="101" spans="1:11">
      <c r="A101" t="s">
        <v>219</v>
      </c>
      <c r="B101">
        <v>19</v>
      </c>
      <c r="C101">
        <v>3</v>
      </c>
      <c r="D101">
        <v>83</v>
      </c>
      <c r="E101">
        <v>0</v>
      </c>
      <c r="F101">
        <v>9</v>
      </c>
      <c r="G101">
        <v>0</v>
      </c>
      <c r="H101">
        <v>127</v>
      </c>
      <c r="I101" s="4">
        <f t="shared" si="1"/>
        <v>0.65354330708661412</v>
      </c>
      <c r="K101" t="s">
        <v>628</v>
      </c>
    </row>
    <row r="102" spans="1:11">
      <c r="A102" t="s">
        <v>219</v>
      </c>
      <c r="B102">
        <v>19</v>
      </c>
      <c r="C102">
        <v>4</v>
      </c>
      <c r="D102">
        <v>88</v>
      </c>
      <c r="E102">
        <v>0</v>
      </c>
      <c r="F102">
        <v>10</v>
      </c>
      <c r="G102">
        <v>0</v>
      </c>
      <c r="H102">
        <v>127</v>
      </c>
      <c r="I102" s="4">
        <f t="shared" si="1"/>
        <v>0.69291338582677164</v>
      </c>
      <c r="K102" t="s">
        <v>628</v>
      </c>
    </row>
    <row r="103" spans="1:11">
      <c r="A103" t="s">
        <v>219</v>
      </c>
      <c r="B103">
        <v>19</v>
      </c>
      <c r="C103">
        <v>5</v>
      </c>
      <c r="D103">
        <v>93</v>
      </c>
      <c r="E103">
        <v>0</v>
      </c>
      <c r="F103">
        <v>11</v>
      </c>
      <c r="G103">
        <v>0</v>
      </c>
      <c r="H103">
        <v>127</v>
      </c>
      <c r="I103" s="4">
        <f t="shared" si="1"/>
        <v>0.73228346456692917</v>
      </c>
      <c r="K103" t="s">
        <v>628</v>
      </c>
    </row>
    <row r="104" spans="1:11">
      <c r="A104" t="s">
        <v>219</v>
      </c>
      <c r="B104">
        <v>19</v>
      </c>
      <c r="C104">
        <v>6</v>
      </c>
      <c r="D104">
        <v>125</v>
      </c>
      <c r="E104">
        <v>0</v>
      </c>
      <c r="F104">
        <v>2</v>
      </c>
      <c r="G104">
        <v>0</v>
      </c>
      <c r="H104">
        <v>127</v>
      </c>
      <c r="I104" s="4">
        <f t="shared" si="1"/>
        <v>0.98425196850393704</v>
      </c>
      <c r="K104" t="s">
        <v>628</v>
      </c>
    </row>
    <row r="105" spans="1:11">
      <c r="A105" t="s">
        <v>219</v>
      </c>
      <c r="B105">
        <v>19</v>
      </c>
      <c r="C105">
        <v>7</v>
      </c>
      <c r="D105">
        <v>126</v>
      </c>
      <c r="E105">
        <v>0</v>
      </c>
      <c r="F105">
        <v>1</v>
      </c>
      <c r="G105">
        <v>0</v>
      </c>
      <c r="H105">
        <v>127</v>
      </c>
      <c r="I105" s="4">
        <f t="shared" si="1"/>
        <v>0.99212598425196852</v>
      </c>
      <c r="K105" t="s">
        <v>628</v>
      </c>
    </row>
    <row r="106" spans="1:11">
      <c r="A106" t="s">
        <v>219</v>
      </c>
      <c r="B106">
        <v>19</v>
      </c>
      <c r="C106">
        <v>8</v>
      </c>
      <c r="D106">
        <v>127</v>
      </c>
      <c r="E106">
        <v>0</v>
      </c>
      <c r="F106">
        <v>0</v>
      </c>
      <c r="G106">
        <v>0</v>
      </c>
      <c r="H106">
        <v>127</v>
      </c>
      <c r="I106" s="4">
        <f t="shared" si="1"/>
        <v>1</v>
      </c>
      <c r="K106" t="s">
        <v>628</v>
      </c>
    </row>
    <row r="107" spans="1:11">
      <c r="A107" t="s">
        <v>219</v>
      </c>
      <c r="B107">
        <v>19</v>
      </c>
      <c r="C107">
        <v>9</v>
      </c>
      <c r="D107">
        <v>127</v>
      </c>
      <c r="E107">
        <v>0</v>
      </c>
      <c r="F107">
        <v>0</v>
      </c>
      <c r="G107">
        <v>0</v>
      </c>
      <c r="H107">
        <v>127</v>
      </c>
      <c r="I107" s="4">
        <f t="shared" si="1"/>
        <v>1</v>
      </c>
      <c r="K107" t="s">
        <v>628</v>
      </c>
    </row>
    <row r="108" spans="1:11">
      <c r="A108" t="s">
        <v>219</v>
      </c>
      <c r="B108">
        <v>19</v>
      </c>
      <c r="C108">
        <v>10</v>
      </c>
      <c r="D108">
        <v>127</v>
      </c>
      <c r="E108">
        <v>0</v>
      </c>
      <c r="F108">
        <v>0</v>
      </c>
      <c r="G108">
        <v>0</v>
      </c>
      <c r="H108">
        <v>127</v>
      </c>
      <c r="I108" s="4">
        <f t="shared" si="1"/>
        <v>1</v>
      </c>
      <c r="K108" t="s">
        <v>628</v>
      </c>
    </row>
    <row r="109" spans="1:11">
      <c r="A109" t="s">
        <v>219</v>
      </c>
      <c r="B109">
        <v>19</v>
      </c>
      <c r="C109">
        <v>11</v>
      </c>
      <c r="D109">
        <v>127</v>
      </c>
      <c r="E109">
        <v>0</v>
      </c>
      <c r="F109">
        <v>0</v>
      </c>
      <c r="G109">
        <v>0</v>
      </c>
      <c r="H109">
        <v>127</v>
      </c>
      <c r="I109" s="4">
        <f t="shared" si="1"/>
        <v>1</v>
      </c>
      <c r="K109" t="s">
        <v>628</v>
      </c>
    </row>
    <row r="110" spans="1:11">
      <c r="A110" t="s">
        <v>219</v>
      </c>
      <c r="B110">
        <v>19</v>
      </c>
      <c r="C110">
        <v>12</v>
      </c>
      <c r="D110">
        <v>127</v>
      </c>
      <c r="E110">
        <v>0</v>
      </c>
      <c r="F110">
        <v>0</v>
      </c>
      <c r="G110">
        <v>0</v>
      </c>
      <c r="H110">
        <v>127</v>
      </c>
      <c r="I110" s="4">
        <f t="shared" si="1"/>
        <v>1</v>
      </c>
      <c r="K110" t="s">
        <v>628</v>
      </c>
    </row>
    <row r="111" spans="1:11">
      <c r="A111" t="s">
        <v>219</v>
      </c>
      <c r="B111">
        <v>19</v>
      </c>
      <c r="C111">
        <v>13</v>
      </c>
      <c r="D111">
        <v>127</v>
      </c>
      <c r="E111">
        <v>0</v>
      </c>
      <c r="F111">
        <v>0</v>
      </c>
      <c r="G111">
        <v>0</v>
      </c>
      <c r="H111">
        <v>127</v>
      </c>
      <c r="I111" s="4">
        <f t="shared" si="1"/>
        <v>1</v>
      </c>
      <c r="K111" t="s">
        <v>628</v>
      </c>
    </row>
    <row r="112" spans="1:11">
      <c r="A112" t="s">
        <v>219</v>
      </c>
      <c r="B112">
        <v>19</v>
      </c>
      <c r="C112">
        <v>14</v>
      </c>
      <c r="D112">
        <v>127</v>
      </c>
      <c r="E112">
        <v>0</v>
      </c>
      <c r="F112">
        <v>0</v>
      </c>
      <c r="G112">
        <v>0</v>
      </c>
      <c r="H112">
        <v>127</v>
      </c>
      <c r="I112" s="4">
        <f t="shared" si="1"/>
        <v>1</v>
      </c>
      <c r="K112" t="s">
        <v>628</v>
      </c>
    </row>
    <row r="113" spans="1:11">
      <c r="A113" t="s">
        <v>219</v>
      </c>
      <c r="B113">
        <v>19</v>
      </c>
      <c r="C113">
        <v>15</v>
      </c>
      <c r="D113">
        <v>127</v>
      </c>
      <c r="E113">
        <v>0</v>
      </c>
      <c r="F113">
        <v>0</v>
      </c>
      <c r="G113">
        <v>0</v>
      </c>
      <c r="H113">
        <v>127</v>
      </c>
      <c r="I113" s="4">
        <f t="shared" si="1"/>
        <v>1</v>
      </c>
      <c r="K113" t="s">
        <v>628</v>
      </c>
    </row>
    <row r="114" spans="1:11">
      <c r="A114" t="s">
        <v>219</v>
      </c>
      <c r="B114">
        <v>19</v>
      </c>
      <c r="C114">
        <v>16</v>
      </c>
      <c r="D114">
        <v>127</v>
      </c>
      <c r="E114">
        <v>0</v>
      </c>
      <c r="F114">
        <v>0</v>
      </c>
      <c r="G114">
        <v>0</v>
      </c>
      <c r="H114">
        <v>127</v>
      </c>
      <c r="I114" s="4">
        <f t="shared" si="1"/>
        <v>1</v>
      </c>
      <c r="K114" t="s">
        <v>628</v>
      </c>
    </row>
    <row r="115" spans="1:11">
      <c r="A115" t="s">
        <v>219</v>
      </c>
      <c r="B115">
        <v>19</v>
      </c>
      <c r="C115">
        <v>17</v>
      </c>
      <c r="D115">
        <v>127</v>
      </c>
      <c r="E115">
        <v>0</v>
      </c>
      <c r="F115">
        <v>0</v>
      </c>
      <c r="G115">
        <v>0</v>
      </c>
      <c r="H115">
        <v>127</v>
      </c>
      <c r="I115" s="4">
        <f t="shared" si="1"/>
        <v>1</v>
      </c>
      <c r="K115" t="s">
        <v>628</v>
      </c>
    </row>
    <row r="116" spans="1:11">
      <c r="A116" t="s">
        <v>219</v>
      </c>
      <c r="B116">
        <v>19</v>
      </c>
      <c r="C116">
        <v>18</v>
      </c>
      <c r="D116">
        <v>127</v>
      </c>
      <c r="E116">
        <v>0</v>
      </c>
      <c r="F116">
        <v>0</v>
      </c>
      <c r="G116">
        <v>0</v>
      </c>
      <c r="H116">
        <v>127</v>
      </c>
      <c r="I116" s="4">
        <f t="shared" si="1"/>
        <v>1</v>
      </c>
      <c r="K116" t="s">
        <v>628</v>
      </c>
    </row>
    <row r="117" spans="1:11">
      <c r="A117" t="s">
        <v>219</v>
      </c>
      <c r="B117">
        <v>19</v>
      </c>
      <c r="C117">
        <v>19</v>
      </c>
      <c r="D117">
        <v>127</v>
      </c>
      <c r="E117">
        <v>0</v>
      </c>
      <c r="F117">
        <v>0</v>
      </c>
      <c r="G117">
        <v>0</v>
      </c>
      <c r="H117">
        <v>127</v>
      </c>
      <c r="I117" s="4">
        <f t="shared" si="1"/>
        <v>1</v>
      </c>
      <c r="K117" t="s">
        <v>628</v>
      </c>
    </row>
    <row r="118" spans="1:11">
      <c r="A118" t="s">
        <v>219</v>
      </c>
      <c r="B118">
        <v>19</v>
      </c>
      <c r="C118">
        <v>20</v>
      </c>
      <c r="D118">
        <v>127</v>
      </c>
      <c r="E118">
        <v>0</v>
      </c>
      <c r="F118">
        <v>0</v>
      </c>
      <c r="G118">
        <v>0</v>
      </c>
      <c r="H118">
        <v>127</v>
      </c>
      <c r="I118" s="4">
        <f t="shared" si="1"/>
        <v>1</v>
      </c>
      <c r="K118" t="s">
        <v>628</v>
      </c>
    </row>
    <row r="119" spans="1:11">
      <c r="A119" t="s">
        <v>219</v>
      </c>
      <c r="B119">
        <v>19</v>
      </c>
      <c r="C119">
        <v>21</v>
      </c>
      <c r="D119">
        <v>127</v>
      </c>
      <c r="E119">
        <v>0</v>
      </c>
      <c r="F119">
        <v>0</v>
      </c>
      <c r="G119">
        <v>0</v>
      </c>
      <c r="H119">
        <v>127</v>
      </c>
      <c r="I119" s="4">
        <f t="shared" si="1"/>
        <v>1</v>
      </c>
      <c r="K119" t="s">
        <v>628</v>
      </c>
    </row>
    <row r="120" spans="1:11">
      <c r="A120" t="s">
        <v>219</v>
      </c>
      <c r="B120">
        <v>19</v>
      </c>
      <c r="C120">
        <v>22</v>
      </c>
      <c r="D120">
        <v>127</v>
      </c>
      <c r="E120">
        <v>0</v>
      </c>
      <c r="F120">
        <v>0</v>
      </c>
      <c r="G120">
        <v>0</v>
      </c>
      <c r="H120">
        <v>127</v>
      </c>
      <c r="I120" s="4">
        <f t="shared" si="1"/>
        <v>1</v>
      </c>
      <c r="K120" t="s">
        <v>628</v>
      </c>
    </row>
    <row r="121" spans="1:11">
      <c r="A121" t="s">
        <v>219</v>
      </c>
      <c r="B121">
        <v>19</v>
      </c>
      <c r="C121">
        <v>23</v>
      </c>
      <c r="D121">
        <v>127</v>
      </c>
      <c r="E121">
        <v>0</v>
      </c>
      <c r="F121">
        <v>0</v>
      </c>
      <c r="G121">
        <v>0</v>
      </c>
      <c r="H121">
        <v>127</v>
      </c>
      <c r="I121" s="4">
        <f t="shared" si="1"/>
        <v>1</v>
      </c>
      <c r="K121" t="s">
        <v>628</v>
      </c>
    </row>
    <row r="122" spans="1:11">
      <c r="A122" t="s">
        <v>219</v>
      </c>
      <c r="B122">
        <v>19</v>
      </c>
      <c r="C122">
        <v>24</v>
      </c>
      <c r="D122">
        <v>127</v>
      </c>
      <c r="E122">
        <v>0</v>
      </c>
      <c r="F122">
        <v>0</v>
      </c>
      <c r="G122">
        <v>0</v>
      </c>
      <c r="H122">
        <v>127</v>
      </c>
      <c r="I122" s="4">
        <f t="shared" si="1"/>
        <v>1</v>
      </c>
      <c r="K122" t="s">
        <v>628</v>
      </c>
    </row>
    <row r="123" spans="1:11">
      <c r="A123" t="s">
        <v>219</v>
      </c>
      <c r="B123">
        <v>19</v>
      </c>
      <c r="C123">
        <v>25</v>
      </c>
      <c r="D123">
        <v>127</v>
      </c>
      <c r="E123">
        <v>0</v>
      </c>
      <c r="F123">
        <v>0</v>
      </c>
      <c r="G123">
        <v>0</v>
      </c>
      <c r="H123">
        <v>127</v>
      </c>
      <c r="I123" s="4">
        <f t="shared" si="1"/>
        <v>1</v>
      </c>
      <c r="K123" t="s">
        <v>628</v>
      </c>
    </row>
    <row r="124" spans="1:11">
      <c r="A124" t="s">
        <v>219</v>
      </c>
      <c r="B124">
        <v>19</v>
      </c>
      <c r="C124">
        <v>26</v>
      </c>
      <c r="D124">
        <v>127</v>
      </c>
      <c r="E124">
        <v>0</v>
      </c>
      <c r="F124">
        <v>0</v>
      </c>
      <c r="G124">
        <v>0</v>
      </c>
      <c r="H124">
        <v>127</v>
      </c>
      <c r="I124" s="4">
        <f t="shared" si="1"/>
        <v>1</v>
      </c>
      <c r="K124" t="s">
        <v>628</v>
      </c>
    </row>
    <row r="125" spans="1:11">
      <c r="A125" t="s">
        <v>219</v>
      </c>
      <c r="B125">
        <v>19</v>
      </c>
      <c r="C125">
        <v>27</v>
      </c>
      <c r="D125">
        <v>127</v>
      </c>
      <c r="E125">
        <v>0</v>
      </c>
      <c r="F125">
        <v>0</v>
      </c>
      <c r="G125">
        <v>0</v>
      </c>
      <c r="H125">
        <v>127</v>
      </c>
      <c r="I125" s="4">
        <f t="shared" si="1"/>
        <v>1</v>
      </c>
      <c r="K125" t="s">
        <v>628</v>
      </c>
    </row>
    <row r="126" spans="1:11">
      <c r="A126" t="s">
        <v>219</v>
      </c>
      <c r="B126">
        <v>19</v>
      </c>
      <c r="C126">
        <v>28</v>
      </c>
      <c r="D126">
        <v>127</v>
      </c>
      <c r="E126">
        <v>0</v>
      </c>
      <c r="F126">
        <v>0</v>
      </c>
      <c r="G126">
        <v>0</v>
      </c>
      <c r="H126">
        <v>127</v>
      </c>
      <c r="I126" s="4">
        <f t="shared" si="1"/>
        <v>1</v>
      </c>
      <c r="K126" t="s">
        <v>628</v>
      </c>
    </row>
    <row r="127" spans="1:11">
      <c r="A127" t="s">
        <v>219</v>
      </c>
      <c r="B127">
        <v>20</v>
      </c>
      <c r="C127">
        <v>1</v>
      </c>
      <c r="D127">
        <v>20</v>
      </c>
      <c r="E127">
        <v>0</v>
      </c>
      <c r="F127">
        <v>7</v>
      </c>
      <c r="G127">
        <v>0</v>
      </c>
      <c r="H127">
        <v>101</v>
      </c>
      <c r="I127" s="4">
        <f t="shared" si="1"/>
        <v>0.19801980198019803</v>
      </c>
      <c r="K127" t="s">
        <v>629</v>
      </c>
    </row>
    <row r="128" spans="1:11">
      <c r="A128" t="s">
        <v>219</v>
      </c>
      <c r="B128">
        <v>20</v>
      </c>
      <c r="C128">
        <v>2</v>
      </c>
      <c r="D128">
        <v>23</v>
      </c>
      <c r="E128">
        <v>0</v>
      </c>
      <c r="F128">
        <v>7</v>
      </c>
      <c r="G128">
        <v>0</v>
      </c>
      <c r="H128">
        <v>101</v>
      </c>
      <c r="I128" s="4">
        <f t="shared" si="1"/>
        <v>0.22772277227722773</v>
      </c>
      <c r="K128" t="s">
        <v>629</v>
      </c>
    </row>
    <row r="129" spans="1:11">
      <c r="A129" t="s">
        <v>219</v>
      </c>
      <c r="B129">
        <v>20</v>
      </c>
      <c r="C129">
        <v>3</v>
      </c>
      <c r="D129">
        <v>26</v>
      </c>
      <c r="E129">
        <v>0</v>
      </c>
      <c r="F129">
        <v>6</v>
      </c>
      <c r="G129">
        <v>0</v>
      </c>
      <c r="H129">
        <v>101</v>
      </c>
      <c r="I129" s="4">
        <f t="shared" si="1"/>
        <v>0.25742574257425743</v>
      </c>
      <c r="K129" t="s">
        <v>629</v>
      </c>
    </row>
    <row r="130" spans="1:11">
      <c r="A130" t="s">
        <v>219</v>
      </c>
      <c r="B130">
        <v>20</v>
      </c>
      <c r="C130">
        <v>4</v>
      </c>
      <c r="D130">
        <v>29</v>
      </c>
      <c r="E130">
        <v>0</v>
      </c>
      <c r="F130">
        <v>9</v>
      </c>
      <c r="G130">
        <v>0</v>
      </c>
      <c r="H130">
        <v>101</v>
      </c>
      <c r="I130" s="4">
        <f t="shared" si="1"/>
        <v>0.28712871287128711</v>
      </c>
      <c r="K130" t="s">
        <v>629</v>
      </c>
    </row>
    <row r="131" spans="1:11">
      <c r="A131" t="s">
        <v>219</v>
      </c>
      <c r="B131">
        <v>20</v>
      </c>
      <c r="C131">
        <v>5</v>
      </c>
      <c r="D131">
        <v>45</v>
      </c>
      <c r="E131">
        <v>0</v>
      </c>
      <c r="F131">
        <v>9</v>
      </c>
      <c r="G131">
        <v>0</v>
      </c>
      <c r="H131">
        <v>101</v>
      </c>
      <c r="I131" s="4">
        <f t="shared" ref="I131:I194" si="2">D131/H131</f>
        <v>0.44554455445544555</v>
      </c>
      <c r="K131" t="s">
        <v>629</v>
      </c>
    </row>
    <row r="132" spans="1:11">
      <c r="A132" t="s">
        <v>219</v>
      </c>
      <c r="B132">
        <v>20</v>
      </c>
      <c r="C132">
        <v>6</v>
      </c>
      <c r="D132">
        <v>45</v>
      </c>
      <c r="E132">
        <v>0</v>
      </c>
      <c r="F132">
        <v>9</v>
      </c>
      <c r="G132">
        <v>0</v>
      </c>
      <c r="H132">
        <v>101</v>
      </c>
      <c r="I132" s="4">
        <f t="shared" si="2"/>
        <v>0.44554455445544555</v>
      </c>
      <c r="K132" t="s">
        <v>629</v>
      </c>
    </row>
    <row r="133" spans="1:11">
      <c r="A133" t="s">
        <v>219</v>
      </c>
      <c r="B133">
        <v>20</v>
      </c>
      <c r="C133">
        <v>7</v>
      </c>
      <c r="D133">
        <v>53</v>
      </c>
      <c r="E133">
        <v>0</v>
      </c>
      <c r="F133">
        <v>7</v>
      </c>
      <c r="G133">
        <v>0</v>
      </c>
      <c r="H133">
        <v>101</v>
      </c>
      <c r="I133" s="4">
        <f t="shared" si="2"/>
        <v>0.52475247524752477</v>
      </c>
      <c r="K133" t="s">
        <v>629</v>
      </c>
    </row>
    <row r="134" spans="1:11">
      <c r="A134" t="s">
        <v>219</v>
      </c>
      <c r="B134">
        <v>20</v>
      </c>
      <c r="C134">
        <v>8</v>
      </c>
      <c r="D134">
        <v>53</v>
      </c>
      <c r="E134">
        <v>0</v>
      </c>
      <c r="F134">
        <v>7</v>
      </c>
      <c r="G134">
        <v>0</v>
      </c>
      <c r="H134">
        <v>101</v>
      </c>
      <c r="I134" s="4">
        <f t="shared" si="2"/>
        <v>0.52475247524752477</v>
      </c>
      <c r="K134" t="s">
        <v>629</v>
      </c>
    </row>
    <row r="135" spans="1:11">
      <c r="A135" t="s">
        <v>219</v>
      </c>
      <c r="B135">
        <v>20</v>
      </c>
      <c r="C135">
        <v>9</v>
      </c>
      <c r="D135">
        <v>53</v>
      </c>
      <c r="E135">
        <v>0</v>
      </c>
      <c r="F135">
        <v>7</v>
      </c>
      <c r="G135">
        <v>0</v>
      </c>
      <c r="H135">
        <v>101</v>
      </c>
      <c r="I135" s="4">
        <f t="shared" si="2"/>
        <v>0.52475247524752477</v>
      </c>
      <c r="K135" t="s">
        <v>629</v>
      </c>
    </row>
    <row r="136" spans="1:11">
      <c r="A136" t="s">
        <v>219</v>
      </c>
      <c r="B136">
        <v>20</v>
      </c>
      <c r="C136">
        <v>10</v>
      </c>
      <c r="D136">
        <v>53</v>
      </c>
      <c r="E136">
        <v>0</v>
      </c>
      <c r="F136">
        <v>7</v>
      </c>
      <c r="G136">
        <v>0</v>
      </c>
      <c r="H136">
        <v>101</v>
      </c>
      <c r="I136" s="4">
        <f t="shared" si="2"/>
        <v>0.52475247524752477</v>
      </c>
      <c r="K136" t="s">
        <v>629</v>
      </c>
    </row>
    <row r="137" spans="1:11">
      <c r="A137" t="s">
        <v>219</v>
      </c>
      <c r="B137">
        <v>20</v>
      </c>
      <c r="C137">
        <v>11</v>
      </c>
      <c r="D137">
        <v>53</v>
      </c>
      <c r="E137">
        <v>0</v>
      </c>
      <c r="F137">
        <v>7</v>
      </c>
      <c r="G137">
        <v>0</v>
      </c>
      <c r="H137">
        <v>101</v>
      </c>
      <c r="I137" s="4">
        <f t="shared" si="2"/>
        <v>0.52475247524752477</v>
      </c>
      <c r="K137" t="s">
        <v>629</v>
      </c>
    </row>
    <row r="138" spans="1:11">
      <c r="A138" t="s">
        <v>219</v>
      </c>
      <c r="B138">
        <v>20</v>
      </c>
      <c r="C138">
        <v>12</v>
      </c>
      <c r="D138">
        <v>53</v>
      </c>
      <c r="E138">
        <v>0</v>
      </c>
      <c r="F138">
        <v>7</v>
      </c>
      <c r="G138">
        <v>0</v>
      </c>
      <c r="H138">
        <v>101</v>
      </c>
      <c r="I138" s="4">
        <f t="shared" si="2"/>
        <v>0.52475247524752477</v>
      </c>
      <c r="K138" t="s">
        <v>629</v>
      </c>
    </row>
    <row r="139" spans="1:11">
      <c r="A139" t="s">
        <v>219</v>
      </c>
      <c r="B139">
        <v>20</v>
      </c>
      <c r="C139">
        <v>13</v>
      </c>
      <c r="D139">
        <v>71</v>
      </c>
      <c r="E139">
        <v>0</v>
      </c>
      <c r="F139">
        <v>5</v>
      </c>
      <c r="G139">
        <v>0</v>
      </c>
      <c r="H139">
        <v>101</v>
      </c>
      <c r="I139" s="4">
        <f t="shared" si="2"/>
        <v>0.70297029702970293</v>
      </c>
      <c r="K139" t="s">
        <v>629</v>
      </c>
    </row>
    <row r="140" spans="1:11">
      <c r="A140" t="s">
        <v>219</v>
      </c>
      <c r="B140">
        <v>20</v>
      </c>
      <c r="C140">
        <v>14</v>
      </c>
      <c r="D140">
        <v>71</v>
      </c>
      <c r="E140">
        <v>0</v>
      </c>
      <c r="F140">
        <v>5</v>
      </c>
      <c r="G140">
        <v>0</v>
      </c>
      <c r="H140">
        <v>101</v>
      </c>
      <c r="I140" s="4">
        <f t="shared" si="2"/>
        <v>0.70297029702970293</v>
      </c>
      <c r="K140" t="s">
        <v>629</v>
      </c>
    </row>
    <row r="141" spans="1:11">
      <c r="A141" t="s">
        <v>219</v>
      </c>
      <c r="B141">
        <v>20</v>
      </c>
      <c r="C141">
        <v>15</v>
      </c>
      <c r="D141">
        <v>71</v>
      </c>
      <c r="E141">
        <v>0</v>
      </c>
      <c r="F141">
        <v>5</v>
      </c>
      <c r="G141">
        <v>0</v>
      </c>
      <c r="H141">
        <v>101</v>
      </c>
      <c r="I141" s="4">
        <f t="shared" si="2"/>
        <v>0.70297029702970293</v>
      </c>
      <c r="K141" t="s">
        <v>629</v>
      </c>
    </row>
    <row r="142" spans="1:11">
      <c r="A142" t="s">
        <v>219</v>
      </c>
      <c r="B142">
        <v>20</v>
      </c>
      <c r="C142">
        <v>16</v>
      </c>
      <c r="D142">
        <v>71</v>
      </c>
      <c r="E142">
        <v>0</v>
      </c>
      <c r="F142">
        <v>5</v>
      </c>
      <c r="G142">
        <v>0</v>
      </c>
      <c r="H142">
        <v>101</v>
      </c>
      <c r="I142" s="4">
        <f t="shared" si="2"/>
        <v>0.70297029702970293</v>
      </c>
      <c r="K142" t="s">
        <v>629</v>
      </c>
    </row>
    <row r="143" spans="1:11">
      <c r="A143" t="s">
        <v>219</v>
      </c>
      <c r="B143">
        <v>20</v>
      </c>
      <c r="C143">
        <v>17</v>
      </c>
      <c r="D143">
        <v>71</v>
      </c>
      <c r="E143">
        <v>0</v>
      </c>
      <c r="F143">
        <v>5</v>
      </c>
      <c r="G143">
        <v>0</v>
      </c>
      <c r="H143">
        <v>101</v>
      </c>
      <c r="I143" s="4">
        <f t="shared" si="2"/>
        <v>0.70297029702970293</v>
      </c>
      <c r="K143" t="s">
        <v>629</v>
      </c>
    </row>
    <row r="144" spans="1:11">
      <c r="A144" t="s">
        <v>219</v>
      </c>
      <c r="B144">
        <v>20</v>
      </c>
      <c r="C144">
        <v>18</v>
      </c>
      <c r="D144">
        <v>71</v>
      </c>
      <c r="E144">
        <v>0</v>
      </c>
      <c r="F144">
        <v>5</v>
      </c>
      <c r="G144">
        <v>0</v>
      </c>
      <c r="H144">
        <v>101</v>
      </c>
      <c r="I144" s="4">
        <f t="shared" si="2"/>
        <v>0.70297029702970293</v>
      </c>
      <c r="K144" t="s">
        <v>629</v>
      </c>
    </row>
    <row r="145" spans="1:11">
      <c r="A145" t="s">
        <v>219</v>
      </c>
      <c r="B145">
        <v>20</v>
      </c>
      <c r="C145">
        <v>19</v>
      </c>
      <c r="D145">
        <v>71</v>
      </c>
      <c r="E145">
        <v>0</v>
      </c>
      <c r="F145">
        <v>5</v>
      </c>
      <c r="G145">
        <v>0</v>
      </c>
      <c r="H145">
        <v>101</v>
      </c>
      <c r="I145" s="4">
        <f t="shared" si="2"/>
        <v>0.70297029702970293</v>
      </c>
      <c r="K145" t="s">
        <v>629</v>
      </c>
    </row>
    <row r="146" spans="1:11">
      <c r="A146" t="s">
        <v>219</v>
      </c>
      <c r="B146">
        <v>20</v>
      </c>
      <c r="C146">
        <v>20</v>
      </c>
      <c r="D146">
        <v>71</v>
      </c>
      <c r="E146">
        <v>0</v>
      </c>
      <c r="F146">
        <v>5</v>
      </c>
      <c r="G146">
        <v>0</v>
      </c>
      <c r="H146">
        <v>101</v>
      </c>
      <c r="I146" s="4">
        <f t="shared" si="2"/>
        <v>0.70297029702970293</v>
      </c>
      <c r="K146" t="s">
        <v>629</v>
      </c>
    </row>
    <row r="147" spans="1:11">
      <c r="A147" t="s">
        <v>219</v>
      </c>
      <c r="B147">
        <v>20</v>
      </c>
      <c r="C147">
        <v>21</v>
      </c>
      <c r="D147">
        <v>71</v>
      </c>
      <c r="E147">
        <v>0</v>
      </c>
      <c r="F147">
        <v>5</v>
      </c>
      <c r="G147">
        <v>0</v>
      </c>
      <c r="H147">
        <v>101</v>
      </c>
      <c r="I147" s="4">
        <f t="shared" si="2"/>
        <v>0.70297029702970293</v>
      </c>
      <c r="K147" t="s">
        <v>629</v>
      </c>
    </row>
    <row r="148" spans="1:11">
      <c r="A148" t="s">
        <v>219</v>
      </c>
      <c r="B148">
        <v>20</v>
      </c>
      <c r="C148">
        <v>22</v>
      </c>
      <c r="D148">
        <v>71</v>
      </c>
      <c r="E148">
        <v>0</v>
      </c>
      <c r="F148">
        <v>5</v>
      </c>
      <c r="G148">
        <v>0</v>
      </c>
      <c r="H148">
        <v>101</v>
      </c>
      <c r="I148" s="4">
        <f t="shared" si="2"/>
        <v>0.70297029702970293</v>
      </c>
      <c r="K148" t="s">
        <v>629</v>
      </c>
    </row>
    <row r="149" spans="1:11">
      <c r="A149" t="s">
        <v>219</v>
      </c>
      <c r="B149">
        <v>20</v>
      </c>
      <c r="C149">
        <v>23</v>
      </c>
      <c r="D149">
        <v>101</v>
      </c>
      <c r="E149">
        <v>0</v>
      </c>
      <c r="F149">
        <v>4</v>
      </c>
      <c r="G149">
        <v>0</v>
      </c>
      <c r="H149">
        <v>101</v>
      </c>
      <c r="I149" s="4">
        <f t="shared" si="2"/>
        <v>1</v>
      </c>
      <c r="K149" t="s">
        <v>629</v>
      </c>
    </row>
    <row r="150" spans="1:11">
      <c r="A150" t="s">
        <v>219</v>
      </c>
      <c r="B150">
        <v>20</v>
      </c>
      <c r="C150">
        <v>24</v>
      </c>
      <c r="D150">
        <v>101</v>
      </c>
      <c r="E150">
        <v>0</v>
      </c>
      <c r="F150">
        <v>4</v>
      </c>
      <c r="G150">
        <v>0</v>
      </c>
      <c r="H150">
        <v>101</v>
      </c>
      <c r="I150" s="4">
        <f t="shared" si="2"/>
        <v>1</v>
      </c>
      <c r="K150" t="s">
        <v>629</v>
      </c>
    </row>
    <row r="151" spans="1:11">
      <c r="A151" t="s">
        <v>219</v>
      </c>
      <c r="B151">
        <v>20</v>
      </c>
      <c r="C151">
        <v>25</v>
      </c>
      <c r="D151">
        <v>101</v>
      </c>
      <c r="E151">
        <v>0</v>
      </c>
      <c r="F151">
        <v>4</v>
      </c>
      <c r="G151">
        <v>0</v>
      </c>
      <c r="H151">
        <v>101</v>
      </c>
      <c r="I151" s="4">
        <f t="shared" si="2"/>
        <v>1</v>
      </c>
      <c r="K151" t="s">
        <v>629</v>
      </c>
    </row>
    <row r="152" spans="1:11">
      <c r="A152" t="s">
        <v>219</v>
      </c>
      <c r="B152">
        <v>20</v>
      </c>
      <c r="C152">
        <v>26</v>
      </c>
      <c r="D152">
        <v>101</v>
      </c>
      <c r="E152">
        <v>0</v>
      </c>
      <c r="F152">
        <v>4</v>
      </c>
      <c r="G152">
        <v>0</v>
      </c>
      <c r="H152">
        <v>101</v>
      </c>
      <c r="I152" s="4">
        <f t="shared" si="2"/>
        <v>1</v>
      </c>
      <c r="K152" t="s">
        <v>629</v>
      </c>
    </row>
    <row r="153" spans="1:11">
      <c r="A153" t="s">
        <v>219</v>
      </c>
      <c r="B153">
        <v>20</v>
      </c>
      <c r="C153">
        <v>27</v>
      </c>
      <c r="D153">
        <v>101</v>
      </c>
      <c r="E153">
        <v>0</v>
      </c>
      <c r="F153">
        <v>4</v>
      </c>
      <c r="G153">
        <v>0</v>
      </c>
      <c r="H153">
        <v>101</v>
      </c>
      <c r="I153" s="4">
        <f t="shared" si="2"/>
        <v>1</v>
      </c>
      <c r="K153" t="s">
        <v>629</v>
      </c>
    </row>
    <row r="154" spans="1:11">
      <c r="A154" t="s">
        <v>219</v>
      </c>
      <c r="B154">
        <v>20</v>
      </c>
      <c r="C154">
        <v>28</v>
      </c>
      <c r="D154">
        <v>101</v>
      </c>
      <c r="E154">
        <v>0</v>
      </c>
      <c r="F154">
        <v>4</v>
      </c>
      <c r="G154">
        <v>0</v>
      </c>
      <c r="H154">
        <v>101</v>
      </c>
      <c r="I154" s="4">
        <f t="shared" si="2"/>
        <v>1</v>
      </c>
      <c r="K154" t="s">
        <v>629</v>
      </c>
    </row>
    <row r="155" spans="1:11">
      <c r="A155" t="s">
        <v>219</v>
      </c>
      <c r="B155">
        <v>20</v>
      </c>
      <c r="C155">
        <v>29</v>
      </c>
      <c r="D155">
        <v>101</v>
      </c>
      <c r="E155">
        <v>0</v>
      </c>
      <c r="F155">
        <v>4</v>
      </c>
      <c r="G155">
        <v>0</v>
      </c>
      <c r="H155">
        <v>101</v>
      </c>
      <c r="I155" s="4">
        <f t="shared" si="2"/>
        <v>1</v>
      </c>
      <c r="K155" t="s">
        <v>629</v>
      </c>
    </row>
    <row r="156" spans="1:11">
      <c r="A156" t="s">
        <v>219</v>
      </c>
      <c r="B156">
        <v>20</v>
      </c>
      <c r="C156">
        <v>30</v>
      </c>
      <c r="D156">
        <v>101</v>
      </c>
      <c r="E156">
        <v>0</v>
      </c>
      <c r="F156">
        <v>4</v>
      </c>
      <c r="G156">
        <v>0</v>
      </c>
      <c r="H156">
        <v>101</v>
      </c>
      <c r="I156" s="4">
        <f t="shared" si="2"/>
        <v>1</v>
      </c>
      <c r="K156" t="s">
        <v>629</v>
      </c>
    </row>
    <row r="157" spans="1:11">
      <c r="A157" t="s">
        <v>219</v>
      </c>
      <c r="B157">
        <v>20</v>
      </c>
      <c r="C157">
        <v>31</v>
      </c>
      <c r="D157">
        <v>101</v>
      </c>
      <c r="E157">
        <v>0</v>
      </c>
      <c r="F157">
        <v>4</v>
      </c>
      <c r="G157">
        <v>0</v>
      </c>
      <c r="H157">
        <v>101</v>
      </c>
      <c r="I157" s="4">
        <f t="shared" si="2"/>
        <v>1</v>
      </c>
      <c r="K157" t="s">
        <v>629</v>
      </c>
    </row>
    <row r="158" spans="1:11">
      <c r="A158" t="s">
        <v>219</v>
      </c>
      <c r="B158">
        <v>20</v>
      </c>
      <c r="C158">
        <v>32</v>
      </c>
      <c r="D158">
        <v>101</v>
      </c>
      <c r="E158">
        <v>0</v>
      </c>
      <c r="F158">
        <v>4</v>
      </c>
      <c r="G158">
        <v>0</v>
      </c>
      <c r="H158">
        <v>101</v>
      </c>
      <c r="I158" s="4">
        <f t="shared" si="2"/>
        <v>1</v>
      </c>
      <c r="K158" t="s">
        <v>629</v>
      </c>
    </row>
    <row r="159" spans="1:11">
      <c r="A159" s="6" t="s">
        <v>219</v>
      </c>
      <c r="B159" s="6">
        <v>20</v>
      </c>
      <c r="C159" s="6">
        <v>33</v>
      </c>
      <c r="D159" s="6">
        <v>101</v>
      </c>
      <c r="E159" s="6">
        <v>0</v>
      </c>
      <c r="F159" s="6">
        <v>4</v>
      </c>
      <c r="G159" s="6">
        <v>0</v>
      </c>
      <c r="H159" s="6">
        <v>101</v>
      </c>
      <c r="I159" s="4">
        <f t="shared" si="2"/>
        <v>1</v>
      </c>
      <c r="K159" t="s">
        <v>629</v>
      </c>
    </row>
    <row r="160" spans="1:11">
      <c r="A160" t="s">
        <v>220</v>
      </c>
      <c r="B160">
        <v>2</v>
      </c>
      <c r="C160">
        <v>1</v>
      </c>
      <c r="D160">
        <v>5</v>
      </c>
      <c r="E160">
        <v>0</v>
      </c>
      <c r="F160">
        <v>1</v>
      </c>
      <c r="G160">
        <v>0</v>
      </c>
      <c r="H160">
        <v>112</v>
      </c>
      <c r="I160" s="4">
        <f t="shared" si="2"/>
        <v>4.4642857142857144E-2</v>
      </c>
      <c r="K160" t="s">
        <v>617</v>
      </c>
    </row>
    <row r="161" spans="1:11">
      <c r="A161" t="s">
        <v>220</v>
      </c>
      <c r="B161">
        <v>2</v>
      </c>
      <c r="C161">
        <v>2</v>
      </c>
      <c r="D161">
        <v>56</v>
      </c>
      <c r="E161">
        <v>0</v>
      </c>
      <c r="F161">
        <v>12</v>
      </c>
      <c r="G161">
        <v>0</v>
      </c>
      <c r="H161">
        <v>112</v>
      </c>
      <c r="I161" s="4">
        <f t="shared" si="2"/>
        <v>0.5</v>
      </c>
      <c r="K161" t="s">
        <v>617</v>
      </c>
    </row>
    <row r="162" spans="1:11">
      <c r="A162" t="s">
        <v>220</v>
      </c>
      <c r="B162">
        <v>2</v>
      </c>
      <c r="C162">
        <v>3</v>
      </c>
      <c r="D162">
        <v>112</v>
      </c>
      <c r="E162">
        <v>0</v>
      </c>
      <c r="F162">
        <v>0</v>
      </c>
      <c r="G162">
        <v>0</v>
      </c>
      <c r="H162">
        <v>112</v>
      </c>
      <c r="I162" s="4">
        <f t="shared" si="2"/>
        <v>1</v>
      </c>
      <c r="K162" t="s">
        <v>617</v>
      </c>
    </row>
    <row r="163" spans="1:11">
      <c r="A163" t="s">
        <v>220</v>
      </c>
      <c r="B163">
        <v>3</v>
      </c>
      <c r="C163">
        <v>1</v>
      </c>
      <c r="D163">
        <v>41</v>
      </c>
      <c r="E163">
        <v>0</v>
      </c>
      <c r="F163">
        <v>2</v>
      </c>
      <c r="G163">
        <v>0</v>
      </c>
      <c r="H163">
        <v>44</v>
      </c>
      <c r="I163" s="4">
        <f t="shared" si="2"/>
        <v>0.93181818181818177</v>
      </c>
      <c r="K163" t="s">
        <v>616</v>
      </c>
    </row>
    <row r="164" spans="1:11">
      <c r="A164" t="s">
        <v>220</v>
      </c>
      <c r="B164">
        <v>3</v>
      </c>
      <c r="C164">
        <v>2</v>
      </c>
      <c r="D164">
        <v>44</v>
      </c>
      <c r="E164">
        <v>0</v>
      </c>
      <c r="F164">
        <v>0</v>
      </c>
      <c r="G164">
        <v>0</v>
      </c>
      <c r="H164">
        <v>44</v>
      </c>
      <c r="I164" s="4">
        <f t="shared" si="2"/>
        <v>1</v>
      </c>
      <c r="K164" t="s">
        <v>616</v>
      </c>
    </row>
    <row r="165" spans="1:11">
      <c r="A165" t="s">
        <v>220</v>
      </c>
      <c r="B165">
        <v>7</v>
      </c>
      <c r="C165">
        <v>1</v>
      </c>
      <c r="D165">
        <v>40</v>
      </c>
      <c r="E165">
        <v>0</v>
      </c>
      <c r="F165">
        <v>2</v>
      </c>
      <c r="G165">
        <v>0</v>
      </c>
      <c r="H165">
        <v>43</v>
      </c>
      <c r="I165" s="4">
        <f t="shared" si="2"/>
        <v>0.93023255813953487</v>
      </c>
      <c r="K165" t="s">
        <v>684</v>
      </c>
    </row>
    <row r="166" spans="1:11">
      <c r="A166" t="s">
        <v>220</v>
      </c>
      <c r="B166">
        <v>7</v>
      </c>
      <c r="C166">
        <v>2</v>
      </c>
      <c r="D166">
        <v>43</v>
      </c>
      <c r="E166">
        <v>0</v>
      </c>
      <c r="F166">
        <v>0</v>
      </c>
      <c r="G166">
        <v>0</v>
      </c>
      <c r="H166">
        <v>43</v>
      </c>
      <c r="I166" s="4">
        <f t="shared" si="2"/>
        <v>1</v>
      </c>
      <c r="K166" t="s">
        <v>684</v>
      </c>
    </row>
    <row r="167" spans="1:11">
      <c r="A167" t="s">
        <v>220</v>
      </c>
      <c r="B167">
        <v>10</v>
      </c>
      <c r="C167">
        <v>1</v>
      </c>
      <c r="D167">
        <v>47</v>
      </c>
      <c r="E167">
        <v>0</v>
      </c>
      <c r="F167">
        <v>8</v>
      </c>
      <c r="G167">
        <v>0</v>
      </c>
      <c r="H167">
        <v>406</v>
      </c>
      <c r="I167" s="4">
        <f t="shared" si="2"/>
        <v>0.11576354679802955</v>
      </c>
      <c r="K167" t="s">
        <v>618</v>
      </c>
    </row>
    <row r="168" spans="1:11">
      <c r="A168" t="s">
        <v>220</v>
      </c>
      <c r="B168">
        <v>10</v>
      </c>
      <c r="C168">
        <v>2</v>
      </c>
      <c r="D168">
        <v>47</v>
      </c>
      <c r="E168">
        <v>0</v>
      </c>
      <c r="F168">
        <v>8</v>
      </c>
      <c r="G168">
        <v>0</v>
      </c>
      <c r="H168">
        <v>406</v>
      </c>
      <c r="I168" s="4">
        <f t="shared" si="2"/>
        <v>0.11576354679802955</v>
      </c>
      <c r="K168" t="s">
        <v>618</v>
      </c>
    </row>
    <row r="169" spans="1:11">
      <c r="A169" t="s">
        <v>220</v>
      </c>
      <c r="B169">
        <v>10</v>
      </c>
      <c r="C169">
        <v>3</v>
      </c>
      <c r="D169">
        <v>47</v>
      </c>
      <c r="E169">
        <v>0</v>
      </c>
      <c r="F169">
        <v>11</v>
      </c>
      <c r="G169">
        <v>0</v>
      </c>
      <c r="H169">
        <v>406</v>
      </c>
      <c r="I169" s="4">
        <f t="shared" si="2"/>
        <v>0.11576354679802955</v>
      </c>
      <c r="K169" t="s">
        <v>618</v>
      </c>
    </row>
    <row r="170" spans="1:11">
      <c r="A170" t="s">
        <v>220</v>
      </c>
      <c r="B170">
        <v>10</v>
      </c>
      <c r="C170">
        <v>4</v>
      </c>
      <c r="D170">
        <v>84</v>
      </c>
      <c r="E170">
        <v>0</v>
      </c>
      <c r="F170">
        <v>11</v>
      </c>
      <c r="G170">
        <v>0</v>
      </c>
      <c r="H170">
        <v>406</v>
      </c>
      <c r="I170" s="4">
        <f t="shared" si="2"/>
        <v>0.20689655172413793</v>
      </c>
      <c r="K170" t="s">
        <v>618</v>
      </c>
    </row>
    <row r="171" spans="1:11">
      <c r="A171" t="s">
        <v>220</v>
      </c>
      <c r="B171">
        <v>10</v>
      </c>
      <c r="C171">
        <v>5</v>
      </c>
      <c r="D171">
        <v>84</v>
      </c>
      <c r="E171">
        <v>0</v>
      </c>
      <c r="F171">
        <v>11</v>
      </c>
      <c r="G171">
        <v>0</v>
      </c>
      <c r="H171">
        <v>406</v>
      </c>
      <c r="I171" s="4">
        <f t="shared" si="2"/>
        <v>0.20689655172413793</v>
      </c>
      <c r="K171" t="s">
        <v>618</v>
      </c>
    </row>
    <row r="172" spans="1:11">
      <c r="A172" t="s">
        <v>220</v>
      </c>
      <c r="B172">
        <v>10</v>
      </c>
      <c r="C172">
        <v>6</v>
      </c>
      <c r="D172">
        <v>84</v>
      </c>
      <c r="E172">
        <v>0</v>
      </c>
      <c r="F172">
        <v>11</v>
      </c>
      <c r="G172">
        <v>0</v>
      </c>
      <c r="H172">
        <v>406</v>
      </c>
      <c r="I172" s="4">
        <f t="shared" si="2"/>
        <v>0.20689655172413793</v>
      </c>
      <c r="K172" t="s">
        <v>618</v>
      </c>
    </row>
    <row r="173" spans="1:11">
      <c r="A173" t="s">
        <v>220</v>
      </c>
      <c r="B173">
        <v>10</v>
      </c>
      <c r="C173">
        <v>7</v>
      </c>
      <c r="D173">
        <v>84</v>
      </c>
      <c r="E173">
        <v>0</v>
      </c>
      <c r="F173">
        <v>11</v>
      </c>
      <c r="G173">
        <v>0</v>
      </c>
      <c r="H173">
        <v>406</v>
      </c>
      <c r="I173" s="4">
        <f t="shared" si="2"/>
        <v>0.20689655172413793</v>
      </c>
      <c r="K173" t="s">
        <v>618</v>
      </c>
    </row>
    <row r="174" spans="1:11">
      <c r="A174" t="s">
        <v>220</v>
      </c>
      <c r="B174">
        <v>10</v>
      </c>
      <c r="C174">
        <v>8</v>
      </c>
      <c r="D174">
        <v>84</v>
      </c>
      <c r="E174">
        <v>0</v>
      </c>
      <c r="F174">
        <v>11</v>
      </c>
      <c r="G174">
        <v>0</v>
      </c>
      <c r="H174">
        <v>406</v>
      </c>
      <c r="I174" s="4">
        <f t="shared" si="2"/>
        <v>0.20689655172413793</v>
      </c>
      <c r="K174" t="s">
        <v>618</v>
      </c>
    </row>
    <row r="175" spans="1:11">
      <c r="A175" t="s">
        <v>220</v>
      </c>
      <c r="B175">
        <v>10</v>
      </c>
      <c r="C175">
        <v>9</v>
      </c>
      <c r="D175">
        <v>90</v>
      </c>
      <c r="E175">
        <v>0</v>
      </c>
      <c r="F175">
        <v>8</v>
      </c>
      <c r="G175">
        <v>0</v>
      </c>
      <c r="H175">
        <v>406</v>
      </c>
      <c r="I175" s="4">
        <f t="shared" si="2"/>
        <v>0.22167487684729065</v>
      </c>
      <c r="K175" t="s">
        <v>618</v>
      </c>
    </row>
    <row r="176" spans="1:11">
      <c r="A176" t="s">
        <v>220</v>
      </c>
      <c r="B176">
        <v>10</v>
      </c>
      <c r="C176">
        <v>10</v>
      </c>
      <c r="D176">
        <v>90</v>
      </c>
      <c r="E176">
        <v>0</v>
      </c>
      <c r="F176">
        <v>8</v>
      </c>
      <c r="G176">
        <v>0</v>
      </c>
      <c r="H176">
        <v>406</v>
      </c>
      <c r="I176" s="4">
        <f t="shared" si="2"/>
        <v>0.22167487684729065</v>
      </c>
      <c r="K176" t="s">
        <v>618</v>
      </c>
    </row>
    <row r="177" spans="1:11">
      <c r="A177" t="s">
        <v>220</v>
      </c>
      <c r="B177">
        <v>10</v>
      </c>
      <c r="C177">
        <v>11</v>
      </c>
      <c r="D177">
        <v>90</v>
      </c>
      <c r="E177">
        <v>0</v>
      </c>
      <c r="F177">
        <v>8</v>
      </c>
      <c r="G177">
        <v>0</v>
      </c>
      <c r="H177">
        <v>406</v>
      </c>
      <c r="I177" s="4">
        <f t="shared" si="2"/>
        <v>0.22167487684729065</v>
      </c>
      <c r="K177" t="s">
        <v>618</v>
      </c>
    </row>
    <row r="178" spans="1:11">
      <c r="A178" t="s">
        <v>220</v>
      </c>
      <c r="B178">
        <v>10</v>
      </c>
      <c r="C178">
        <v>12</v>
      </c>
      <c r="D178">
        <v>90</v>
      </c>
      <c r="E178">
        <v>0</v>
      </c>
      <c r="F178">
        <v>8</v>
      </c>
      <c r="G178">
        <v>0</v>
      </c>
      <c r="H178">
        <v>406</v>
      </c>
      <c r="I178" s="4">
        <f t="shared" si="2"/>
        <v>0.22167487684729065</v>
      </c>
      <c r="K178" t="s">
        <v>618</v>
      </c>
    </row>
    <row r="179" spans="1:11">
      <c r="A179" t="s">
        <v>220</v>
      </c>
      <c r="B179">
        <v>10</v>
      </c>
      <c r="C179">
        <v>13</v>
      </c>
      <c r="D179">
        <v>90</v>
      </c>
      <c r="E179">
        <v>0</v>
      </c>
      <c r="F179">
        <v>8</v>
      </c>
      <c r="G179">
        <v>0</v>
      </c>
      <c r="H179">
        <v>406</v>
      </c>
      <c r="I179" s="4">
        <f t="shared" si="2"/>
        <v>0.22167487684729065</v>
      </c>
      <c r="K179" t="s">
        <v>618</v>
      </c>
    </row>
    <row r="180" spans="1:11">
      <c r="A180" t="s">
        <v>220</v>
      </c>
      <c r="B180">
        <v>10</v>
      </c>
      <c r="C180">
        <v>14</v>
      </c>
      <c r="D180">
        <v>90</v>
      </c>
      <c r="E180">
        <v>0</v>
      </c>
      <c r="F180">
        <v>8</v>
      </c>
      <c r="G180">
        <v>0</v>
      </c>
      <c r="H180">
        <v>406</v>
      </c>
      <c r="I180" s="4">
        <f t="shared" si="2"/>
        <v>0.22167487684729065</v>
      </c>
      <c r="K180" t="s">
        <v>618</v>
      </c>
    </row>
    <row r="181" spans="1:11">
      <c r="A181" t="s">
        <v>220</v>
      </c>
      <c r="B181">
        <v>10</v>
      </c>
      <c r="C181">
        <v>15</v>
      </c>
      <c r="D181">
        <v>90</v>
      </c>
      <c r="E181">
        <v>0</v>
      </c>
      <c r="F181">
        <v>8</v>
      </c>
      <c r="G181">
        <v>0</v>
      </c>
      <c r="H181">
        <v>406</v>
      </c>
      <c r="I181" s="4">
        <f t="shared" si="2"/>
        <v>0.22167487684729065</v>
      </c>
      <c r="K181" t="s">
        <v>618</v>
      </c>
    </row>
    <row r="182" spans="1:11">
      <c r="A182" t="s">
        <v>220</v>
      </c>
      <c r="B182">
        <v>10</v>
      </c>
      <c r="C182">
        <v>16</v>
      </c>
      <c r="D182">
        <v>90</v>
      </c>
      <c r="E182">
        <v>0</v>
      </c>
      <c r="F182">
        <v>8</v>
      </c>
      <c r="G182">
        <v>0</v>
      </c>
      <c r="H182">
        <v>406</v>
      </c>
      <c r="I182" s="4">
        <f t="shared" si="2"/>
        <v>0.22167487684729065</v>
      </c>
      <c r="K182" t="s">
        <v>618</v>
      </c>
    </row>
    <row r="183" spans="1:11">
      <c r="A183" t="s">
        <v>220</v>
      </c>
      <c r="B183">
        <v>10</v>
      </c>
      <c r="C183">
        <v>17</v>
      </c>
      <c r="D183">
        <v>146</v>
      </c>
      <c r="E183">
        <v>0</v>
      </c>
      <c r="F183">
        <v>4</v>
      </c>
      <c r="G183">
        <v>0</v>
      </c>
      <c r="H183">
        <v>406</v>
      </c>
      <c r="I183" s="4">
        <f t="shared" si="2"/>
        <v>0.35960591133004927</v>
      </c>
      <c r="K183" t="s">
        <v>618</v>
      </c>
    </row>
    <row r="184" spans="1:11">
      <c r="A184" t="s">
        <v>220</v>
      </c>
      <c r="B184">
        <v>10</v>
      </c>
      <c r="C184">
        <v>18</v>
      </c>
      <c r="D184">
        <v>146</v>
      </c>
      <c r="E184">
        <v>0</v>
      </c>
      <c r="F184">
        <v>4</v>
      </c>
      <c r="G184">
        <v>0</v>
      </c>
      <c r="H184">
        <v>406</v>
      </c>
      <c r="I184" s="4">
        <f t="shared" si="2"/>
        <v>0.35960591133004927</v>
      </c>
      <c r="K184" t="s">
        <v>618</v>
      </c>
    </row>
    <row r="185" spans="1:11">
      <c r="A185" t="s">
        <v>220</v>
      </c>
      <c r="B185">
        <v>10</v>
      </c>
      <c r="C185">
        <v>19</v>
      </c>
      <c r="D185">
        <v>221</v>
      </c>
      <c r="E185">
        <v>0</v>
      </c>
      <c r="F185">
        <v>2</v>
      </c>
      <c r="G185">
        <v>0</v>
      </c>
      <c r="H185">
        <v>406</v>
      </c>
      <c r="I185" s="4">
        <f t="shared" si="2"/>
        <v>0.54433497536945807</v>
      </c>
      <c r="K185" t="s">
        <v>618</v>
      </c>
    </row>
    <row r="186" spans="1:11">
      <c r="A186" t="s">
        <v>220</v>
      </c>
      <c r="B186">
        <v>10</v>
      </c>
      <c r="C186">
        <v>20</v>
      </c>
      <c r="D186">
        <v>221</v>
      </c>
      <c r="E186">
        <v>0</v>
      </c>
      <c r="F186">
        <v>2</v>
      </c>
      <c r="G186">
        <v>0</v>
      </c>
      <c r="H186">
        <v>406</v>
      </c>
      <c r="I186" s="4">
        <f t="shared" si="2"/>
        <v>0.54433497536945807</v>
      </c>
      <c r="K186" t="s">
        <v>618</v>
      </c>
    </row>
    <row r="187" spans="1:11">
      <c r="A187" t="s">
        <v>220</v>
      </c>
      <c r="B187">
        <v>10</v>
      </c>
      <c r="C187">
        <v>21</v>
      </c>
      <c r="D187">
        <v>221</v>
      </c>
      <c r="E187">
        <v>0</v>
      </c>
      <c r="F187">
        <v>2</v>
      </c>
      <c r="G187">
        <v>0</v>
      </c>
      <c r="H187">
        <v>406</v>
      </c>
      <c r="I187" s="4">
        <f t="shared" si="2"/>
        <v>0.54433497536945807</v>
      </c>
      <c r="K187" t="s">
        <v>618</v>
      </c>
    </row>
    <row r="188" spans="1:11">
      <c r="A188" t="s">
        <v>220</v>
      </c>
      <c r="B188">
        <v>10</v>
      </c>
      <c r="C188">
        <v>22</v>
      </c>
      <c r="D188">
        <v>221</v>
      </c>
      <c r="E188">
        <v>0</v>
      </c>
      <c r="F188">
        <v>2</v>
      </c>
      <c r="G188">
        <v>0</v>
      </c>
      <c r="H188">
        <v>406</v>
      </c>
      <c r="I188" s="4">
        <f t="shared" si="2"/>
        <v>0.54433497536945807</v>
      </c>
      <c r="K188" t="s">
        <v>618</v>
      </c>
    </row>
    <row r="189" spans="1:11">
      <c r="A189" t="s">
        <v>220</v>
      </c>
      <c r="B189">
        <v>10</v>
      </c>
      <c r="C189">
        <v>23</v>
      </c>
      <c r="D189">
        <v>221</v>
      </c>
      <c r="E189">
        <v>0</v>
      </c>
      <c r="F189">
        <v>2</v>
      </c>
      <c r="G189">
        <v>0</v>
      </c>
      <c r="H189">
        <v>406</v>
      </c>
      <c r="I189" s="4">
        <f t="shared" si="2"/>
        <v>0.54433497536945807</v>
      </c>
      <c r="K189" t="s">
        <v>618</v>
      </c>
    </row>
    <row r="190" spans="1:11">
      <c r="A190" t="s">
        <v>220</v>
      </c>
      <c r="B190">
        <v>10</v>
      </c>
      <c r="C190">
        <v>24</v>
      </c>
      <c r="D190">
        <v>221</v>
      </c>
      <c r="E190">
        <v>0</v>
      </c>
      <c r="F190">
        <v>2</v>
      </c>
      <c r="G190">
        <v>0</v>
      </c>
      <c r="H190">
        <v>406</v>
      </c>
      <c r="I190" s="4">
        <f t="shared" si="2"/>
        <v>0.54433497536945807</v>
      </c>
      <c r="K190" t="s">
        <v>618</v>
      </c>
    </row>
    <row r="191" spans="1:11">
      <c r="A191" t="s">
        <v>220</v>
      </c>
      <c r="B191">
        <v>10</v>
      </c>
      <c r="C191">
        <v>25</v>
      </c>
      <c r="D191">
        <v>221</v>
      </c>
      <c r="E191">
        <v>0</v>
      </c>
      <c r="F191">
        <v>2</v>
      </c>
      <c r="G191">
        <v>0</v>
      </c>
      <c r="H191">
        <v>406</v>
      </c>
      <c r="I191" s="4">
        <f t="shared" si="2"/>
        <v>0.54433497536945807</v>
      </c>
      <c r="K191" t="s">
        <v>618</v>
      </c>
    </row>
    <row r="192" spans="1:11">
      <c r="A192" t="s">
        <v>220</v>
      </c>
      <c r="B192">
        <v>10</v>
      </c>
      <c r="C192">
        <v>26</v>
      </c>
      <c r="D192">
        <v>221</v>
      </c>
      <c r="E192">
        <v>0</v>
      </c>
      <c r="F192">
        <v>2</v>
      </c>
      <c r="G192">
        <v>0</v>
      </c>
      <c r="H192">
        <v>406</v>
      </c>
      <c r="I192" s="4">
        <f t="shared" si="2"/>
        <v>0.54433497536945807</v>
      </c>
      <c r="K192" t="s">
        <v>618</v>
      </c>
    </row>
    <row r="193" spans="1:11">
      <c r="A193" t="s">
        <v>220</v>
      </c>
      <c r="B193">
        <v>10</v>
      </c>
      <c r="C193">
        <v>27</v>
      </c>
      <c r="D193">
        <v>267</v>
      </c>
      <c r="E193">
        <v>0</v>
      </c>
      <c r="F193">
        <v>2</v>
      </c>
      <c r="G193">
        <v>0</v>
      </c>
      <c r="H193">
        <v>406</v>
      </c>
      <c r="I193" s="4">
        <f t="shared" si="2"/>
        <v>0.6576354679802956</v>
      </c>
      <c r="K193" t="s">
        <v>618</v>
      </c>
    </row>
    <row r="194" spans="1:11">
      <c r="A194" t="s">
        <v>220</v>
      </c>
      <c r="B194">
        <v>10</v>
      </c>
      <c r="C194">
        <v>28</v>
      </c>
      <c r="D194">
        <v>313</v>
      </c>
      <c r="E194">
        <v>0</v>
      </c>
      <c r="F194">
        <v>2</v>
      </c>
      <c r="G194">
        <v>0</v>
      </c>
      <c r="H194">
        <v>406</v>
      </c>
      <c r="I194" s="4">
        <f t="shared" si="2"/>
        <v>0.77093596059113301</v>
      </c>
      <c r="K194" t="s">
        <v>618</v>
      </c>
    </row>
    <row r="195" spans="1:11">
      <c r="A195" t="s">
        <v>220</v>
      </c>
      <c r="B195">
        <v>10</v>
      </c>
      <c r="C195">
        <v>29</v>
      </c>
      <c r="D195">
        <v>313</v>
      </c>
      <c r="E195">
        <v>0</v>
      </c>
      <c r="F195">
        <v>2</v>
      </c>
      <c r="G195">
        <v>0</v>
      </c>
      <c r="H195">
        <v>406</v>
      </c>
      <c r="I195" s="4">
        <f t="shared" ref="I195:I258" si="3">D195/H195</f>
        <v>0.77093596059113301</v>
      </c>
      <c r="K195" t="s">
        <v>618</v>
      </c>
    </row>
    <row r="196" spans="1:11">
      <c r="A196" t="s">
        <v>220</v>
      </c>
      <c r="B196">
        <v>10</v>
      </c>
      <c r="C196">
        <v>30</v>
      </c>
      <c r="D196">
        <v>313</v>
      </c>
      <c r="E196">
        <v>0</v>
      </c>
      <c r="F196">
        <v>2</v>
      </c>
      <c r="G196">
        <v>0</v>
      </c>
      <c r="H196">
        <v>406</v>
      </c>
      <c r="I196" s="4">
        <f t="shared" si="3"/>
        <v>0.77093596059113301</v>
      </c>
      <c r="K196" t="s">
        <v>618</v>
      </c>
    </row>
    <row r="197" spans="1:11">
      <c r="A197" t="s">
        <v>220</v>
      </c>
      <c r="B197">
        <v>10</v>
      </c>
      <c r="C197">
        <v>31</v>
      </c>
      <c r="D197">
        <v>406</v>
      </c>
      <c r="E197">
        <v>0</v>
      </c>
      <c r="F197">
        <v>0</v>
      </c>
      <c r="G197">
        <v>0</v>
      </c>
      <c r="H197">
        <v>406</v>
      </c>
      <c r="I197" s="4">
        <f t="shared" si="3"/>
        <v>1</v>
      </c>
      <c r="K197" t="s">
        <v>618</v>
      </c>
    </row>
    <row r="198" spans="1:11">
      <c r="A198" t="s">
        <v>220</v>
      </c>
      <c r="B198">
        <v>10</v>
      </c>
      <c r="C198">
        <v>32</v>
      </c>
      <c r="D198">
        <v>406</v>
      </c>
      <c r="E198">
        <v>0</v>
      </c>
      <c r="F198">
        <v>0</v>
      </c>
      <c r="G198">
        <v>0</v>
      </c>
      <c r="H198">
        <v>406</v>
      </c>
      <c r="I198" s="4">
        <f t="shared" si="3"/>
        <v>1</v>
      </c>
      <c r="K198" t="s">
        <v>618</v>
      </c>
    </row>
    <row r="199" spans="1:11">
      <c r="A199" t="s">
        <v>220</v>
      </c>
      <c r="B199">
        <v>11</v>
      </c>
      <c r="C199">
        <v>1</v>
      </c>
      <c r="D199">
        <v>1</v>
      </c>
      <c r="E199">
        <v>0</v>
      </c>
      <c r="F199">
        <v>1</v>
      </c>
      <c r="G199">
        <v>0</v>
      </c>
      <c r="H199">
        <v>192</v>
      </c>
      <c r="I199" s="4">
        <f t="shared" si="3"/>
        <v>5.208333333333333E-3</v>
      </c>
      <c r="K199" t="s">
        <v>630</v>
      </c>
    </row>
    <row r="200" spans="1:11">
      <c r="A200" t="s">
        <v>220</v>
      </c>
      <c r="B200">
        <v>11</v>
      </c>
      <c r="C200">
        <v>2</v>
      </c>
      <c r="D200">
        <v>74</v>
      </c>
      <c r="E200">
        <v>0</v>
      </c>
      <c r="F200">
        <v>14</v>
      </c>
      <c r="G200">
        <v>0</v>
      </c>
      <c r="H200">
        <v>192</v>
      </c>
      <c r="I200" s="4">
        <f t="shared" si="3"/>
        <v>0.38541666666666669</v>
      </c>
      <c r="K200" t="s">
        <v>630</v>
      </c>
    </row>
    <row r="201" spans="1:11">
      <c r="A201" t="s">
        <v>220</v>
      </c>
      <c r="B201">
        <v>11</v>
      </c>
      <c r="C201">
        <v>3</v>
      </c>
      <c r="D201">
        <v>80</v>
      </c>
      <c r="E201">
        <v>0</v>
      </c>
      <c r="F201">
        <v>11</v>
      </c>
      <c r="G201">
        <v>0</v>
      </c>
      <c r="H201">
        <v>192</v>
      </c>
      <c r="I201" s="4">
        <f t="shared" si="3"/>
        <v>0.41666666666666669</v>
      </c>
      <c r="K201" t="s">
        <v>630</v>
      </c>
    </row>
    <row r="202" spans="1:11">
      <c r="A202" t="s">
        <v>220</v>
      </c>
      <c r="B202">
        <v>11</v>
      </c>
      <c r="C202">
        <v>4</v>
      </c>
      <c r="D202">
        <v>107</v>
      </c>
      <c r="E202">
        <v>0</v>
      </c>
      <c r="F202">
        <v>9</v>
      </c>
      <c r="G202">
        <v>0</v>
      </c>
      <c r="H202">
        <v>192</v>
      </c>
      <c r="I202" s="4">
        <f t="shared" si="3"/>
        <v>0.55729166666666663</v>
      </c>
      <c r="K202" t="s">
        <v>630</v>
      </c>
    </row>
    <row r="203" spans="1:11">
      <c r="A203" t="s">
        <v>220</v>
      </c>
      <c r="B203">
        <v>11</v>
      </c>
      <c r="C203">
        <v>5</v>
      </c>
      <c r="D203">
        <v>134</v>
      </c>
      <c r="E203">
        <v>0</v>
      </c>
      <c r="F203">
        <v>7</v>
      </c>
      <c r="G203">
        <v>0</v>
      </c>
      <c r="H203">
        <v>192</v>
      </c>
      <c r="I203" s="4">
        <f t="shared" si="3"/>
        <v>0.69791666666666663</v>
      </c>
      <c r="K203" t="s">
        <v>630</v>
      </c>
    </row>
    <row r="204" spans="1:11">
      <c r="A204" t="s">
        <v>220</v>
      </c>
      <c r="B204">
        <v>11</v>
      </c>
      <c r="C204">
        <v>6</v>
      </c>
      <c r="D204">
        <v>161</v>
      </c>
      <c r="E204">
        <v>0</v>
      </c>
      <c r="F204">
        <v>5</v>
      </c>
      <c r="G204">
        <v>0</v>
      </c>
      <c r="H204">
        <v>192</v>
      </c>
      <c r="I204" s="4">
        <f t="shared" si="3"/>
        <v>0.83854166666666663</v>
      </c>
      <c r="K204" t="s">
        <v>630</v>
      </c>
    </row>
    <row r="205" spans="1:11">
      <c r="A205" t="s">
        <v>220</v>
      </c>
      <c r="B205">
        <v>11</v>
      </c>
      <c r="C205">
        <v>7</v>
      </c>
      <c r="D205">
        <v>161</v>
      </c>
      <c r="E205">
        <v>0</v>
      </c>
      <c r="F205">
        <v>5</v>
      </c>
      <c r="G205">
        <v>0</v>
      </c>
      <c r="H205">
        <v>192</v>
      </c>
      <c r="I205" s="4">
        <f t="shared" si="3"/>
        <v>0.83854166666666663</v>
      </c>
      <c r="K205" t="s">
        <v>630</v>
      </c>
    </row>
    <row r="206" spans="1:11">
      <c r="A206" t="s">
        <v>220</v>
      </c>
      <c r="B206">
        <v>11</v>
      </c>
      <c r="C206">
        <v>8</v>
      </c>
      <c r="D206">
        <v>188</v>
      </c>
      <c r="E206">
        <v>0</v>
      </c>
      <c r="F206">
        <v>3</v>
      </c>
      <c r="G206">
        <v>0</v>
      </c>
      <c r="H206">
        <v>192</v>
      </c>
      <c r="I206" s="4">
        <f t="shared" si="3"/>
        <v>0.97916666666666663</v>
      </c>
      <c r="K206" t="s">
        <v>630</v>
      </c>
    </row>
    <row r="207" spans="1:11">
      <c r="A207" t="s">
        <v>220</v>
      </c>
      <c r="B207">
        <v>11</v>
      </c>
      <c r="C207">
        <v>9</v>
      </c>
      <c r="D207">
        <v>188</v>
      </c>
      <c r="E207">
        <v>0</v>
      </c>
      <c r="F207">
        <v>3</v>
      </c>
      <c r="G207">
        <v>0</v>
      </c>
      <c r="H207">
        <v>192</v>
      </c>
      <c r="I207" s="4">
        <f t="shared" si="3"/>
        <v>0.97916666666666663</v>
      </c>
      <c r="K207" t="s">
        <v>630</v>
      </c>
    </row>
    <row r="208" spans="1:11">
      <c r="A208" t="s">
        <v>220</v>
      </c>
      <c r="B208">
        <v>11</v>
      </c>
      <c r="C208">
        <v>10</v>
      </c>
      <c r="D208">
        <v>188</v>
      </c>
      <c r="E208">
        <v>0</v>
      </c>
      <c r="F208">
        <v>3</v>
      </c>
      <c r="G208">
        <v>0</v>
      </c>
      <c r="H208">
        <v>192</v>
      </c>
      <c r="I208" s="4">
        <f t="shared" si="3"/>
        <v>0.97916666666666663</v>
      </c>
      <c r="K208" t="s">
        <v>630</v>
      </c>
    </row>
    <row r="209" spans="1:11">
      <c r="A209" t="s">
        <v>220</v>
      </c>
      <c r="B209">
        <v>11</v>
      </c>
      <c r="C209">
        <v>11</v>
      </c>
      <c r="D209">
        <v>188</v>
      </c>
      <c r="E209">
        <v>0</v>
      </c>
      <c r="F209">
        <v>3</v>
      </c>
      <c r="G209">
        <v>0</v>
      </c>
      <c r="H209">
        <v>192</v>
      </c>
      <c r="I209" s="4">
        <f t="shared" si="3"/>
        <v>0.97916666666666663</v>
      </c>
      <c r="K209" t="s">
        <v>630</v>
      </c>
    </row>
    <row r="210" spans="1:11">
      <c r="A210" t="s">
        <v>220</v>
      </c>
      <c r="B210">
        <v>11</v>
      </c>
      <c r="C210">
        <v>12</v>
      </c>
      <c r="D210">
        <v>192</v>
      </c>
      <c r="E210">
        <v>0</v>
      </c>
      <c r="F210">
        <v>0</v>
      </c>
      <c r="G210">
        <v>0</v>
      </c>
      <c r="H210">
        <v>192</v>
      </c>
      <c r="I210" s="4">
        <f t="shared" si="3"/>
        <v>1</v>
      </c>
      <c r="K210" t="s">
        <v>630</v>
      </c>
    </row>
    <row r="211" spans="1:11">
      <c r="A211" t="s">
        <v>220</v>
      </c>
      <c r="B211">
        <v>11</v>
      </c>
      <c r="C211">
        <v>13</v>
      </c>
      <c r="D211">
        <v>192</v>
      </c>
      <c r="E211">
        <v>0</v>
      </c>
      <c r="F211">
        <v>0</v>
      </c>
      <c r="G211">
        <v>0</v>
      </c>
      <c r="H211">
        <v>192</v>
      </c>
      <c r="I211" s="4">
        <f t="shared" si="3"/>
        <v>1</v>
      </c>
      <c r="K211" t="s">
        <v>630</v>
      </c>
    </row>
    <row r="212" spans="1:11">
      <c r="A212" t="s">
        <v>220</v>
      </c>
      <c r="B212">
        <v>12</v>
      </c>
      <c r="C212">
        <v>1</v>
      </c>
      <c r="D212">
        <v>1</v>
      </c>
      <c r="E212">
        <v>0</v>
      </c>
      <c r="F212">
        <v>1</v>
      </c>
      <c r="G212">
        <v>0</v>
      </c>
      <c r="H212">
        <v>118</v>
      </c>
      <c r="I212" s="4">
        <f t="shared" si="3"/>
        <v>8.4745762711864406E-3</v>
      </c>
      <c r="K212" t="s">
        <v>631</v>
      </c>
    </row>
    <row r="213" spans="1:11">
      <c r="A213" t="s">
        <v>220</v>
      </c>
      <c r="B213">
        <v>12</v>
      </c>
      <c r="C213">
        <v>2</v>
      </c>
      <c r="D213">
        <v>62</v>
      </c>
      <c r="E213">
        <v>0</v>
      </c>
      <c r="F213">
        <v>9</v>
      </c>
      <c r="G213">
        <v>0</v>
      </c>
      <c r="H213">
        <v>118</v>
      </c>
      <c r="I213" s="4">
        <f t="shared" si="3"/>
        <v>0.52542372881355937</v>
      </c>
      <c r="K213" t="s">
        <v>631</v>
      </c>
    </row>
    <row r="214" spans="1:11">
      <c r="A214" t="s">
        <v>220</v>
      </c>
      <c r="B214">
        <v>12</v>
      </c>
      <c r="C214">
        <v>3</v>
      </c>
      <c r="D214">
        <v>66</v>
      </c>
      <c r="E214">
        <v>0</v>
      </c>
      <c r="F214">
        <v>9</v>
      </c>
      <c r="G214">
        <v>0</v>
      </c>
      <c r="H214">
        <v>118</v>
      </c>
      <c r="I214" s="4">
        <f t="shared" si="3"/>
        <v>0.55932203389830504</v>
      </c>
      <c r="K214" t="s">
        <v>631</v>
      </c>
    </row>
    <row r="215" spans="1:11">
      <c r="A215" t="s">
        <v>220</v>
      </c>
      <c r="B215">
        <v>12</v>
      </c>
      <c r="C215">
        <v>4</v>
      </c>
      <c r="D215">
        <v>70</v>
      </c>
      <c r="E215">
        <v>0</v>
      </c>
      <c r="F215">
        <v>9</v>
      </c>
      <c r="G215">
        <v>0</v>
      </c>
      <c r="H215">
        <v>118</v>
      </c>
      <c r="I215" s="4">
        <f t="shared" si="3"/>
        <v>0.59322033898305082</v>
      </c>
      <c r="K215" t="s">
        <v>631</v>
      </c>
    </row>
    <row r="216" spans="1:11">
      <c r="A216" t="s">
        <v>220</v>
      </c>
      <c r="B216">
        <v>12</v>
      </c>
      <c r="C216">
        <v>5</v>
      </c>
      <c r="D216">
        <v>84</v>
      </c>
      <c r="E216">
        <v>0</v>
      </c>
      <c r="F216">
        <v>6</v>
      </c>
      <c r="G216">
        <v>0</v>
      </c>
      <c r="H216">
        <v>118</v>
      </c>
      <c r="I216" s="4">
        <f t="shared" si="3"/>
        <v>0.71186440677966101</v>
      </c>
      <c r="K216" t="s">
        <v>631</v>
      </c>
    </row>
    <row r="217" spans="1:11">
      <c r="A217" t="s">
        <v>220</v>
      </c>
      <c r="B217">
        <v>12</v>
      </c>
      <c r="C217">
        <v>6</v>
      </c>
      <c r="D217">
        <v>105</v>
      </c>
      <c r="E217">
        <v>0</v>
      </c>
      <c r="F217">
        <v>3</v>
      </c>
      <c r="G217">
        <v>0</v>
      </c>
      <c r="H217">
        <v>118</v>
      </c>
      <c r="I217" s="4">
        <f t="shared" si="3"/>
        <v>0.88983050847457623</v>
      </c>
      <c r="K217" t="s">
        <v>631</v>
      </c>
    </row>
    <row r="218" spans="1:11">
      <c r="A218" t="s">
        <v>220</v>
      </c>
      <c r="B218">
        <v>12</v>
      </c>
      <c r="C218">
        <v>7</v>
      </c>
      <c r="D218">
        <v>118</v>
      </c>
      <c r="E218">
        <v>0</v>
      </c>
      <c r="F218">
        <v>0</v>
      </c>
      <c r="G218">
        <v>0</v>
      </c>
      <c r="H218">
        <v>118</v>
      </c>
      <c r="I218" s="4">
        <f t="shared" si="3"/>
        <v>1</v>
      </c>
      <c r="K218" t="s">
        <v>631</v>
      </c>
    </row>
    <row r="219" spans="1:11">
      <c r="A219" t="s">
        <v>220</v>
      </c>
      <c r="B219">
        <v>12</v>
      </c>
      <c r="C219">
        <v>8</v>
      </c>
      <c r="D219">
        <v>118</v>
      </c>
      <c r="E219">
        <v>0</v>
      </c>
      <c r="F219">
        <v>0</v>
      </c>
      <c r="G219">
        <v>0</v>
      </c>
      <c r="H219">
        <v>118</v>
      </c>
      <c r="I219" s="4">
        <f t="shared" si="3"/>
        <v>1</v>
      </c>
      <c r="K219" t="s">
        <v>631</v>
      </c>
    </row>
    <row r="220" spans="1:11">
      <c r="A220" t="s">
        <v>220</v>
      </c>
      <c r="B220">
        <v>12</v>
      </c>
      <c r="C220">
        <v>9</v>
      </c>
      <c r="D220">
        <v>118</v>
      </c>
      <c r="E220">
        <v>0</v>
      </c>
      <c r="F220">
        <v>0</v>
      </c>
      <c r="G220">
        <v>0</v>
      </c>
      <c r="H220">
        <v>118</v>
      </c>
      <c r="I220" s="4">
        <f t="shared" si="3"/>
        <v>1</v>
      </c>
      <c r="K220" t="s">
        <v>631</v>
      </c>
    </row>
    <row r="221" spans="1:11">
      <c r="A221" t="s">
        <v>220</v>
      </c>
      <c r="B221">
        <v>12</v>
      </c>
      <c r="C221">
        <v>10</v>
      </c>
      <c r="D221">
        <v>118</v>
      </c>
      <c r="E221">
        <v>0</v>
      </c>
      <c r="F221">
        <v>0</v>
      </c>
      <c r="G221">
        <v>0</v>
      </c>
      <c r="H221">
        <v>118</v>
      </c>
      <c r="I221" s="4">
        <f t="shared" si="3"/>
        <v>1</v>
      </c>
      <c r="K221" t="s">
        <v>631</v>
      </c>
    </row>
    <row r="222" spans="1:11">
      <c r="A222" t="s">
        <v>220</v>
      </c>
      <c r="B222">
        <v>12</v>
      </c>
      <c r="C222">
        <v>11</v>
      </c>
      <c r="D222">
        <v>118</v>
      </c>
      <c r="E222">
        <v>0</v>
      </c>
      <c r="F222">
        <v>0</v>
      </c>
      <c r="G222">
        <v>0</v>
      </c>
      <c r="H222">
        <v>118</v>
      </c>
      <c r="I222" s="4">
        <f t="shared" si="3"/>
        <v>1</v>
      </c>
      <c r="K222" t="s">
        <v>631</v>
      </c>
    </row>
    <row r="223" spans="1:11">
      <c r="A223" t="s">
        <v>220</v>
      </c>
      <c r="B223">
        <v>12</v>
      </c>
      <c r="C223">
        <v>12</v>
      </c>
      <c r="D223">
        <v>118</v>
      </c>
      <c r="E223">
        <v>0</v>
      </c>
      <c r="F223">
        <v>0</v>
      </c>
      <c r="G223">
        <v>0</v>
      </c>
      <c r="H223">
        <v>118</v>
      </c>
      <c r="I223" s="4">
        <f t="shared" si="3"/>
        <v>1</v>
      </c>
      <c r="K223" t="s">
        <v>631</v>
      </c>
    </row>
    <row r="224" spans="1:11">
      <c r="A224" t="s">
        <v>220</v>
      </c>
      <c r="B224">
        <v>12</v>
      </c>
      <c r="C224">
        <v>13</v>
      </c>
      <c r="D224">
        <v>118</v>
      </c>
      <c r="E224">
        <v>0</v>
      </c>
      <c r="F224">
        <v>0</v>
      </c>
      <c r="G224">
        <v>0</v>
      </c>
      <c r="H224">
        <v>118</v>
      </c>
      <c r="I224" s="4">
        <f t="shared" si="3"/>
        <v>1</v>
      </c>
      <c r="K224" t="s">
        <v>631</v>
      </c>
    </row>
    <row r="225" spans="1:11">
      <c r="A225" t="s">
        <v>220</v>
      </c>
      <c r="B225">
        <v>12</v>
      </c>
      <c r="C225">
        <v>14</v>
      </c>
      <c r="D225">
        <v>118</v>
      </c>
      <c r="E225">
        <v>0</v>
      </c>
      <c r="F225">
        <v>0</v>
      </c>
      <c r="G225">
        <v>0</v>
      </c>
      <c r="H225">
        <v>118</v>
      </c>
      <c r="I225" s="4">
        <f t="shared" si="3"/>
        <v>1</v>
      </c>
      <c r="K225" t="s">
        <v>631</v>
      </c>
    </row>
    <row r="226" spans="1:11">
      <c r="A226" t="s">
        <v>220</v>
      </c>
      <c r="B226">
        <v>12</v>
      </c>
      <c r="C226">
        <v>15</v>
      </c>
      <c r="D226">
        <v>118</v>
      </c>
      <c r="E226">
        <v>0</v>
      </c>
      <c r="F226">
        <v>0</v>
      </c>
      <c r="G226">
        <v>0</v>
      </c>
      <c r="H226">
        <v>118</v>
      </c>
      <c r="I226" s="4">
        <f t="shared" si="3"/>
        <v>1</v>
      </c>
      <c r="K226" t="s">
        <v>631</v>
      </c>
    </row>
    <row r="227" spans="1:11">
      <c r="A227" t="s">
        <v>220</v>
      </c>
      <c r="B227">
        <v>12</v>
      </c>
      <c r="C227">
        <v>16</v>
      </c>
      <c r="D227">
        <v>118</v>
      </c>
      <c r="E227">
        <v>0</v>
      </c>
      <c r="F227">
        <v>0</v>
      </c>
      <c r="G227">
        <v>0</v>
      </c>
      <c r="H227">
        <v>118</v>
      </c>
      <c r="I227" s="4">
        <f t="shared" si="3"/>
        <v>1</v>
      </c>
      <c r="K227" t="s">
        <v>631</v>
      </c>
    </row>
    <row r="228" spans="1:11">
      <c r="A228" t="s">
        <v>220</v>
      </c>
      <c r="B228">
        <v>12</v>
      </c>
      <c r="C228">
        <v>17</v>
      </c>
      <c r="D228">
        <v>118</v>
      </c>
      <c r="E228">
        <v>0</v>
      </c>
      <c r="F228">
        <v>0</v>
      </c>
      <c r="G228">
        <v>0</v>
      </c>
      <c r="H228">
        <v>118</v>
      </c>
      <c r="I228" s="4">
        <f t="shared" si="3"/>
        <v>1</v>
      </c>
      <c r="K228" t="s">
        <v>631</v>
      </c>
    </row>
    <row r="229" spans="1:11">
      <c r="A229" t="s">
        <v>221</v>
      </c>
      <c r="B229">
        <v>1</v>
      </c>
      <c r="C229">
        <v>1</v>
      </c>
      <c r="D229">
        <v>18</v>
      </c>
      <c r="E229">
        <v>0</v>
      </c>
      <c r="F229">
        <v>4</v>
      </c>
      <c r="G229">
        <v>0</v>
      </c>
      <c r="H229">
        <v>88</v>
      </c>
      <c r="I229" s="4">
        <f t="shared" si="3"/>
        <v>0.20454545454545456</v>
      </c>
      <c r="K229" t="s">
        <v>632</v>
      </c>
    </row>
    <row r="230" spans="1:11">
      <c r="A230" t="s">
        <v>221</v>
      </c>
      <c r="B230">
        <v>1</v>
      </c>
      <c r="C230">
        <v>2</v>
      </c>
      <c r="D230">
        <v>34</v>
      </c>
      <c r="E230">
        <v>0</v>
      </c>
      <c r="F230">
        <v>4</v>
      </c>
      <c r="G230">
        <v>0</v>
      </c>
      <c r="H230">
        <v>88</v>
      </c>
      <c r="I230" s="4">
        <f t="shared" si="3"/>
        <v>0.38636363636363635</v>
      </c>
      <c r="K230" t="s">
        <v>632</v>
      </c>
    </row>
    <row r="231" spans="1:11">
      <c r="A231" t="s">
        <v>221</v>
      </c>
      <c r="B231">
        <v>1</v>
      </c>
      <c r="C231">
        <v>3</v>
      </c>
      <c r="D231">
        <v>34</v>
      </c>
      <c r="E231">
        <v>0</v>
      </c>
      <c r="F231">
        <v>4</v>
      </c>
      <c r="G231">
        <v>0</v>
      </c>
      <c r="H231">
        <v>88</v>
      </c>
      <c r="I231" s="4">
        <f t="shared" si="3"/>
        <v>0.38636363636363635</v>
      </c>
      <c r="K231" t="s">
        <v>632</v>
      </c>
    </row>
    <row r="232" spans="1:11">
      <c r="A232" t="s">
        <v>221</v>
      </c>
      <c r="B232">
        <v>1</v>
      </c>
      <c r="C232">
        <v>4</v>
      </c>
      <c r="D232">
        <v>34</v>
      </c>
      <c r="E232">
        <v>0</v>
      </c>
      <c r="F232">
        <v>4</v>
      </c>
      <c r="G232">
        <v>0</v>
      </c>
      <c r="H232">
        <v>88</v>
      </c>
      <c r="I232" s="4">
        <f t="shared" si="3"/>
        <v>0.38636363636363635</v>
      </c>
      <c r="K232" t="s">
        <v>632</v>
      </c>
    </row>
    <row r="233" spans="1:11">
      <c r="A233" t="s">
        <v>221</v>
      </c>
      <c r="B233">
        <v>1</v>
      </c>
      <c r="C233">
        <v>5</v>
      </c>
      <c r="D233">
        <v>88</v>
      </c>
      <c r="E233">
        <v>0</v>
      </c>
      <c r="F233">
        <v>0</v>
      </c>
      <c r="G233">
        <v>0</v>
      </c>
      <c r="H233">
        <v>88</v>
      </c>
      <c r="I233" s="4">
        <f t="shared" si="3"/>
        <v>1</v>
      </c>
      <c r="K233" t="s">
        <v>632</v>
      </c>
    </row>
    <row r="234" spans="1:11">
      <c r="A234" t="s">
        <v>221</v>
      </c>
      <c r="B234">
        <v>1</v>
      </c>
      <c r="C234">
        <v>6</v>
      </c>
      <c r="D234">
        <v>88</v>
      </c>
      <c r="E234">
        <v>0</v>
      </c>
      <c r="F234">
        <v>0</v>
      </c>
      <c r="G234">
        <v>0</v>
      </c>
      <c r="H234">
        <v>88</v>
      </c>
      <c r="I234" s="4">
        <f t="shared" si="3"/>
        <v>1</v>
      </c>
      <c r="K234" t="s">
        <v>632</v>
      </c>
    </row>
    <row r="235" spans="1:11">
      <c r="A235" t="s">
        <v>221</v>
      </c>
      <c r="B235">
        <v>1</v>
      </c>
      <c r="C235">
        <v>7</v>
      </c>
      <c r="D235">
        <v>88</v>
      </c>
      <c r="E235">
        <v>0</v>
      </c>
      <c r="F235">
        <v>0</v>
      </c>
      <c r="G235">
        <v>0</v>
      </c>
      <c r="H235">
        <v>88</v>
      </c>
      <c r="I235" s="4">
        <f t="shared" si="3"/>
        <v>1</v>
      </c>
      <c r="K235" t="s">
        <v>632</v>
      </c>
    </row>
    <row r="236" spans="1:11">
      <c r="A236" t="s">
        <v>222</v>
      </c>
      <c r="B236">
        <v>1</v>
      </c>
      <c r="C236">
        <v>1</v>
      </c>
      <c r="D236">
        <v>13</v>
      </c>
      <c r="E236">
        <v>0</v>
      </c>
      <c r="F236">
        <v>3</v>
      </c>
      <c r="G236">
        <v>0</v>
      </c>
      <c r="H236">
        <v>166</v>
      </c>
      <c r="I236" s="4">
        <f t="shared" si="3"/>
        <v>7.8313253012048195E-2</v>
      </c>
      <c r="K236" t="s">
        <v>633</v>
      </c>
    </row>
    <row r="237" spans="1:11">
      <c r="A237" t="s">
        <v>222</v>
      </c>
      <c r="B237">
        <v>1</v>
      </c>
      <c r="C237">
        <v>2</v>
      </c>
      <c r="D237">
        <v>15</v>
      </c>
      <c r="E237">
        <v>0</v>
      </c>
      <c r="F237">
        <v>3</v>
      </c>
      <c r="G237">
        <v>0</v>
      </c>
      <c r="H237">
        <v>166</v>
      </c>
      <c r="I237" s="4">
        <f t="shared" si="3"/>
        <v>9.036144578313253E-2</v>
      </c>
      <c r="K237" t="s">
        <v>633</v>
      </c>
    </row>
    <row r="238" spans="1:11">
      <c r="A238" t="s">
        <v>222</v>
      </c>
      <c r="B238">
        <v>1</v>
      </c>
      <c r="C238">
        <v>3</v>
      </c>
      <c r="D238">
        <v>21</v>
      </c>
      <c r="E238">
        <v>0</v>
      </c>
      <c r="F238">
        <v>4</v>
      </c>
      <c r="G238">
        <v>0</v>
      </c>
      <c r="H238">
        <v>166</v>
      </c>
      <c r="I238" s="4">
        <f t="shared" si="3"/>
        <v>0.12650602409638553</v>
      </c>
      <c r="K238" t="s">
        <v>633</v>
      </c>
    </row>
    <row r="239" spans="1:11">
      <c r="A239" t="s">
        <v>222</v>
      </c>
      <c r="B239">
        <v>1</v>
      </c>
      <c r="C239">
        <v>4</v>
      </c>
      <c r="D239">
        <v>23</v>
      </c>
      <c r="E239">
        <v>0</v>
      </c>
      <c r="F239">
        <v>4</v>
      </c>
      <c r="G239">
        <v>0</v>
      </c>
      <c r="H239">
        <v>166</v>
      </c>
      <c r="I239" s="4">
        <f t="shared" si="3"/>
        <v>0.13855421686746988</v>
      </c>
      <c r="K239" t="s">
        <v>633</v>
      </c>
    </row>
    <row r="240" spans="1:11">
      <c r="A240" t="s">
        <v>222</v>
      </c>
      <c r="B240">
        <v>1</v>
      </c>
      <c r="C240">
        <v>5</v>
      </c>
      <c r="D240">
        <v>25</v>
      </c>
      <c r="E240">
        <v>0</v>
      </c>
      <c r="F240">
        <v>4</v>
      </c>
      <c r="G240">
        <v>0</v>
      </c>
      <c r="H240">
        <v>166</v>
      </c>
      <c r="I240" s="4">
        <f t="shared" si="3"/>
        <v>0.15060240963855423</v>
      </c>
      <c r="K240" t="s">
        <v>633</v>
      </c>
    </row>
    <row r="241" spans="1:11">
      <c r="A241" t="s">
        <v>222</v>
      </c>
      <c r="B241">
        <v>1</v>
      </c>
      <c r="C241">
        <v>6</v>
      </c>
      <c r="D241">
        <v>27</v>
      </c>
      <c r="E241">
        <v>0</v>
      </c>
      <c r="F241">
        <v>4</v>
      </c>
      <c r="G241">
        <v>0</v>
      </c>
      <c r="H241">
        <v>166</v>
      </c>
      <c r="I241" s="4">
        <f t="shared" si="3"/>
        <v>0.16265060240963855</v>
      </c>
      <c r="K241" t="s">
        <v>633</v>
      </c>
    </row>
    <row r="242" spans="1:11">
      <c r="A242" t="s">
        <v>222</v>
      </c>
      <c r="B242">
        <v>1</v>
      </c>
      <c r="C242">
        <v>7</v>
      </c>
      <c r="D242">
        <v>28</v>
      </c>
      <c r="E242">
        <v>0</v>
      </c>
      <c r="F242">
        <v>4</v>
      </c>
      <c r="G242">
        <v>0</v>
      </c>
      <c r="H242">
        <v>166</v>
      </c>
      <c r="I242" s="4">
        <f t="shared" si="3"/>
        <v>0.16867469879518071</v>
      </c>
      <c r="K242" t="s">
        <v>633</v>
      </c>
    </row>
    <row r="243" spans="1:11">
      <c r="A243" t="s">
        <v>222</v>
      </c>
      <c r="B243">
        <v>1</v>
      </c>
      <c r="C243">
        <v>8</v>
      </c>
      <c r="D243">
        <v>29</v>
      </c>
      <c r="E243">
        <v>0</v>
      </c>
      <c r="F243">
        <v>4</v>
      </c>
      <c r="G243">
        <v>0</v>
      </c>
      <c r="H243">
        <v>166</v>
      </c>
      <c r="I243" s="4">
        <f t="shared" si="3"/>
        <v>0.1746987951807229</v>
      </c>
      <c r="K243" t="s">
        <v>633</v>
      </c>
    </row>
    <row r="244" spans="1:11">
      <c r="A244" t="s">
        <v>222</v>
      </c>
      <c r="B244">
        <v>1</v>
      </c>
      <c r="C244">
        <v>9</v>
      </c>
      <c r="D244">
        <v>31</v>
      </c>
      <c r="E244">
        <v>0</v>
      </c>
      <c r="F244">
        <v>4</v>
      </c>
      <c r="G244">
        <v>0</v>
      </c>
      <c r="H244">
        <v>166</v>
      </c>
      <c r="I244" s="4">
        <f t="shared" si="3"/>
        <v>0.18674698795180722</v>
      </c>
      <c r="K244" t="s">
        <v>633</v>
      </c>
    </row>
    <row r="245" spans="1:11">
      <c r="A245" t="s">
        <v>222</v>
      </c>
      <c r="B245">
        <v>1</v>
      </c>
      <c r="C245">
        <v>10</v>
      </c>
      <c r="D245">
        <v>33</v>
      </c>
      <c r="E245">
        <v>0</v>
      </c>
      <c r="F245">
        <v>4</v>
      </c>
      <c r="G245">
        <v>0</v>
      </c>
      <c r="H245">
        <v>166</v>
      </c>
      <c r="I245" s="4">
        <f t="shared" si="3"/>
        <v>0.19879518072289157</v>
      </c>
      <c r="K245" t="s">
        <v>633</v>
      </c>
    </row>
    <row r="246" spans="1:11">
      <c r="A246" t="s">
        <v>222</v>
      </c>
      <c r="B246">
        <v>1</v>
      </c>
      <c r="C246">
        <v>11</v>
      </c>
      <c r="D246">
        <v>35</v>
      </c>
      <c r="E246">
        <v>0</v>
      </c>
      <c r="F246">
        <v>4</v>
      </c>
      <c r="G246">
        <v>0</v>
      </c>
      <c r="H246">
        <v>166</v>
      </c>
      <c r="I246" s="4">
        <f t="shared" si="3"/>
        <v>0.21084337349397592</v>
      </c>
      <c r="K246" t="s">
        <v>633</v>
      </c>
    </row>
    <row r="247" spans="1:11">
      <c r="A247" t="s">
        <v>222</v>
      </c>
      <c r="B247">
        <v>1</v>
      </c>
      <c r="C247">
        <v>12</v>
      </c>
      <c r="D247">
        <v>38</v>
      </c>
      <c r="E247">
        <v>0</v>
      </c>
      <c r="F247">
        <v>5</v>
      </c>
      <c r="G247">
        <v>0</v>
      </c>
      <c r="H247">
        <v>166</v>
      </c>
      <c r="I247" s="4">
        <f t="shared" si="3"/>
        <v>0.2289156626506024</v>
      </c>
      <c r="K247" t="s">
        <v>633</v>
      </c>
    </row>
    <row r="248" spans="1:11">
      <c r="A248" t="s">
        <v>222</v>
      </c>
      <c r="B248">
        <v>1</v>
      </c>
      <c r="C248">
        <v>13</v>
      </c>
      <c r="D248">
        <v>39</v>
      </c>
      <c r="E248">
        <v>0</v>
      </c>
      <c r="F248">
        <v>4</v>
      </c>
      <c r="G248">
        <v>0</v>
      </c>
      <c r="H248">
        <v>166</v>
      </c>
      <c r="I248" s="4">
        <f t="shared" si="3"/>
        <v>0.23493975903614459</v>
      </c>
      <c r="K248" t="s">
        <v>633</v>
      </c>
    </row>
    <row r="249" spans="1:11">
      <c r="A249" t="s">
        <v>222</v>
      </c>
      <c r="B249">
        <v>1</v>
      </c>
      <c r="C249">
        <v>14</v>
      </c>
      <c r="D249">
        <v>41</v>
      </c>
      <c r="E249">
        <v>0</v>
      </c>
      <c r="F249">
        <v>3</v>
      </c>
      <c r="G249">
        <v>0</v>
      </c>
      <c r="H249">
        <v>166</v>
      </c>
      <c r="I249" s="4">
        <f t="shared" si="3"/>
        <v>0.24698795180722891</v>
      </c>
      <c r="K249" t="s">
        <v>633</v>
      </c>
    </row>
    <row r="250" spans="1:11">
      <c r="A250" t="s">
        <v>222</v>
      </c>
      <c r="B250">
        <v>1</v>
      </c>
      <c r="C250">
        <v>15</v>
      </c>
      <c r="D250">
        <v>42</v>
      </c>
      <c r="E250">
        <v>0</v>
      </c>
      <c r="F250">
        <v>2</v>
      </c>
      <c r="G250">
        <v>0</v>
      </c>
      <c r="H250">
        <v>166</v>
      </c>
      <c r="I250" s="4">
        <f t="shared" si="3"/>
        <v>0.25301204819277107</v>
      </c>
      <c r="K250" t="s">
        <v>633</v>
      </c>
    </row>
    <row r="251" spans="1:11">
      <c r="A251" t="s">
        <v>222</v>
      </c>
      <c r="B251">
        <v>1</v>
      </c>
      <c r="C251">
        <v>16</v>
      </c>
      <c r="D251">
        <v>166</v>
      </c>
      <c r="E251">
        <v>0</v>
      </c>
      <c r="F251">
        <v>0</v>
      </c>
      <c r="G251">
        <v>0</v>
      </c>
      <c r="H251">
        <v>166</v>
      </c>
      <c r="I251" s="4">
        <f t="shared" si="3"/>
        <v>1</v>
      </c>
      <c r="K251" t="s">
        <v>633</v>
      </c>
    </row>
    <row r="252" spans="1:11">
      <c r="A252" t="s">
        <v>222</v>
      </c>
      <c r="B252">
        <v>3</v>
      </c>
      <c r="C252">
        <v>1</v>
      </c>
      <c r="D252">
        <v>279</v>
      </c>
      <c r="E252">
        <v>0</v>
      </c>
      <c r="F252">
        <v>2</v>
      </c>
      <c r="G252">
        <v>0</v>
      </c>
      <c r="H252">
        <v>332</v>
      </c>
      <c r="I252" s="4">
        <f t="shared" si="3"/>
        <v>0.84036144578313254</v>
      </c>
      <c r="K252" t="s">
        <v>634</v>
      </c>
    </row>
    <row r="253" spans="1:11">
      <c r="A253" t="s">
        <v>222</v>
      </c>
      <c r="B253">
        <v>3</v>
      </c>
      <c r="C253">
        <v>2</v>
      </c>
      <c r="D253">
        <v>331</v>
      </c>
      <c r="E253">
        <v>0</v>
      </c>
      <c r="F253">
        <v>1</v>
      </c>
      <c r="G253">
        <v>0</v>
      </c>
      <c r="H253">
        <v>332</v>
      </c>
      <c r="I253" s="4">
        <f t="shared" si="3"/>
        <v>0.99698795180722888</v>
      </c>
      <c r="K253" t="s">
        <v>634</v>
      </c>
    </row>
    <row r="254" spans="1:11">
      <c r="A254" t="s">
        <v>222</v>
      </c>
      <c r="B254">
        <v>3</v>
      </c>
      <c r="C254">
        <v>3</v>
      </c>
      <c r="D254">
        <v>332</v>
      </c>
      <c r="E254">
        <v>0</v>
      </c>
      <c r="F254">
        <v>0</v>
      </c>
      <c r="G254">
        <v>0</v>
      </c>
      <c r="H254">
        <v>332</v>
      </c>
      <c r="I254" s="4">
        <f t="shared" si="3"/>
        <v>1</v>
      </c>
      <c r="K254" t="s">
        <v>634</v>
      </c>
    </row>
    <row r="255" spans="1:11">
      <c r="A255" t="s">
        <v>222</v>
      </c>
      <c r="B255">
        <v>4</v>
      </c>
      <c r="C255">
        <v>1</v>
      </c>
      <c r="D255">
        <v>112</v>
      </c>
      <c r="E255">
        <v>0</v>
      </c>
      <c r="F255">
        <v>5</v>
      </c>
      <c r="G255">
        <v>0</v>
      </c>
      <c r="H255">
        <f>129</f>
        <v>129</v>
      </c>
      <c r="I255" s="4">
        <f t="shared" si="3"/>
        <v>0.86821705426356588</v>
      </c>
      <c r="K255" t="s">
        <v>635</v>
      </c>
    </row>
    <row r="256" spans="1:11">
      <c r="A256" t="s">
        <v>222</v>
      </c>
      <c r="B256">
        <v>4</v>
      </c>
      <c r="C256">
        <v>2</v>
      </c>
      <c r="D256">
        <v>116</v>
      </c>
      <c r="E256">
        <v>0</v>
      </c>
      <c r="F256">
        <v>3</v>
      </c>
      <c r="G256">
        <v>0</v>
      </c>
      <c r="H256">
        <f>129</f>
        <v>129</v>
      </c>
      <c r="I256" s="4">
        <f t="shared" si="3"/>
        <v>0.89922480620155043</v>
      </c>
      <c r="K256" t="s">
        <v>635</v>
      </c>
    </row>
    <row r="257" spans="1:11">
      <c r="A257" t="s">
        <v>222</v>
      </c>
      <c r="B257">
        <v>4</v>
      </c>
      <c r="C257">
        <v>3</v>
      </c>
      <c r="D257">
        <v>119</v>
      </c>
      <c r="E257">
        <v>0</v>
      </c>
      <c r="F257">
        <v>2</v>
      </c>
      <c r="G257">
        <v>0</v>
      </c>
      <c r="H257">
        <f>129</f>
        <v>129</v>
      </c>
      <c r="I257" s="4">
        <f t="shared" si="3"/>
        <v>0.92248062015503873</v>
      </c>
      <c r="K257" t="s">
        <v>635</v>
      </c>
    </row>
    <row r="258" spans="1:11">
      <c r="A258" t="s">
        <v>222</v>
      </c>
      <c r="B258">
        <v>4</v>
      </c>
      <c r="C258">
        <v>4</v>
      </c>
      <c r="D258">
        <v>122</v>
      </c>
      <c r="E258">
        <v>0</v>
      </c>
      <c r="F258">
        <v>2</v>
      </c>
      <c r="G258">
        <v>0</v>
      </c>
      <c r="H258">
        <f>129</f>
        <v>129</v>
      </c>
      <c r="I258" s="4">
        <f t="shared" si="3"/>
        <v>0.94573643410852715</v>
      </c>
      <c r="K258" t="s">
        <v>635</v>
      </c>
    </row>
    <row r="259" spans="1:11">
      <c r="A259" t="s">
        <v>222</v>
      </c>
      <c r="B259">
        <v>4</v>
      </c>
      <c r="C259">
        <v>5</v>
      </c>
      <c r="D259">
        <v>122</v>
      </c>
      <c r="E259">
        <v>0</v>
      </c>
      <c r="F259">
        <v>2</v>
      </c>
      <c r="G259">
        <v>0</v>
      </c>
      <c r="H259">
        <f>129</f>
        <v>129</v>
      </c>
      <c r="I259" s="4">
        <f t="shared" ref="I259:I322" si="4">D259/H259</f>
        <v>0.94573643410852715</v>
      </c>
      <c r="K259" t="s">
        <v>635</v>
      </c>
    </row>
    <row r="260" spans="1:11">
      <c r="A260" t="s">
        <v>222</v>
      </c>
      <c r="B260">
        <v>4</v>
      </c>
      <c r="C260">
        <v>6</v>
      </c>
      <c r="D260">
        <v>122</v>
      </c>
      <c r="E260">
        <v>0</v>
      </c>
      <c r="F260">
        <v>2</v>
      </c>
      <c r="G260">
        <v>0</v>
      </c>
      <c r="H260">
        <f>129</f>
        <v>129</v>
      </c>
      <c r="I260" s="4">
        <f t="shared" si="4"/>
        <v>0.94573643410852715</v>
      </c>
      <c r="K260" t="s">
        <v>635</v>
      </c>
    </row>
    <row r="261" spans="1:11">
      <c r="A261" t="s">
        <v>222</v>
      </c>
      <c r="B261">
        <v>4</v>
      </c>
      <c r="C261">
        <v>7</v>
      </c>
      <c r="D261">
        <v>129</v>
      </c>
      <c r="E261">
        <v>0</v>
      </c>
      <c r="F261">
        <v>0</v>
      </c>
      <c r="G261">
        <v>0</v>
      </c>
      <c r="H261">
        <f>129</f>
        <v>129</v>
      </c>
      <c r="I261" s="4">
        <f t="shared" si="4"/>
        <v>1</v>
      </c>
      <c r="K261" t="s">
        <v>635</v>
      </c>
    </row>
    <row r="262" spans="1:11">
      <c r="A262" t="s">
        <v>222</v>
      </c>
      <c r="B262">
        <v>4</v>
      </c>
      <c r="C262">
        <v>8</v>
      </c>
      <c r="D262">
        <v>129</v>
      </c>
      <c r="E262">
        <v>0</v>
      </c>
      <c r="F262">
        <v>0</v>
      </c>
      <c r="G262">
        <v>0</v>
      </c>
      <c r="H262">
        <f>129</f>
        <v>129</v>
      </c>
      <c r="I262" s="4">
        <f t="shared" si="4"/>
        <v>1</v>
      </c>
      <c r="K262" t="s">
        <v>635</v>
      </c>
    </row>
    <row r="263" spans="1:11">
      <c r="A263" t="s">
        <v>222</v>
      </c>
      <c r="B263">
        <v>4</v>
      </c>
      <c r="C263">
        <v>9</v>
      </c>
      <c r="D263">
        <v>129</v>
      </c>
      <c r="E263">
        <v>0</v>
      </c>
      <c r="F263">
        <v>0</v>
      </c>
      <c r="G263">
        <v>0</v>
      </c>
      <c r="H263">
        <f>129</f>
        <v>129</v>
      </c>
      <c r="I263" s="4">
        <f t="shared" si="4"/>
        <v>1</v>
      </c>
      <c r="K263" t="s">
        <v>635</v>
      </c>
    </row>
    <row r="264" spans="1:11">
      <c r="A264" t="s">
        <v>222</v>
      </c>
      <c r="B264">
        <v>6</v>
      </c>
      <c r="C264">
        <v>1</v>
      </c>
      <c r="D264">
        <v>78</v>
      </c>
      <c r="E264">
        <v>0</v>
      </c>
      <c r="F264">
        <v>3</v>
      </c>
      <c r="G264">
        <v>0</v>
      </c>
      <c r="H264">
        <v>121</v>
      </c>
      <c r="I264" s="4">
        <f t="shared" si="4"/>
        <v>0.64462809917355368</v>
      </c>
      <c r="K264" t="s">
        <v>636</v>
      </c>
    </row>
    <row r="265" spans="1:11">
      <c r="A265" t="s">
        <v>222</v>
      </c>
      <c r="B265">
        <v>6</v>
      </c>
      <c r="C265">
        <v>2</v>
      </c>
      <c r="D265">
        <v>121</v>
      </c>
      <c r="E265">
        <v>0</v>
      </c>
      <c r="F265">
        <v>0</v>
      </c>
      <c r="G265">
        <v>0</v>
      </c>
      <c r="H265">
        <v>121</v>
      </c>
      <c r="I265" s="4">
        <f t="shared" si="4"/>
        <v>1</v>
      </c>
      <c r="K265" t="s">
        <v>636</v>
      </c>
    </row>
    <row r="266" spans="1:11">
      <c r="A266" t="s">
        <v>222</v>
      </c>
      <c r="B266">
        <v>7</v>
      </c>
      <c r="C266">
        <v>1</v>
      </c>
      <c r="D266">
        <v>1</v>
      </c>
      <c r="E266">
        <v>0</v>
      </c>
      <c r="F266">
        <v>1</v>
      </c>
      <c r="G266">
        <v>0</v>
      </c>
      <c r="H266">
        <v>43</v>
      </c>
      <c r="I266" s="4">
        <f t="shared" si="4"/>
        <v>2.3255813953488372E-2</v>
      </c>
      <c r="K266" t="s">
        <v>637</v>
      </c>
    </row>
    <row r="267" spans="1:11">
      <c r="A267" t="s">
        <v>222</v>
      </c>
      <c r="B267">
        <v>7</v>
      </c>
      <c r="C267">
        <v>2</v>
      </c>
      <c r="D267">
        <v>3</v>
      </c>
      <c r="E267">
        <v>0</v>
      </c>
      <c r="F267">
        <v>1</v>
      </c>
      <c r="G267">
        <v>0</v>
      </c>
      <c r="H267">
        <v>43</v>
      </c>
      <c r="I267" s="4">
        <f t="shared" si="4"/>
        <v>6.9767441860465115E-2</v>
      </c>
      <c r="K267" t="s">
        <v>637</v>
      </c>
    </row>
    <row r="268" spans="1:11">
      <c r="A268" t="s">
        <v>222</v>
      </c>
      <c r="B268">
        <v>7</v>
      </c>
      <c r="C268">
        <v>3</v>
      </c>
      <c r="D268">
        <v>5</v>
      </c>
      <c r="E268">
        <v>0</v>
      </c>
      <c r="F268">
        <v>1</v>
      </c>
      <c r="G268">
        <v>0</v>
      </c>
      <c r="H268">
        <v>43</v>
      </c>
      <c r="I268" s="4">
        <f t="shared" si="4"/>
        <v>0.11627906976744186</v>
      </c>
      <c r="K268" t="s">
        <v>637</v>
      </c>
    </row>
    <row r="269" spans="1:11">
      <c r="A269" t="s">
        <v>222</v>
      </c>
      <c r="B269">
        <v>7</v>
      </c>
      <c r="C269">
        <v>4</v>
      </c>
      <c r="D269">
        <v>7</v>
      </c>
      <c r="E269">
        <v>0</v>
      </c>
      <c r="F269">
        <v>1</v>
      </c>
      <c r="G269">
        <v>0</v>
      </c>
      <c r="H269">
        <v>43</v>
      </c>
      <c r="I269" s="4">
        <f t="shared" si="4"/>
        <v>0.16279069767441862</v>
      </c>
      <c r="K269" t="s">
        <v>637</v>
      </c>
    </row>
    <row r="270" spans="1:11">
      <c r="A270" t="s">
        <v>222</v>
      </c>
      <c r="B270">
        <v>7</v>
      </c>
      <c r="C270">
        <v>5</v>
      </c>
      <c r="D270">
        <v>11</v>
      </c>
      <c r="E270">
        <v>0</v>
      </c>
      <c r="F270">
        <v>3</v>
      </c>
      <c r="G270">
        <v>0</v>
      </c>
      <c r="H270">
        <v>43</v>
      </c>
      <c r="I270" s="4">
        <f t="shared" si="4"/>
        <v>0.2558139534883721</v>
      </c>
      <c r="K270" t="s">
        <v>637</v>
      </c>
    </row>
    <row r="271" spans="1:11">
      <c r="A271" t="s">
        <v>222</v>
      </c>
      <c r="B271">
        <v>7</v>
      </c>
      <c r="C271">
        <v>6</v>
      </c>
      <c r="D271">
        <v>42</v>
      </c>
      <c r="E271">
        <v>0</v>
      </c>
      <c r="F271">
        <v>1</v>
      </c>
      <c r="G271">
        <v>0</v>
      </c>
      <c r="H271">
        <v>43</v>
      </c>
      <c r="I271" s="4">
        <f t="shared" si="4"/>
        <v>0.97674418604651159</v>
      </c>
      <c r="K271" t="s">
        <v>637</v>
      </c>
    </row>
    <row r="272" spans="1:11">
      <c r="A272" s="9" t="s">
        <v>222</v>
      </c>
      <c r="B272" s="9">
        <v>7</v>
      </c>
      <c r="C272" s="9">
        <v>7</v>
      </c>
      <c r="D272" s="9">
        <v>43</v>
      </c>
      <c r="E272" s="9">
        <v>0</v>
      </c>
      <c r="F272" s="9">
        <v>0</v>
      </c>
      <c r="G272" s="9">
        <v>0</v>
      </c>
      <c r="H272" s="9">
        <v>43</v>
      </c>
      <c r="I272" s="4">
        <f t="shared" si="4"/>
        <v>1</v>
      </c>
      <c r="K272" t="s">
        <v>637</v>
      </c>
    </row>
    <row r="273" spans="1:11">
      <c r="A273" t="s">
        <v>223</v>
      </c>
      <c r="B273">
        <v>3</v>
      </c>
      <c r="C273">
        <v>1</v>
      </c>
      <c r="D273">
        <v>6</v>
      </c>
      <c r="E273">
        <v>0</v>
      </c>
      <c r="F273">
        <v>1</v>
      </c>
      <c r="G273">
        <v>0</v>
      </c>
      <c r="H273">
        <v>62</v>
      </c>
      <c r="I273" s="4">
        <f t="shared" si="4"/>
        <v>9.6774193548387094E-2</v>
      </c>
      <c r="K273" t="s">
        <v>638</v>
      </c>
    </row>
    <row r="274" spans="1:11">
      <c r="A274" t="s">
        <v>223</v>
      </c>
      <c r="B274">
        <v>3</v>
      </c>
      <c r="C274">
        <v>2</v>
      </c>
      <c r="D274">
        <v>46</v>
      </c>
      <c r="E274">
        <v>0</v>
      </c>
      <c r="F274">
        <v>3</v>
      </c>
      <c r="G274">
        <v>0</v>
      </c>
      <c r="H274">
        <v>62</v>
      </c>
      <c r="I274" s="4">
        <f t="shared" si="4"/>
        <v>0.74193548387096775</v>
      </c>
      <c r="K274" t="s">
        <v>638</v>
      </c>
    </row>
    <row r="275" spans="1:11">
      <c r="A275" t="s">
        <v>223</v>
      </c>
      <c r="B275">
        <v>3</v>
      </c>
      <c r="C275">
        <v>3</v>
      </c>
      <c r="D275">
        <v>62</v>
      </c>
      <c r="E275">
        <v>0</v>
      </c>
      <c r="F275">
        <v>0</v>
      </c>
      <c r="G275">
        <v>0</v>
      </c>
      <c r="H275">
        <v>62</v>
      </c>
      <c r="I275" s="4">
        <f t="shared" si="4"/>
        <v>1</v>
      </c>
      <c r="K275" t="s">
        <v>638</v>
      </c>
    </row>
    <row r="276" spans="1:11">
      <c r="A276" t="s">
        <v>223</v>
      </c>
      <c r="B276">
        <v>7</v>
      </c>
      <c r="C276">
        <v>1</v>
      </c>
      <c r="D276">
        <v>3</v>
      </c>
      <c r="E276">
        <v>0</v>
      </c>
      <c r="F276">
        <v>0</v>
      </c>
      <c r="G276">
        <v>0</v>
      </c>
      <c r="H276">
        <v>56</v>
      </c>
      <c r="I276" s="4">
        <f t="shared" si="4"/>
        <v>5.3571428571428568E-2</v>
      </c>
      <c r="K276" t="s">
        <v>639</v>
      </c>
    </row>
    <row r="277" spans="1:11">
      <c r="A277" t="s">
        <v>223</v>
      </c>
      <c r="B277">
        <v>7</v>
      </c>
      <c r="C277">
        <v>2</v>
      </c>
      <c r="D277">
        <v>4</v>
      </c>
      <c r="E277">
        <v>0</v>
      </c>
      <c r="F277">
        <v>1</v>
      </c>
      <c r="G277">
        <v>0</v>
      </c>
      <c r="H277">
        <v>56</v>
      </c>
      <c r="I277" s="4">
        <f t="shared" si="4"/>
        <v>7.1428571428571425E-2</v>
      </c>
      <c r="K277" t="s">
        <v>639</v>
      </c>
    </row>
    <row r="278" spans="1:11">
      <c r="A278" t="s">
        <v>223</v>
      </c>
      <c r="B278">
        <v>7</v>
      </c>
      <c r="C278">
        <v>3</v>
      </c>
      <c r="D278">
        <v>16</v>
      </c>
      <c r="E278">
        <v>0</v>
      </c>
      <c r="F278">
        <v>1</v>
      </c>
      <c r="G278">
        <v>0</v>
      </c>
      <c r="H278">
        <v>56</v>
      </c>
      <c r="I278" s="4">
        <f t="shared" si="4"/>
        <v>0.2857142857142857</v>
      </c>
      <c r="K278" t="s">
        <v>639</v>
      </c>
    </row>
    <row r="279" spans="1:11">
      <c r="A279" t="s">
        <v>223</v>
      </c>
      <c r="B279">
        <v>7</v>
      </c>
      <c r="C279">
        <v>4</v>
      </c>
      <c r="D279">
        <v>27</v>
      </c>
      <c r="E279">
        <v>0</v>
      </c>
      <c r="F279">
        <v>1</v>
      </c>
      <c r="G279">
        <v>0</v>
      </c>
      <c r="H279">
        <v>56</v>
      </c>
      <c r="I279" s="4">
        <f t="shared" si="4"/>
        <v>0.48214285714285715</v>
      </c>
      <c r="K279" t="s">
        <v>639</v>
      </c>
    </row>
    <row r="280" spans="1:11">
      <c r="A280" t="s">
        <v>223</v>
      </c>
      <c r="B280">
        <v>7</v>
      </c>
      <c r="C280">
        <v>5</v>
      </c>
      <c r="D280">
        <v>29</v>
      </c>
      <c r="E280">
        <v>0</v>
      </c>
      <c r="F280">
        <v>1</v>
      </c>
      <c r="G280">
        <v>0</v>
      </c>
      <c r="H280">
        <v>56</v>
      </c>
      <c r="I280" s="4">
        <f t="shared" si="4"/>
        <v>0.5178571428571429</v>
      </c>
      <c r="K280" t="s">
        <v>639</v>
      </c>
    </row>
    <row r="281" spans="1:11">
      <c r="A281" t="s">
        <v>223</v>
      </c>
      <c r="B281">
        <v>7</v>
      </c>
      <c r="C281">
        <v>6</v>
      </c>
      <c r="D281">
        <v>56</v>
      </c>
      <c r="E281">
        <v>0</v>
      </c>
      <c r="F281">
        <v>0</v>
      </c>
      <c r="G281">
        <v>0</v>
      </c>
      <c r="H281">
        <v>56</v>
      </c>
      <c r="I281" s="4">
        <f t="shared" si="4"/>
        <v>1</v>
      </c>
      <c r="K281" t="s">
        <v>639</v>
      </c>
    </row>
    <row r="282" spans="1:11">
      <c r="A282" t="s">
        <v>223</v>
      </c>
      <c r="B282">
        <v>8</v>
      </c>
      <c r="C282">
        <v>1</v>
      </c>
      <c r="D282">
        <v>4</v>
      </c>
      <c r="E282">
        <v>0</v>
      </c>
      <c r="F282">
        <v>1</v>
      </c>
      <c r="G282">
        <v>0</v>
      </c>
      <c r="H282">
        <v>86</v>
      </c>
      <c r="I282" s="4">
        <f t="shared" si="4"/>
        <v>4.6511627906976744E-2</v>
      </c>
      <c r="K282" t="s">
        <v>640</v>
      </c>
    </row>
    <row r="283" spans="1:11">
      <c r="A283" t="s">
        <v>223</v>
      </c>
      <c r="B283">
        <v>8</v>
      </c>
      <c r="C283">
        <v>2</v>
      </c>
      <c r="D283">
        <v>15</v>
      </c>
      <c r="E283">
        <v>0</v>
      </c>
      <c r="F283">
        <v>2</v>
      </c>
      <c r="G283">
        <v>0</v>
      </c>
      <c r="H283">
        <v>86</v>
      </c>
      <c r="I283" s="4">
        <f t="shared" si="4"/>
        <v>0.1744186046511628</v>
      </c>
      <c r="K283" t="s">
        <v>640</v>
      </c>
    </row>
    <row r="284" spans="1:11">
      <c r="A284" t="s">
        <v>223</v>
      </c>
      <c r="B284">
        <v>8</v>
      </c>
      <c r="C284">
        <v>3</v>
      </c>
      <c r="D284">
        <v>19</v>
      </c>
      <c r="E284">
        <v>0</v>
      </c>
      <c r="F284">
        <v>2</v>
      </c>
      <c r="G284">
        <v>0</v>
      </c>
      <c r="H284">
        <v>86</v>
      </c>
      <c r="I284" s="4">
        <f t="shared" si="4"/>
        <v>0.22093023255813954</v>
      </c>
      <c r="K284" t="s">
        <v>640</v>
      </c>
    </row>
    <row r="285" spans="1:11">
      <c r="A285" t="s">
        <v>223</v>
      </c>
      <c r="B285">
        <v>8</v>
      </c>
      <c r="C285">
        <v>4</v>
      </c>
      <c r="D285">
        <v>29</v>
      </c>
      <c r="E285">
        <v>0</v>
      </c>
      <c r="F285">
        <v>2</v>
      </c>
      <c r="G285">
        <v>0</v>
      </c>
      <c r="H285">
        <v>86</v>
      </c>
      <c r="I285" s="4">
        <f t="shared" si="4"/>
        <v>0.33720930232558138</v>
      </c>
      <c r="K285" t="s">
        <v>640</v>
      </c>
    </row>
    <row r="286" spans="1:11">
      <c r="A286" t="s">
        <v>223</v>
      </c>
      <c r="B286">
        <v>8</v>
      </c>
      <c r="C286">
        <v>5</v>
      </c>
      <c r="D286">
        <v>31</v>
      </c>
      <c r="E286">
        <v>0</v>
      </c>
      <c r="F286">
        <v>2</v>
      </c>
      <c r="G286">
        <v>0</v>
      </c>
      <c r="H286">
        <v>86</v>
      </c>
      <c r="I286" s="4">
        <f t="shared" si="4"/>
        <v>0.36046511627906974</v>
      </c>
      <c r="K286" t="s">
        <v>640</v>
      </c>
    </row>
    <row r="287" spans="1:11">
      <c r="A287" t="s">
        <v>223</v>
      </c>
      <c r="B287">
        <v>8</v>
      </c>
      <c r="C287">
        <v>6</v>
      </c>
      <c r="D287">
        <v>65</v>
      </c>
      <c r="E287">
        <v>0</v>
      </c>
      <c r="F287">
        <v>2</v>
      </c>
      <c r="G287">
        <v>0</v>
      </c>
      <c r="H287">
        <v>86</v>
      </c>
      <c r="I287" s="4">
        <f t="shared" si="4"/>
        <v>0.7558139534883721</v>
      </c>
      <c r="K287" t="s">
        <v>640</v>
      </c>
    </row>
    <row r="288" spans="1:11">
      <c r="A288" t="s">
        <v>223</v>
      </c>
      <c r="B288">
        <v>8</v>
      </c>
      <c r="C288">
        <v>7</v>
      </c>
      <c r="D288">
        <v>68</v>
      </c>
      <c r="E288">
        <v>0</v>
      </c>
      <c r="F288">
        <v>2</v>
      </c>
      <c r="G288">
        <v>0</v>
      </c>
      <c r="H288">
        <v>86</v>
      </c>
      <c r="I288" s="4">
        <f t="shared" si="4"/>
        <v>0.79069767441860461</v>
      </c>
      <c r="K288" t="s">
        <v>640</v>
      </c>
    </row>
    <row r="289" spans="1:11">
      <c r="A289" t="s">
        <v>223</v>
      </c>
      <c r="B289">
        <v>8</v>
      </c>
      <c r="C289">
        <v>8</v>
      </c>
      <c r="D289">
        <v>70</v>
      </c>
      <c r="E289">
        <v>0</v>
      </c>
      <c r="F289">
        <v>2</v>
      </c>
      <c r="G289">
        <v>0</v>
      </c>
      <c r="H289">
        <v>86</v>
      </c>
      <c r="I289" s="4">
        <f t="shared" si="4"/>
        <v>0.81395348837209303</v>
      </c>
      <c r="K289" t="s">
        <v>640</v>
      </c>
    </row>
    <row r="290" spans="1:11">
      <c r="A290" t="s">
        <v>223</v>
      </c>
      <c r="B290">
        <v>8</v>
      </c>
      <c r="C290">
        <v>9</v>
      </c>
      <c r="D290">
        <v>75</v>
      </c>
      <c r="E290">
        <v>0</v>
      </c>
      <c r="F290">
        <v>2</v>
      </c>
      <c r="G290">
        <v>0</v>
      </c>
      <c r="H290">
        <v>86</v>
      </c>
      <c r="I290" s="4">
        <f t="shared" si="4"/>
        <v>0.87209302325581395</v>
      </c>
      <c r="K290" t="s">
        <v>640</v>
      </c>
    </row>
    <row r="291" spans="1:11">
      <c r="A291" t="s">
        <v>223</v>
      </c>
      <c r="B291">
        <v>8</v>
      </c>
      <c r="C291">
        <v>10</v>
      </c>
      <c r="D291">
        <v>79</v>
      </c>
      <c r="E291">
        <v>0</v>
      </c>
      <c r="F291">
        <v>2</v>
      </c>
      <c r="G291">
        <v>0</v>
      </c>
      <c r="H291">
        <v>86</v>
      </c>
      <c r="I291" s="4">
        <f t="shared" si="4"/>
        <v>0.91860465116279066</v>
      </c>
      <c r="K291" t="s">
        <v>640</v>
      </c>
    </row>
    <row r="292" spans="1:11">
      <c r="A292" t="s">
        <v>223</v>
      </c>
      <c r="B292">
        <v>8</v>
      </c>
      <c r="C292">
        <v>11</v>
      </c>
      <c r="D292">
        <v>86</v>
      </c>
      <c r="E292">
        <v>0</v>
      </c>
      <c r="F292">
        <v>0</v>
      </c>
      <c r="G292">
        <v>0</v>
      </c>
      <c r="H292">
        <v>86</v>
      </c>
      <c r="I292" s="4">
        <f t="shared" si="4"/>
        <v>1</v>
      </c>
      <c r="K292" t="s">
        <v>640</v>
      </c>
    </row>
    <row r="293" spans="1:11">
      <c r="A293" t="s">
        <v>223</v>
      </c>
      <c r="B293">
        <v>9</v>
      </c>
      <c r="C293">
        <v>1</v>
      </c>
      <c r="D293">
        <v>4</v>
      </c>
      <c r="E293">
        <v>0</v>
      </c>
      <c r="F293">
        <v>1</v>
      </c>
      <c r="G293">
        <v>0</v>
      </c>
      <c r="H293">
        <v>46</v>
      </c>
      <c r="I293" s="4">
        <f t="shared" si="4"/>
        <v>8.6956521739130432E-2</v>
      </c>
      <c r="K293" t="s">
        <v>641</v>
      </c>
    </row>
    <row r="294" spans="1:11">
      <c r="A294" t="s">
        <v>223</v>
      </c>
      <c r="B294">
        <v>9</v>
      </c>
      <c r="C294">
        <v>2</v>
      </c>
      <c r="D294">
        <v>9</v>
      </c>
      <c r="E294">
        <v>0</v>
      </c>
      <c r="F294">
        <v>1</v>
      </c>
      <c r="G294">
        <v>0</v>
      </c>
      <c r="H294">
        <v>46</v>
      </c>
      <c r="I294" s="4">
        <f t="shared" si="4"/>
        <v>0.19565217391304349</v>
      </c>
      <c r="K294" t="s">
        <v>641</v>
      </c>
    </row>
    <row r="295" spans="1:11">
      <c r="A295" t="s">
        <v>223</v>
      </c>
      <c r="B295">
        <v>9</v>
      </c>
      <c r="C295">
        <v>3</v>
      </c>
      <c r="D295">
        <v>19</v>
      </c>
      <c r="E295">
        <v>0</v>
      </c>
      <c r="F295">
        <v>1</v>
      </c>
      <c r="G295">
        <v>0</v>
      </c>
      <c r="H295">
        <v>46</v>
      </c>
      <c r="I295" s="4">
        <f t="shared" si="4"/>
        <v>0.41304347826086957</v>
      </c>
      <c r="K295" t="s">
        <v>641</v>
      </c>
    </row>
    <row r="296" spans="1:11">
      <c r="A296" t="s">
        <v>223</v>
      </c>
      <c r="B296">
        <v>9</v>
      </c>
      <c r="C296">
        <v>4</v>
      </c>
      <c r="D296">
        <v>21</v>
      </c>
      <c r="E296">
        <v>0</v>
      </c>
      <c r="F296">
        <v>1</v>
      </c>
      <c r="G296">
        <v>0</v>
      </c>
      <c r="H296">
        <v>46</v>
      </c>
      <c r="I296" s="4">
        <f t="shared" si="4"/>
        <v>0.45652173913043476</v>
      </c>
      <c r="K296" t="s">
        <v>641</v>
      </c>
    </row>
    <row r="297" spans="1:11">
      <c r="A297" t="s">
        <v>223</v>
      </c>
      <c r="B297">
        <v>9</v>
      </c>
      <c r="C297">
        <v>5</v>
      </c>
      <c r="D297">
        <v>46</v>
      </c>
      <c r="E297">
        <v>0</v>
      </c>
      <c r="F297">
        <v>0</v>
      </c>
      <c r="G297">
        <v>0</v>
      </c>
      <c r="H297">
        <v>46</v>
      </c>
      <c r="I297" s="4">
        <f t="shared" si="4"/>
        <v>1</v>
      </c>
      <c r="K297" t="s">
        <v>641</v>
      </c>
    </row>
    <row r="298" spans="1:11">
      <c r="A298" t="s">
        <v>223</v>
      </c>
      <c r="B298">
        <v>10</v>
      </c>
      <c r="C298">
        <v>1</v>
      </c>
      <c r="D298">
        <v>1</v>
      </c>
      <c r="E298">
        <v>0</v>
      </c>
      <c r="F298">
        <v>1</v>
      </c>
      <c r="G298">
        <v>0</v>
      </c>
      <c r="H298">
        <v>30</v>
      </c>
      <c r="I298" s="4">
        <f t="shared" si="4"/>
        <v>3.3333333333333333E-2</v>
      </c>
      <c r="K298" t="s">
        <v>642</v>
      </c>
    </row>
    <row r="299" spans="1:11">
      <c r="A299" t="s">
        <v>223</v>
      </c>
      <c r="B299">
        <v>10</v>
      </c>
      <c r="C299">
        <v>2</v>
      </c>
      <c r="D299">
        <v>6</v>
      </c>
      <c r="E299">
        <v>0</v>
      </c>
      <c r="F299">
        <v>3</v>
      </c>
      <c r="G299">
        <v>0</v>
      </c>
      <c r="H299">
        <v>30</v>
      </c>
      <c r="I299" s="4">
        <f t="shared" si="4"/>
        <v>0.2</v>
      </c>
      <c r="K299" t="s">
        <v>642</v>
      </c>
    </row>
    <row r="300" spans="1:11">
      <c r="A300" t="s">
        <v>223</v>
      </c>
      <c r="B300">
        <v>10</v>
      </c>
      <c r="C300">
        <v>3</v>
      </c>
      <c r="D300">
        <v>12</v>
      </c>
      <c r="E300">
        <v>0</v>
      </c>
      <c r="F300">
        <v>4</v>
      </c>
      <c r="G300">
        <v>0</v>
      </c>
      <c r="H300">
        <v>30</v>
      </c>
      <c r="I300" s="4">
        <f t="shared" si="4"/>
        <v>0.4</v>
      </c>
      <c r="K300" t="s">
        <v>642</v>
      </c>
    </row>
    <row r="301" spans="1:11">
      <c r="A301" t="s">
        <v>223</v>
      </c>
      <c r="B301">
        <v>10</v>
      </c>
      <c r="C301">
        <v>4</v>
      </c>
      <c r="D301">
        <v>13</v>
      </c>
      <c r="E301">
        <v>0</v>
      </c>
      <c r="F301">
        <v>3</v>
      </c>
      <c r="G301">
        <v>0</v>
      </c>
      <c r="H301">
        <v>30</v>
      </c>
      <c r="I301" s="4">
        <f t="shared" si="4"/>
        <v>0.43333333333333335</v>
      </c>
      <c r="K301" t="s">
        <v>642</v>
      </c>
    </row>
    <row r="302" spans="1:11">
      <c r="A302" t="s">
        <v>223</v>
      </c>
      <c r="B302">
        <v>10</v>
      </c>
      <c r="C302">
        <v>5</v>
      </c>
      <c r="D302">
        <v>19</v>
      </c>
      <c r="E302">
        <v>0</v>
      </c>
      <c r="F302">
        <v>4</v>
      </c>
      <c r="G302">
        <v>0</v>
      </c>
      <c r="H302">
        <v>30</v>
      </c>
      <c r="I302" s="4">
        <f t="shared" si="4"/>
        <v>0.6333333333333333</v>
      </c>
      <c r="K302" t="s">
        <v>642</v>
      </c>
    </row>
    <row r="303" spans="1:11">
      <c r="A303" t="s">
        <v>223</v>
      </c>
      <c r="B303">
        <v>10</v>
      </c>
      <c r="C303">
        <v>6</v>
      </c>
      <c r="D303">
        <v>19</v>
      </c>
      <c r="E303">
        <v>0</v>
      </c>
      <c r="F303">
        <v>4</v>
      </c>
      <c r="G303">
        <v>0</v>
      </c>
      <c r="H303">
        <v>30</v>
      </c>
      <c r="I303" s="4">
        <f t="shared" si="4"/>
        <v>0.6333333333333333</v>
      </c>
      <c r="K303" t="s">
        <v>642</v>
      </c>
    </row>
    <row r="304" spans="1:11">
      <c r="A304" t="s">
        <v>223</v>
      </c>
      <c r="B304">
        <v>10</v>
      </c>
      <c r="C304">
        <v>7</v>
      </c>
      <c r="D304">
        <v>23</v>
      </c>
      <c r="E304">
        <v>0</v>
      </c>
      <c r="F304">
        <v>4</v>
      </c>
      <c r="G304">
        <v>0</v>
      </c>
      <c r="H304">
        <v>30</v>
      </c>
      <c r="I304" s="4">
        <f t="shared" si="4"/>
        <v>0.76666666666666672</v>
      </c>
      <c r="K304" t="s">
        <v>642</v>
      </c>
    </row>
    <row r="305" spans="1:11">
      <c r="A305" t="s">
        <v>223</v>
      </c>
      <c r="B305">
        <v>10</v>
      </c>
      <c r="C305">
        <v>8</v>
      </c>
      <c r="D305">
        <v>24</v>
      </c>
      <c r="E305">
        <v>0</v>
      </c>
      <c r="F305">
        <v>3</v>
      </c>
      <c r="G305">
        <v>0</v>
      </c>
      <c r="H305">
        <v>30</v>
      </c>
      <c r="I305" s="4">
        <f t="shared" si="4"/>
        <v>0.8</v>
      </c>
      <c r="K305" t="s">
        <v>642</v>
      </c>
    </row>
    <row r="306" spans="1:11">
      <c r="A306" t="s">
        <v>223</v>
      </c>
      <c r="B306">
        <v>10</v>
      </c>
      <c r="C306">
        <v>9</v>
      </c>
      <c r="D306">
        <v>24</v>
      </c>
      <c r="E306">
        <v>0</v>
      </c>
      <c r="F306">
        <v>3</v>
      </c>
      <c r="G306">
        <v>0</v>
      </c>
      <c r="H306">
        <v>30</v>
      </c>
      <c r="I306" s="4">
        <f t="shared" si="4"/>
        <v>0.8</v>
      </c>
      <c r="K306" t="s">
        <v>642</v>
      </c>
    </row>
    <row r="307" spans="1:11">
      <c r="A307" t="s">
        <v>223</v>
      </c>
      <c r="B307">
        <v>10</v>
      </c>
      <c r="C307">
        <v>10</v>
      </c>
      <c r="D307">
        <v>28</v>
      </c>
      <c r="E307">
        <v>0</v>
      </c>
      <c r="F307">
        <v>2</v>
      </c>
      <c r="G307">
        <v>0</v>
      </c>
      <c r="H307">
        <v>30</v>
      </c>
      <c r="I307" s="4">
        <f t="shared" si="4"/>
        <v>0.93333333333333335</v>
      </c>
      <c r="K307" t="s">
        <v>642</v>
      </c>
    </row>
    <row r="308" spans="1:11">
      <c r="A308" t="s">
        <v>223</v>
      </c>
      <c r="B308">
        <v>10</v>
      </c>
      <c r="C308">
        <v>11</v>
      </c>
      <c r="D308">
        <v>28</v>
      </c>
      <c r="E308">
        <v>0</v>
      </c>
      <c r="F308">
        <v>2</v>
      </c>
      <c r="G308">
        <v>0</v>
      </c>
      <c r="H308">
        <v>30</v>
      </c>
      <c r="I308" s="4">
        <f t="shared" si="4"/>
        <v>0.93333333333333335</v>
      </c>
      <c r="K308" t="s">
        <v>642</v>
      </c>
    </row>
    <row r="309" spans="1:11">
      <c r="A309" t="s">
        <v>223</v>
      </c>
      <c r="B309">
        <v>10</v>
      </c>
      <c r="C309">
        <v>12</v>
      </c>
      <c r="D309">
        <v>29</v>
      </c>
      <c r="E309">
        <v>0</v>
      </c>
      <c r="F309">
        <v>1</v>
      </c>
      <c r="G309">
        <v>0</v>
      </c>
      <c r="H309">
        <v>30</v>
      </c>
      <c r="I309" s="4">
        <f t="shared" si="4"/>
        <v>0.96666666666666667</v>
      </c>
      <c r="K309" t="s">
        <v>642</v>
      </c>
    </row>
    <row r="310" spans="1:11">
      <c r="A310" t="s">
        <v>223</v>
      </c>
      <c r="B310">
        <v>10</v>
      </c>
      <c r="C310">
        <v>13</v>
      </c>
      <c r="D310">
        <v>30</v>
      </c>
      <c r="E310">
        <v>0</v>
      </c>
      <c r="F310">
        <v>0</v>
      </c>
      <c r="G310">
        <v>0</v>
      </c>
      <c r="H310">
        <v>30</v>
      </c>
      <c r="I310" s="4">
        <f t="shared" si="4"/>
        <v>1</v>
      </c>
      <c r="K310" t="s">
        <v>642</v>
      </c>
    </row>
    <row r="311" spans="1:11">
      <c r="A311" t="s">
        <v>223</v>
      </c>
      <c r="B311">
        <v>10</v>
      </c>
      <c r="C311">
        <v>14</v>
      </c>
      <c r="D311">
        <v>30</v>
      </c>
      <c r="E311">
        <v>0</v>
      </c>
      <c r="F311">
        <v>0</v>
      </c>
      <c r="G311">
        <v>0</v>
      </c>
      <c r="H311">
        <v>30</v>
      </c>
      <c r="I311" s="4">
        <f t="shared" si="4"/>
        <v>1</v>
      </c>
      <c r="K311" t="s">
        <v>642</v>
      </c>
    </row>
    <row r="312" spans="1:11">
      <c r="A312" t="s">
        <v>223</v>
      </c>
      <c r="B312">
        <v>10</v>
      </c>
      <c r="C312">
        <v>15</v>
      </c>
      <c r="D312">
        <v>30</v>
      </c>
      <c r="E312">
        <v>0</v>
      </c>
      <c r="F312">
        <v>0</v>
      </c>
      <c r="G312">
        <v>0</v>
      </c>
      <c r="H312">
        <v>30</v>
      </c>
      <c r="I312" s="4">
        <f t="shared" si="4"/>
        <v>1</v>
      </c>
      <c r="K312" t="s">
        <v>642</v>
      </c>
    </row>
    <row r="313" spans="1:11">
      <c r="A313" t="s">
        <v>223</v>
      </c>
      <c r="B313">
        <v>10</v>
      </c>
      <c r="C313">
        <v>16</v>
      </c>
      <c r="D313">
        <v>30</v>
      </c>
      <c r="E313">
        <v>0</v>
      </c>
      <c r="F313">
        <v>0</v>
      </c>
      <c r="G313">
        <v>0</v>
      </c>
      <c r="H313">
        <v>30</v>
      </c>
      <c r="I313" s="4">
        <f t="shared" si="4"/>
        <v>1</v>
      </c>
      <c r="K313" t="s">
        <v>642</v>
      </c>
    </row>
    <row r="314" spans="1:11">
      <c r="A314" t="s">
        <v>223</v>
      </c>
      <c r="B314">
        <v>10</v>
      </c>
      <c r="C314">
        <v>17</v>
      </c>
      <c r="D314">
        <v>30</v>
      </c>
      <c r="E314">
        <v>0</v>
      </c>
      <c r="F314">
        <v>0</v>
      </c>
      <c r="G314">
        <v>0</v>
      </c>
      <c r="H314">
        <v>30</v>
      </c>
      <c r="I314" s="4">
        <f t="shared" si="4"/>
        <v>1</v>
      </c>
      <c r="K314" t="s">
        <v>642</v>
      </c>
    </row>
    <row r="315" spans="1:11">
      <c r="A315" t="s">
        <v>223</v>
      </c>
      <c r="B315">
        <v>10</v>
      </c>
      <c r="C315">
        <v>18</v>
      </c>
      <c r="D315">
        <v>30</v>
      </c>
      <c r="E315">
        <v>0</v>
      </c>
      <c r="F315">
        <v>0</v>
      </c>
      <c r="G315">
        <v>0</v>
      </c>
      <c r="H315">
        <v>30</v>
      </c>
      <c r="I315" s="4">
        <f t="shared" si="4"/>
        <v>1</v>
      </c>
      <c r="K315" t="s">
        <v>642</v>
      </c>
    </row>
    <row r="316" spans="1:11">
      <c r="A316" t="s">
        <v>223</v>
      </c>
      <c r="B316">
        <v>10</v>
      </c>
      <c r="C316">
        <v>19</v>
      </c>
      <c r="D316">
        <v>30</v>
      </c>
      <c r="E316">
        <v>0</v>
      </c>
      <c r="F316">
        <v>0</v>
      </c>
      <c r="G316">
        <v>0</v>
      </c>
      <c r="H316">
        <v>30</v>
      </c>
      <c r="I316" s="4">
        <f t="shared" si="4"/>
        <v>1</v>
      </c>
      <c r="K316" t="s">
        <v>642</v>
      </c>
    </row>
    <row r="317" spans="1:11">
      <c r="A317" t="s">
        <v>223</v>
      </c>
      <c r="B317">
        <v>10</v>
      </c>
      <c r="C317">
        <v>20</v>
      </c>
      <c r="D317">
        <v>30</v>
      </c>
      <c r="E317">
        <v>0</v>
      </c>
      <c r="F317">
        <v>0</v>
      </c>
      <c r="G317">
        <v>0</v>
      </c>
      <c r="H317">
        <v>30</v>
      </c>
      <c r="I317" s="4">
        <f t="shared" si="4"/>
        <v>1</v>
      </c>
      <c r="K317" t="s">
        <v>642</v>
      </c>
    </row>
    <row r="318" spans="1:11">
      <c r="A318" t="s">
        <v>223</v>
      </c>
      <c r="B318">
        <v>10</v>
      </c>
      <c r="C318">
        <v>21</v>
      </c>
      <c r="D318">
        <v>30</v>
      </c>
      <c r="E318">
        <v>0</v>
      </c>
      <c r="F318">
        <v>0</v>
      </c>
      <c r="G318">
        <v>0</v>
      </c>
      <c r="H318">
        <v>30</v>
      </c>
      <c r="I318" s="4">
        <f t="shared" si="4"/>
        <v>1</v>
      </c>
      <c r="K318" t="s">
        <v>642</v>
      </c>
    </row>
    <row r="319" spans="1:11">
      <c r="A319" t="s">
        <v>223</v>
      </c>
      <c r="B319">
        <v>10</v>
      </c>
      <c r="C319">
        <v>22</v>
      </c>
      <c r="D319">
        <v>30</v>
      </c>
      <c r="E319">
        <v>0</v>
      </c>
      <c r="F319">
        <v>0</v>
      </c>
      <c r="G319">
        <v>0</v>
      </c>
      <c r="H319">
        <v>30</v>
      </c>
      <c r="I319" s="4">
        <f t="shared" si="4"/>
        <v>1</v>
      </c>
      <c r="K319" t="s">
        <v>642</v>
      </c>
    </row>
    <row r="320" spans="1:11">
      <c r="A320" t="s">
        <v>223</v>
      </c>
      <c r="B320">
        <v>10</v>
      </c>
      <c r="C320">
        <v>23</v>
      </c>
      <c r="D320">
        <v>30</v>
      </c>
      <c r="E320">
        <v>0</v>
      </c>
      <c r="F320">
        <v>0</v>
      </c>
      <c r="G320">
        <v>0</v>
      </c>
      <c r="H320">
        <v>30</v>
      </c>
      <c r="I320" s="4">
        <f t="shared" si="4"/>
        <v>1</v>
      </c>
      <c r="K320" t="s">
        <v>642</v>
      </c>
    </row>
    <row r="321" spans="1:11">
      <c r="A321" t="s">
        <v>223</v>
      </c>
      <c r="B321">
        <v>10</v>
      </c>
      <c r="C321">
        <v>24</v>
      </c>
      <c r="D321">
        <v>30</v>
      </c>
      <c r="E321">
        <v>0</v>
      </c>
      <c r="F321">
        <v>0</v>
      </c>
      <c r="G321">
        <v>0</v>
      </c>
      <c r="H321">
        <v>30</v>
      </c>
      <c r="I321" s="4">
        <f t="shared" si="4"/>
        <v>1</v>
      </c>
      <c r="K321" t="s">
        <v>642</v>
      </c>
    </row>
    <row r="322" spans="1:11">
      <c r="A322" t="s">
        <v>223</v>
      </c>
      <c r="B322">
        <v>10</v>
      </c>
      <c r="C322">
        <v>25</v>
      </c>
      <c r="D322">
        <v>30</v>
      </c>
      <c r="E322">
        <v>0</v>
      </c>
      <c r="F322">
        <v>0</v>
      </c>
      <c r="G322">
        <v>0</v>
      </c>
      <c r="H322">
        <v>30</v>
      </c>
      <c r="I322" s="4">
        <f t="shared" si="4"/>
        <v>1</v>
      </c>
      <c r="K322" t="s">
        <v>642</v>
      </c>
    </row>
    <row r="323" spans="1:11">
      <c r="A323" t="s">
        <v>223</v>
      </c>
      <c r="B323">
        <v>10</v>
      </c>
      <c r="C323">
        <v>26</v>
      </c>
      <c r="D323">
        <v>30</v>
      </c>
      <c r="E323">
        <v>0</v>
      </c>
      <c r="F323">
        <v>0</v>
      </c>
      <c r="G323">
        <v>0</v>
      </c>
      <c r="H323">
        <v>30</v>
      </c>
      <c r="I323" s="4">
        <f t="shared" ref="I323:I386" si="5">D323/H323</f>
        <v>1</v>
      </c>
      <c r="K323" t="s">
        <v>642</v>
      </c>
    </row>
    <row r="324" spans="1:11">
      <c r="A324" t="s">
        <v>223</v>
      </c>
      <c r="B324">
        <v>10</v>
      </c>
      <c r="C324">
        <v>27</v>
      </c>
      <c r="D324">
        <v>30</v>
      </c>
      <c r="E324">
        <v>0</v>
      </c>
      <c r="F324">
        <v>0</v>
      </c>
      <c r="G324">
        <v>0</v>
      </c>
      <c r="H324">
        <v>30</v>
      </c>
      <c r="I324" s="4">
        <f t="shared" si="5"/>
        <v>1</v>
      </c>
      <c r="K324" t="s">
        <v>642</v>
      </c>
    </row>
    <row r="325" spans="1:11">
      <c r="A325" t="s">
        <v>223</v>
      </c>
      <c r="B325">
        <v>10</v>
      </c>
      <c r="C325">
        <v>28</v>
      </c>
      <c r="D325">
        <v>30</v>
      </c>
      <c r="E325">
        <v>0</v>
      </c>
      <c r="F325">
        <v>0</v>
      </c>
      <c r="G325">
        <v>0</v>
      </c>
      <c r="H325">
        <v>30</v>
      </c>
      <c r="I325" s="4">
        <f t="shared" si="5"/>
        <v>1</v>
      </c>
      <c r="K325" t="s">
        <v>642</v>
      </c>
    </row>
    <row r="326" spans="1:11">
      <c r="A326" t="s">
        <v>223</v>
      </c>
      <c r="B326">
        <v>10</v>
      </c>
      <c r="C326">
        <v>29</v>
      </c>
      <c r="D326">
        <v>30</v>
      </c>
      <c r="E326">
        <v>0</v>
      </c>
      <c r="F326">
        <v>0</v>
      </c>
      <c r="G326">
        <v>0</v>
      </c>
      <c r="H326">
        <v>30</v>
      </c>
      <c r="I326" s="4">
        <f t="shared" si="5"/>
        <v>1</v>
      </c>
      <c r="K326" t="s">
        <v>642</v>
      </c>
    </row>
    <row r="327" spans="1:11">
      <c r="A327" t="s">
        <v>223</v>
      </c>
      <c r="B327">
        <v>10</v>
      </c>
      <c r="C327">
        <v>30</v>
      </c>
      <c r="D327">
        <v>30</v>
      </c>
      <c r="E327">
        <v>0</v>
      </c>
      <c r="F327">
        <v>0</v>
      </c>
      <c r="G327">
        <v>0</v>
      </c>
      <c r="H327">
        <v>30</v>
      </c>
      <c r="I327" s="4">
        <f t="shared" si="5"/>
        <v>1</v>
      </c>
      <c r="K327" t="s">
        <v>642</v>
      </c>
    </row>
    <row r="328" spans="1:11">
      <c r="A328" t="s">
        <v>223</v>
      </c>
      <c r="B328">
        <v>10</v>
      </c>
      <c r="C328">
        <v>31</v>
      </c>
      <c r="D328">
        <v>30</v>
      </c>
      <c r="E328">
        <v>0</v>
      </c>
      <c r="F328">
        <v>0</v>
      </c>
      <c r="G328">
        <v>0</v>
      </c>
      <c r="H328">
        <v>30</v>
      </c>
      <c r="I328" s="4">
        <f t="shared" si="5"/>
        <v>1</v>
      </c>
      <c r="K328" t="s">
        <v>642</v>
      </c>
    </row>
    <row r="329" spans="1:11">
      <c r="A329" t="s">
        <v>223</v>
      </c>
      <c r="B329">
        <v>10</v>
      </c>
      <c r="C329">
        <v>32</v>
      </c>
      <c r="D329">
        <v>30</v>
      </c>
      <c r="E329">
        <v>0</v>
      </c>
      <c r="F329">
        <v>0</v>
      </c>
      <c r="G329">
        <v>0</v>
      </c>
      <c r="H329">
        <v>30</v>
      </c>
      <c r="I329" s="4">
        <f t="shared" si="5"/>
        <v>1</v>
      </c>
      <c r="K329" t="s">
        <v>642</v>
      </c>
    </row>
    <row r="330" spans="1:11">
      <c r="A330" t="s">
        <v>224</v>
      </c>
      <c r="B330">
        <v>3</v>
      </c>
      <c r="C330">
        <v>1</v>
      </c>
      <c r="D330">
        <v>130</v>
      </c>
      <c r="E330">
        <v>0</v>
      </c>
      <c r="F330">
        <v>3</v>
      </c>
      <c r="G330">
        <v>0</v>
      </c>
      <c r="H330">
        <v>139</v>
      </c>
      <c r="I330" s="4">
        <f t="shared" si="5"/>
        <v>0.93525179856115104</v>
      </c>
      <c r="K330" t="s">
        <v>643</v>
      </c>
    </row>
    <row r="331" spans="1:11">
      <c r="A331" t="s">
        <v>224</v>
      </c>
      <c r="B331">
        <v>3</v>
      </c>
      <c r="C331">
        <v>2</v>
      </c>
      <c r="D331">
        <v>139</v>
      </c>
      <c r="E331">
        <v>0</v>
      </c>
      <c r="F331">
        <v>0</v>
      </c>
      <c r="G331">
        <v>0</v>
      </c>
      <c r="H331">
        <v>139</v>
      </c>
      <c r="I331" s="4">
        <f t="shared" si="5"/>
        <v>1</v>
      </c>
      <c r="K331" t="s">
        <v>643</v>
      </c>
    </row>
    <row r="332" spans="1:11">
      <c r="A332" t="s">
        <v>225</v>
      </c>
      <c r="B332">
        <v>2</v>
      </c>
      <c r="C332">
        <v>1</v>
      </c>
      <c r="D332">
        <v>18</v>
      </c>
      <c r="E332">
        <v>0</v>
      </c>
      <c r="F332">
        <v>4</v>
      </c>
      <c r="G332">
        <v>0</v>
      </c>
      <c r="H332">
        <v>112</v>
      </c>
      <c r="I332" s="4">
        <f t="shared" si="5"/>
        <v>0.16071428571428573</v>
      </c>
      <c r="K332" t="s">
        <v>644</v>
      </c>
    </row>
    <row r="333" spans="1:11">
      <c r="A333" t="s">
        <v>225</v>
      </c>
      <c r="B333">
        <v>2</v>
      </c>
      <c r="C333">
        <v>2</v>
      </c>
      <c r="D333">
        <v>26</v>
      </c>
      <c r="E333">
        <v>0</v>
      </c>
      <c r="F333">
        <v>8</v>
      </c>
      <c r="G333">
        <v>0</v>
      </c>
      <c r="H333">
        <v>112</v>
      </c>
      <c r="I333" s="4">
        <f t="shared" si="5"/>
        <v>0.23214285714285715</v>
      </c>
      <c r="K333" t="s">
        <v>644</v>
      </c>
    </row>
    <row r="334" spans="1:11">
      <c r="A334" t="s">
        <v>225</v>
      </c>
      <c r="B334">
        <v>2</v>
      </c>
      <c r="C334">
        <v>3</v>
      </c>
      <c r="D334">
        <v>39</v>
      </c>
      <c r="E334">
        <v>0</v>
      </c>
      <c r="F334">
        <v>6</v>
      </c>
      <c r="G334">
        <v>0</v>
      </c>
      <c r="H334">
        <v>112</v>
      </c>
      <c r="I334" s="4">
        <f t="shared" si="5"/>
        <v>0.3482142857142857</v>
      </c>
      <c r="K334" t="s">
        <v>644</v>
      </c>
    </row>
    <row r="335" spans="1:11">
      <c r="A335" t="s">
        <v>225</v>
      </c>
      <c r="B335">
        <v>2</v>
      </c>
      <c r="C335">
        <v>4</v>
      </c>
      <c r="D335">
        <v>50</v>
      </c>
      <c r="E335">
        <v>0</v>
      </c>
      <c r="F335">
        <v>4</v>
      </c>
      <c r="G335">
        <v>0</v>
      </c>
      <c r="H335">
        <v>112</v>
      </c>
      <c r="I335" s="4">
        <f t="shared" si="5"/>
        <v>0.44642857142857145</v>
      </c>
      <c r="K335" t="s">
        <v>644</v>
      </c>
    </row>
    <row r="336" spans="1:11">
      <c r="A336" t="s">
        <v>225</v>
      </c>
      <c r="B336">
        <v>2</v>
      </c>
      <c r="C336">
        <v>5</v>
      </c>
      <c r="D336">
        <v>62</v>
      </c>
      <c r="E336">
        <v>0</v>
      </c>
      <c r="F336">
        <v>4</v>
      </c>
      <c r="G336">
        <v>0</v>
      </c>
      <c r="H336">
        <v>112</v>
      </c>
      <c r="I336" s="4">
        <f t="shared" si="5"/>
        <v>0.5535714285714286</v>
      </c>
      <c r="K336" t="s">
        <v>644</v>
      </c>
    </row>
    <row r="337" spans="1:11">
      <c r="A337" t="s">
        <v>225</v>
      </c>
      <c r="B337">
        <v>2</v>
      </c>
      <c r="C337">
        <v>6</v>
      </c>
      <c r="D337">
        <v>72</v>
      </c>
      <c r="E337">
        <v>0</v>
      </c>
      <c r="F337">
        <v>1</v>
      </c>
      <c r="G337">
        <v>0</v>
      </c>
      <c r="H337">
        <v>112</v>
      </c>
      <c r="I337" s="4">
        <f t="shared" si="5"/>
        <v>0.6428571428571429</v>
      </c>
      <c r="K337" t="s">
        <v>644</v>
      </c>
    </row>
    <row r="338" spans="1:11">
      <c r="A338" t="s">
        <v>225</v>
      </c>
      <c r="B338">
        <v>2</v>
      </c>
      <c r="C338">
        <v>7</v>
      </c>
      <c r="D338">
        <v>72</v>
      </c>
      <c r="E338">
        <v>0</v>
      </c>
      <c r="F338">
        <v>1</v>
      </c>
      <c r="G338">
        <v>0</v>
      </c>
      <c r="H338">
        <v>112</v>
      </c>
      <c r="I338" s="4">
        <f t="shared" si="5"/>
        <v>0.6428571428571429</v>
      </c>
      <c r="K338" t="s">
        <v>644</v>
      </c>
    </row>
    <row r="339" spans="1:11">
      <c r="A339" t="s">
        <v>225</v>
      </c>
      <c r="B339">
        <v>2</v>
      </c>
      <c r="C339">
        <v>8</v>
      </c>
      <c r="D339">
        <v>72</v>
      </c>
      <c r="E339">
        <v>0</v>
      </c>
      <c r="F339">
        <v>1</v>
      </c>
      <c r="G339">
        <v>0</v>
      </c>
      <c r="H339">
        <v>112</v>
      </c>
      <c r="I339" s="4">
        <f t="shared" si="5"/>
        <v>0.6428571428571429</v>
      </c>
      <c r="K339" t="s">
        <v>644</v>
      </c>
    </row>
    <row r="340" spans="1:11">
      <c r="A340" t="s">
        <v>225</v>
      </c>
      <c r="B340">
        <v>2</v>
      </c>
      <c r="C340">
        <v>9</v>
      </c>
      <c r="D340">
        <v>72</v>
      </c>
      <c r="E340">
        <v>0</v>
      </c>
      <c r="F340">
        <v>1</v>
      </c>
      <c r="G340">
        <v>0</v>
      </c>
      <c r="H340">
        <v>112</v>
      </c>
      <c r="I340" s="4">
        <f t="shared" si="5"/>
        <v>0.6428571428571429</v>
      </c>
      <c r="K340" t="s">
        <v>644</v>
      </c>
    </row>
    <row r="341" spans="1:11">
      <c r="A341" t="s">
        <v>225</v>
      </c>
      <c r="B341">
        <v>2</v>
      </c>
      <c r="C341">
        <v>10</v>
      </c>
      <c r="D341">
        <v>89</v>
      </c>
      <c r="E341">
        <v>0</v>
      </c>
      <c r="F341">
        <v>1</v>
      </c>
      <c r="G341">
        <v>0</v>
      </c>
      <c r="H341">
        <v>112</v>
      </c>
      <c r="I341" s="4">
        <f t="shared" si="5"/>
        <v>0.7946428571428571</v>
      </c>
      <c r="K341" t="s">
        <v>644</v>
      </c>
    </row>
    <row r="342" spans="1:11">
      <c r="A342" t="s">
        <v>225</v>
      </c>
      <c r="B342">
        <v>2</v>
      </c>
      <c r="C342">
        <v>11</v>
      </c>
      <c r="D342">
        <v>89</v>
      </c>
      <c r="E342">
        <v>0</v>
      </c>
      <c r="F342">
        <v>1</v>
      </c>
      <c r="G342">
        <v>0</v>
      </c>
      <c r="H342">
        <v>112</v>
      </c>
      <c r="I342" s="4">
        <f t="shared" si="5"/>
        <v>0.7946428571428571</v>
      </c>
      <c r="K342" t="s">
        <v>644</v>
      </c>
    </row>
    <row r="343" spans="1:11">
      <c r="A343" t="s">
        <v>225</v>
      </c>
      <c r="B343">
        <v>2</v>
      </c>
      <c r="C343">
        <v>12</v>
      </c>
      <c r="D343">
        <v>112</v>
      </c>
      <c r="E343">
        <v>0</v>
      </c>
      <c r="F343">
        <v>0</v>
      </c>
      <c r="G343">
        <v>0</v>
      </c>
      <c r="H343">
        <v>112</v>
      </c>
      <c r="I343" s="4">
        <f t="shared" si="5"/>
        <v>1</v>
      </c>
      <c r="K343" t="s">
        <v>644</v>
      </c>
    </row>
    <row r="344" spans="1:11">
      <c r="A344" t="s">
        <v>225</v>
      </c>
      <c r="B344">
        <v>2</v>
      </c>
      <c r="C344">
        <v>13</v>
      </c>
      <c r="D344">
        <v>112</v>
      </c>
      <c r="E344">
        <v>0</v>
      </c>
      <c r="F344">
        <v>0</v>
      </c>
      <c r="G344">
        <v>0</v>
      </c>
      <c r="H344">
        <v>112</v>
      </c>
      <c r="I344" s="4">
        <f t="shared" si="5"/>
        <v>1</v>
      </c>
      <c r="K344" t="s">
        <v>644</v>
      </c>
    </row>
    <row r="345" spans="1:11">
      <c r="A345" t="s">
        <v>225</v>
      </c>
      <c r="B345">
        <v>2</v>
      </c>
      <c r="C345">
        <v>14</v>
      </c>
      <c r="D345">
        <v>112</v>
      </c>
      <c r="E345">
        <v>0</v>
      </c>
      <c r="F345">
        <v>0</v>
      </c>
      <c r="G345">
        <v>0</v>
      </c>
      <c r="H345">
        <v>112</v>
      </c>
      <c r="I345" s="4">
        <f t="shared" si="5"/>
        <v>1</v>
      </c>
      <c r="K345" t="s">
        <v>644</v>
      </c>
    </row>
    <row r="346" spans="1:11">
      <c r="A346" t="s">
        <v>225</v>
      </c>
      <c r="B346">
        <v>3</v>
      </c>
      <c r="C346">
        <v>1</v>
      </c>
      <c r="D346">
        <v>19</v>
      </c>
      <c r="E346">
        <v>0</v>
      </c>
      <c r="F346">
        <v>1</v>
      </c>
      <c r="G346">
        <v>0</v>
      </c>
      <c r="H346">
        <v>175</v>
      </c>
      <c r="I346" s="4">
        <f t="shared" si="5"/>
        <v>0.10857142857142857</v>
      </c>
      <c r="K346" t="s">
        <v>645</v>
      </c>
    </row>
    <row r="347" spans="1:11">
      <c r="A347" t="s">
        <v>225</v>
      </c>
      <c r="B347">
        <v>3</v>
      </c>
      <c r="C347">
        <v>2</v>
      </c>
      <c r="D347">
        <v>60</v>
      </c>
      <c r="E347">
        <v>0</v>
      </c>
      <c r="F347">
        <v>3</v>
      </c>
      <c r="G347">
        <v>0</v>
      </c>
      <c r="H347">
        <v>175</v>
      </c>
      <c r="I347" s="4">
        <f t="shared" si="5"/>
        <v>0.34285714285714286</v>
      </c>
      <c r="K347" t="s">
        <v>645</v>
      </c>
    </row>
    <row r="348" spans="1:11">
      <c r="A348" t="s">
        <v>225</v>
      </c>
      <c r="B348">
        <v>3</v>
      </c>
      <c r="C348">
        <v>3</v>
      </c>
      <c r="D348">
        <v>95</v>
      </c>
      <c r="E348">
        <v>0</v>
      </c>
      <c r="F348">
        <v>1</v>
      </c>
      <c r="G348">
        <v>0</v>
      </c>
      <c r="H348">
        <v>175</v>
      </c>
      <c r="I348" s="4">
        <f t="shared" si="5"/>
        <v>0.54285714285714282</v>
      </c>
      <c r="K348" t="s">
        <v>645</v>
      </c>
    </row>
    <row r="349" spans="1:11">
      <c r="A349" t="s">
        <v>225</v>
      </c>
      <c r="B349">
        <v>3</v>
      </c>
      <c r="C349">
        <v>4</v>
      </c>
      <c r="D349">
        <v>98</v>
      </c>
      <c r="E349">
        <v>0</v>
      </c>
      <c r="F349">
        <v>3</v>
      </c>
      <c r="G349">
        <v>0</v>
      </c>
      <c r="H349">
        <v>175</v>
      </c>
      <c r="I349" s="4">
        <f t="shared" si="5"/>
        <v>0.56000000000000005</v>
      </c>
      <c r="K349" t="s">
        <v>645</v>
      </c>
    </row>
    <row r="350" spans="1:11">
      <c r="A350" t="s">
        <v>225</v>
      </c>
      <c r="B350">
        <v>3</v>
      </c>
      <c r="C350">
        <v>5</v>
      </c>
      <c r="D350">
        <v>155</v>
      </c>
      <c r="E350">
        <v>0</v>
      </c>
      <c r="F350">
        <v>1</v>
      </c>
      <c r="G350">
        <v>0</v>
      </c>
      <c r="H350">
        <v>175</v>
      </c>
      <c r="I350" s="4">
        <f t="shared" si="5"/>
        <v>0.88571428571428568</v>
      </c>
      <c r="K350" t="s">
        <v>645</v>
      </c>
    </row>
    <row r="351" spans="1:11">
      <c r="A351" t="s">
        <v>225</v>
      </c>
      <c r="B351">
        <v>3</v>
      </c>
      <c r="C351">
        <v>6</v>
      </c>
      <c r="D351">
        <v>175</v>
      </c>
      <c r="E351">
        <v>0</v>
      </c>
      <c r="F351">
        <v>0</v>
      </c>
      <c r="G351">
        <v>0</v>
      </c>
      <c r="H351">
        <v>175</v>
      </c>
      <c r="I351" s="4">
        <f t="shared" si="5"/>
        <v>1</v>
      </c>
      <c r="K351" t="s">
        <v>645</v>
      </c>
    </row>
    <row r="352" spans="1:11">
      <c r="A352" t="s">
        <v>225</v>
      </c>
      <c r="B352">
        <v>4</v>
      </c>
      <c r="C352">
        <v>1</v>
      </c>
      <c r="D352">
        <v>19</v>
      </c>
      <c r="E352">
        <v>0</v>
      </c>
      <c r="F352">
        <v>1</v>
      </c>
      <c r="G352">
        <v>0</v>
      </c>
      <c r="H352">
        <v>272</v>
      </c>
      <c r="I352" s="4">
        <f t="shared" si="5"/>
        <v>6.985294117647059E-2</v>
      </c>
      <c r="K352" t="s">
        <v>646</v>
      </c>
    </row>
    <row r="353" spans="1:11">
      <c r="A353" t="s">
        <v>225</v>
      </c>
      <c r="B353">
        <v>4</v>
      </c>
      <c r="C353">
        <v>2</v>
      </c>
      <c r="D353">
        <v>31</v>
      </c>
      <c r="E353">
        <v>0</v>
      </c>
      <c r="F353">
        <v>13</v>
      </c>
      <c r="G353">
        <v>0</v>
      </c>
      <c r="H353">
        <v>272</v>
      </c>
      <c r="I353" s="4">
        <f t="shared" si="5"/>
        <v>0.11397058823529412</v>
      </c>
      <c r="K353" t="s">
        <v>646</v>
      </c>
    </row>
    <row r="354" spans="1:11">
      <c r="A354" t="s">
        <v>225</v>
      </c>
      <c r="B354">
        <v>4</v>
      </c>
      <c r="C354">
        <v>3</v>
      </c>
      <c r="D354">
        <v>66</v>
      </c>
      <c r="E354">
        <v>0</v>
      </c>
      <c r="F354">
        <v>11</v>
      </c>
      <c r="G354">
        <v>0</v>
      </c>
      <c r="H354">
        <v>272</v>
      </c>
      <c r="I354" s="4">
        <f t="shared" si="5"/>
        <v>0.24264705882352941</v>
      </c>
      <c r="K354" t="s">
        <v>646</v>
      </c>
    </row>
    <row r="355" spans="1:11">
      <c r="A355" t="s">
        <v>225</v>
      </c>
      <c r="B355">
        <v>4</v>
      </c>
      <c r="C355">
        <v>4</v>
      </c>
      <c r="D355">
        <v>101</v>
      </c>
      <c r="E355">
        <v>0</v>
      </c>
      <c r="F355">
        <v>9</v>
      </c>
      <c r="G355">
        <v>0</v>
      </c>
      <c r="H355">
        <v>272</v>
      </c>
      <c r="I355" s="4">
        <f t="shared" si="5"/>
        <v>0.37132352941176472</v>
      </c>
      <c r="K355" t="s">
        <v>646</v>
      </c>
    </row>
    <row r="356" spans="1:11">
      <c r="A356" t="s">
        <v>225</v>
      </c>
      <c r="B356">
        <v>4</v>
      </c>
      <c r="C356">
        <v>5</v>
      </c>
      <c r="D356">
        <v>154</v>
      </c>
      <c r="E356">
        <v>0</v>
      </c>
      <c r="F356">
        <v>7</v>
      </c>
      <c r="G356">
        <v>0</v>
      </c>
      <c r="H356">
        <v>272</v>
      </c>
      <c r="I356" s="4">
        <f t="shared" si="5"/>
        <v>0.56617647058823528</v>
      </c>
      <c r="K356" t="s">
        <v>646</v>
      </c>
    </row>
    <row r="357" spans="1:11">
      <c r="A357" t="s">
        <v>225</v>
      </c>
      <c r="B357">
        <v>4</v>
      </c>
      <c r="C357">
        <v>6</v>
      </c>
      <c r="D357">
        <v>175</v>
      </c>
      <c r="E357">
        <v>0</v>
      </c>
      <c r="F357">
        <v>5</v>
      </c>
      <c r="G357">
        <v>0</v>
      </c>
      <c r="H357">
        <v>272</v>
      </c>
      <c r="I357" s="4">
        <f t="shared" si="5"/>
        <v>0.64338235294117652</v>
      </c>
      <c r="K357" t="s">
        <v>646</v>
      </c>
    </row>
    <row r="358" spans="1:11">
      <c r="A358" t="s">
        <v>225</v>
      </c>
      <c r="B358">
        <v>4</v>
      </c>
      <c r="C358">
        <v>7</v>
      </c>
      <c r="D358">
        <v>202</v>
      </c>
      <c r="E358">
        <v>0</v>
      </c>
      <c r="F358">
        <v>3</v>
      </c>
      <c r="G358">
        <v>0</v>
      </c>
      <c r="H358">
        <v>272</v>
      </c>
      <c r="I358" s="4">
        <f t="shared" si="5"/>
        <v>0.74264705882352944</v>
      </c>
      <c r="K358" t="s">
        <v>646</v>
      </c>
    </row>
    <row r="359" spans="1:11">
      <c r="A359" t="s">
        <v>225</v>
      </c>
      <c r="B359">
        <v>4</v>
      </c>
      <c r="C359">
        <v>8</v>
      </c>
      <c r="D359">
        <v>234</v>
      </c>
      <c r="E359">
        <v>0</v>
      </c>
      <c r="F359">
        <v>1</v>
      </c>
      <c r="G359">
        <v>0</v>
      </c>
      <c r="H359">
        <v>272</v>
      </c>
      <c r="I359" s="4">
        <f t="shared" si="5"/>
        <v>0.86029411764705888</v>
      </c>
      <c r="K359" t="s">
        <v>646</v>
      </c>
    </row>
    <row r="360" spans="1:11">
      <c r="A360" t="s">
        <v>225</v>
      </c>
      <c r="B360">
        <v>4</v>
      </c>
      <c r="C360">
        <v>9</v>
      </c>
      <c r="D360">
        <v>272</v>
      </c>
      <c r="E360">
        <v>0</v>
      </c>
      <c r="F360">
        <v>0</v>
      </c>
      <c r="G360">
        <v>0</v>
      </c>
      <c r="H360">
        <v>272</v>
      </c>
      <c r="I360" s="4">
        <f t="shared" si="5"/>
        <v>1</v>
      </c>
      <c r="K360" t="s">
        <v>646</v>
      </c>
    </row>
    <row r="361" spans="1:11">
      <c r="A361" t="s">
        <v>225</v>
      </c>
      <c r="B361">
        <v>5</v>
      </c>
      <c r="C361">
        <v>1</v>
      </c>
      <c r="D361">
        <v>8</v>
      </c>
      <c r="E361">
        <v>0</v>
      </c>
      <c r="F361">
        <v>3</v>
      </c>
      <c r="G361">
        <v>0</v>
      </c>
      <c r="H361">
        <v>22</v>
      </c>
      <c r="I361" s="4">
        <f t="shared" si="5"/>
        <v>0.36363636363636365</v>
      </c>
      <c r="K361" t="s">
        <v>647</v>
      </c>
    </row>
    <row r="362" spans="1:11">
      <c r="A362" t="s">
        <v>225</v>
      </c>
      <c r="B362">
        <v>5</v>
      </c>
      <c r="C362">
        <v>2</v>
      </c>
      <c r="D362">
        <v>12</v>
      </c>
      <c r="E362">
        <v>0</v>
      </c>
      <c r="F362">
        <v>3</v>
      </c>
      <c r="G362">
        <v>0</v>
      </c>
      <c r="H362">
        <v>22</v>
      </c>
      <c r="I362" s="4">
        <f t="shared" si="5"/>
        <v>0.54545454545454541</v>
      </c>
      <c r="K362" t="s">
        <v>647</v>
      </c>
    </row>
    <row r="363" spans="1:11">
      <c r="A363" t="s">
        <v>225</v>
      </c>
      <c r="B363">
        <v>5</v>
      </c>
      <c r="C363">
        <v>3</v>
      </c>
      <c r="D363">
        <v>15</v>
      </c>
      <c r="E363">
        <v>0</v>
      </c>
      <c r="F363">
        <v>2</v>
      </c>
      <c r="G363">
        <v>0</v>
      </c>
      <c r="H363">
        <v>22</v>
      </c>
      <c r="I363" s="4">
        <f t="shared" si="5"/>
        <v>0.68181818181818177</v>
      </c>
      <c r="K363" t="s">
        <v>647</v>
      </c>
    </row>
    <row r="364" spans="1:11">
      <c r="A364" t="s">
        <v>225</v>
      </c>
      <c r="B364">
        <v>5</v>
      </c>
      <c r="C364">
        <v>4</v>
      </c>
      <c r="D364">
        <v>17</v>
      </c>
      <c r="E364">
        <v>0</v>
      </c>
      <c r="F364">
        <v>2</v>
      </c>
      <c r="G364">
        <v>0</v>
      </c>
      <c r="H364">
        <v>22</v>
      </c>
      <c r="I364" s="4">
        <f t="shared" si="5"/>
        <v>0.77272727272727271</v>
      </c>
      <c r="K364" t="s">
        <v>647</v>
      </c>
    </row>
    <row r="365" spans="1:11">
      <c r="A365" t="s">
        <v>225</v>
      </c>
      <c r="B365">
        <v>5</v>
      </c>
      <c r="C365">
        <v>5</v>
      </c>
      <c r="D365">
        <v>19</v>
      </c>
      <c r="E365">
        <v>0</v>
      </c>
      <c r="F365">
        <v>2</v>
      </c>
      <c r="G365">
        <v>0</v>
      </c>
      <c r="H365">
        <v>22</v>
      </c>
      <c r="I365" s="4">
        <f t="shared" si="5"/>
        <v>0.86363636363636365</v>
      </c>
      <c r="K365" t="s">
        <v>647</v>
      </c>
    </row>
    <row r="366" spans="1:11">
      <c r="A366" t="s">
        <v>225</v>
      </c>
      <c r="B366">
        <v>5</v>
      </c>
      <c r="C366">
        <v>6</v>
      </c>
      <c r="D366">
        <v>22</v>
      </c>
      <c r="E366">
        <v>0</v>
      </c>
      <c r="F366">
        <v>0</v>
      </c>
      <c r="G366">
        <v>0</v>
      </c>
      <c r="H366">
        <v>22</v>
      </c>
      <c r="I366" s="4">
        <f t="shared" si="5"/>
        <v>1</v>
      </c>
      <c r="K366" t="s">
        <v>647</v>
      </c>
    </row>
    <row r="367" spans="1:11">
      <c r="A367" t="s">
        <v>225</v>
      </c>
      <c r="B367">
        <v>6</v>
      </c>
      <c r="C367">
        <v>1</v>
      </c>
      <c r="D367">
        <v>3</v>
      </c>
      <c r="E367">
        <v>0</v>
      </c>
      <c r="F367">
        <v>4</v>
      </c>
      <c r="G367">
        <v>0</v>
      </c>
      <c r="H367">
        <v>21</v>
      </c>
      <c r="I367" s="4">
        <f t="shared" si="5"/>
        <v>0.14285714285714285</v>
      </c>
      <c r="K367" t="s">
        <v>648</v>
      </c>
    </row>
    <row r="368" spans="1:11">
      <c r="A368" t="s">
        <v>225</v>
      </c>
      <c r="B368">
        <v>6</v>
      </c>
      <c r="C368">
        <v>2</v>
      </c>
      <c r="D368">
        <v>7</v>
      </c>
      <c r="E368">
        <v>0</v>
      </c>
      <c r="F368">
        <v>4</v>
      </c>
      <c r="G368">
        <v>0</v>
      </c>
      <c r="H368">
        <v>21</v>
      </c>
      <c r="I368" s="4">
        <f t="shared" si="5"/>
        <v>0.33333333333333331</v>
      </c>
      <c r="K368" t="s">
        <v>648</v>
      </c>
    </row>
    <row r="369" spans="1:11">
      <c r="A369" t="s">
        <v>225</v>
      </c>
      <c r="B369">
        <v>6</v>
      </c>
      <c r="C369">
        <v>3</v>
      </c>
      <c r="D369">
        <v>10</v>
      </c>
      <c r="E369">
        <v>0</v>
      </c>
      <c r="F369">
        <v>4</v>
      </c>
      <c r="G369">
        <v>0</v>
      </c>
      <c r="H369">
        <v>21</v>
      </c>
      <c r="I369" s="4">
        <f t="shared" si="5"/>
        <v>0.47619047619047616</v>
      </c>
      <c r="K369" t="s">
        <v>648</v>
      </c>
    </row>
    <row r="370" spans="1:11">
      <c r="A370" t="s">
        <v>225</v>
      </c>
      <c r="B370">
        <v>6</v>
      </c>
      <c r="C370">
        <v>4</v>
      </c>
      <c r="D370">
        <v>15</v>
      </c>
      <c r="E370">
        <v>0</v>
      </c>
      <c r="F370">
        <v>5</v>
      </c>
      <c r="G370">
        <v>0</v>
      </c>
      <c r="H370">
        <v>21</v>
      </c>
      <c r="I370" s="4">
        <f t="shared" si="5"/>
        <v>0.7142857142857143</v>
      </c>
      <c r="K370" t="s">
        <v>648</v>
      </c>
    </row>
    <row r="371" spans="1:11">
      <c r="A371" t="s">
        <v>225</v>
      </c>
      <c r="B371">
        <v>6</v>
      </c>
      <c r="C371">
        <v>5</v>
      </c>
      <c r="D371">
        <v>18</v>
      </c>
      <c r="E371">
        <v>0</v>
      </c>
      <c r="F371">
        <v>3</v>
      </c>
      <c r="G371">
        <v>0</v>
      </c>
      <c r="H371">
        <v>21</v>
      </c>
      <c r="I371" s="4">
        <f t="shared" si="5"/>
        <v>0.8571428571428571</v>
      </c>
      <c r="K371" t="s">
        <v>648</v>
      </c>
    </row>
    <row r="372" spans="1:11">
      <c r="A372" t="s">
        <v>225</v>
      </c>
      <c r="B372">
        <v>6</v>
      </c>
      <c r="C372">
        <v>6</v>
      </c>
      <c r="D372">
        <v>21</v>
      </c>
      <c r="E372">
        <v>0</v>
      </c>
      <c r="F372">
        <v>0</v>
      </c>
      <c r="G372">
        <v>0</v>
      </c>
      <c r="H372">
        <v>21</v>
      </c>
      <c r="I372" s="4">
        <f t="shared" si="5"/>
        <v>1</v>
      </c>
      <c r="K372" t="s">
        <v>648</v>
      </c>
    </row>
    <row r="373" spans="1:11">
      <c r="A373" t="s">
        <v>225</v>
      </c>
      <c r="B373">
        <v>6</v>
      </c>
      <c r="C373">
        <v>7</v>
      </c>
      <c r="D373">
        <v>21</v>
      </c>
      <c r="E373">
        <v>0</v>
      </c>
      <c r="F373">
        <v>0</v>
      </c>
      <c r="G373">
        <v>0</v>
      </c>
      <c r="H373">
        <v>21</v>
      </c>
      <c r="I373" s="4">
        <f t="shared" si="5"/>
        <v>1</v>
      </c>
      <c r="K373" t="s">
        <v>648</v>
      </c>
    </row>
    <row r="374" spans="1:11">
      <c r="A374" t="s">
        <v>225</v>
      </c>
      <c r="B374">
        <v>6</v>
      </c>
      <c r="C374">
        <v>8</v>
      </c>
      <c r="D374">
        <v>21</v>
      </c>
      <c r="E374">
        <v>0</v>
      </c>
      <c r="F374">
        <v>0</v>
      </c>
      <c r="G374">
        <v>0</v>
      </c>
      <c r="H374">
        <v>21</v>
      </c>
      <c r="I374" s="4">
        <f t="shared" si="5"/>
        <v>1</v>
      </c>
      <c r="K374" t="s">
        <v>648</v>
      </c>
    </row>
    <row r="375" spans="1:11">
      <c r="A375" t="s">
        <v>225</v>
      </c>
      <c r="B375">
        <v>6</v>
      </c>
      <c r="C375">
        <v>9</v>
      </c>
      <c r="D375">
        <v>21</v>
      </c>
      <c r="E375">
        <v>0</v>
      </c>
      <c r="F375">
        <v>0</v>
      </c>
      <c r="G375">
        <v>0</v>
      </c>
      <c r="H375">
        <v>21</v>
      </c>
      <c r="I375" s="4">
        <f t="shared" si="5"/>
        <v>1</v>
      </c>
      <c r="K375" t="s">
        <v>648</v>
      </c>
    </row>
    <row r="376" spans="1:11">
      <c r="A376" t="s">
        <v>225</v>
      </c>
      <c r="B376">
        <v>6</v>
      </c>
      <c r="C376">
        <v>10</v>
      </c>
      <c r="D376">
        <v>21</v>
      </c>
      <c r="E376">
        <v>0</v>
      </c>
      <c r="F376">
        <v>0</v>
      </c>
      <c r="G376">
        <v>0</v>
      </c>
      <c r="H376">
        <v>21</v>
      </c>
      <c r="I376" s="4">
        <f t="shared" si="5"/>
        <v>1</v>
      </c>
      <c r="K376" t="s">
        <v>648</v>
      </c>
    </row>
    <row r="377" spans="1:11">
      <c r="A377" t="s">
        <v>225</v>
      </c>
      <c r="B377">
        <v>7</v>
      </c>
      <c r="C377">
        <v>1</v>
      </c>
      <c r="D377">
        <v>28</v>
      </c>
      <c r="E377">
        <v>0</v>
      </c>
      <c r="F377">
        <v>2</v>
      </c>
      <c r="G377">
        <v>0</v>
      </c>
      <c r="H377">
        <v>120</v>
      </c>
      <c r="I377" s="4">
        <f t="shared" si="5"/>
        <v>0.23333333333333334</v>
      </c>
      <c r="K377" t="s">
        <v>649</v>
      </c>
    </row>
    <row r="378" spans="1:11">
      <c r="A378" t="s">
        <v>225</v>
      </c>
      <c r="B378">
        <v>7</v>
      </c>
      <c r="C378">
        <v>2</v>
      </c>
      <c r="D378">
        <v>32</v>
      </c>
      <c r="E378">
        <v>0</v>
      </c>
      <c r="F378">
        <v>1</v>
      </c>
      <c r="G378">
        <v>0</v>
      </c>
      <c r="H378">
        <v>120</v>
      </c>
      <c r="I378" s="4">
        <f t="shared" si="5"/>
        <v>0.26666666666666666</v>
      </c>
      <c r="K378" t="s">
        <v>649</v>
      </c>
    </row>
    <row r="379" spans="1:11">
      <c r="A379" t="s">
        <v>225</v>
      </c>
      <c r="B379">
        <v>7</v>
      </c>
      <c r="C379">
        <v>3</v>
      </c>
      <c r="D379">
        <v>40</v>
      </c>
      <c r="E379">
        <v>0</v>
      </c>
      <c r="F379">
        <v>5</v>
      </c>
      <c r="G379">
        <v>0</v>
      </c>
      <c r="H379">
        <v>120</v>
      </c>
      <c r="I379" s="4">
        <f t="shared" si="5"/>
        <v>0.33333333333333331</v>
      </c>
      <c r="K379" t="s">
        <v>649</v>
      </c>
    </row>
    <row r="380" spans="1:11">
      <c r="A380" t="s">
        <v>225</v>
      </c>
      <c r="B380">
        <v>7</v>
      </c>
      <c r="C380">
        <v>4</v>
      </c>
      <c r="D380">
        <v>44</v>
      </c>
      <c r="E380">
        <v>0</v>
      </c>
      <c r="F380">
        <v>9</v>
      </c>
      <c r="G380">
        <v>0</v>
      </c>
      <c r="H380">
        <v>120</v>
      </c>
      <c r="I380" s="4">
        <f t="shared" si="5"/>
        <v>0.36666666666666664</v>
      </c>
      <c r="K380" t="s">
        <v>649</v>
      </c>
    </row>
    <row r="381" spans="1:11">
      <c r="A381" t="s">
        <v>225</v>
      </c>
      <c r="B381">
        <v>7</v>
      </c>
      <c r="C381">
        <v>5</v>
      </c>
      <c r="D381">
        <v>55</v>
      </c>
      <c r="E381">
        <v>0</v>
      </c>
      <c r="F381">
        <v>9</v>
      </c>
      <c r="G381">
        <v>0</v>
      </c>
      <c r="H381">
        <v>120</v>
      </c>
      <c r="I381" s="4">
        <f t="shared" si="5"/>
        <v>0.45833333333333331</v>
      </c>
      <c r="K381" t="s">
        <v>649</v>
      </c>
    </row>
    <row r="382" spans="1:11">
      <c r="A382" t="s">
        <v>225</v>
      </c>
      <c r="B382">
        <v>7</v>
      </c>
      <c r="C382">
        <v>6</v>
      </c>
      <c r="D382">
        <v>71</v>
      </c>
      <c r="E382">
        <v>0</v>
      </c>
      <c r="F382">
        <v>7</v>
      </c>
      <c r="G382">
        <v>0</v>
      </c>
      <c r="H382">
        <v>120</v>
      </c>
      <c r="I382" s="4">
        <f t="shared" si="5"/>
        <v>0.59166666666666667</v>
      </c>
      <c r="K382" t="s">
        <v>649</v>
      </c>
    </row>
    <row r="383" spans="1:11">
      <c r="A383" t="s">
        <v>225</v>
      </c>
      <c r="B383">
        <v>7</v>
      </c>
      <c r="C383">
        <v>7</v>
      </c>
      <c r="D383">
        <v>78</v>
      </c>
      <c r="E383">
        <v>0</v>
      </c>
      <c r="F383">
        <v>5</v>
      </c>
      <c r="G383">
        <v>0</v>
      </c>
      <c r="H383">
        <v>120</v>
      </c>
      <c r="I383" s="4">
        <f t="shared" si="5"/>
        <v>0.65</v>
      </c>
      <c r="K383" t="s">
        <v>649</v>
      </c>
    </row>
    <row r="384" spans="1:11">
      <c r="A384" t="s">
        <v>225</v>
      </c>
      <c r="B384">
        <v>7</v>
      </c>
      <c r="C384">
        <v>8</v>
      </c>
      <c r="D384">
        <v>88</v>
      </c>
      <c r="E384">
        <v>0</v>
      </c>
      <c r="F384">
        <v>3</v>
      </c>
      <c r="G384">
        <v>0</v>
      </c>
      <c r="H384">
        <v>120</v>
      </c>
      <c r="I384" s="4">
        <f t="shared" si="5"/>
        <v>0.73333333333333328</v>
      </c>
      <c r="K384" t="s">
        <v>649</v>
      </c>
    </row>
    <row r="385" spans="1:11">
      <c r="A385" t="s">
        <v>225</v>
      </c>
      <c r="B385">
        <v>7</v>
      </c>
      <c r="C385">
        <v>9</v>
      </c>
      <c r="D385">
        <v>102</v>
      </c>
      <c r="E385">
        <v>0</v>
      </c>
      <c r="F385">
        <v>1</v>
      </c>
      <c r="G385">
        <v>0</v>
      </c>
      <c r="H385">
        <v>120</v>
      </c>
      <c r="I385" s="4">
        <f t="shared" si="5"/>
        <v>0.85</v>
      </c>
      <c r="K385" t="s">
        <v>649</v>
      </c>
    </row>
    <row r="386" spans="1:11">
      <c r="A386" t="s">
        <v>225</v>
      </c>
      <c r="B386">
        <v>7</v>
      </c>
      <c r="C386">
        <v>10</v>
      </c>
      <c r="D386">
        <v>120</v>
      </c>
      <c r="E386">
        <v>0</v>
      </c>
      <c r="F386">
        <v>0</v>
      </c>
      <c r="G386">
        <v>0</v>
      </c>
      <c r="H386">
        <v>120</v>
      </c>
      <c r="I386" s="4">
        <f t="shared" si="5"/>
        <v>1</v>
      </c>
      <c r="K386" t="s">
        <v>649</v>
      </c>
    </row>
    <row r="387" spans="1:11">
      <c r="A387" t="s">
        <v>225</v>
      </c>
      <c r="B387">
        <v>8</v>
      </c>
      <c r="C387">
        <v>1</v>
      </c>
      <c r="D387">
        <v>19</v>
      </c>
      <c r="E387">
        <v>0</v>
      </c>
      <c r="F387">
        <v>1</v>
      </c>
      <c r="G387">
        <v>0</v>
      </c>
      <c r="H387">
        <v>118</v>
      </c>
      <c r="I387" s="4">
        <f t="shared" ref="I387:I450" si="6">D387/H387</f>
        <v>0.16101694915254236</v>
      </c>
      <c r="K387" t="s">
        <v>650</v>
      </c>
    </row>
    <row r="388" spans="1:11">
      <c r="A388" t="s">
        <v>225</v>
      </c>
      <c r="B388">
        <v>8</v>
      </c>
      <c r="C388">
        <v>2</v>
      </c>
      <c r="D388">
        <v>28</v>
      </c>
      <c r="E388">
        <v>0</v>
      </c>
      <c r="F388">
        <v>7</v>
      </c>
      <c r="G388">
        <v>0</v>
      </c>
      <c r="H388">
        <v>118</v>
      </c>
      <c r="I388" s="4">
        <f t="shared" si="6"/>
        <v>0.23728813559322035</v>
      </c>
      <c r="K388" t="s">
        <v>650</v>
      </c>
    </row>
    <row r="389" spans="1:11">
      <c r="A389" t="s">
        <v>225</v>
      </c>
      <c r="B389">
        <v>8</v>
      </c>
      <c r="C389">
        <v>3</v>
      </c>
      <c r="D389">
        <v>63</v>
      </c>
      <c r="E389">
        <v>0</v>
      </c>
      <c r="F389">
        <v>5</v>
      </c>
      <c r="G389">
        <v>0</v>
      </c>
      <c r="H389">
        <v>118</v>
      </c>
      <c r="I389" s="4">
        <f t="shared" si="6"/>
        <v>0.53389830508474578</v>
      </c>
      <c r="K389" t="s">
        <v>650</v>
      </c>
    </row>
    <row r="390" spans="1:11">
      <c r="A390" t="s">
        <v>225</v>
      </c>
      <c r="B390">
        <v>8</v>
      </c>
      <c r="C390">
        <v>4</v>
      </c>
      <c r="D390">
        <v>63</v>
      </c>
      <c r="E390">
        <v>0</v>
      </c>
      <c r="F390">
        <v>5</v>
      </c>
      <c r="G390">
        <v>0</v>
      </c>
      <c r="H390">
        <v>118</v>
      </c>
      <c r="I390" s="4">
        <f t="shared" si="6"/>
        <v>0.53389830508474578</v>
      </c>
      <c r="K390" t="s">
        <v>650</v>
      </c>
    </row>
    <row r="391" spans="1:11">
      <c r="A391" t="s">
        <v>225</v>
      </c>
      <c r="B391">
        <v>8</v>
      </c>
      <c r="C391">
        <v>5</v>
      </c>
      <c r="D391">
        <v>96</v>
      </c>
      <c r="E391">
        <v>0</v>
      </c>
      <c r="F391">
        <v>3</v>
      </c>
      <c r="G391">
        <v>0</v>
      </c>
      <c r="H391">
        <v>118</v>
      </c>
      <c r="I391" s="4">
        <f t="shared" si="6"/>
        <v>0.81355932203389836</v>
      </c>
      <c r="K391" t="s">
        <v>650</v>
      </c>
    </row>
    <row r="392" spans="1:11">
      <c r="A392" t="s">
        <v>225</v>
      </c>
      <c r="B392">
        <v>8</v>
      </c>
      <c r="C392">
        <v>6</v>
      </c>
      <c r="D392">
        <v>118</v>
      </c>
      <c r="E392">
        <v>0</v>
      </c>
      <c r="F392">
        <v>2</v>
      </c>
      <c r="G392">
        <v>0</v>
      </c>
      <c r="H392">
        <v>118</v>
      </c>
      <c r="I392" s="4">
        <f t="shared" si="6"/>
        <v>1</v>
      </c>
      <c r="K392" t="s">
        <v>650</v>
      </c>
    </row>
    <row r="393" spans="1:11">
      <c r="A393" t="s">
        <v>225</v>
      </c>
      <c r="B393">
        <v>9</v>
      </c>
      <c r="C393">
        <v>1</v>
      </c>
      <c r="D393">
        <v>19</v>
      </c>
      <c r="E393">
        <v>0</v>
      </c>
      <c r="F393">
        <v>1</v>
      </c>
      <c r="G393">
        <v>0</v>
      </c>
      <c r="H393">
        <v>194</v>
      </c>
      <c r="I393" s="4">
        <f t="shared" si="6"/>
        <v>9.7938144329896906E-2</v>
      </c>
      <c r="K393" t="s">
        <v>651</v>
      </c>
    </row>
    <row r="394" spans="1:11">
      <c r="A394" t="s">
        <v>225</v>
      </c>
      <c r="B394">
        <v>9</v>
      </c>
      <c r="C394">
        <v>2</v>
      </c>
      <c r="D394">
        <v>31</v>
      </c>
      <c r="E394">
        <v>0</v>
      </c>
      <c r="F394">
        <v>13</v>
      </c>
      <c r="G394">
        <v>0</v>
      </c>
      <c r="H394">
        <v>194</v>
      </c>
      <c r="I394" s="4">
        <f t="shared" si="6"/>
        <v>0.15979381443298968</v>
      </c>
      <c r="K394" t="s">
        <v>651</v>
      </c>
    </row>
    <row r="395" spans="1:11">
      <c r="A395" t="s">
        <v>225</v>
      </c>
      <c r="B395">
        <v>9</v>
      </c>
      <c r="C395">
        <v>3</v>
      </c>
      <c r="D395">
        <v>75</v>
      </c>
      <c r="E395">
        <v>0</v>
      </c>
      <c r="F395">
        <v>11</v>
      </c>
      <c r="G395">
        <v>0</v>
      </c>
      <c r="H395">
        <v>194</v>
      </c>
      <c r="I395" s="4">
        <f t="shared" si="6"/>
        <v>0.38659793814432991</v>
      </c>
      <c r="K395" t="s">
        <v>651</v>
      </c>
    </row>
    <row r="396" spans="1:11">
      <c r="A396" t="s">
        <v>225</v>
      </c>
      <c r="B396">
        <v>9</v>
      </c>
      <c r="C396">
        <v>4</v>
      </c>
      <c r="D396">
        <v>75</v>
      </c>
      <c r="E396">
        <v>0</v>
      </c>
      <c r="F396">
        <v>11</v>
      </c>
      <c r="G396">
        <v>0</v>
      </c>
      <c r="H396">
        <v>194</v>
      </c>
      <c r="I396" s="4">
        <f t="shared" si="6"/>
        <v>0.38659793814432991</v>
      </c>
      <c r="K396" t="s">
        <v>651</v>
      </c>
    </row>
    <row r="397" spans="1:11">
      <c r="A397" t="s">
        <v>225</v>
      </c>
      <c r="B397">
        <v>9</v>
      </c>
      <c r="C397">
        <v>5</v>
      </c>
      <c r="D397">
        <v>110</v>
      </c>
      <c r="E397">
        <v>0</v>
      </c>
      <c r="F397">
        <v>9</v>
      </c>
      <c r="G397">
        <v>0</v>
      </c>
      <c r="H397">
        <v>194</v>
      </c>
      <c r="I397" s="4">
        <f t="shared" si="6"/>
        <v>0.5670103092783505</v>
      </c>
      <c r="K397" t="s">
        <v>651</v>
      </c>
    </row>
    <row r="398" spans="1:11">
      <c r="A398" t="s">
        <v>225</v>
      </c>
      <c r="B398">
        <v>9</v>
      </c>
      <c r="C398">
        <v>6</v>
      </c>
      <c r="D398">
        <v>137</v>
      </c>
      <c r="E398">
        <v>0</v>
      </c>
      <c r="F398">
        <v>7</v>
      </c>
      <c r="G398">
        <v>0</v>
      </c>
      <c r="H398">
        <v>194</v>
      </c>
      <c r="I398" s="4">
        <f t="shared" si="6"/>
        <v>0.70618556701030932</v>
      </c>
      <c r="K398" t="s">
        <v>651</v>
      </c>
    </row>
    <row r="399" spans="1:11">
      <c r="A399" t="s">
        <v>225</v>
      </c>
      <c r="B399">
        <v>9</v>
      </c>
      <c r="C399">
        <v>7</v>
      </c>
      <c r="D399">
        <v>159</v>
      </c>
      <c r="E399">
        <v>0</v>
      </c>
      <c r="F399">
        <v>5</v>
      </c>
      <c r="G399">
        <v>0</v>
      </c>
      <c r="H399">
        <v>194</v>
      </c>
      <c r="I399" s="4">
        <f t="shared" si="6"/>
        <v>0.81958762886597936</v>
      </c>
      <c r="K399" t="s">
        <v>651</v>
      </c>
    </row>
    <row r="400" spans="1:11">
      <c r="A400" t="s">
        <v>225</v>
      </c>
      <c r="B400">
        <v>9</v>
      </c>
      <c r="C400">
        <v>8</v>
      </c>
      <c r="D400">
        <v>159</v>
      </c>
      <c r="E400">
        <v>0</v>
      </c>
      <c r="F400">
        <v>5</v>
      </c>
      <c r="G400">
        <v>0</v>
      </c>
      <c r="H400">
        <v>194</v>
      </c>
      <c r="I400" s="4">
        <f t="shared" si="6"/>
        <v>0.81958762886597936</v>
      </c>
      <c r="K400" t="s">
        <v>651</v>
      </c>
    </row>
    <row r="401" spans="1:11">
      <c r="A401" t="s">
        <v>225</v>
      </c>
      <c r="B401">
        <v>9</v>
      </c>
      <c r="C401">
        <v>9</v>
      </c>
      <c r="D401">
        <v>194</v>
      </c>
      <c r="E401">
        <v>0</v>
      </c>
      <c r="F401">
        <v>4</v>
      </c>
      <c r="G401">
        <v>0</v>
      </c>
      <c r="H401">
        <v>194</v>
      </c>
      <c r="I401" s="4">
        <f t="shared" si="6"/>
        <v>1</v>
      </c>
      <c r="K401" t="s">
        <v>651</v>
      </c>
    </row>
    <row r="402" spans="1:11">
      <c r="A402" t="s">
        <v>225</v>
      </c>
      <c r="B402">
        <v>11</v>
      </c>
      <c r="C402">
        <v>1</v>
      </c>
      <c r="D402">
        <v>18</v>
      </c>
      <c r="E402">
        <v>0</v>
      </c>
      <c r="F402">
        <v>1</v>
      </c>
      <c r="G402">
        <v>0</v>
      </c>
      <c r="H402">
        <v>53</v>
      </c>
      <c r="I402" s="4">
        <f t="shared" si="6"/>
        <v>0.33962264150943394</v>
      </c>
      <c r="K402" t="s">
        <v>653</v>
      </c>
    </row>
    <row r="403" spans="1:11">
      <c r="A403" s="9" t="s">
        <v>225</v>
      </c>
      <c r="B403" s="9">
        <v>11</v>
      </c>
      <c r="C403" s="9">
        <v>2</v>
      </c>
      <c r="D403" s="9">
        <v>53</v>
      </c>
      <c r="E403" s="9">
        <v>0</v>
      </c>
      <c r="F403" s="9">
        <v>0</v>
      </c>
      <c r="G403" s="9">
        <v>0</v>
      </c>
      <c r="H403">
        <v>53</v>
      </c>
      <c r="I403" s="4">
        <f t="shared" si="6"/>
        <v>1</v>
      </c>
      <c r="K403" t="s">
        <v>653</v>
      </c>
    </row>
    <row r="404" spans="1:11">
      <c r="A404" t="s">
        <v>225</v>
      </c>
      <c r="B404">
        <v>13</v>
      </c>
      <c r="C404">
        <v>1</v>
      </c>
      <c r="D404">
        <v>1</v>
      </c>
      <c r="E404">
        <v>0</v>
      </c>
      <c r="F404">
        <v>1</v>
      </c>
      <c r="G404">
        <v>0</v>
      </c>
      <c r="H404">
        <v>737</v>
      </c>
      <c r="I404" s="4">
        <f t="shared" si="6"/>
        <v>1.3568521031207597E-3</v>
      </c>
      <c r="K404" t="s">
        <v>654</v>
      </c>
    </row>
    <row r="405" spans="1:11">
      <c r="A405" t="s">
        <v>225</v>
      </c>
      <c r="B405">
        <v>13</v>
      </c>
      <c r="C405">
        <v>2</v>
      </c>
      <c r="D405">
        <v>3</v>
      </c>
      <c r="E405">
        <v>0</v>
      </c>
      <c r="F405">
        <v>1</v>
      </c>
      <c r="G405">
        <v>0</v>
      </c>
      <c r="H405">
        <v>737</v>
      </c>
      <c r="I405" s="4">
        <f t="shared" si="6"/>
        <v>4.0705563093622792E-3</v>
      </c>
      <c r="K405" t="s">
        <v>654</v>
      </c>
    </row>
    <row r="406" spans="1:11">
      <c r="A406" t="s">
        <v>225</v>
      </c>
      <c r="B406">
        <v>13</v>
      </c>
      <c r="C406">
        <v>3</v>
      </c>
      <c r="D406">
        <v>5</v>
      </c>
      <c r="E406">
        <v>0</v>
      </c>
      <c r="F406">
        <v>1</v>
      </c>
      <c r="G406">
        <v>0</v>
      </c>
      <c r="H406">
        <v>737</v>
      </c>
      <c r="I406" s="4">
        <f t="shared" si="6"/>
        <v>6.7842605156037995E-3</v>
      </c>
      <c r="K406" t="s">
        <v>654</v>
      </c>
    </row>
    <row r="407" spans="1:11">
      <c r="A407" t="s">
        <v>225</v>
      </c>
      <c r="B407">
        <v>13</v>
      </c>
      <c r="C407">
        <v>4</v>
      </c>
      <c r="D407">
        <v>737</v>
      </c>
      <c r="E407">
        <v>0</v>
      </c>
      <c r="F407">
        <v>0</v>
      </c>
      <c r="G407">
        <v>0</v>
      </c>
      <c r="H407">
        <v>737</v>
      </c>
      <c r="I407" s="4">
        <f t="shared" si="6"/>
        <v>1</v>
      </c>
      <c r="K407" t="s">
        <v>654</v>
      </c>
    </row>
    <row r="408" spans="1:11">
      <c r="A408" t="s">
        <v>225</v>
      </c>
      <c r="B408">
        <v>14</v>
      </c>
      <c r="C408">
        <v>1</v>
      </c>
      <c r="D408">
        <v>1</v>
      </c>
      <c r="E408">
        <v>0</v>
      </c>
      <c r="F408">
        <v>1</v>
      </c>
      <c r="G408">
        <v>0</v>
      </c>
      <c r="H408">
        <v>958</v>
      </c>
      <c r="I408" s="4">
        <f t="shared" si="6"/>
        <v>1.0438413361169101E-3</v>
      </c>
      <c r="K408" t="s">
        <v>696</v>
      </c>
    </row>
    <row r="409" spans="1:11">
      <c r="A409" t="s">
        <v>225</v>
      </c>
      <c r="B409">
        <v>14</v>
      </c>
      <c r="C409">
        <v>2</v>
      </c>
      <c r="D409">
        <v>4</v>
      </c>
      <c r="E409">
        <v>0</v>
      </c>
      <c r="F409">
        <v>2</v>
      </c>
      <c r="G409">
        <v>0</v>
      </c>
      <c r="H409">
        <v>958</v>
      </c>
      <c r="I409" s="4">
        <f t="shared" si="6"/>
        <v>4.1753653444676405E-3</v>
      </c>
      <c r="K409" t="s">
        <v>696</v>
      </c>
    </row>
    <row r="410" spans="1:11">
      <c r="A410" t="s">
        <v>225</v>
      </c>
      <c r="B410">
        <v>14</v>
      </c>
      <c r="C410">
        <v>3</v>
      </c>
      <c r="D410">
        <v>5</v>
      </c>
      <c r="E410">
        <v>0</v>
      </c>
      <c r="F410">
        <v>1</v>
      </c>
      <c r="G410">
        <v>0</v>
      </c>
      <c r="H410">
        <v>958</v>
      </c>
      <c r="I410" s="4">
        <f t="shared" si="6"/>
        <v>5.2192066805845511E-3</v>
      </c>
      <c r="K410" t="s">
        <v>696</v>
      </c>
    </row>
    <row r="411" spans="1:11">
      <c r="A411" t="s">
        <v>225</v>
      </c>
      <c r="B411">
        <v>14</v>
      </c>
      <c r="C411">
        <v>4</v>
      </c>
      <c r="D411">
        <v>349</v>
      </c>
      <c r="E411">
        <v>0</v>
      </c>
      <c r="F411">
        <v>5</v>
      </c>
      <c r="G411">
        <v>0</v>
      </c>
      <c r="H411">
        <v>958</v>
      </c>
      <c r="I411" s="4">
        <f t="shared" si="6"/>
        <v>0.36430062630480164</v>
      </c>
      <c r="K411" t="s">
        <v>696</v>
      </c>
    </row>
    <row r="412" spans="1:11">
      <c r="A412" t="s">
        <v>225</v>
      </c>
      <c r="B412">
        <v>14</v>
      </c>
      <c r="C412">
        <v>5</v>
      </c>
      <c r="D412">
        <v>354</v>
      </c>
      <c r="E412">
        <v>0</v>
      </c>
      <c r="F412">
        <v>3</v>
      </c>
      <c r="G412">
        <v>0</v>
      </c>
      <c r="H412">
        <v>958</v>
      </c>
      <c r="I412" s="4">
        <f t="shared" si="6"/>
        <v>0.36951983298538621</v>
      </c>
      <c r="K412" t="s">
        <v>696</v>
      </c>
    </row>
    <row r="413" spans="1:11">
      <c r="A413" t="s">
        <v>225</v>
      </c>
      <c r="B413">
        <v>14</v>
      </c>
      <c r="C413">
        <v>6</v>
      </c>
      <c r="D413">
        <v>354</v>
      </c>
      <c r="E413">
        <v>0</v>
      </c>
      <c r="F413">
        <v>3</v>
      </c>
      <c r="G413">
        <v>0</v>
      </c>
      <c r="H413">
        <v>958</v>
      </c>
      <c r="I413" s="4">
        <f t="shared" si="6"/>
        <v>0.36951983298538621</v>
      </c>
      <c r="K413" t="s">
        <v>696</v>
      </c>
    </row>
    <row r="414" spans="1:11">
      <c r="A414" t="s">
        <v>225</v>
      </c>
      <c r="B414">
        <v>14</v>
      </c>
      <c r="C414">
        <v>7</v>
      </c>
      <c r="D414">
        <v>564</v>
      </c>
      <c r="E414">
        <v>0</v>
      </c>
      <c r="F414">
        <v>1</v>
      </c>
      <c r="G414">
        <v>0</v>
      </c>
      <c r="H414">
        <v>958</v>
      </c>
      <c r="I414" s="4">
        <f t="shared" si="6"/>
        <v>0.58872651356993733</v>
      </c>
      <c r="K414" t="s">
        <v>696</v>
      </c>
    </row>
    <row r="415" spans="1:11">
      <c r="A415" t="s">
        <v>225</v>
      </c>
      <c r="B415">
        <v>14</v>
      </c>
      <c r="C415">
        <v>8</v>
      </c>
      <c r="D415">
        <v>564</v>
      </c>
      <c r="E415">
        <v>0</v>
      </c>
      <c r="F415">
        <v>1</v>
      </c>
      <c r="G415">
        <v>0</v>
      </c>
      <c r="H415">
        <v>958</v>
      </c>
      <c r="I415" s="4">
        <f t="shared" si="6"/>
        <v>0.58872651356993733</v>
      </c>
      <c r="K415" t="s">
        <v>696</v>
      </c>
    </row>
    <row r="416" spans="1:11">
      <c r="A416" t="s">
        <v>225</v>
      </c>
      <c r="B416">
        <v>14</v>
      </c>
      <c r="C416">
        <v>9</v>
      </c>
      <c r="D416">
        <v>564</v>
      </c>
      <c r="E416">
        <v>0</v>
      </c>
      <c r="F416">
        <v>1</v>
      </c>
      <c r="G416">
        <v>0</v>
      </c>
      <c r="H416">
        <v>958</v>
      </c>
      <c r="I416" s="4">
        <f t="shared" si="6"/>
        <v>0.58872651356993733</v>
      </c>
      <c r="K416" t="s">
        <v>696</v>
      </c>
    </row>
    <row r="417" spans="1:11">
      <c r="A417" t="s">
        <v>225</v>
      </c>
      <c r="B417">
        <v>14</v>
      </c>
      <c r="C417">
        <v>10</v>
      </c>
      <c r="D417">
        <v>957</v>
      </c>
      <c r="E417">
        <v>0</v>
      </c>
      <c r="F417">
        <v>1</v>
      </c>
      <c r="G417">
        <v>0</v>
      </c>
      <c r="H417">
        <v>958</v>
      </c>
      <c r="I417" s="4">
        <f t="shared" si="6"/>
        <v>0.9989561586638831</v>
      </c>
      <c r="K417" t="s">
        <v>696</v>
      </c>
    </row>
    <row r="418" spans="1:11">
      <c r="A418" t="s">
        <v>225</v>
      </c>
      <c r="B418">
        <v>14</v>
      </c>
      <c r="C418">
        <v>11</v>
      </c>
      <c r="D418">
        <v>958</v>
      </c>
      <c r="E418">
        <v>0</v>
      </c>
      <c r="F418">
        <v>0</v>
      </c>
      <c r="G418">
        <v>0</v>
      </c>
      <c r="H418">
        <v>958</v>
      </c>
      <c r="I418" s="4">
        <f t="shared" si="6"/>
        <v>1</v>
      </c>
      <c r="K418" t="s">
        <v>696</v>
      </c>
    </row>
    <row r="419" spans="1:11">
      <c r="A419" t="s">
        <v>225</v>
      </c>
      <c r="B419">
        <v>15</v>
      </c>
      <c r="C419">
        <v>1</v>
      </c>
      <c r="D419">
        <v>1</v>
      </c>
      <c r="E419">
        <v>0</v>
      </c>
      <c r="F419">
        <v>1</v>
      </c>
      <c r="G419">
        <v>0</v>
      </c>
      <c r="H419">
        <v>476</v>
      </c>
      <c r="I419" s="4">
        <f t="shared" si="6"/>
        <v>2.1008403361344537E-3</v>
      </c>
      <c r="K419" t="s">
        <v>655</v>
      </c>
    </row>
    <row r="420" spans="1:11">
      <c r="A420" t="s">
        <v>225</v>
      </c>
      <c r="B420">
        <v>15</v>
      </c>
      <c r="C420">
        <v>2</v>
      </c>
      <c r="D420">
        <v>3</v>
      </c>
      <c r="E420">
        <v>0</v>
      </c>
      <c r="F420">
        <v>1</v>
      </c>
      <c r="G420">
        <v>0</v>
      </c>
      <c r="H420">
        <v>476</v>
      </c>
      <c r="I420" s="4">
        <f t="shared" si="6"/>
        <v>6.3025210084033615E-3</v>
      </c>
      <c r="K420" t="s">
        <v>655</v>
      </c>
    </row>
    <row r="421" spans="1:11">
      <c r="A421" t="s">
        <v>225</v>
      </c>
      <c r="B421">
        <v>15</v>
      </c>
      <c r="C421">
        <v>3</v>
      </c>
      <c r="D421">
        <v>5</v>
      </c>
      <c r="E421">
        <v>0</v>
      </c>
      <c r="F421">
        <v>1</v>
      </c>
      <c r="G421">
        <v>0</v>
      </c>
      <c r="H421">
        <v>476</v>
      </c>
      <c r="I421" s="4">
        <f t="shared" si="6"/>
        <v>1.050420168067227E-2</v>
      </c>
      <c r="K421" t="s">
        <v>655</v>
      </c>
    </row>
    <row r="422" spans="1:11">
      <c r="A422" t="s">
        <v>225</v>
      </c>
      <c r="B422">
        <v>15</v>
      </c>
      <c r="C422">
        <v>4</v>
      </c>
      <c r="D422">
        <v>476</v>
      </c>
      <c r="E422">
        <v>0</v>
      </c>
      <c r="F422">
        <v>0</v>
      </c>
      <c r="G422">
        <v>0</v>
      </c>
      <c r="H422">
        <v>476</v>
      </c>
      <c r="I422" s="4">
        <f t="shared" si="6"/>
        <v>1</v>
      </c>
      <c r="K422" t="s">
        <v>655</v>
      </c>
    </row>
    <row r="423" spans="1:11">
      <c r="A423" t="s">
        <v>225</v>
      </c>
      <c r="B423">
        <v>16</v>
      </c>
      <c r="C423">
        <v>1</v>
      </c>
      <c r="D423">
        <v>1</v>
      </c>
      <c r="E423">
        <v>0</v>
      </c>
      <c r="F423">
        <v>1</v>
      </c>
      <c r="G423">
        <v>0</v>
      </c>
      <c r="H423">
        <v>607</v>
      </c>
      <c r="I423" s="4">
        <f t="shared" si="6"/>
        <v>1.6474464579901153E-3</v>
      </c>
      <c r="K423" t="s">
        <v>656</v>
      </c>
    </row>
    <row r="424" spans="1:11">
      <c r="A424" t="s">
        <v>225</v>
      </c>
      <c r="B424">
        <v>16</v>
      </c>
      <c r="C424">
        <v>2</v>
      </c>
      <c r="D424">
        <v>3</v>
      </c>
      <c r="E424">
        <v>0</v>
      </c>
      <c r="F424">
        <v>1</v>
      </c>
      <c r="G424">
        <v>0</v>
      </c>
      <c r="H424">
        <v>607</v>
      </c>
      <c r="I424" s="4">
        <f t="shared" si="6"/>
        <v>4.9423393739703456E-3</v>
      </c>
      <c r="K424" t="s">
        <v>656</v>
      </c>
    </row>
    <row r="425" spans="1:11">
      <c r="A425" t="s">
        <v>225</v>
      </c>
      <c r="B425">
        <v>16</v>
      </c>
      <c r="C425">
        <v>3</v>
      </c>
      <c r="D425">
        <v>5</v>
      </c>
      <c r="E425">
        <v>0</v>
      </c>
      <c r="F425">
        <v>1</v>
      </c>
      <c r="G425">
        <v>0</v>
      </c>
      <c r="H425">
        <v>607</v>
      </c>
      <c r="I425" s="4">
        <f t="shared" si="6"/>
        <v>8.2372322899505763E-3</v>
      </c>
      <c r="K425" t="s">
        <v>656</v>
      </c>
    </row>
    <row r="426" spans="1:11">
      <c r="A426" t="s">
        <v>225</v>
      </c>
      <c r="B426">
        <v>16</v>
      </c>
      <c r="C426">
        <v>4</v>
      </c>
      <c r="D426">
        <v>607</v>
      </c>
      <c r="E426">
        <v>0</v>
      </c>
      <c r="F426">
        <v>0</v>
      </c>
      <c r="G426">
        <v>0</v>
      </c>
      <c r="H426">
        <v>607</v>
      </c>
      <c r="I426" s="4">
        <f t="shared" si="6"/>
        <v>1</v>
      </c>
      <c r="K426" t="s">
        <v>656</v>
      </c>
    </row>
    <row r="427" spans="1:11">
      <c r="A427" t="s">
        <v>225</v>
      </c>
      <c r="B427">
        <v>20</v>
      </c>
      <c r="C427">
        <v>1</v>
      </c>
      <c r="D427">
        <v>16</v>
      </c>
      <c r="E427">
        <v>0</v>
      </c>
      <c r="F427">
        <v>2</v>
      </c>
      <c r="G427">
        <v>0</v>
      </c>
      <c r="H427">
        <v>27</v>
      </c>
      <c r="I427" s="4">
        <f t="shared" si="6"/>
        <v>0.59259259259259256</v>
      </c>
      <c r="K427" t="s">
        <v>657</v>
      </c>
    </row>
    <row r="428" spans="1:11">
      <c r="A428" t="s">
        <v>225</v>
      </c>
      <c r="B428">
        <v>20</v>
      </c>
      <c r="C428">
        <v>2</v>
      </c>
      <c r="D428">
        <v>27</v>
      </c>
      <c r="E428">
        <v>0</v>
      </c>
      <c r="F428">
        <v>0</v>
      </c>
      <c r="G428">
        <v>0</v>
      </c>
      <c r="H428">
        <v>27</v>
      </c>
      <c r="I428" s="4">
        <f t="shared" si="6"/>
        <v>1</v>
      </c>
      <c r="K428" t="s">
        <v>657</v>
      </c>
    </row>
    <row r="429" spans="1:11">
      <c r="A429" t="s">
        <v>225</v>
      </c>
      <c r="B429">
        <v>21</v>
      </c>
      <c r="C429">
        <v>1</v>
      </c>
      <c r="D429">
        <v>31</v>
      </c>
      <c r="E429">
        <v>0</v>
      </c>
      <c r="F429">
        <v>2</v>
      </c>
      <c r="G429">
        <v>0</v>
      </c>
      <c r="H429">
        <v>57</v>
      </c>
      <c r="I429" s="4">
        <f t="shared" si="6"/>
        <v>0.54385964912280704</v>
      </c>
      <c r="K429" t="s">
        <v>658</v>
      </c>
    </row>
    <row r="430" spans="1:11">
      <c r="A430" t="s">
        <v>225</v>
      </c>
      <c r="B430">
        <v>21</v>
      </c>
      <c r="C430">
        <v>2</v>
      </c>
      <c r="D430">
        <v>57</v>
      </c>
      <c r="E430">
        <v>0</v>
      </c>
      <c r="F430">
        <v>0</v>
      </c>
      <c r="G430">
        <v>0</v>
      </c>
      <c r="H430">
        <v>57</v>
      </c>
      <c r="I430" s="4">
        <f t="shared" si="6"/>
        <v>1</v>
      </c>
      <c r="K430" t="s">
        <v>658</v>
      </c>
    </row>
    <row r="431" spans="1:11">
      <c r="A431" t="s">
        <v>227</v>
      </c>
      <c r="B431">
        <v>0</v>
      </c>
      <c r="C431">
        <v>1</v>
      </c>
      <c r="D431">
        <v>1</v>
      </c>
      <c r="E431">
        <v>0</v>
      </c>
      <c r="F431">
        <v>1</v>
      </c>
      <c r="G431">
        <v>0</v>
      </c>
      <c r="H431">
        <v>10</v>
      </c>
      <c r="I431" s="4">
        <f t="shared" si="6"/>
        <v>0.1</v>
      </c>
      <c r="K431" t="s">
        <v>661</v>
      </c>
    </row>
    <row r="432" spans="1:11">
      <c r="A432" t="s">
        <v>227</v>
      </c>
      <c r="B432">
        <v>0</v>
      </c>
      <c r="C432">
        <v>2</v>
      </c>
      <c r="D432">
        <v>4</v>
      </c>
      <c r="E432">
        <v>0</v>
      </c>
      <c r="F432">
        <v>2</v>
      </c>
      <c r="G432">
        <v>0</v>
      </c>
      <c r="H432">
        <v>10</v>
      </c>
      <c r="I432" s="4">
        <f t="shared" si="6"/>
        <v>0.4</v>
      </c>
      <c r="K432" t="s">
        <v>661</v>
      </c>
    </row>
    <row r="433" spans="1:11">
      <c r="A433" t="s">
        <v>227</v>
      </c>
      <c r="B433">
        <v>0</v>
      </c>
      <c r="C433">
        <v>3</v>
      </c>
      <c r="D433">
        <v>8</v>
      </c>
      <c r="E433">
        <v>0</v>
      </c>
      <c r="F433">
        <v>2</v>
      </c>
      <c r="G433">
        <v>0</v>
      </c>
      <c r="H433">
        <v>10</v>
      </c>
      <c r="I433" s="4">
        <f t="shared" si="6"/>
        <v>0.8</v>
      </c>
      <c r="K433" t="s">
        <v>661</v>
      </c>
    </row>
    <row r="434" spans="1:11">
      <c r="A434" s="9" t="s">
        <v>227</v>
      </c>
      <c r="B434" s="9">
        <v>0</v>
      </c>
      <c r="C434" s="9">
        <v>4</v>
      </c>
      <c r="D434" s="9">
        <v>10</v>
      </c>
      <c r="E434" s="9">
        <v>0</v>
      </c>
      <c r="F434" s="9">
        <v>0</v>
      </c>
      <c r="G434" s="9">
        <v>0</v>
      </c>
      <c r="H434">
        <v>10</v>
      </c>
      <c r="I434" s="4">
        <f t="shared" si="6"/>
        <v>1</v>
      </c>
      <c r="K434" t="s">
        <v>661</v>
      </c>
    </row>
    <row r="435" spans="1:11">
      <c r="A435" t="s">
        <v>227</v>
      </c>
      <c r="B435">
        <v>1</v>
      </c>
      <c r="C435">
        <v>1</v>
      </c>
      <c r="D435">
        <v>11</v>
      </c>
      <c r="E435">
        <v>0</v>
      </c>
      <c r="F435">
        <v>8</v>
      </c>
      <c r="G435">
        <v>0</v>
      </c>
      <c r="H435">
        <v>113</v>
      </c>
      <c r="I435" s="4">
        <f t="shared" si="6"/>
        <v>9.7345132743362831E-2</v>
      </c>
      <c r="K435" t="s">
        <v>662</v>
      </c>
    </row>
    <row r="436" spans="1:11">
      <c r="A436" t="s">
        <v>227</v>
      </c>
      <c r="B436">
        <v>1</v>
      </c>
      <c r="C436">
        <v>2</v>
      </c>
      <c r="D436">
        <v>30</v>
      </c>
      <c r="E436">
        <v>0</v>
      </c>
      <c r="F436">
        <v>5</v>
      </c>
      <c r="G436">
        <v>0</v>
      </c>
      <c r="H436">
        <v>113</v>
      </c>
      <c r="I436" s="4">
        <f t="shared" si="6"/>
        <v>0.26548672566371684</v>
      </c>
      <c r="K436" t="s">
        <v>662</v>
      </c>
    </row>
    <row r="437" spans="1:11">
      <c r="A437" t="s">
        <v>227</v>
      </c>
      <c r="B437">
        <v>1</v>
      </c>
      <c r="C437">
        <v>3</v>
      </c>
      <c r="D437">
        <v>58</v>
      </c>
      <c r="E437">
        <v>0</v>
      </c>
      <c r="F437">
        <v>2</v>
      </c>
      <c r="G437">
        <v>0</v>
      </c>
      <c r="H437">
        <v>113</v>
      </c>
      <c r="I437" s="4">
        <f t="shared" si="6"/>
        <v>0.51327433628318586</v>
      </c>
      <c r="K437" t="s">
        <v>662</v>
      </c>
    </row>
    <row r="438" spans="1:11">
      <c r="A438" t="s">
        <v>227</v>
      </c>
      <c r="B438">
        <v>1</v>
      </c>
      <c r="C438">
        <v>4</v>
      </c>
      <c r="D438">
        <v>113</v>
      </c>
      <c r="E438">
        <v>0</v>
      </c>
      <c r="F438">
        <v>0</v>
      </c>
      <c r="G438">
        <v>0</v>
      </c>
      <c r="H438">
        <v>113</v>
      </c>
      <c r="I438" s="4">
        <f t="shared" si="6"/>
        <v>1</v>
      </c>
      <c r="K438" t="s">
        <v>662</v>
      </c>
    </row>
    <row r="439" spans="1:11">
      <c r="A439" t="s">
        <v>228</v>
      </c>
      <c r="B439">
        <v>1</v>
      </c>
      <c r="C439">
        <v>1</v>
      </c>
      <c r="D439">
        <v>10</v>
      </c>
      <c r="E439">
        <v>0</v>
      </c>
      <c r="F439">
        <v>7</v>
      </c>
      <c r="G439">
        <v>0</v>
      </c>
      <c r="H439">
        <v>94</v>
      </c>
      <c r="I439" s="4">
        <f t="shared" si="6"/>
        <v>0.10638297872340426</v>
      </c>
      <c r="K439" t="s">
        <v>663</v>
      </c>
    </row>
    <row r="440" spans="1:11">
      <c r="A440" t="s">
        <v>228</v>
      </c>
      <c r="B440">
        <v>1</v>
      </c>
      <c r="C440">
        <v>2</v>
      </c>
      <c r="D440">
        <v>17</v>
      </c>
      <c r="E440">
        <v>0</v>
      </c>
      <c r="F440">
        <v>8</v>
      </c>
      <c r="G440">
        <v>0</v>
      </c>
      <c r="H440">
        <v>94</v>
      </c>
      <c r="I440" s="4">
        <f t="shared" si="6"/>
        <v>0.18085106382978725</v>
      </c>
      <c r="K440" t="s">
        <v>663</v>
      </c>
    </row>
    <row r="441" spans="1:11">
      <c r="A441" t="s">
        <v>228</v>
      </c>
      <c r="B441">
        <v>1</v>
      </c>
      <c r="C441">
        <v>3</v>
      </c>
      <c r="D441">
        <v>28</v>
      </c>
      <c r="E441">
        <v>0</v>
      </c>
      <c r="F441">
        <v>6</v>
      </c>
      <c r="G441">
        <v>0</v>
      </c>
      <c r="H441">
        <v>94</v>
      </c>
      <c r="I441" s="4">
        <f t="shared" si="6"/>
        <v>0.2978723404255319</v>
      </c>
      <c r="K441" t="s">
        <v>663</v>
      </c>
    </row>
    <row r="442" spans="1:11">
      <c r="A442" t="s">
        <v>228</v>
      </c>
      <c r="B442">
        <v>1</v>
      </c>
      <c r="C442">
        <v>4</v>
      </c>
      <c r="D442">
        <v>41</v>
      </c>
      <c r="E442">
        <v>0</v>
      </c>
      <c r="F442">
        <v>6</v>
      </c>
      <c r="G442">
        <v>0</v>
      </c>
      <c r="H442">
        <v>94</v>
      </c>
      <c r="I442" s="4">
        <f t="shared" si="6"/>
        <v>0.43617021276595747</v>
      </c>
      <c r="K442" t="s">
        <v>663</v>
      </c>
    </row>
    <row r="443" spans="1:11">
      <c r="A443" t="s">
        <v>228</v>
      </c>
      <c r="B443">
        <v>1</v>
      </c>
      <c r="C443">
        <v>5</v>
      </c>
      <c r="D443">
        <v>53</v>
      </c>
      <c r="E443">
        <v>0</v>
      </c>
      <c r="F443">
        <v>4</v>
      </c>
      <c r="G443">
        <v>0</v>
      </c>
      <c r="H443">
        <v>94</v>
      </c>
      <c r="I443" s="4">
        <f t="shared" si="6"/>
        <v>0.56382978723404253</v>
      </c>
      <c r="K443" t="s">
        <v>663</v>
      </c>
    </row>
    <row r="444" spans="1:11">
      <c r="A444" t="s">
        <v>228</v>
      </c>
      <c r="B444">
        <v>1</v>
      </c>
      <c r="C444">
        <v>6</v>
      </c>
      <c r="D444">
        <v>65</v>
      </c>
      <c r="E444">
        <v>0</v>
      </c>
      <c r="F444">
        <v>2</v>
      </c>
      <c r="G444">
        <v>0</v>
      </c>
      <c r="H444">
        <v>94</v>
      </c>
      <c r="I444" s="4">
        <f t="shared" si="6"/>
        <v>0.69148936170212771</v>
      </c>
      <c r="K444" t="s">
        <v>663</v>
      </c>
    </row>
    <row r="445" spans="1:11">
      <c r="A445" t="s">
        <v>228</v>
      </c>
      <c r="B445">
        <v>1</v>
      </c>
      <c r="C445">
        <v>7</v>
      </c>
      <c r="D445">
        <v>80</v>
      </c>
      <c r="E445">
        <v>0</v>
      </c>
      <c r="F445">
        <v>2</v>
      </c>
      <c r="G445">
        <v>0</v>
      </c>
      <c r="H445">
        <v>94</v>
      </c>
      <c r="I445" s="4">
        <f t="shared" si="6"/>
        <v>0.85106382978723405</v>
      </c>
      <c r="K445" t="s">
        <v>663</v>
      </c>
    </row>
    <row r="446" spans="1:11">
      <c r="A446" t="s">
        <v>228</v>
      </c>
      <c r="B446">
        <v>1</v>
      </c>
      <c r="C446">
        <v>8</v>
      </c>
      <c r="D446">
        <v>94</v>
      </c>
      <c r="E446">
        <v>0</v>
      </c>
      <c r="F446">
        <v>0</v>
      </c>
      <c r="G446">
        <v>0</v>
      </c>
      <c r="H446">
        <v>94</v>
      </c>
      <c r="I446" s="4">
        <f t="shared" si="6"/>
        <v>1</v>
      </c>
      <c r="K446" t="s">
        <v>663</v>
      </c>
    </row>
    <row r="447" spans="1:11">
      <c r="A447" t="s">
        <v>230</v>
      </c>
      <c r="B447">
        <v>1</v>
      </c>
      <c r="C447">
        <v>1</v>
      </c>
      <c r="D447">
        <v>37</v>
      </c>
      <c r="E447">
        <v>0</v>
      </c>
      <c r="F447">
        <v>4</v>
      </c>
      <c r="G447">
        <v>0</v>
      </c>
      <c r="H447">
        <v>169</v>
      </c>
      <c r="I447" s="4">
        <f t="shared" si="6"/>
        <v>0.21893491124260356</v>
      </c>
      <c r="K447" t="s">
        <v>665</v>
      </c>
    </row>
    <row r="448" spans="1:11">
      <c r="A448" t="s">
        <v>230</v>
      </c>
      <c r="B448">
        <v>1</v>
      </c>
      <c r="C448">
        <v>2</v>
      </c>
      <c r="D448">
        <v>70</v>
      </c>
      <c r="E448">
        <v>0</v>
      </c>
      <c r="F448">
        <v>4</v>
      </c>
      <c r="G448">
        <v>0</v>
      </c>
      <c r="H448">
        <v>169</v>
      </c>
      <c r="I448" s="4">
        <f t="shared" si="6"/>
        <v>0.41420118343195267</v>
      </c>
      <c r="K448" t="s">
        <v>665</v>
      </c>
    </row>
    <row r="449" spans="1:11">
      <c r="A449" t="s">
        <v>230</v>
      </c>
      <c r="B449">
        <v>1</v>
      </c>
      <c r="C449">
        <v>3</v>
      </c>
      <c r="D449">
        <v>103</v>
      </c>
      <c r="E449">
        <v>0</v>
      </c>
      <c r="F449">
        <v>4</v>
      </c>
      <c r="G449">
        <v>0</v>
      </c>
      <c r="H449">
        <v>169</v>
      </c>
      <c r="I449" s="4">
        <f t="shared" si="6"/>
        <v>0.60946745562130178</v>
      </c>
      <c r="K449" t="s">
        <v>665</v>
      </c>
    </row>
    <row r="450" spans="1:11">
      <c r="A450" t="s">
        <v>230</v>
      </c>
      <c r="B450">
        <v>1</v>
      </c>
      <c r="C450">
        <v>4</v>
      </c>
      <c r="D450">
        <v>135</v>
      </c>
      <c r="E450">
        <v>0</v>
      </c>
      <c r="F450">
        <v>2</v>
      </c>
      <c r="G450">
        <v>0</v>
      </c>
      <c r="H450">
        <v>169</v>
      </c>
      <c r="I450" s="4">
        <f t="shared" si="6"/>
        <v>0.79881656804733725</v>
      </c>
      <c r="K450" t="s">
        <v>665</v>
      </c>
    </row>
    <row r="451" spans="1:11">
      <c r="A451" t="s">
        <v>230</v>
      </c>
      <c r="B451">
        <v>1</v>
      </c>
      <c r="C451">
        <v>5</v>
      </c>
      <c r="D451">
        <v>169</v>
      </c>
      <c r="E451">
        <v>0</v>
      </c>
      <c r="F451">
        <v>0</v>
      </c>
      <c r="G451">
        <v>0</v>
      </c>
      <c r="H451">
        <v>169</v>
      </c>
      <c r="I451" s="4">
        <f t="shared" ref="I451:I514" si="7">D451/H451</f>
        <v>1</v>
      </c>
      <c r="K451" t="s">
        <v>665</v>
      </c>
    </row>
    <row r="452" spans="1:11">
      <c r="A452" t="s">
        <v>231</v>
      </c>
      <c r="B452">
        <v>5</v>
      </c>
      <c r="C452">
        <v>1</v>
      </c>
      <c r="D452">
        <v>39</v>
      </c>
      <c r="E452">
        <v>0</v>
      </c>
      <c r="F452">
        <v>9</v>
      </c>
      <c r="G452">
        <v>0</v>
      </c>
      <c r="H452">
        <v>123</v>
      </c>
      <c r="I452" s="4">
        <f t="shared" si="7"/>
        <v>0.31707317073170732</v>
      </c>
      <c r="K452" t="s">
        <v>667</v>
      </c>
    </row>
    <row r="453" spans="1:11">
      <c r="A453" t="s">
        <v>231</v>
      </c>
      <c r="B453">
        <v>5</v>
      </c>
      <c r="C453">
        <v>2</v>
      </c>
      <c r="D453">
        <v>44</v>
      </c>
      <c r="E453">
        <v>0</v>
      </c>
      <c r="F453">
        <v>9</v>
      </c>
      <c r="G453">
        <v>0</v>
      </c>
      <c r="H453">
        <v>123</v>
      </c>
      <c r="I453" s="4">
        <f t="shared" si="7"/>
        <v>0.35772357723577236</v>
      </c>
      <c r="K453" t="s">
        <v>667</v>
      </c>
    </row>
    <row r="454" spans="1:11">
      <c r="A454" t="s">
        <v>231</v>
      </c>
      <c r="B454">
        <v>5</v>
      </c>
      <c r="C454">
        <v>3</v>
      </c>
      <c r="D454">
        <v>55</v>
      </c>
      <c r="E454">
        <v>0</v>
      </c>
      <c r="F454">
        <v>8</v>
      </c>
      <c r="G454">
        <v>0</v>
      </c>
      <c r="H454">
        <v>123</v>
      </c>
      <c r="I454" s="4">
        <f t="shared" si="7"/>
        <v>0.44715447154471544</v>
      </c>
      <c r="K454" t="s">
        <v>667</v>
      </c>
    </row>
    <row r="455" spans="1:11">
      <c r="A455" t="s">
        <v>231</v>
      </c>
      <c r="B455">
        <v>5</v>
      </c>
      <c r="C455">
        <v>4</v>
      </c>
      <c r="D455">
        <v>71</v>
      </c>
      <c r="E455">
        <v>0</v>
      </c>
      <c r="F455">
        <v>6</v>
      </c>
      <c r="G455">
        <v>0</v>
      </c>
      <c r="H455">
        <v>123</v>
      </c>
      <c r="I455" s="4">
        <f t="shared" si="7"/>
        <v>0.57723577235772361</v>
      </c>
      <c r="K455" t="s">
        <v>667</v>
      </c>
    </row>
    <row r="456" spans="1:11">
      <c r="A456" t="s">
        <v>231</v>
      </c>
      <c r="B456">
        <v>5</v>
      </c>
      <c r="C456">
        <v>5</v>
      </c>
      <c r="D456">
        <v>123</v>
      </c>
      <c r="E456">
        <v>0</v>
      </c>
      <c r="F456">
        <v>4</v>
      </c>
      <c r="G456">
        <v>0</v>
      </c>
      <c r="H456">
        <v>123</v>
      </c>
      <c r="I456" s="4">
        <f t="shared" si="7"/>
        <v>1</v>
      </c>
      <c r="K456" t="s">
        <v>667</v>
      </c>
    </row>
    <row r="457" spans="1:11">
      <c r="A457" t="s">
        <v>231</v>
      </c>
      <c r="B457">
        <v>7</v>
      </c>
      <c r="C457">
        <v>1</v>
      </c>
      <c r="D457">
        <v>10</v>
      </c>
      <c r="E457">
        <v>0</v>
      </c>
      <c r="F457">
        <v>5</v>
      </c>
      <c r="G457">
        <v>0</v>
      </c>
      <c r="H457">
        <v>33</v>
      </c>
      <c r="I457" s="4">
        <f t="shared" si="7"/>
        <v>0.30303030303030304</v>
      </c>
      <c r="K457" t="s">
        <v>668</v>
      </c>
    </row>
    <row r="458" spans="1:11">
      <c r="A458" t="s">
        <v>231</v>
      </c>
      <c r="B458">
        <v>7</v>
      </c>
      <c r="C458">
        <v>2</v>
      </c>
      <c r="D458">
        <v>22</v>
      </c>
      <c r="E458">
        <v>0</v>
      </c>
      <c r="F458">
        <v>3</v>
      </c>
      <c r="G458">
        <v>0</v>
      </c>
      <c r="H458">
        <v>33</v>
      </c>
      <c r="I458" s="4">
        <f t="shared" si="7"/>
        <v>0.66666666666666663</v>
      </c>
      <c r="K458" t="s">
        <v>668</v>
      </c>
    </row>
    <row r="459" spans="1:11">
      <c r="A459" t="s">
        <v>231</v>
      </c>
      <c r="B459">
        <v>7</v>
      </c>
      <c r="C459">
        <v>3</v>
      </c>
      <c r="D459">
        <v>33</v>
      </c>
      <c r="E459">
        <v>0</v>
      </c>
      <c r="F459">
        <v>0</v>
      </c>
      <c r="G459">
        <v>0</v>
      </c>
      <c r="H459">
        <v>33</v>
      </c>
      <c r="I459" s="4">
        <f t="shared" si="7"/>
        <v>1</v>
      </c>
      <c r="K459" t="s">
        <v>668</v>
      </c>
    </row>
    <row r="460" spans="1:11">
      <c r="A460" t="s">
        <v>231</v>
      </c>
      <c r="B460">
        <v>9</v>
      </c>
      <c r="C460">
        <v>1</v>
      </c>
      <c r="D460">
        <v>7</v>
      </c>
      <c r="E460">
        <v>0</v>
      </c>
      <c r="F460">
        <v>5</v>
      </c>
      <c r="G460">
        <v>0</v>
      </c>
      <c r="H460">
        <v>36</v>
      </c>
      <c r="I460" s="4">
        <f t="shared" si="7"/>
        <v>0.19444444444444445</v>
      </c>
      <c r="K460" t="s">
        <v>670</v>
      </c>
    </row>
    <row r="461" spans="1:11">
      <c r="A461" t="s">
        <v>231</v>
      </c>
      <c r="B461">
        <v>9</v>
      </c>
      <c r="C461">
        <v>2</v>
      </c>
      <c r="D461">
        <v>11</v>
      </c>
      <c r="E461">
        <v>0</v>
      </c>
      <c r="F461">
        <v>6</v>
      </c>
      <c r="G461">
        <v>0</v>
      </c>
      <c r="H461">
        <v>36</v>
      </c>
      <c r="I461" s="4">
        <f t="shared" si="7"/>
        <v>0.30555555555555558</v>
      </c>
      <c r="K461" t="s">
        <v>670</v>
      </c>
    </row>
    <row r="462" spans="1:11">
      <c r="A462" t="s">
        <v>231</v>
      </c>
      <c r="B462">
        <v>9</v>
      </c>
      <c r="C462">
        <v>3</v>
      </c>
      <c r="D462">
        <v>12</v>
      </c>
      <c r="E462">
        <v>0</v>
      </c>
      <c r="F462">
        <v>5</v>
      </c>
      <c r="G462">
        <v>0</v>
      </c>
      <c r="H462">
        <v>36</v>
      </c>
      <c r="I462" s="4">
        <f t="shared" si="7"/>
        <v>0.33333333333333331</v>
      </c>
      <c r="K462" t="s">
        <v>670</v>
      </c>
    </row>
    <row r="463" spans="1:11">
      <c r="A463" t="s">
        <v>231</v>
      </c>
      <c r="B463">
        <v>9</v>
      </c>
      <c r="C463">
        <v>4</v>
      </c>
      <c r="D463">
        <v>17</v>
      </c>
      <c r="E463">
        <v>0</v>
      </c>
      <c r="F463">
        <v>5</v>
      </c>
      <c r="G463">
        <v>0</v>
      </c>
      <c r="H463">
        <v>36</v>
      </c>
      <c r="I463" s="4">
        <f t="shared" si="7"/>
        <v>0.47222222222222221</v>
      </c>
      <c r="K463" t="s">
        <v>670</v>
      </c>
    </row>
    <row r="464" spans="1:11">
      <c r="A464" t="s">
        <v>231</v>
      </c>
      <c r="B464">
        <v>9</v>
      </c>
      <c r="C464">
        <v>5</v>
      </c>
      <c r="D464">
        <v>18</v>
      </c>
      <c r="E464">
        <v>0</v>
      </c>
      <c r="F464">
        <v>4</v>
      </c>
      <c r="G464">
        <v>0</v>
      </c>
      <c r="H464">
        <v>36</v>
      </c>
      <c r="I464" s="4">
        <f t="shared" si="7"/>
        <v>0.5</v>
      </c>
      <c r="K464" t="s">
        <v>670</v>
      </c>
    </row>
    <row r="465" spans="1:11">
      <c r="A465" t="s">
        <v>231</v>
      </c>
      <c r="B465">
        <v>9</v>
      </c>
      <c r="C465">
        <v>6</v>
      </c>
      <c r="D465">
        <v>18</v>
      </c>
      <c r="E465">
        <v>0</v>
      </c>
      <c r="F465">
        <v>4</v>
      </c>
      <c r="G465">
        <v>0</v>
      </c>
      <c r="H465">
        <v>36</v>
      </c>
      <c r="I465" s="4">
        <f t="shared" si="7"/>
        <v>0.5</v>
      </c>
      <c r="K465" t="s">
        <v>670</v>
      </c>
    </row>
    <row r="466" spans="1:11">
      <c r="A466" t="s">
        <v>231</v>
      </c>
      <c r="B466">
        <v>9</v>
      </c>
      <c r="C466">
        <v>7</v>
      </c>
      <c r="D466">
        <v>20</v>
      </c>
      <c r="E466">
        <v>0</v>
      </c>
      <c r="F466">
        <v>4</v>
      </c>
      <c r="G466">
        <v>0</v>
      </c>
      <c r="H466">
        <v>36</v>
      </c>
      <c r="I466" s="4">
        <f t="shared" si="7"/>
        <v>0.55555555555555558</v>
      </c>
      <c r="K466" t="s">
        <v>670</v>
      </c>
    </row>
    <row r="467" spans="1:11">
      <c r="A467" t="s">
        <v>231</v>
      </c>
      <c r="B467">
        <v>9</v>
      </c>
      <c r="C467">
        <v>8</v>
      </c>
      <c r="D467">
        <v>23</v>
      </c>
      <c r="E467">
        <v>0</v>
      </c>
      <c r="F467">
        <v>3</v>
      </c>
      <c r="G467">
        <v>0</v>
      </c>
      <c r="H467">
        <v>36</v>
      </c>
      <c r="I467" s="4">
        <f t="shared" si="7"/>
        <v>0.63888888888888884</v>
      </c>
      <c r="K467" t="s">
        <v>670</v>
      </c>
    </row>
    <row r="468" spans="1:11">
      <c r="A468" t="s">
        <v>231</v>
      </c>
      <c r="B468">
        <v>9</v>
      </c>
      <c r="C468">
        <v>9</v>
      </c>
      <c r="D468">
        <v>23</v>
      </c>
      <c r="E468">
        <v>0</v>
      </c>
      <c r="F468">
        <v>3</v>
      </c>
      <c r="G468">
        <v>0</v>
      </c>
      <c r="H468">
        <v>36</v>
      </c>
      <c r="I468" s="4">
        <f t="shared" si="7"/>
        <v>0.63888888888888884</v>
      </c>
      <c r="K468" t="s">
        <v>670</v>
      </c>
    </row>
    <row r="469" spans="1:11">
      <c r="A469" t="s">
        <v>231</v>
      </c>
      <c r="B469">
        <v>9</v>
      </c>
      <c r="C469">
        <v>10</v>
      </c>
      <c r="D469">
        <v>23</v>
      </c>
      <c r="E469">
        <v>0</v>
      </c>
      <c r="F469">
        <v>3</v>
      </c>
      <c r="G469">
        <v>0</v>
      </c>
      <c r="H469">
        <v>36</v>
      </c>
      <c r="I469" s="4">
        <f t="shared" si="7"/>
        <v>0.63888888888888884</v>
      </c>
      <c r="K469" t="s">
        <v>670</v>
      </c>
    </row>
    <row r="470" spans="1:11">
      <c r="A470" t="s">
        <v>231</v>
      </c>
      <c r="B470">
        <v>9</v>
      </c>
      <c r="C470">
        <v>11</v>
      </c>
      <c r="D470">
        <v>24</v>
      </c>
      <c r="E470">
        <v>0</v>
      </c>
      <c r="F470">
        <v>2</v>
      </c>
      <c r="G470">
        <v>0</v>
      </c>
      <c r="H470">
        <v>36</v>
      </c>
      <c r="I470" s="4">
        <f t="shared" si="7"/>
        <v>0.66666666666666663</v>
      </c>
      <c r="K470" t="s">
        <v>670</v>
      </c>
    </row>
    <row r="471" spans="1:11">
      <c r="A471" t="s">
        <v>231</v>
      </c>
      <c r="B471">
        <v>9</v>
      </c>
      <c r="C471">
        <v>12</v>
      </c>
      <c r="D471">
        <v>24</v>
      </c>
      <c r="E471">
        <v>0</v>
      </c>
      <c r="F471">
        <v>2</v>
      </c>
      <c r="G471">
        <v>0</v>
      </c>
      <c r="H471">
        <v>36</v>
      </c>
      <c r="I471" s="4">
        <f t="shared" si="7"/>
        <v>0.66666666666666663</v>
      </c>
      <c r="K471" t="s">
        <v>670</v>
      </c>
    </row>
    <row r="472" spans="1:11">
      <c r="A472" t="s">
        <v>231</v>
      </c>
      <c r="B472">
        <v>9</v>
      </c>
      <c r="C472">
        <v>13</v>
      </c>
      <c r="D472">
        <v>24</v>
      </c>
      <c r="E472">
        <v>0</v>
      </c>
      <c r="F472">
        <v>2</v>
      </c>
      <c r="G472">
        <v>0</v>
      </c>
      <c r="H472">
        <v>36</v>
      </c>
      <c r="I472" s="4">
        <f t="shared" si="7"/>
        <v>0.66666666666666663</v>
      </c>
      <c r="K472" t="s">
        <v>670</v>
      </c>
    </row>
    <row r="473" spans="1:11">
      <c r="A473" t="s">
        <v>231</v>
      </c>
      <c r="B473">
        <v>9</v>
      </c>
      <c r="C473">
        <v>14</v>
      </c>
      <c r="D473">
        <v>28</v>
      </c>
      <c r="E473">
        <v>0</v>
      </c>
      <c r="F473">
        <v>3</v>
      </c>
      <c r="G473">
        <v>0</v>
      </c>
      <c r="H473">
        <v>36</v>
      </c>
      <c r="I473" s="4">
        <f t="shared" si="7"/>
        <v>0.77777777777777779</v>
      </c>
      <c r="K473" t="s">
        <v>670</v>
      </c>
    </row>
    <row r="474" spans="1:11">
      <c r="A474" t="s">
        <v>231</v>
      </c>
      <c r="B474">
        <v>9</v>
      </c>
      <c r="C474">
        <v>15</v>
      </c>
      <c r="D474">
        <v>35</v>
      </c>
      <c r="E474">
        <v>0</v>
      </c>
      <c r="F474">
        <v>1</v>
      </c>
      <c r="G474">
        <v>0</v>
      </c>
      <c r="H474">
        <v>36</v>
      </c>
      <c r="I474" s="4">
        <f t="shared" si="7"/>
        <v>0.97222222222222221</v>
      </c>
      <c r="K474" t="s">
        <v>670</v>
      </c>
    </row>
    <row r="475" spans="1:11">
      <c r="A475" t="s">
        <v>231</v>
      </c>
      <c r="B475">
        <v>9</v>
      </c>
      <c r="C475">
        <v>16</v>
      </c>
      <c r="D475">
        <v>35</v>
      </c>
      <c r="E475">
        <v>0</v>
      </c>
      <c r="F475">
        <v>1</v>
      </c>
      <c r="G475">
        <v>0</v>
      </c>
      <c r="H475">
        <v>36</v>
      </c>
      <c r="I475" s="4">
        <f t="shared" si="7"/>
        <v>0.97222222222222221</v>
      </c>
      <c r="K475" t="s">
        <v>670</v>
      </c>
    </row>
    <row r="476" spans="1:11">
      <c r="A476" t="s">
        <v>231</v>
      </c>
      <c r="B476">
        <v>9</v>
      </c>
      <c r="C476">
        <v>17</v>
      </c>
      <c r="D476">
        <v>36</v>
      </c>
      <c r="E476">
        <v>0</v>
      </c>
      <c r="F476">
        <v>0</v>
      </c>
      <c r="G476">
        <v>0</v>
      </c>
      <c r="H476">
        <v>36</v>
      </c>
      <c r="I476" s="4">
        <f t="shared" si="7"/>
        <v>1</v>
      </c>
      <c r="K476" t="s">
        <v>670</v>
      </c>
    </row>
    <row r="477" spans="1:11">
      <c r="A477" t="s">
        <v>231</v>
      </c>
      <c r="B477">
        <v>9</v>
      </c>
      <c r="C477">
        <v>18</v>
      </c>
      <c r="D477">
        <v>36</v>
      </c>
      <c r="E477">
        <v>0</v>
      </c>
      <c r="F477">
        <v>0</v>
      </c>
      <c r="G477">
        <v>0</v>
      </c>
      <c r="H477">
        <v>36</v>
      </c>
      <c r="I477" s="4">
        <f t="shared" si="7"/>
        <v>1</v>
      </c>
      <c r="K477" t="s">
        <v>670</v>
      </c>
    </row>
    <row r="478" spans="1:11">
      <c r="A478" t="s">
        <v>231</v>
      </c>
      <c r="B478">
        <v>10</v>
      </c>
      <c r="C478">
        <v>1</v>
      </c>
      <c r="D478">
        <v>27</v>
      </c>
      <c r="E478">
        <v>0</v>
      </c>
      <c r="F478">
        <v>3</v>
      </c>
      <c r="G478">
        <v>0</v>
      </c>
      <c r="H478">
        <v>30</v>
      </c>
      <c r="I478" s="4">
        <f t="shared" si="7"/>
        <v>0.9</v>
      </c>
      <c r="K478" t="s">
        <v>671</v>
      </c>
    </row>
    <row r="479" spans="1:11">
      <c r="A479" t="s">
        <v>231</v>
      </c>
      <c r="B479">
        <v>10</v>
      </c>
      <c r="C479">
        <v>2</v>
      </c>
      <c r="D479">
        <v>30</v>
      </c>
      <c r="E479">
        <v>0</v>
      </c>
      <c r="F479">
        <v>0</v>
      </c>
      <c r="G479">
        <v>0</v>
      </c>
      <c r="H479">
        <v>30</v>
      </c>
      <c r="I479" s="4">
        <f t="shared" si="7"/>
        <v>1</v>
      </c>
      <c r="K479" t="s">
        <v>671</v>
      </c>
    </row>
    <row r="480" spans="1:11">
      <c r="A480" t="s">
        <v>231</v>
      </c>
      <c r="B480">
        <v>10</v>
      </c>
      <c r="C480">
        <v>3</v>
      </c>
      <c r="D480">
        <v>30</v>
      </c>
      <c r="E480">
        <v>0</v>
      </c>
      <c r="F480">
        <v>0</v>
      </c>
      <c r="G480">
        <v>0</v>
      </c>
      <c r="H480">
        <v>30</v>
      </c>
      <c r="I480" s="4">
        <f t="shared" si="7"/>
        <v>1</v>
      </c>
      <c r="K480" t="s">
        <v>671</v>
      </c>
    </row>
    <row r="481" spans="1:11">
      <c r="A481" t="s">
        <v>231</v>
      </c>
      <c r="B481">
        <v>10</v>
      </c>
      <c r="C481">
        <v>4</v>
      </c>
      <c r="D481">
        <v>30</v>
      </c>
      <c r="E481">
        <v>0</v>
      </c>
      <c r="F481">
        <v>0</v>
      </c>
      <c r="G481">
        <v>0</v>
      </c>
      <c r="H481">
        <v>30</v>
      </c>
      <c r="I481" s="4">
        <f t="shared" si="7"/>
        <v>1</v>
      </c>
      <c r="K481" t="s">
        <v>671</v>
      </c>
    </row>
    <row r="482" spans="1:11">
      <c r="A482" t="s">
        <v>231</v>
      </c>
      <c r="B482">
        <v>11</v>
      </c>
      <c r="C482">
        <v>1</v>
      </c>
      <c r="D482">
        <v>7</v>
      </c>
      <c r="E482">
        <v>0</v>
      </c>
      <c r="F482">
        <v>3</v>
      </c>
      <c r="G482">
        <v>0</v>
      </c>
      <c r="H482">
        <v>88</v>
      </c>
      <c r="I482" s="4">
        <f t="shared" si="7"/>
        <v>7.9545454545454544E-2</v>
      </c>
      <c r="K482" t="s">
        <v>672</v>
      </c>
    </row>
    <row r="483" spans="1:11">
      <c r="A483" t="s">
        <v>231</v>
      </c>
      <c r="B483">
        <v>11</v>
      </c>
      <c r="C483">
        <v>2</v>
      </c>
      <c r="D483">
        <v>34</v>
      </c>
      <c r="E483">
        <v>0</v>
      </c>
      <c r="F483">
        <v>9</v>
      </c>
      <c r="G483">
        <v>0</v>
      </c>
      <c r="H483">
        <v>88</v>
      </c>
      <c r="I483" s="4">
        <f t="shared" si="7"/>
        <v>0.38636363636363635</v>
      </c>
      <c r="K483" t="s">
        <v>672</v>
      </c>
    </row>
    <row r="484" spans="1:11">
      <c r="A484" t="s">
        <v>231</v>
      </c>
      <c r="B484">
        <v>11</v>
      </c>
      <c r="C484">
        <v>3</v>
      </c>
      <c r="D484">
        <v>37</v>
      </c>
      <c r="E484">
        <v>0</v>
      </c>
      <c r="F484">
        <v>7</v>
      </c>
      <c r="G484">
        <v>0</v>
      </c>
      <c r="H484">
        <v>88</v>
      </c>
      <c r="I484" s="4">
        <f t="shared" si="7"/>
        <v>0.42045454545454547</v>
      </c>
      <c r="K484" t="s">
        <v>672</v>
      </c>
    </row>
    <row r="485" spans="1:11">
      <c r="A485" t="s">
        <v>231</v>
      </c>
      <c r="B485">
        <v>11</v>
      </c>
      <c r="C485">
        <v>4</v>
      </c>
      <c r="D485">
        <v>46</v>
      </c>
      <c r="E485">
        <v>0</v>
      </c>
      <c r="F485">
        <v>5</v>
      </c>
      <c r="G485">
        <v>0</v>
      </c>
      <c r="H485">
        <v>88</v>
      </c>
      <c r="I485" s="4">
        <f t="shared" si="7"/>
        <v>0.52272727272727271</v>
      </c>
      <c r="K485" t="s">
        <v>672</v>
      </c>
    </row>
    <row r="486" spans="1:11">
      <c r="A486" t="s">
        <v>231</v>
      </c>
      <c r="B486">
        <v>11</v>
      </c>
      <c r="C486">
        <v>5</v>
      </c>
      <c r="D486">
        <v>54</v>
      </c>
      <c r="E486">
        <v>0</v>
      </c>
      <c r="F486">
        <v>6</v>
      </c>
      <c r="G486">
        <v>0</v>
      </c>
      <c r="H486">
        <v>88</v>
      </c>
      <c r="I486" s="4">
        <f t="shared" si="7"/>
        <v>0.61363636363636365</v>
      </c>
      <c r="K486" t="s">
        <v>672</v>
      </c>
    </row>
    <row r="487" spans="1:11">
      <c r="A487" t="s">
        <v>231</v>
      </c>
      <c r="B487">
        <v>11</v>
      </c>
      <c r="C487">
        <v>6</v>
      </c>
      <c r="D487">
        <v>54</v>
      </c>
      <c r="E487">
        <v>0</v>
      </c>
      <c r="F487">
        <v>6</v>
      </c>
      <c r="G487">
        <v>0</v>
      </c>
      <c r="H487">
        <v>88</v>
      </c>
      <c r="I487" s="4">
        <f t="shared" si="7"/>
        <v>0.61363636363636365</v>
      </c>
      <c r="K487" t="s">
        <v>672</v>
      </c>
    </row>
    <row r="488" spans="1:11">
      <c r="A488" t="s">
        <v>231</v>
      </c>
      <c r="B488">
        <v>11</v>
      </c>
      <c r="C488">
        <v>7</v>
      </c>
      <c r="D488">
        <v>54</v>
      </c>
      <c r="E488">
        <v>0</v>
      </c>
      <c r="F488">
        <v>6</v>
      </c>
      <c r="G488">
        <v>0</v>
      </c>
      <c r="H488">
        <v>88</v>
      </c>
      <c r="I488" s="4">
        <f t="shared" si="7"/>
        <v>0.61363636363636365</v>
      </c>
      <c r="K488" t="s">
        <v>672</v>
      </c>
    </row>
    <row r="489" spans="1:11">
      <c r="A489" t="s">
        <v>231</v>
      </c>
      <c r="B489">
        <v>11</v>
      </c>
      <c r="C489">
        <v>8</v>
      </c>
      <c r="D489">
        <v>62</v>
      </c>
      <c r="E489">
        <v>0</v>
      </c>
      <c r="F489">
        <v>6</v>
      </c>
      <c r="G489">
        <v>0</v>
      </c>
      <c r="H489">
        <v>88</v>
      </c>
      <c r="I489" s="4">
        <f t="shared" si="7"/>
        <v>0.70454545454545459</v>
      </c>
      <c r="K489" t="s">
        <v>672</v>
      </c>
    </row>
    <row r="490" spans="1:11">
      <c r="A490" t="s">
        <v>231</v>
      </c>
      <c r="B490">
        <v>11</v>
      </c>
      <c r="C490">
        <v>9</v>
      </c>
      <c r="D490">
        <v>68</v>
      </c>
      <c r="E490">
        <v>0</v>
      </c>
      <c r="F490">
        <v>3</v>
      </c>
      <c r="G490">
        <v>0</v>
      </c>
      <c r="H490">
        <v>88</v>
      </c>
      <c r="I490" s="4">
        <f t="shared" si="7"/>
        <v>0.77272727272727271</v>
      </c>
      <c r="K490" t="s">
        <v>672</v>
      </c>
    </row>
    <row r="491" spans="1:11">
      <c r="A491" t="s">
        <v>231</v>
      </c>
      <c r="B491">
        <v>11</v>
      </c>
      <c r="C491">
        <v>10</v>
      </c>
      <c r="D491">
        <v>68</v>
      </c>
      <c r="E491">
        <v>0</v>
      </c>
      <c r="F491">
        <v>3</v>
      </c>
      <c r="G491">
        <v>0</v>
      </c>
      <c r="H491">
        <v>88</v>
      </c>
      <c r="I491" s="4">
        <f t="shared" si="7"/>
        <v>0.77272727272727271</v>
      </c>
      <c r="K491" t="s">
        <v>672</v>
      </c>
    </row>
    <row r="492" spans="1:11">
      <c r="A492" t="s">
        <v>231</v>
      </c>
      <c r="B492">
        <v>11</v>
      </c>
      <c r="C492">
        <v>11</v>
      </c>
      <c r="D492">
        <v>68</v>
      </c>
      <c r="E492">
        <v>0</v>
      </c>
      <c r="F492">
        <v>3</v>
      </c>
      <c r="G492">
        <v>0</v>
      </c>
      <c r="H492">
        <v>88</v>
      </c>
      <c r="I492" s="4">
        <f t="shared" si="7"/>
        <v>0.77272727272727271</v>
      </c>
      <c r="K492" t="s">
        <v>672</v>
      </c>
    </row>
    <row r="493" spans="1:11">
      <c r="A493" t="s">
        <v>231</v>
      </c>
      <c r="B493">
        <v>11</v>
      </c>
      <c r="C493">
        <v>12</v>
      </c>
      <c r="D493">
        <v>68</v>
      </c>
      <c r="E493">
        <v>0</v>
      </c>
      <c r="F493">
        <v>3</v>
      </c>
      <c r="G493">
        <v>0</v>
      </c>
      <c r="H493">
        <v>88</v>
      </c>
      <c r="I493" s="4">
        <f t="shared" si="7"/>
        <v>0.77272727272727271</v>
      </c>
      <c r="K493" t="s">
        <v>672</v>
      </c>
    </row>
    <row r="494" spans="1:11">
      <c r="A494" t="s">
        <v>231</v>
      </c>
      <c r="B494">
        <v>11</v>
      </c>
      <c r="C494">
        <v>13</v>
      </c>
      <c r="D494">
        <v>68</v>
      </c>
      <c r="E494">
        <v>0</v>
      </c>
      <c r="F494">
        <v>3</v>
      </c>
      <c r="G494">
        <v>0</v>
      </c>
      <c r="H494">
        <v>88</v>
      </c>
      <c r="I494" s="4">
        <f t="shared" si="7"/>
        <v>0.77272727272727271</v>
      </c>
      <c r="K494" t="s">
        <v>672</v>
      </c>
    </row>
    <row r="495" spans="1:11">
      <c r="A495" t="s">
        <v>231</v>
      </c>
      <c r="B495">
        <v>11</v>
      </c>
      <c r="C495">
        <v>14</v>
      </c>
      <c r="D495">
        <v>78</v>
      </c>
      <c r="E495">
        <v>0</v>
      </c>
      <c r="F495">
        <v>3</v>
      </c>
      <c r="G495">
        <v>0</v>
      </c>
      <c r="H495">
        <v>88</v>
      </c>
      <c r="I495" s="4">
        <f t="shared" si="7"/>
        <v>0.88636363636363635</v>
      </c>
      <c r="K495" t="s">
        <v>672</v>
      </c>
    </row>
    <row r="496" spans="1:11">
      <c r="A496" t="s">
        <v>231</v>
      </c>
      <c r="B496">
        <v>11</v>
      </c>
      <c r="C496">
        <v>15</v>
      </c>
      <c r="D496">
        <v>78</v>
      </c>
      <c r="E496">
        <v>0</v>
      </c>
      <c r="F496">
        <v>3</v>
      </c>
      <c r="G496">
        <v>0</v>
      </c>
      <c r="H496">
        <v>88</v>
      </c>
      <c r="I496" s="4">
        <f t="shared" si="7"/>
        <v>0.88636363636363635</v>
      </c>
      <c r="K496" t="s">
        <v>672</v>
      </c>
    </row>
    <row r="497" spans="1:11">
      <c r="A497" t="s">
        <v>231</v>
      </c>
      <c r="B497">
        <v>11</v>
      </c>
      <c r="C497">
        <v>16</v>
      </c>
      <c r="D497">
        <v>78</v>
      </c>
      <c r="E497">
        <v>0</v>
      </c>
      <c r="F497">
        <v>3</v>
      </c>
      <c r="G497">
        <v>0</v>
      </c>
      <c r="H497">
        <v>88</v>
      </c>
      <c r="I497" s="4">
        <f t="shared" si="7"/>
        <v>0.88636363636363635</v>
      </c>
      <c r="K497" t="s">
        <v>672</v>
      </c>
    </row>
    <row r="498" spans="1:11">
      <c r="A498" t="s">
        <v>231</v>
      </c>
      <c r="B498">
        <v>11</v>
      </c>
      <c r="C498">
        <v>17</v>
      </c>
      <c r="D498">
        <v>88</v>
      </c>
      <c r="E498">
        <v>0</v>
      </c>
      <c r="F498">
        <v>0</v>
      </c>
      <c r="G498">
        <v>0</v>
      </c>
      <c r="H498">
        <v>88</v>
      </c>
      <c r="I498" s="4">
        <f t="shared" si="7"/>
        <v>1</v>
      </c>
      <c r="K498" t="s">
        <v>672</v>
      </c>
    </row>
    <row r="499" spans="1:11">
      <c r="A499" t="s">
        <v>231</v>
      </c>
      <c r="B499">
        <v>11</v>
      </c>
      <c r="C499">
        <v>18</v>
      </c>
      <c r="D499">
        <v>88</v>
      </c>
      <c r="E499">
        <v>0</v>
      </c>
      <c r="F499">
        <v>0</v>
      </c>
      <c r="G499">
        <v>0</v>
      </c>
      <c r="H499">
        <v>88</v>
      </c>
      <c r="I499" s="4">
        <f t="shared" si="7"/>
        <v>1</v>
      </c>
      <c r="K499" t="s">
        <v>672</v>
      </c>
    </row>
    <row r="500" spans="1:11">
      <c r="A500" t="s">
        <v>231</v>
      </c>
      <c r="B500">
        <v>11</v>
      </c>
      <c r="C500">
        <v>19</v>
      </c>
      <c r="D500">
        <v>88</v>
      </c>
      <c r="E500">
        <v>0</v>
      </c>
      <c r="F500">
        <v>0</v>
      </c>
      <c r="G500">
        <v>0</v>
      </c>
      <c r="H500">
        <v>88</v>
      </c>
      <c r="I500" s="4">
        <f t="shared" si="7"/>
        <v>1</v>
      </c>
      <c r="K500" t="s">
        <v>672</v>
      </c>
    </row>
    <row r="501" spans="1:11">
      <c r="A501" t="s">
        <v>231</v>
      </c>
      <c r="B501">
        <v>12</v>
      </c>
      <c r="C501">
        <v>1</v>
      </c>
      <c r="D501">
        <v>7</v>
      </c>
      <c r="E501">
        <v>0</v>
      </c>
      <c r="F501">
        <v>3</v>
      </c>
      <c r="G501">
        <v>0</v>
      </c>
      <c r="H501">
        <v>56</v>
      </c>
      <c r="I501" s="4">
        <f t="shared" si="7"/>
        <v>0.125</v>
      </c>
      <c r="K501" t="s">
        <v>673</v>
      </c>
    </row>
    <row r="502" spans="1:11">
      <c r="A502" t="s">
        <v>231</v>
      </c>
      <c r="B502">
        <v>12</v>
      </c>
      <c r="C502">
        <v>2</v>
      </c>
      <c r="D502">
        <v>29</v>
      </c>
      <c r="E502">
        <v>0</v>
      </c>
      <c r="F502">
        <v>7</v>
      </c>
      <c r="G502">
        <v>0</v>
      </c>
      <c r="H502">
        <v>56</v>
      </c>
      <c r="I502" s="4">
        <f t="shared" si="7"/>
        <v>0.5178571428571429</v>
      </c>
      <c r="K502" t="s">
        <v>673</v>
      </c>
    </row>
    <row r="503" spans="1:11">
      <c r="A503" t="s">
        <v>231</v>
      </c>
      <c r="B503">
        <v>12</v>
      </c>
      <c r="C503">
        <v>3</v>
      </c>
      <c r="D503">
        <v>32</v>
      </c>
      <c r="E503">
        <v>0</v>
      </c>
      <c r="F503">
        <v>4</v>
      </c>
      <c r="G503">
        <v>0</v>
      </c>
      <c r="H503">
        <v>56</v>
      </c>
      <c r="I503" s="4">
        <f t="shared" si="7"/>
        <v>0.5714285714285714</v>
      </c>
      <c r="K503" t="s">
        <v>673</v>
      </c>
    </row>
    <row r="504" spans="1:11">
      <c r="A504" t="s">
        <v>231</v>
      </c>
      <c r="B504">
        <v>12</v>
      </c>
      <c r="C504">
        <v>4</v>
      </c>
      <c r="D504">
        <v>43</v>
      </c>
      <c r="E504">
        <v>0</v>
      </c>
      <c r="F504">
        <v>2</v>
      </c>
      <c r="G504">
        <v>0</v>
      </c>
      <c r="H504">
        <v>56</v>
      </c>
      <c r="I504" s="4">
        <f t="shared" si="7"/>
        <v>0.7678571428571429</v>
      </c>
      <c r="K504" t="s">
        <v>673</v>
      </c>
    </row>
    <row r="505" spans="1:11">
      <c r="A505" t="s">
        <v>231</v>
      </c>
      <c r="B505">
        <v>12</v>
      </c>
      <c r="C505">
        <v>5</v>
      </c>
      <c r="D505">
        <v>43</v>
      </c>
      <c r="E505">
        <v>0</v>
      </c>
      <c r="F505">
        <v>2</v>
      </c>
      <c r="G505">
        <v>0</v>
      </c>
      <c r="H505">
        <v>56</v>
      </c>
      <c r="I505" s="4">
        <f t="shared" si="7"/>
        <v>0.7678571428571429</v>
      </c>
      <c r="K505" t="s">
        <v>673</v>
      </c>
    </row>
    <row r="506" spans="1:11">
      <c r="A506" t="s">
        <v>231</v>
      </c>
      <c r="B506">
        <v>12</v>
      </c>
      <c r="C506">
        <v>6</v>
      </c>
      <c r="D506">
        <v>53</v>
      </c>
      <c r="E506">
        <v>0</v>
      </c>
      <c r="F506">
        <v>3</v>
      </c>
      <c r="G506">
        <v>0</v>
      </c>
      <c r="H506">
        <v>56</v>
      </c>
      <c r="I506" s="4">
        <f t="shared" si="7"/>
        <v>0.9464285714285714</v>
      </c>
      <c r="K506" t="s">
        <v>673</v>
      </c>
    </row>
    <row r="507" spans="1:11">
      <c r="A507" t="s">
        <v>231</v>
      </c>
      <c r="B507">
        <v>12</v>
      </c>
      <c r="C507">
        <v>7</v>
      </c>
      <c r="D507">
        <v>56</v>
      </c>
      <c r="E507">
        <v>0</v>
      </c>
      <c r="F507">
        <v>0</v>
      </c>
      <c r="G507">
        <v>0</v>
      </c>
      <c r="H507">
        <v>56</v>
      </c>
      <c r="I507" s="4">
        <f t="shared" si="7"/>
        <v>1</v>
      </c>
      <c r="K507" t="s">
        <v>673</v>
      </c>
    </row>
    <row r="508" spans="1:11">
      <c r="A508" t="s">
        <v>231</v>
      </c>
      <c r="B508">
        <v>12</v>
      </c>
      <c r="C508">
        <v>8</v>
      </c>
      <c r="D508">
        <v>56</v>
      </c>
      <c r="E508">
        <v>0</v>
      </c>
      <c r="F508">
        <v>0</v>
      </c>
      <c r="G508">
        <v>0</v>
      </c>
      <c r="H508">
        <v>56</v>
      </c>
      <c r="I508" s="4">
        <f t="shared" si="7"/>
        <v>1</v>
      </c>
      <c r="K508" t="s">
        <v>673</v>
      </c>
    </row>
    <row r="509" spans="1:11">
      <c r="A509" t="s">
        <v>231</v>
      </c>
      <c r="B509">
        <v>12</v>
      </c>
      <c r="C509">
        <v>9</v>
      </c>
      <c r="D509">
        <v>56</v>
      </c>
      <c r="E509">
        <v>0</v>
      </c>
      <c r="F509">
        <v>0</v>
      </c>
      <c r="G509">
        <v>0</v>
      </c>
      <c r="H509">
        <v>56</v>
      </c>
      <c r="I509" s="4">
        <f t="shared" si="7"/>
        <v>1</v>
      </c>
      <c r="K509" t="s">
        <v>673</v>
      </c>
    </row>
    <row r="510" spans="1:11">
      <c r="A510" t="s">
        <v>231</v>
      </c>
      <c r="B510">
        <v>13</v>
      </c>
      <c r="C510">
        <v>1</v>
      </c>
      <c r="D510">
        <v>3</v>
      </c>
      <c r="E510">
        <v>0</v>
      </c>
      <c r="F510">
        <v>1</v>
      </c>
      <c r="G510">
        <v>0</v>
      </c>
      <c r="H510">
        <v>7</v>
      </c>
      <c r="I510" s="4">
        <f t="shared" si="7"/>
        <v>0.42857142857142855</v>
      </c>
      <c r="K510" t="s">
        <v>674</v>
      </c>
    </row>
    <row r="511" spans="1:11">
      <c r="A511" t="s">
        <v>231</v>
      </c>
      <c r="B511">
        <v>13</v>
      </c>
      <c r="C511">
        <v>2</v>
      </c>
      <c r="D511">
        <v>7</v>
      </c>
      <c r="E511">
        <v>0</v>
      </c>
      <c r="F511">
        <v>0</v>
      </c>
      <c r="G511">
        <v>0</v>
      </c>
      <c r="H511">
        <v>7</v>
      </c>
      <c r="I511" s="4">
        <f t="shared" si="7"/>
        <v>1</v>
      </c>
      <c r="K511" t="s">
        <v>674</v>
      </c>
    </row>
    <row r="512" spans="1:11">
      <c r="A512" t="s">
        <v>598</v>
      </c>
      <c r="B512">
        <v>2</v>
      </c>
      <c r="C512">
        <v>1</v>
      </c>
      <c r="D512">
        <v>25</v>
      </c>
      <c r="E512">
        <v>0</v>
      </c>
      <c r="F512">
        <v>3</v>
      </c>
      <c r="G512">
        <v>0</v>
      </c>
      <c r="H512">
        <v>71</v>
      </c>
      <c r="I512" s="4">
        <f t="shared" si="7"/>
        <v>0.352112676056338</v>
      </c>
      <c r="K512" t="s">
        <v>675</v>
      </c>
    </row>
    <row r="513" spans="1:11">
      <c r="A513" t="s">
        <v>598</v>
      </c>
      <c r="B513">
        <v>2</v>
      </c>
      <c r="C513">
        <v>2</v>
      </c>
      <c r="D513">
        <v>50</v>
      </c>
      <c r="E513">
        <v>0</v>
      </c>
      <c r="F513">
        <v>2</v>
      </c>
      <c r="G513">
        <v>0</v>
      </c>
      <c r="H513">
        <v>71</v>
      </c>
      <c r="I513" s="4">
        <f t="shared" si="7"/>
        <v>0.70422535211267601</v>
      </c>
      <c r="K513" t="s">
        <v>675</v>
      </c>
    </row>
    <row r="514" spans="1:11">
      <c r="A514" t="s">
        <v>598</v>
      </c>
      <c r="B514">
        <v>2</v>
      </c>
      <c r="C514">
        <v>3</v>
      </c>
      <c r="D514">
        <v>71</v>
      </c>
      <c r="E514">
        <v>0</v>
      </c>
      <c r="F514">
        <v>0</v>
      </c>
      <c r="G514">
        <v>0</v>
      </c>
      <c r="H514">
        <v>71</v>
      </c>
      <c r="I514" s="4">
        <f t="shared" si="7"/>
        <v>1</v>
      </c>
      <c r="K514" t="s">
        <v>675</v>
      </c>
    </row>
    <row r="515" spans="1:11">
      <c r="A515" t="s">
        <v>598</v>
      </c>
      <c r="B515">
        <v>6</v>
      </c>
      <c r="C515">
        <v>1</v>
      </c>
      <c r="D515">
        <v>21</v>
      </c>
      <c r="E515">
        <v>0</v>
      </c>
      <c r="F515">
        <v>4</v>
      </c>
      <c r="G515">
        <v>0</v>
      </c>
      <c r="H515">
        <v>31</v>
      </c>
      <c r="I515" s="4">
        <f t="shared" ref="I515:I522" si="8">D515/H515</f>
        <v>0.67741935483870963</v>
      </c>
      <c r="K515" t="s">
        <v>676</v>
      </c>
    </row>
    <row r="516" spans="1:11">
      <c r="A516" t="s">
        <v>598</v>
      </c>
      <c r="B516">
        <v>6</v>
      </c>
      <c r="C516">
        <v>2</v>
      </c>
      <c r="D516">
        <v>23</v>
      </c>
      <c r="E516">
        <v>0</v>
      </c>
      <c r="F516">
        <v>2</v>
      </c>
      <c r="G516">
        <v>0</v>
      </c>
      <c r="H516">
        <v>31</v>
      </c>
      <c r="I516" s="4">
        <f t="shared" si="8"/>
        <v>0.74193548387096775</v>
      </c>
      <c r="K516" t="s">
        <v>676</v>
      </c>
    </row>
    <row r="517" spans="1:11">
      <c r="A517" t="s">
        <v>598</v>
      </c>
      <c r="B517">
        <v>6</v>
      </c>
      <c r="C517">
        <v>3</v>
      </c>
      <c r="D517">
        <v>29</v>
      </c>
      <c r="E517">
        <v>0</v>
      </c>
      <c r="F517">
        <v>2</v>
      </c>
      <c r="G517">
        <v>0</v>
      </c>
      <c r="H517">
        <v>31</v>
      </c>
      <c r="I517" s="4">
        <f t="shared" si="8"/>
        <v>0.93548387096774188</v>
      </c>
      <c r="K517" t="s">
        <v>676</v>
      </c>
    </row>
    <row r="518" spans="1:11">
      <c r="A518" t="s">
        <v>598</v>
      </c>
      <c r="B518">
        <v>6</v>
      </c>
      <c r="C518">
        <v>4</v>
      </c>
      <c r="D518">
        <v>31</v>
      </c>
      <c r="E518">
        <v>0</v>
      </c>
      <c r="F518">
        <v>0</v>
      </c>
      <c r="G518">
        <v>0</v>
      </c>
      <c r="H518">
        <v>31</v>
      </c>
      <c r="I518" s="4">
        <f t="shared" si="8"/>
        <v>1</v>
      </c>
      <c r="K518" t="s">
        <v>676</v>
      </c>
    </row>
    <row r="519" spans="1:11">
      <c r="A519" t="s">
        <v>598</v>
      </c>
      <c r="B519">
        <v>6</v>
      </c>
      <c r="C519">
        <v>5</v>
      </c>
      <c r="D519">
        <v>31</v>
      </c>
      <c r="E519">
        <v>0</v>
      </c>
      <c r="F519">
        <v>0</v>
      </c>
      <c r="G519">
        <v>0</v>
      </c>
      <c r="H519">
        <v>31</v>
      </c>
      <c r="I519" s="4">
        <f t="shared" si="8"/>
        <v>1</v>
      </c>
      <c r="K519" t="s">
        <v>676</v>
      </c>
    </row>
    <row r="520" spans="1:11">
      <c r="A520" t="s">
        <v>598</v>
      </c>
      <c r="B520">
        <v>6</v>
      </c>
      <c r="C520">
        <v>6</v>
      </c>
      <c r="D520">
        <v>31</v>
      </c>
      <c r="E520">
        <v>0</v>
      </c>
      <c r="F520">
        <v>0</v>
      </c>
      <c r="G520">
        <v>0</v>
      </c>
      <c r="H520">
        <v>31</v>
      </c>
      <c r="I520" s="4">
        <f t="shared" si="8"/>
        <v>1</v>
      </c>
      <c r="K520" t="s">
        <v>676</v>
      </c>
    </row>
    <row r="521" spans="1:11">
      <c r="A521" t="s">
        <v>598</v>
      </c>
      <c r="B521">
        <v>8</v>
      </c>
      <c r="C521">
        <v>1</v>
      </c>
      <c r="D521">
        <v>27</v>
      </c>
      <c r="E521">
        <v>0</v>
      </c>
      <c r="F521">
        <v>2</v>
      </c>
      <c r="G521">
        <v>0</v>
      </c>
      <c r="H521">
        <v>29</v>
      </c>
      <c r="I521" s="4">
        <f t="shared" si="8"/>
        <v>0.93103448275862066</v>
      </c>
      <c r="K521" t="s">
        <v>677</v>
      </c>
    </row>
    <row r="522" spans="1:11">
      <c r="A522" t="s">
        <v>598</v>
      </c>
      <c r="B522">
        <v>8</v>
      </c>
      <c r="C522">
        <v>2</v>
      </c>
      <c r="D522">
        <v>29</v>
      </c>
      <c r="E522">
        <v>0</v>
      </c>
      <c r="F522">
        <v>0</v>
      </c>
      <c r="G522">
        <v>0</v>
      </c>
      <c r="H522">
        <v>29</v>
      </c>
      <c r="I522" s="4">
        <f t="shared" si="8"/>
        <v>1</v>
      </c>
      <c r="K522" t="s">
        <v>677</v>
      </c>
    </row>
    <row r="523" spans="1:11">
      <c r="I523" s="4"/>
    </row>
    <row r="524" spans="1:11">
      <c r="I524" s="4"/>
    </row>
    <row r="525" spans="1:11">
      <c r="I525" s="4"/>
    </row>
    <row r="526" spans="1:11">
      <c r="I526" s="4"/>
    </row>
    <row r="527" spans="1:11">
      <c r="I527" s="4"/>
    </row>
    <row r="528" spans="1:11">
      <c r="I528" s="4"/>
    </row>
    <row r="529" spans="9:9">
      <c r="I529" s="4"/>
    </row>
    <row r="530" spans="9:9">
      <c r="I530" s="4"/>
    </row>
    <row r="531" spans="9:9">
      <c r="I531" s="4"/>
    </row>
    <row r="532" spans="9:9">
      <c r="I532" s="4"/>
    </row>
    <row r="533" spans="9:9">
      <c r="I533" s="4"/>
    </row>
    <row r="534" spans="9:9">
      <c r="I534" s="4"/>
    </row>
    <row r="535" spans="9:9">
      <c r="I535" s="4"/>
    </row>
    <row r="536" spans="9:9">
      <c r="I536" s="4"/>
    </row>
    <row r="537" spans="9:9">
      <c r="I537" s="4"/>
    </row>
    <row r="538" spans="9:9">
      <c r="I538" s="4"/>
    </row>
    <row r="539" spans="9:9">
      <c r="I539" s="4"/>
    </row>
    <row r="540" spans="9:9">
      <c r="I540" s="4"/>
    </row>
    <row r="541" spans="9:9">
      <c r="I541" s="4"/>
    </row>
    <row r="542" spans="9:9">
      <c r="I542" s="4"/>
    </row>
    <row r="543" spans="9:9">
      <c r="I543" s="4"/>
    </row>
    <row r="544" spans="9:9">
      <c r="I544" s="4"/>
    </row>
    <row r="545" spans="9:9">
      <c r="I545" s="4"/>
    </row>
    <row r="546" spans="9:9">
      <c r="I546" s="4"/>
    </row>
    <row r="547" spans="9:9">
      <c r="I547" s="4"/>
    </row>
    <row r="548" spans="9:9">
      <c r="I548" s="4"/>
    </row>
    <row r="549" spans="9:9">
      <c r="I549" s="4"/>
    </row>
    <row r="550" spans="9:9">
      <c r="I550" s="4"/>
    </row>
    <row r="551" spans="9:9">
      <c r="I551" s="4"/>
    </row>
    <row r="552" spans="9:9">
      <c r="I552" s="4"/>
    </row>
    <row r="553" spans="9:9">
      <c r="I553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21"/>
  <sheetViews>
    <sheetView workbookViewId="0">
      <selection activeCell="D207" sqref="D207"/>
    </sheetView>
  </sheetViews>
  <sheetFormatPr baseColWidth="10" defaultRowHeight="15" x14ac:dyDescent="0"/>
  <cols>
    <col min="1" max="1" width="25.33203125" bestFit="1" customWidth="1"/>
    <col min="3" max="3" width="28.5" bestFit="1" customWidth="1"/>
    <col min="6" max="7" width="10.83203125" style="4"/>
    <col min="24" max="25" width="19" bestFit="1" customWidth="1"/>
    <col min="26" max="28" width="14.6640625" bestFit="1" customWidth="1"/>
    <col min="31" max="34" width="16.6640625" bestFit="1" customWidth="1"/>
    <col min="35" max="38" width="17.6640625" bestFit="1" customWidth="1"/>
    <col min="41" max="41" width="17.33203125" bestFit="1" customWidth="1"/>
    <col min="42" max="42" width="21.1640625" bestFit="1" customWidth="1"/>
    <col min="44" max="47" width="20.83203125" bestFit="1" customWidth="1"/>
    <col min="48" max="48" width="21.83203125" bestFit="1" customWidth="1"/>
    <col min="49" max="49" width="20.6640625" bestFit="1" customWidth="1"/>
  </cols>
  <sheetData>
    <row r="1" spans="1:50">
      <c r="A1" t="s">
        <v>3</v>
      </c>
      <c r="B1" t="s">
        <v>5</v>
      </c>
      <c r="C1" t="s">
        <v>608</v>
      </c>
      <c r="D1" t="s">
        <v>186</v>
      </c>
      <c r="E1" t="s">
        <v>232</v>
      </c>
      <c r="F1" s="4" t="s">
        <v>940</v>
      </c>
      <c r="G1" s="4" t="s">
        <v>604</v>
      </c>
      <c r="H1" t="s">
        <v>605</v>
      </c>
      <c r="I1" t="s">
        <v>606</v>
      </c>
      <c r="J1" t="s">
        <v>681</v>
      </c>
      <c r="K1" s="7" t="s">
        <v>607</v>
      </c>
      <c r="L1" s="7" t="s">
        <v>682</v>
      </c>
      <c r="M1" s="7"/>
      <c r="N1" s="7"/>
      <c r="O1" s="7"/>
      <c r="P1" s="7"/>
      <c r="Q1" s="7" t="s">
        <v>680</v>
      </c>
      <c r="R1" s="7"/>
      <c r="S1" s="7"/>
      <c r="T1" s="7"/>
      <c r="U1" s="7"/>
      <c r="W1" t="s">
        <v>182</v>
      </c>
      <c r="X1" t="s">
        <v>608</v>
      </c>
      <c r="Y1" t="s">
        <v>608</v>
      </c>
      <c r="Z1" t="s">
        <v>608</v>
      </c>
      <c r="AA1" t="s">
        <v>608</v>
      </c>
      <c r="AB1" t="s">
        <v>608</v>
      </c>
      <c r="AC1" t="s">
        <v>608</v>
      </c>
      <c r="AD1" t="s">
        <v>608</v>
      </c>
      <c r="AE1" t="s">
        <v>608</v>
      </c>
      <c r="AF1" t="s">
        <v>608</v>
      </c>
      <c r="AG1" t="s">
        <v>608</v>
      </c>
      <c r="AH1" t="s">
        <v>608</v>
      </c>
      <c r="AI1" t="s">
        <v>608</v>
      </c>
      <c r="AJ1" t="s">
        <v>608</v>
      </c>
      <c r="AK1" t="s">
        <v>608</v>
      </c>
      <c r="AL1" t="s">
        <v>608</v>
      </c>
      <c r="AM1" t="s">
        <v>608</v>
      </c>
      <c r="AN1" t="s">
        <v>608</v>
      </c>
      <c r="AO1" t="s">
        <v>608</v>
      </c>
      <c r="AP1" t="s">
        <v>608</v>
      </c>
      <c r="AQ1" t="s">
        <v>608</v>
      </c>
      <c r="AR1" t="s">
        <v>608</v>
      </c>
      <c r="AS1" t="s">
        <v>608</v>
      </c>
      <c r="AT1" t="s">
        <v>608</v>
      </c>
      <c r="AU1" t="s">
        <v>608</v>
      </c>
      <c r="AV1" t="s">
        <v>608</v>
      </c>
      <c r="AW1" t="s">
        <v>608</v>
      </c>
      <c r="AX1" t="s">
        <v>608</v>
      </c>
    </row>
    <row r="2" spans="1:50">
      <c r="A2" t="s">
        <v>188</v>
      </c>
      <c r="B2">
        <v>1</v>
      </c>
      <c r="C2" t="str">
        <f>CONCATENATE(A2, "_",B2,"_")</f>
        <v>test.BallonFactory_1_</v>
      </c>
      <c r="D2">
        <v>1</v>
      </c>
      <c r="E2" s="4">
        <v>0.50980392156862742</v>
      </c>
      <c r="F2" s="4">
        <v>0.18320485484664589</v>
      </c>
      <c r="G2" s="4">
        <f>IF($F2 &lt;= 0.2,$E2,"")</f>
        <v>0.50980392156862742</v>
      </c>
      <c r="H2" s="4" t="str">
        <f>IF(AND($F2 &gt; 0.2,$F2 &lt;= 0.4),$E2,"")</f>
        <v/>
      </c>
      <c r="I2" s="4" t="str">
        <f>IF(AND($F2 &gt; 0.4,$F2 &lt;= 0.6),$E2,"")</f>
        <v/>
      </c>
      <c r="J2" s="4" t="str">
        <f>IF(AND($F2 &gt; 0.6,$F2 &lt;= 0.8),$E2,"")</f>
        <v/>
      </c>
      <c r="K2" s="4" t="str">
        <f>IF(AND($F2 &gt; 0.8, $F2 &lt;=1.1),$E2,"")</f>
        <v/>
      </c>
      <c r="L2" s="4" t="str">
        <f>IF(AND($F2 &gt; 1.1),$E2,"")</f>
        <v/>
      </c>
      <c r="M2" s="4"/>
      <c r="N2" s="4" t="s">
        <v>683</v>
      </c>
      <c r="O2" s="4" t="s">
        <v>614</v>
      </c>
      <c r="P2" s="4" t="s">
        <v>679</v>
      </c>
      <c r="Q2" s="4">
        <v>0</v>
      </c>
      <c r="R2" s="4" t="s">
        <v>613</v>
      </c>
      <c r="S2" s="4" t="s">
        <v>612</v>
      </c>
      <c r="T2" s="4" t="s">
        <v>611</v>
      </c>
      <c r="U2" s="4" t="s">
        <v>610</v>
      </c>
      <c r="V2" t="s">
        <v>609</v>
      </c>
      <c r="W2">
        <f>COUNTA(X2:CC2)</f>
        <v>27</v>
      </c>
      <c r="X2" s="2" t="s">
        <v>619</v>
      </c>
      <c r="Y2" s="2" t="s">
        <v>943</v>
      </c>
      <c r="Z2" s="2" t="s">
        <v>627</v>
      </c>
      <c r="AA2" s="2" t="s">
        <v>628</v>
      </c>
      <c r="AB2" s="2" t="s">
        <v>629</v>
      </c>
      <c r="AC2" s="2" t="s">
        <v>615</v>
      </c>
      <c r="AD2" s="2" t="s">
        <v>944</v>
      </c>
      <c r="AE2" s="2" t="s">
        <v>645</v>
      </c>
      <c r="AF2" s="2" t="s">
        <v>646</v>
      </c>
      <c r="AG2" s="2" t="s">
        <v>650</v>
      </c>
      <c r="AH2" s="2" t="s">
        <v>651</v>
      </c>
      <c r="AI2" s="2" t="s">
        <v>652</v>
      </c>
      <c r="AJ2" s="2" t="s">
        <v>653</v>
      </c>
      <c r="AK2" s="2" t="s">
        <v>696</v>
      </c>
      <c r="AL2" s="2" t="s">
        <v>658</v>
      </c>
      <c r="AM2" s="2" t="s">
        <v>659</v>
      </c>
      <c r="AN2" s="2" t="s">
        <v>660</v>
      </c>
      <c r="AO2" s="2" t="s">
        <v>946</v>
      </c>
      <c r="AP2" s="2" t="s">
        <v>665</v>
      </c>
      <c r="AQ2" s="2" t="s">
        <v>666</v>
      </c>
      <c r="AR2" s="2" t="s">
        <v>667</v>
      </c>
      <c r="AS2" s="2" t="s">
        <v>668</v>
      </c>
      <c r="AT2" s="2" t="s">
        <v>669</v>
      </c>
      <c r="AU2" s="2" t="s">
        <v>670</v>
      </c>
      <c r="AV2" s="2" t="s">
        <v>671</v>
      </c>
      <c r="AW2" s="2" t="s">
        <v>675</v>
      </c>
      <c r="AX2" s="2" t="s">
        <v>678</v>
      </c>
    </row>
    <row r="3" spans="1:50">
      <c r="A3" t="s">
        <v>188</v>
      </c>
      <c r="B3">
        <v>1</v>
      </c>
      <c r="C3" t="str">
        <f t="shared" ref="C3:C66" si="0">CONCATENATE(A3, "_",B3,"_")</f>
        <v>test.BallonFactory_1_</v>
      </c>
      <c r="D3">
        <v>2</v>
      </c>
      <c r="E3" s="4">
        <v>0.50980392156862742</v>
      </c>
      <c r="F3" s="4">
        <v>0.18484500574052812</v>
      </c>
      <c r="G3" s="4">
        <f t="shared" ref="G3:G66" si="1">IF($F3 &lt;= 0.2,$E3,"")</f>
        <v>0.50980392156862742</v>
      </c>
      <c r="H3" s="4" t="str">
        <f t="shared" ref="H3:H66" si="2">IF(AND($F3 &gt; 0.2,$F3 &lt;= 0.4),$E3,"")</f>
        <v/>
      </c>
      <c r="I3" s="4" t="str">
        <f t="shared" ref="I3:I66" si="3">IF(AND($F3 &gt; 0.4,$F3 &lt;= 0.6),$E3,"")</f>
        <v/>
      </c>
      <c r="J3" s="4" t="str">
        <f t="shared" ref="J3:J66" si="4">IF(AND($F3 &gt; 0.6,$F3 &lt;= 0.8),$E3,"")</f>
        <v/>
      </c>
      <c r="K3" s="4" t="str">
        <f t="shared" ref="K3:K66" si="5">IF(AND($F3 &gt; 0.8, $F3 &lt;=1.1),$E3,"")</f>
        <v/>
      </c>
      <c r="L3" s="4" t="str">
        <f t="shared" ref="L3:L66" si="6">IF(AND($F3 &gt; 1.1),$E3,"")</f>
        <v/>
      </c>
      <c r="M3" s="4"/>
      <c r="N3" s="4">
        <f>SUM(T3:V3)/64</f>
        <v>9.375E-2</v>
      </c>
      <c r="O3" s="4">
        <f>SUM(Q3:V3)</f>
        <v>27</v>
      </c>
      <c r="P3" t="s">
        <v>604</v>
      </c>
      <c r="Q3" s="8">
        <f t="shared" ref="Q3:Q8" si="7">COUNTIF($X3:$AX3,"=0")</f>
        <v>12</v>
      </c>
      <c r="R3" s="8">
        <f t="shared" ref="R3:R8" si="8">COUNTIFS($X3:$AX3,"&gt;0",$X3:$AX3,"&lt;0.25")</f>
        <v>6</v>
      </c>
      <c r="S3" s="8">
        <f t="shared" ref="S3:S8" si="9">COUNTIFS($X3:$AX3,"&gt;=0.25",$X3:$AX3,"&lt;0.5")</f>
        <v>3</v>
      </c>
      <c r="T3" s="8">
        <f t="shared" ref="T3:T8" si="10">COUNTIFS($X3:$AX3,"&gt;=0.5",$X3:$AX3,"&lt;0.75")</f>
        <v>6</v>
      </c>
      <c r="U3" s="8">
        <f t="shared" ref="U3:U8" si="11">COUNTIFS($X3:$AX3,"&gt;=0.75",$X3:$AX3,"&lt;1")</f>
        <v>0</v>
      </c>
      <c r="V3" s="8">
        <f t="shared" ref="V3:V8" si="12">COUNTIF($X3:$AX3,"=1")</f>
        <v>0</v>
      </c>
      <c r="W3" t="s">
        <v>604</v>
      </c>
      <c r="X3">
        <f t="shared" ref="X3:AX3" si="13">DMAX($A$1:$L$312,$W3,X$1:X$2)</f>
        <v>0.60784313725490191</v>
      </c>
      <c r="Y3">
        <f t="shared" si="13"/>
        <v>0</v>
      </c>
      <c r="Z3">
        <f t="shared" si="13"/>
        <v>0.61702127659574468</v>
      </c>
      <c r="AA3">
        <f t="shared" si="13"/>
        <v>0.65354330708661412</v>
      </c>
      <c r="AB3">
        <f t="shared" si="13"/>
        <v>0.73267326732673266</v>
      </c>
      <c r="AC3">
        <f t="shared" si="13"/>
        <v>0</v>
      </c>
      <c r="AD3">
        <f t="shared" si="13"/>
        <v>4.4642857142857144E-2</v>
      </c>
      <c r="AE3">
        <f t="shared" si="13"/>
        <v>0.16</v>
      </c>
      <c r="AF3">
        <f t="shared" si="13"/>
        <v>0.64338235294117652</v>
      </c>
      <c r="AG3">
        <f t="shared" si="13"/>
        <v>0.1728395061728395</v>
      </c>
      <c r="AH3">
        <f t="shared" si="13"/>
        <v>0.63953488372093026</v>
      </c>
      <c r="AI3">
        <f t="shared" si="13"/>
        <v>0</v>
      </c>
      <c r="AJ3">
        <f t="shared" si="13"/>
        <v>0.33962264150943394</v>
      </c>
      <c r="AK3">
        <f t="shared" si="13"/>
        <v>5.2192066805845511E-3</v>
      </c>
      <c r="AL3">
        <f t="shared" si="13"/>
        <v>0</v>
      </c>
      <c r="AM3">
        <f t="shared" si="13"/>
        <v>0</v>
      </c>
      <c r="AN3">
        <f t="shared" si="13"/>
        <v>0.20408163265306123</v>
      </c>
      <c r="AO3">
        <f t="shared" si="13"/>
        <v>0</v>
      </c>
      <c r="AP3">
        <f t="shared" si="13"/>
        <v>0.23076923076923078</v>
      </c>
      <c r="AQ3">
        <f t="shared" si="13"/>
        <v>0.25974025974025972</v>
      </c>
      <c r="AR3">
        <f t="shared" si="13"/>
        <v>0.32283464566929132</v>
      </c>
      <c r="AS3">
        <f t="shared" si="13"/>
        <v>0</v>
      </c>
      <c r="AT3">
        <f t="shared" si="13"/>
        <v>0</v>
      </c>
      <c r="AU3">
        <f t="shared" si="13"/>
        <v>0</v>
      </c>
      <c r="AV3">
        <f t="shared" si="13"/>
        <v>0</v>
      </c>
      <c r="AW3">
        <f t="shared" si="13"/>
        <v>0</v>
      </c>
      <c r="AX3">
        <f t="shared" si="13"/>
        <v>0</v>
      </c>
    </row>
    <row r="4" spans="1:50">
      <c r="A4" t="s">
        <v>188</v>
      </c>
      <c r="B4">
        <v>1</v>
      </c>
      <c r="C4" t="str">
        <f t="shared" si="0"/>
        <v>test.BallonFactory_1_</v>
      </c>
      <c r="D4">
        <v>3</v>
      </c>
      <c r="E4" s="4">
        <v>0.5490196078431373</v>
      </c>
      <c r="F4" s="4">
        <v>0.18517303591930456</v>
      </c>
      <c r="G4" s="4">
        <f t="shared" si="1"/>
        <v>0.5490196078431373</v>
      </c>
      <c r="H4" s="4" t="str">
        <f t="shared" si="2"/>
        <v/>
      </c>
      <c r="I4" s="4" t="str">
        <f t="shared" si="3"/>
        <v/>
      </c>
      <c r="J4" s="4" t="str">
        <f t="shared" si="4"/>
        <v/>
      </c>
      <c r="K4" s="4" t="str">
        <f t="shared" si="5"/>
        <v/>
      </c>
      <c r="L4" s="4" t="str">
        <f t="shared" si="6"/>
        <v/>
      </c>
      <c r="M4" s="4"/>
      <c r="N4" s="4">
        <f t="shared" ref="N4:N7" si="14">SUM(T4:V4)/64</f>
        <v>0.203125</v>
      </c>
      <c r="O4" s="4">
        <f>SUM(Q4:V4)</f>
        <v>27</v>
      </c>
      <c r="P4" t="s">
        <v>605</v>
      </c>
      <c r="Q4" s="8">
        <f t="shared" si="7"/>
        <v>5</v>
      </c>
      <c r="R4" s="8">
        <f t="shared" si="8"/>
        <v>3</v>
      </c>
      <c r="S4" s="8">
        <f t="shared" si="9"/>
        <v>6</v>
      </c>
      <c r="T4" s="8">
        <f t="shared" si="10"/>
        <v>7</v>
      </c>
      <c r="U4" s="8">
        <f t="shared" si="11"/>
        <v>3</v>
      </c>
      <c r="V4" s="8">
        <f t="shared" si="12"/>
        <v>3</v>
      </c>
      <c r="W4" t="s">
        <v>605</v>
      </c>
      <c r="X4">
        <f t="shared" ref="X4:AM8" si="15">IF(X3&lt;DMAX($A$1:$L$312,$W4,X$1:X$2),DMAX($A$1:$L$312,$W4,X$1:X$2),X3)</f>
        <v>0.62745098039215685</v>
      </c>
      <c r="Y4">
        <f t="shared" si="15"/>
        <v>0.24242424242424243</v>
      </c>
      <c r="Z4">
        <f t="shared" si="15"/>
        <v>0.65248226950354615</v>
      </c>
      <c r="AA4">
        <f t="shared" si="15"/>
        <v>0.77165354330708658</v>
      </c>
      <c r="AB4">
        <f t="shared" si="15"/>
        <v>0.73267326732673266</v>
      </c>
      <c r="AC4">
        <f t="shared" si="15"/>
        <v>0.57894736842105265</v>
      </c>
      <c r="AD4">
        <f t="shared" si="15"/>
        <v>4.4642857142857144E-2</v>
      </c>
      <c r="AE4">
        <f t="shared" si="15"/>
        <v>0.88571428571428568</v>
      </c>
      <c r="AF4">
        <f t="shared" si="15"/>
        <v>1</v>
      </c>
      <c r="AG4">
        <f t="shared" si="15"/>
        <v>0.86419753086419748</v>
      </c>
      <c r="AH4">
        <f t="shared" si="15"/>
        <v>1</v>
      </c>
      <c r="AI4">
        <f t="shared" si="15"/>
        <v>0.5</v>
      </c>
      <c r="AJ4">
        <f t="shared" si="15"/>
        <v>0.33962264150943394</v>
      </c>
      <c r="AK4">
        <f t="shared" si="15"/>
        <v>5.2192066805845511E-3</v>
      </c>
      <c r="AL4">
        <f t="shared" si="15"/>
        <v>0</v>
      </c>
      <c r="AM4">
        <f t="shared" si="15"/>
        <v>0</v>
      </c>
      <c r="AN4">
        <f t="shared" ref="AN4:AX8" si="16">IF(AN3&lt;DMAX($A$1:$L$312,$W4,AN$1:AN$2),DMAX($A$1:$L$312,$W4,AN$1:AN$2),AN3)</f>
        <v>0.34693877551020408</v>
      </c>
      <c r="AO4">
        <f t="shared" si="16"/>
        <v>0</v>
      </c>
      <c r="AP4">
        <f t="shared" si="16"/>
        <v>1</v>
      </c>
      <c r="AQ4">
        <f t="shared" si="16"/>
        <v>0.62337662337662336</v>
      </c>
      <c r="AR4">
        <f t="shared" si="16"/>
        <v>0.45669291338582679</v>
      </c>
      <c r="AS4">
        <f t="shared" si="16"/>
        <v>0.36363636363636365</v>
      </c>
      <c r="AT4">
        <f t="shared" si="16"/>
        <v>0.38</v>
      </c>
      <c r="AU4">
        <f t="shared" si="16"/>
        <v>0.66666666666666663</v>
      </c>
      <c r="AV4">
        <f t="shared" si="16"/>
        <v>0</v>
      </c>
      <c r="AW4">
        <f t="shared" si="16"/>
        <v>0.352112676056338</v>
      </c>
      <c r="AX4">
        <f t="shared" si="16"/>
        <v>0</v>
      </c>
    </row>
    <row r="5" spans="1:50">
      <c r="A5" t="s">
        <v>188</v>
      </c>
      <c r="B5">
        <v>1</v>
      </c>
      <c r="C5" t="str">
        <f t="shared" si="0"/>
        <v>test.BallonFactory_1_</v>
      </c>
      <c r="D5">
        <v>4</v>
      </c>
      <c r="E5" s="4">
        <v>0.60784313725490191</v>
      </c>
      <c r="F5" s="4">
        <v>0.18648515663441037</v>
      </c>
      <c r="G5" s="4">
        <f t="shared" si="1"/>
        <v>0.60784313725490191</v>
      </c>
      <c r="H5" s="4" t="str">
        <f t="shared" si="2"/>
        <v/>
      </c>
      <c r="I5" s="4" t="str">
        <f t="shared" si="3"/>
        <v/>
      </c>
      <c r="J5" s="4" t="str">
        <f t="shared" si="4"/>
        <v/>
      </c>
      <c r="K5" s="4" t="str">
        <f t="shared" si="5"/>
        <v/>
      </c>
      <c r="L5" s="4" t="str">
        <f t="shared" si="6"/>
        <v/>
      </c>
      <c r="M5" s="4">
        <f>SUM(R5:V5)/64</f>
        <v>0.375</v>
      </c>
      <c r="N5" s="4">
        <f t="shared" si="14"/>
        <v>0.328125</v>
      </c>
      <c r="O5" s="4">
        <f t="shared" ref="O5:O7" si="17">SUM(Q5:V5)</f>
        <v>27</v>
      </c>
      <c r="P5" t="s">
        <v>606</v>
      </c>
      <c r="Q5" s="8">
        <f t="shared" si="7"/>
        <v>3</v>
      </c>
      <c r="R5" s="8">
        <f t="shared" si="8"/>
        <v>0</v>
      </c>
      <c r="S5" s="8">
        <f t="shared" si="9"/>
        <v>3</v>
      </c>
      <c r="T5" s="8">
        <f t="shared" si="10"/>
        <v>8</v>
      </c>
      <c r="U5" s="8">
        <f t="shared" si="11"/>
        <v>7</v>
      </c>
      <c r="V5" s="8">
        <f t="shared" si="12"/>
        <v>6</v>
      </c>
      <c r="W5" t="s">
        <v>606</v>
      </c>
      <c r="X5">
        <f t="shared" si="15"/>
        <v>0.62745098039215685</v>
      </c>
      <c r="Y5">
        <f t="shared" si="15"/>
        <v>0.48484848484848486</v>
      </c>
      <c r="Z5">
        <f t="shared" si="15"/>
        <v>0.65248226950354615</v>
      </c>
      <c r="AA5">
        <f t="shared" si="15"/>
        <v>0.77165354330708658</v>
      </c>
      <c r="AB5">
        <f t="shared" si="15"/>
        <v>0.76237623762376239</v>
      </c>
      <c r="AC5">
        <f t="shared" si="15"/>
        <v>0.63157894736842102</v>
      </c>
      <c r="AD5">
        <f t="shared" si="15"/>
        <v>0.5</v>
      </c>
      <c r="AE5">
        <f t="shared" si="15"/>
        <v>1</v>
      </c>
      <c r="AF5">
        <f t="shared" si="15"/>
        <v>1</v>
      </c>
      <c r="AG5">
        <f t="shared" si="15"/>
        <v>1</v>
      </c>
      <c r="AH5">
        <f t="shared" si="15"/>
        <v>1</v>
      </c>
      <c r="AI5">
        <f t="shared" si="15"/>
        <v>0.5</v>
      </c>
      <c r="AJ5">
        <f t="shared" si="15"/>
        <v>0.33962264150943394</v>
      </c>
      <c r="AK5">
        <f t="shared" si="15"/>
        <v>0.75887265135699378</v>
      </c>
      <c r="AL5">
        <f t="shared" si="15"/>
        <v>1</v>
      </c>
      <c r="AM5">
        <f t="shared" si="15"/>
        <v>0.72307692307692306</v>
      </c>
      <c r="AN5">
        <f t="shared" si="16"/>
        <v>0.34693877551020408</v>
      </c>
      <c r="AO5">
        <f t="shared" si="16"/>
        <v>0</v>
      </c>
      <c r="AP5">
        <f t="shared" si="16"/>
        <v>1</v>
      </c>
      <c r="AQ5">
        <f t="shared" si="16"/>
        <v>0.74025974025974028</v>
      </c>
      <c r="AR5">
        <f t="shared" si="16"/>
        <v>0.83464566929133854</v>
      </c>
      <c r="AS5">
        <f t="shared" si="16"/>
        <v>0.72727272727272729</v>
      </c>
      <c r="AT5">
        <f t="shared" si="16"/>
        <v>0.88</v>
      </c>
      <c r="AU5">
        <f t="shared" si="16"/>
        <v>0.77777777777777779</v>
      </c>
      <c r="AV5">
        <f t="shared" si="16"/>
        <v>0</v>
      </c>
      <c r="AW5">
        <f t="shared" si="16"/>
        <v>0.84507042253521125</v>
      </c>
      <c r="AX5">
        <f t="shared" si="16"/>
        <v>0</v>
      </c>
    </row>
    <row r="6" spans="1:50">
      <c r="A6" t="s">
        <v>188</v>
      </c>
      <c r="B6">
        <v>1</v>
      </c>
      <c r="C6" t="str">
        <f t="shared" si="0"/>
        <v>test.BallonFactory_1_</v>
      </c>
      <c r="D6">
        <v>5</v>
      </c>
      <c r="E6" s="4">
        <v>0.60784313725490191</v>
      </c>
      <c r="F6" s="4">
        <v>0.18681318681318682</v>
      </c>
      <c r="G6" s="4">
        <f t="shared" si="1"/>
        <v>0.60784313725490191</v>
      </c>
      <c r="H6" s="4" t="str">
        <f t="shared" si="2"/>
        <v/>
      </c>
      <c r="I6" s="4" t="str">
        <f t="shared" si="3"/>
        <v/>
      </c>
      <c r="J6" s="4" t="str">
        <f t="shared" si="4"/>
        <v/>
      </c>
      <c r="K6" s="4" t="str">
        <f t="shared" si="5"/>
        <v/>
      </c>
      <c r="L6" s="4" t="str">
        <f t="shared" si="6"/>
        <v/>
      </c>
      <c r="M6" s="4">
        <f>25/64</f>
        <v>0.390625</v>
      </c>
      <c r="N6" s="4">
        <f>SUM(T6:V6)/64</f>
        <v>0.375</v>
      </c>
      <c r="O6" s="4">
        <f t="shared" si="17"/>
        <v>27</v>
      </c>
      <c r="P6" t="s">
        <v>681</v>
      </c>
      <c r="Q6" s="8">
        <f t="shared" si="7"/>
        <v>2</v>
      </c>
      <c r="R6" s="8">
        <f t="shared" si="8"/>
        <v>0</v>
      </c>
      <c r="S6" s="8">
        <f t="shared" si="9"/>
        <v>1</v>
      </c>
      <c r="T6" s="8">
        <f t="shared" si="10"/>
        <v>5</v>
      </c>
      <c r="U6" s="8">
        <f t="shared" si="11"/>
        <v>8</v>
      </c>
      <c r="V6" s="8">
        <f t="shared" si="12"/>
        <v>11</v>
      </c>
      <c r="W6" t="s">
        <v>681</v>
      </c>
      <c r="X6">
        <f t="shared" si="15"/>
        <v>0.80392156862745101</v>
      </c>
      <c r="Y6">
        <f t="shared" si="15"/>
        <v>0.94696969696969702</v>
      </c>
      <c r="Z6">
        <f t="shared" si="15"/>
        <v>0.65248226950354615</v>
      </c>
      <c r="AA6">
        <f t="shared" si="15"/>
        <v>1</v>
      </c>
      <c r="AB6">
        <f t="shared" si="15"/>
        <v>0.76237623762376239</v>
      </c>
      <c r="AC6">
        <f t="shared" si="15"/>
        <v>0.89473684210526316</v>
      </c>
      <c r="AD6">
        <f t="shared" si="15"/>
        <v>0.5</v>
      </c>
      <c r="AE6">
        <f t="shared" si="15"/>
        <v>1</v>
      </c>
      <c r="AF6">
        <f t="shared" si="15"/>
        <v>1</v>
      </c>
      <c r="AG6">
        <f t="shared" si="15"/>
        <v>1</v>
      </c>
      <c r="AH6">
        <f t="shared" si="15"/>
        <v>1</v>
      </c>
      <c r="AI6">
        <f t="shared" si="15"/>
        <v>0.5</v>
      </c>
      <c r="AJ6">
        <f t="shared" si="15"/>
        <v>0.84905660377358494</v>
      </c>
      <c r="AK6">
        <f t="shared" si="15"/>
        <v>0.94885177453027136</v>
      </c>
      <c r="AL6">
        <f t="shared" si="15"/>
        <v>1</v>
      </c>
      <c r="AM6">
        <f t="shared" si="15"/>
        <v>0.72307692307692306</v>
      </c>
      <c r="AN6">
        <f t="shared" si="16"/>
        <v>0.34693877551020408</v>
      </c>
      <c r="AO6">
        <f t="shared" si="16"/>
        <v>0</v>
      </c>
      <c r="AP6">
        <f t="shared" si="16"/>
        <v>1</v>
      </c>
      <c r="AQ6">
        <f t="shared" si="16"/>
        <v>0.94805194805194803</v>
      </c>
      <c r="AR6">
        <f t="shared" si="16"/>
        <v>0.96850393700787396</v>
      </c>
      <c r="AS6">
        <f t="shared" si="16"/>
        <v>0.72727272727272729</v>
      </c>
      <c r="AT6">
        <f t="shared" si="16"/>
        <v>1</v>
      </c>
      <c r="AU6">
        <f t="shared" si="16"/>
        <v>1</v>
      </c>
      <c r="AV6">
        <f t="shared" si="16"/>
        <v>0</v>
      </c>
      <c r="AW6">
        <f t="shared" si="16"/>
        <v>1</v>
      </c>
      <c r="AX6">
        <f t="shared" si="16"/>
        <v>1</v>
      </c>
    </row>
    <row r="7" spans="1:50">
      <c r="A7" t="s">
        <v>188</v>
      </c>
      <c r="B7">
        <v>1</v>
      </c>
      <c r="C7" t="str">
        <f t="shared" si="0"/>
        <v>test.BallonFactory_1_</v>
      </c>
      <c r="D7">
        <v>6</v>
      </c>
      <c r="E7" s="4">
        <v>0.60784313725490191</v>
      </c>
      <c r="F7" s="4">
        <v>0.18697720190257502</v>
      </c>
      <c r="G7" s="4">
        <f t="shared" si="1"/>
        <v>0.60784313725490191</v>
      </c>
      <c r="H7" s="4" t="str">
        <f t="shared" si="2"/>
        <v/>
      </c>
      <c r="I7" s="4" t="str">
        <f t="shared" si="3"/>
        <v/>
      </c>
      <c r="J7" s="4" t="str">
        <f t="shared" si="4"/>
        <v/>
      </c>
      <c r="K7" s="4" t="str">
        <f t="shared" si="5"/>
        <v/>
      </c>
      <c r="L7" s="4" t="str">
        <f t="shared" si="6"/>
        <v/>
      </c>
      <c r="M7" s="4"/>
      <c r="N7" s="4">
        <f t="shared" si="14"/>
        <v>0.421875</v>
      </c>
      <c r="O7" s="4">
        <f t="shared" si="17"/>
        <v>27</v>
      </c>
      <c r="P7" s="7" t="s">
        <v>607</v>
      </c>
      <c r="Q7" s="8">
        <f t="shared" si="7"/>
        <v>0</v>
      </c>
      <c r="R7" s="8">
        <f t="shared" si="8"/>
        <v>0</v>
      </c>
      <c r="S7" s="8">
        <f t="shared" si="9"/>
        <v>0</v>
      </c>
      <c r="T7" s="8">
        <f t="shared" si="10"/>
        <v>0</v>
      </c>
      <c r="U7" s="8">
        <f t="shared" si="11"/>
        <v>8</v>
      </c>
      <c r="V7" s="8">
        <f t="shared" si="12"/>
        <v>19</v>
      </c>
      <c r="W7" s="7" t="s">
        <v>607</v>
      </c>
      <c r="X7">
        <f t="shared" si="15"/>
        <v>0.80392156862745101</v>
      </c>
      <c r="Y7">
        <f t="shared" si="15"/>
        <v>1</v>
      </c>
      <c r="Z7">
        <f t="shared" si="15"/>
        <v>1</v>
      </c>
      <c r="AA7">
        <f t="shared" si="15"/>
        <v>1</v>
      </c>
      <c r="AB7">
        <f t="shared" si="15"/>
        <v>0.7722772277227723</v>
      </c>
      <c r="AC7">
        <f t="shared" si="15"/>
        <v>0.89473684210526316</v>
      </c>
      <c r="AD7">
        <f t="shared" si="15"/>
        <v>1</v>
      </c>
      <c r="AE7">
        <f t="shared" si="15"/>
        <v>1</v>
      </c>
      <c r="AF7">
        <f t="shared" si="15"/>
        <v>1</v>
      </c>
      <c r="AG7">
        <f t="shared" si="15"/>
        <v>1</v>
      </c>
      <c r="AH7">
        <f t="shared" si="15"/>
        <v>1</v>
      </c>
      <c r="AI7">
        <f t="shared" si="15"/>
        <v>0.9</v>
      </c>
      <c r="AJ7">
        <f t="shared" si="15"/>
        <v>0.96226415094339623</v>
      </c>
      <c r="AK7">
        <f t="shared" si="15"/>
        <v>1</v>
      </c>
      <c r="AL7">
        <f t="shared" si="15"/>
        <v>1</v>
      </c>
      <c r="AM7">
        <f t="shared" si="15"/>
        <v>0.96923076923076923</v>
      </c>
      <c r="AN7">
        <f t="shared" si="16"/>
        <v>1</v>
      </c>
      <c r="AO7">
        <f t="shared" si="16"/>
        <v>1</v>
      </c>
      <c r="AP7">
        <f t="shared" si="16"/>
        <v>1</v>
      </c>
      <c r="AQ7">
        <f t="shared" si="16"/>
        <v>0.94805194805194803</v>
      </c>
      <c r="AR7">
        <f t="shared" si="16"/>
        <v>0.96850393700787396</v>
      </c>
      <c r="AS7">
        <f t="shared" si="16"/>
        <v>1</v>
      </c>
      <c r="AT7">
        <f t="shared" si="16"/>
        <v>1</v>
      </c>
      <c r="AU7">
        <f t="shared" si="16"/>
        <v>1</v>
      </c>
      <c r="AV7">
        <f t="shared" si="16"/>
        <v>1</v>
      </c>
      <c r="AW7">
        <f t="shared" si="16"/>
        <v>1</v>
      </c>
      <c r="AX7">
        <f t="shared" si="16"/>
        <v>1</v>
      </c>
    </row>
    <row r="8" spans="1:50">
      <c r="A8" t="s">
        <v>188</v>
      </c>
      <c r="B8">
        <v>1</v>
      </c>
      <c r="C8" t="str">
        <f t="shared" si="0"/>
        <v>test.BallonFactory_1_</v>
      </c>
      <c r="D8">
        <v>7</v>
      </c>
      <c r="E8" s="4">
        <v>0.60784313725490191</v>
      </c>
      <c r="F8" s="4">
        <v>0.18714121699196326</v>
      </c>
      <c r="G8" s="4">
        <f t="shared" si="1"/>
        <v>0.60784313725490191</v>
      </c>
      <c r="H8" s="4" t="str">
        <f t="shared" si="2"/>
        <v/>
      </c>
      <c r="I8" s="4" t="str">
        <f t="shared" si="3"/>
        <v/>
      </c>
      <c r="J8" s="4" t="str">
        <f t="shared" si="4"/>
        <v/>
      </c>
      <c r="K8" s="4" t="str">
        <f t="shared" si="5"/>
        <v/>
      </c>
      <c r="L8" s="4" t="str">
        <f t="shared" si="6"/>
        <v/>
      </c>
      <c r="M8" s="4"/>
      <c r="N8" s="4">
        <f>SUM(T8:V8)/64</f>
        <v>0.421875</v>
      </c>
      <c r="O8" s="4"/>
      <c r="P8" s="4" t="s">
        <v>682</v>
      </c>
      <c r="Q8" s="8">
        <f t="shared" si="7"/>
        <v>0</v>
      </c>
      <c r="R8" s="8">
        <f t="shared" si="8"/>
        <v>0</v>
      </c>
      <c r="S8" s="8">
        <f t="shared" si="9"/>
        <v>0</v>
      </c>
      <c r="T8" s="8">
        <f t="shared" si="10"/>
        <v>0</v>
      </c>
      <c r="U8" s="8">
        <f t="shared" si="11"/>
        <v>8</v>
      </c>
      <c r="V8" s="8">
        <f t="shared" si="12"/>
        <v>19</v>
      </c>
      <c r="W8" s="7" t="s">
        <v>682</v>
      </c>
      <c r="X8">
        <f t="shared" si="15"/>
        <v>0.80392156862745101</v>
      </c>
      <c r="Y8">
        <f t="shared" si="15"/>
        <v>1</v>
      </c>
      <c r="Z8">
        <f t="shared" si="15"/>
        <v>1</v>
      </c>
      <c r="AA8">
        <f t="shared" si="15"/>
        <v>1</v>
      </c>
      <c r="AB8">
        <f t="shared" si="15"/>
        <v>0.7722772277227723</v>
      </c>
      <c r="AC8">
        <f t="shared" si="15"/>
        <v>0.89473684210526316</v>
      </c>
      <c r="AD8">
        <f t="shared" si="15"/>
        <v>1</v>
      </c>
      <c r="AE8">
        <f t="shared" si="15"/>
        <v>1</v>
      </c>
      <c r="AF8">
        <f t="shared" si="15"/>
        <v>1</v>
      </c>
      <c r="AG8">
        <f t="shared" si="15"/>
        <v>1</v>
      </c>
      <c r="AH8">
        <f t="shared" si="15"/>
        <v>1</v>
      </c>
      <c r="AI8">
        <f t="shared" si="15"/>
        <v>0.9</v>
      </c>
      <c r="AJ8">
        <f t="shared" si="15"/>
        <v>0.96226415094339623</v>
      </c>
      <c r="AK8">
        <f t="shared" si="15"/>
        <v>1</v>
      </c>
      <c r="AL8">
        <f t="shared" si="15"/>
        <v>1</v>
      </c>
      <c r="AM8">
        <f t="shared" si="15"/>
        <v>0.96923076923076923</v>
      </c>
      <c r="AN8">
        <f t="shared" si="16"/>
        <v>1</v>
      </c>
      <c r="AO8">
        <f t="shared" si="16"/>
        <v>1</v>
      </c>
      <c r="AP8">
        <f t="shared" si="16"/>
        <v>1</v>
      </c>
      <c r="AQ8">
        <f t="shared" si="16"/>
        <v>0.94805194805194803</v>
      </c>
      <c r="AR8">
        <f t="shared" si="16"/>
        <v>0.96850393700787396</v>
      </c>
      <c r="AS8">
        <f t="shared" si="16"/>
        <v>1</v>
      </c>
      <c r="AT8">
        <f t="shared" si="16"/>
        <v>1</v>
      </c>
      <c r="AU8">
        <f t="shared" si="16"/>
        <v>1</v>
      </c>
      <c r="AV8">
        <f t="shared" si="16"/>
        <v>1</v>
      </c>
      <c r="AW8">
        <f t="shared" si="16"/>
        <v>1</v>
      </c>
      <c r="AX8">
        <f t="shared" si="16"/>
        <v>1</v>
      </c>
    </row>
    <row r="9" spans="1:50">
      <c r="A9" t="s">
        <v>188</v>
      </c>
      <c r="B9">
        <v>1</v>
      </c>
      <c r="C9" t="str">
        <f t="shared" si="0"/>
        <v>test.BallonFactory_1_</v>
      </c>
      <c r="D9">
        <v>8</v>
      </c>
      <c r="E9" s="4">
        <v>0.60784313725490191</v>
      </c>
      <c r="F9" s="4">
        <v>0.18878136788584549</v>
      </c>
      <c r="G9" s="4">
        <f t="shared" si="1"/>
        <v>0.60784313725490191</v>
      </c>
      <c r="H9" s="4" t="str">
        <f t="shared" si="2"/>
        <v/>
      </c>
      <c r="I9" s="4" t="str">
        <f t="shared" si="3"/>
        <v/>
      </c>
      <c r="J9" s="4" t="str">
        <f t="shared" si="4"/>
        <v/>
      </c>
      <c r="K9" s="4" t="str">
        <f t="shared" si="5"/>
        <v/>
      </c>
      <c r="L9" s="4" t="str">
        <f t="shared" si="6"/>
        <v/>
      </c>
      <c r="M9" s="4"/>
      <c r="N9" s="4"/>
      <c r="O9" s="4"/>
      <c r="P9" s="4"/>
      <c r="Q9" s="4"/>
      <c r="R9" s="4"/>
      <c r="S9" s="4"/>
      <c r="T9" s="4"/>
      <c r="U9" s="4"/>
    </row>
    <row r="10" spans="1:50">
      <c r="A10" t="s">
        <v>188</v>
      </c>
      <c r="B10">
        <v>1</v>
      </c>
      <c r="C10" t="str">
        <f t="shared" si="0"/>
        <v>test.BallonFactory_1_</v>
      </c>
      <c r="D10">
        <v>9</v>
      </c>
      <c r="E10" s="4">
        <v>0.62745098039215685</v>
      </c>
      <c r="F10" s="4">
        <v>0.20009840905363294</v>
      </c>
      <c r="G10" s="4" t="str">
        <f t="shared" si="1"/>
        <v/>
      </c>
      <c r="H10" s="4">
        <f t="shared" si="2"/>
        <v>0.62745098039215685</v>
      </c>
      <c r="I10" s="4" t="str">
        <f t="shared" si="3"/>
        <v/>
      </c>
      <c r="J10" s="4" t="str">
        <f t="shared" si="4"/>
        <v/>
      </c>
      <c r="K10" s="4" t="str">
        <f t="shared" si="5"/>
        <v/>
      </c>
      <c r="L10" s="4" t="str">
        <f t="shared" si="6"/>
        <v/>
      </c>
      <c r="M10" s="4"/>
      <c r="N10" s="4"/>
      <c r="O10" s="4"/>
      <c r="P10" s="4"/>
      <c r="Q10" s="4"/>
      <c r="R10" s="4"/>
      <c r="S10" s="4"/>
      <c r="T10" s="4"/>
      <c r="U10" s="4"/>
    </row>
    <row r="11" spans="1:50">
      <c r="A11" t="s">
        <v>188</v>
      </c>
      <c r="B11">
        <v>1</v>
      </c>
      <c r="C11" t="str">
        <f t="shared" si="0"/>
        <v>test.BallonFactory_1_</v>
      </c>
      <c r="D11">
        <v>10</v>
      </c>
      <c r="E11" s="4">
        <v>0.62745098039215685</v>
      </c>
      <c r="F11" s="4">
        <v>0.20059045432179762</v>
      </c>
      <c r="G11" s="4" t="str">
        <f t="shared" si="1"/>
        <v/>
      </c>
      <c r="H11" s="4">
        <f t="shared" si="2"/>
        <v>0.62745098039215685</v>
      </c>
      <c r="I11" s="4" t="str">
        <f t="shared" si="3"/>
        <v/>
      </c>
      <c r="J11" s="4" t="str">
        <f t="shared" si="4"/>
        <v/>
      </c>
      <c r="K11" s="4" t="str">
        <f t="shared" si="5"/>
        <v/>
      </c>
      <c r="L11" s="4" t="str">
        <f t="shared" si="6"/>
        <v/>
      </c>
      <c r="M11" s="4"/>
      <c r="N11" s="4"/>
      <c r="O11" s="4"/>
      <c r="P11" s="4"/>
      <c r="Q11" s="4"/>
      <c r="R11" s="4"/>
      <c r="S11" s="4"/>
      <c r="T11" s="4"/>
      <c r="U11" s="4"/>
    </row>
    <row r="12" spans="1:50">
      <c r="A12" t="s">
        <v>188</v>
      </c>
      <c r="B12">
        <v>1</v>
      </c>
      <c r="C12" t="str">
        <f t="shared" si="0"/>
        <v>test.BallonFactory_1_</v>
      </c>
      <c r="D12">
        <v>11</v>
      </c>
      <c r="E12" s="4">
        <v>0.62745098039215685</v>
      </c>
      <c r="F12" s="4">
        <v>0.20091848450057406</v>
      </c>
      <c r="G12" s="4" t="str">
        <f t="shared" si="1"/>
        <v/>
      </c>
      <c r="H12" s="4">
        <f t="shared" si="2"/>
        <v>0.62745098039215685</v>
      </c>
      <c r="I12" s="4" t="str">
        <f t="shared" si="3"/>
        <v/>
      </c>
      <c r="J12" s="4" t="str">
        <f t="shared" si="4"/>
        <v/>
      </c>
      <c r="K12" s="4" t="str">
        <f t="shared" si="5"/>
        <v/>
      </c>
      <c r="L12" s="4" t="str">
        <f t="shared" si="6"/>
        <v/>
      </c>
      <c r="M12" s="4"/>
      <c r="N12" s="4"/>
      <c r="O12" s="4"/>
      <c r="P12" s="4"/>
      <c r="Q12" s="4"/>
      <c r="R12" s="4"/>
      <c r="S12" s="4"/>
      <c r="T12" s="4"/>
      <c r="U12" s="4"/>
    </row>
    <row r="13" spans="1:50">
      <c r="A13" t="s">
        <v>188</v>
      </c>
      <c r="B13">
        <v>1</v>
      </c>
      <c r="C13" t="str">
        <f t="shared" si="0"/>
        <v>test.BallonFactory_1_</v>
      </c>
      <c r="D13">
        <v>12</v>
      </c>
      <c r="E13" s="4">
        <v>0.62745098039215685</v>
      </c>
      <c r="F13" s="4">
        <v>0.20419878628833854</v>
      </c>
      <c r="G13" s="4" t="str">
        <f t="shared" si="1"/>
        <v/>
      </c>
      <c r="H13" s="4">
        <f t="shared" si="2"/>
        <v>0.62745098039215685</v>
      </c>
      <c r="I13" s="4" t="str">
        <f t="shared" si="3"/>
        <v/>
      </c>
      <c r="J13" s="4" t="str">
        <f t="shared" si="4"/>
        <v/>
      </c>
      <c r="K13" s="4" t="str">
        <f t="shared" si="5"/>
        <v/>
      </c>
      <c r="L13" s="4" t="str">
        <f t="shared" si="6"/>
        <v/>
      </c>
      <c r="M13" s="4"/>
      <c r="N13" s="4"/>
      <c r="O13" s="4"/>
      <c r="P13" s="4"/>
      <c r="Q13" s="4"/>
      <c r="R13" s="4"/>
      <c r="S13" s="4"/>
      <c r="T13" s="4"/>
      <c r="U13" s="4"/>
    </row>
    <row r="14" spans="1:50">
      <c r="A14" t="s">
        <v>188</v>
      </c>
      <c r="B14">
        <v>1</v>
      </c>
      <c r="C14" t="str">
        <f t="shared" si="0"/>
        <v>test.BallonFactory_1_</v>
      </c>
      <c r="D14">
        <v>13</v>
      </c>
      <c r="E14" s="4">
        <v>0.80392156862745101</v>
      </c>
      <c r="F14" s="4">
        <v>0.61915696244054452</v>
      </c>
      <c r="G14" s="4" t="str">
        <f t="shared" si="1"/>
        <v/>
      </c>
      <c r="H14" s="4" t="str">
        <f t="shared" si="2"/>
        <v/>
      </c>
      <c r="I14" s="4" t="str">
        <f t="shared" si="3"/>
        <v/>
      </c>
      <c r="J14" s="4">
        <f t="shared" si="4"/>
        <v>0.80392156862745101</v>
      </c>
      <c r="K14" s="4" t="str">
        <f t="shared" si="5"/>
        <v/>
      </c>
      <c r="L14" s="4" t="str">
        <f t="shared" si="6"/>
        <v/>
      </c>
      <c r="M14" s="4"/>
      <c r="N14" s="4"/>
      <c r="O14" s="4"/>
      <c r="P14" s="4"/>
      <c r="Q14" s="4"/>
      <c r="R14" s="4"/>
      <c r="S14" s="4"/>
      <c r="T14" s="4"/>
      <c r="U14" s="4"/>
    </row>
    <row r="15" spans="1:50">
      <c r="A15" t="s">
        <v>188</v>
      </c>
      <c r="B15">
        <v>1</v>
      </c>
      <c r="C15" t="str">
        <f t="shared" si="0"/>
        <v>test.BallonFactory_1_</v>
      </c>
      <c r="D15">
        <v>14</v>
      </c>
      <c r="E15" s="4">
        <v>0.80392156862745101</v>
      </c>
      <c r="F15" s="4">
        <v>0.62014105297687383</v>
      </c>
      <c r="G15" s="4" t="str">
        <f t="shared" si="1"/>
        <v/>
      </c>
      <c r="H15" s="4" t="str">
        <f t="shared" si="2"/>
        <v/>
      </c>
      <c r="I15" s="4" t="str">
        <f t="shared" si="3"/>
        <v/>
      </c>
      <c r="J15" s="4">
        <f t="shared" si="4"/>
        <v>0.80392156862745101</v>
      </c>
      <c r="K15" s="4" t="str">
        <f t="shared" si="5"/>
        <v/>
      </c>
      <c r="L15" s="4" t="str">
        <f t="shared" si="6"/>
        <v/>
      </c>
      <c r="M15" s="4"/>
      <c r="N15" s="4"/>
      <c r="O15" s="4"/>
      <c r="P15" s="4"/>
      <c r="Q15" s="4"/>
      <c r="R15" s="4"/>
      <c r="S15" s="4"/>
      <c r="T15" s="4"/>
      <c r="U15" s="4"/>
    </row>
    <row r="16" spans="1:50">
      <c r="A16" t="s">
        <v>188</v>
      </c>
      <c r="B16">
        <v>1</v>
      </c>
      <c r="C16" t="str">
        <f t="shared" si="0"/>
        <v>test.BallonFactory_1_</v>
      </c>
      <c r="D16">
        <v>15</v>
      </c>
      <c r="E16" s="4">
        <v>0.80392156862745101</v>
      </c>
      <c r="F16" s="4">
        <v>0.62227324913892079</v>
      </c>
      <c r="G16" s="4" t="str">
        <f t="shared" si="1"/>
        <v/>
      </c>
      <c r="H16" s="4" t="str">
        <f t="shared" si="2"/>
        <v/>
      </c>
      <c r="I16" s="4" t="str">
        <f t="shared" si="3"/>
        <v/>
      </c>
      <c r="J16" s="4">
        <f t="shared" si="4"/>
        <v>0.80392156862745101</v>
      </c>
      <c r="K16" s="4" t="str">
        <f t="shared" si="5"/>
        <v/>
      </c>
      <c r="L16" s="4" t="str">
        <f t="shared" si="6"/>
        <v/>
      </c>
      <c r="M16" s="4"/>
      <c r="N16" s="4"/>
      <c r="O16" s="4"/>
      <c r="P16" s="4"/>
      <c r="Q16" s="4"/>
      <c r="R16" s="4"/>
      <c r="S16" s="4"/>
      <c r="T16" s="4"/>
      <c r="U16" s="4"/>
    </row>
    <row r="17" spans="1:21">
      <c r="A17" t="s">
        <v>188</v>
      </c>
      <c r="B17">
        <v>1</v>
      </c>
      <c r="C17" t="str">
        <f t="shared" si="0"/>
        <v>test.BallonFactory_1_</v>
      </c>
      <c r="D17">
        <v>16</v>
      </c>
      <c r="E17" s="4">
        <v>0.80392156862745101</v>
      </c>
      <c r="F17" s="4">
        <v>0.62309332458586186</v>
      </c>
      <c r="G17" s="4" t="str">
        <f t="shared" si="1"/>
        <v/>
      </c>
      <c r="H17" s="4" t="str">
        <f t="shared" si="2"/>
        <v/>
      </c>
      <c r="I17" s="4" t="str">
        <f t="shared" si="3"/>
        <v/>
      </c>
      <c r="J17" s="4">
        <f t="shared" si="4"/>
        <v>0.80392156862745101</v>
      </c>
      <c r="K17" s="4" t="str">
        <f t="shared" si="5"/>
        <v/>
      </c>
      <c r="L17" s="4" t="str">
        <f t="shared" si="6"/>
        <v/>
      </c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t="s">
        <v>188</v>
      </c>
      <c r="B18">
        <v>7</v>
      </c>
      <c r="C18" t="str">
        <f t="shared" si="0"/>
        <v>test.BallonFactory_7_</v>
      </c>
      <c r="D18">
        <v>1</v>
      </c>
      <c r="E18" s="4">
        <v>0.24242424242424243</v>
      </c>
      <c r="F18" s="4">
        <v>0.29394267171444022</v>
      </c>
      <c r="G18" s="4" t="str">
        <f t="shared" si="1"/>
        <v/>
      </c>
      <c r="H18" s="4">
        <f t="shared" si="2"/>
        <v>0.24242424242424243</v>
      </c>
      <c r="I18" s="4" t="str">
        <f t="shared" si="3"/>
        <v/>
      </c>
      <c r="J18" s="4" t="str">
        <f t="shared" si="4"/>
        <v/>
      </c>
      <c r="K18" s="4" t="str">
        <f t="shared" si="5"/>
        <v/>
      </c>
      <c r="L18" s="4" t="str">
        <f t="shared" si="6"/>
        <v/>
      </c>
      <c r="M18" s="4"/>
      <c r="N18" s="4"/>
      <c r="O18" s="4"/>
      <c r="P18" s="4"/>
      <c r="Q18" s="4"/>
      <c r="R18" s="4"/>
      <c r="S18" s="4"/>
      <c r="T18" s="4"/>
      <c r="U18" s="4"/>
    </row>
    <row r="19" spans="1:21">
      <c r="A19" t="s">
        <v>188</v>
      </c>
      <c r="B19">
        <v>7</v>
      </c>
      <c r="C19" t="str">
        <f t="shared" si="0"/>
        <v>test.BallonFactory_7_</v>
      </c>
      <c r="D19">
        <v>2</v>
      </c>
      <c r="E19" s="4">
        <v>0.24242424242424243</v>
      </c>
      <c r="F19" s="4">
        <v>0.29718766901027582</v>
      </c>
      <c r="G19" s="4" t="str">
        <f t="shared" si="1"/>
        <v/>
      </c>
      <c r="H19" s="4">
        <f t="shared" si="2"/>
        <v>0.24242424242424243</v>
      </c>
      <c r="I19" s="4" t="str">
        <f t="shared" si="3"/>
        <v/>
      </c>
      <c r="J19" s="4" t="str">
        <f t="shared" si="4"/>
        <v/>
      </c>
      <c r="K19" s="4" t="str">
        <f t="shared" si="5"/>
        <v/>
      </c>
      <c r="L19" s="4" t="str">
        <f t="shared" si="6"/>
        <v/>
      </c>
      <c r="M19" s="4"/>
      <c r="N19" s="4"/>
      <c r="O19" s="4"/>
      <c r="P19" s="4"/>
      <c r="Q19" s="4"/>
      <c r="R19" s="4"/>
      <c r="S19" s="4"/>
      <c r="T19" s="4"/>
      <c r="U19" s="4"/>
    </row>
    <row r="20" spans="1:21">
      <c r="A20" t="s">
        <v>188</v>
      </c>
      <c r="B20">
        <v>7</v>
      </c>
      <c r="C20" t="str">
        <f t="shared" si="0"/>
        <v>test.BallonFactory_7_</v>
      </c>
      <c r="D20">
        <v>3</v>
      </c>
      <c r="E20" s="4">
        <v>0.24242424242424243</v>
      </c>
      <c r="F20" s="4">
        <v>0.29826933477555434</v>
      </c>
      <c r="G20" s="4" t="str">
        <f t="shared" si="1"/>
        <v/>
      </c>
      <c r="H20" s="4">
        <f t="shared" si="2"/>
        <v>0.24242424242424243</v>
      </c>
      <c r="I20" s="4" t="str">
        <f t="shared" si="3"/>
        <v/>
      </c>
      <c r="J20" s="4" t="str">
        <f t="shared" si="4"/>
        <v/>
      </c>
      <c r="K20" s="4" t="str">
        <f t="shared" si="5"/>
        <v/>
      </c>
      <c r="L20" s="4" t="str">
        <f t="shared" si="6"/>
        <v/>
      </c>
      <c r="M20" s="4"/>
      <c r="N20" s="4"/>
      <c r="O20" s="4"/>
      <c r="P20" s="4"/>
      <c r="Q20" s="4"/>
      <c r="R20" s="4"/>
      <c r="S20" s="4"/>
      <c r="T20" s="4"/>
      <c r="U20" s="4"/>
    </row>
    <row r="21" spans="1:21">
      <c r="A21" t="s">
        <v>188</v>
      </c>
      <c r="B21">
        <v>7</v>
      </c>
      <c r="C21" t="str">
        <f t="shared" si="0"/>
        <v>test.BallonFactory_7_</v>
      </c>
      <c r="D21">
        <v>4</v>
      </c>
      <c r="E21" s="4">
        <v>0.24242424242424243</v>
      </c>
      <c r="F21" s="4">
        <v>0.29853975121687398</v>
      </c>
      <c r="G21" s="4" t="str">
        <f t="shared" si="1"/>
        <v/>
      </c>
      <c r="H21" s="4">
        <f t="shared" si="2"/>
        <v>0.24242424242424243</v>
      </c>
      <c r="I21" s="4" t="str">
        <f t="shared" si="3"/>
        <v/>
      </c>
      <c r="J21" s="4" t="str">
        <f t="shared" si="4"/>
        <v/>
      </c>
      <c r="K21" s="4" t="str">
        <f t="shared" si="5"/>
        <v/>
      </c>
      <c r="L21" s="4" t="str">
        <f t="shared" si="6"/>
        <v/>
      </c>
      <c r="M21" s="4"/>
      <c r="N21" s="4"/>
      <c r="O21" s="4"/>
      <c r="P21" s="4"/>
      <c r="Q21" s="4"/>
      <c r="R21" s="4"/>
      <c r="S21" s="4"/>
      <c r="T21" s="4"/>
      <c r="U21" s="4"/>
    </row>
    <row r="22" spans="1:21">
      <c r="A22" t="s">
        <v>188</v>
      </c>
      <c r="B22">
        <v>7</v>
      </c>
      <c r="C22" t="str">
        <f t="shared" si="0"/>
        <v>test.BallonFactory_7_</v>
      </c>
      <c r="D22">
        <v>5</v>
      </c>
      <c r="E22" s="4">
        <v>0.24242424242424243</v>
      </c>
      <c r="F22" s="4">
        <v>0.29881016765819363</v>
      </c>
      <c r="G22" s="4" t="str">
        <f t="shared" si="1"/>
        <v/>
      </c>
      <c r="H22" s="4">
        <f t="shared" si="2"/>
        <v>0.24242424242424243</v>
      </c>
      <c r="I22" s="4" t="str">
        <f t="shared" si="3"/>
        <v/>
      </c>
      <c r="J22" s="4" t="str">
        <f t="shared" si="4"/>
        <v/>
      </c>
      <c r="K22" s="4" t="str">
        <f t="shared" si="5"/>
        <v/>
      </c>
      <c r="L22" s="4" t="str">
        <f t="shared" si="6"/>
        <v/>
      </c>
      <c r="M22" s="4"/>
      <c r="N22" s="4"/>
      <c r="O22" s="4"/>
      <c r="P22" s="4"/>
      <c r="Q22" s="4"/>
      <c r="R22" s="4"/>
      <c r="S22" s="4"/>
      <c r="T22" s="4"/>
      <c r="U22" s="4"/>
    </row>
    <row r="23" spans="1:21">
      <c r="A23" t="s">
        <v>188</v>
      </c>
      <c r="B23">
        <v>7</v>
      </c>
      <c r="C23" t="str">
        <f t="shared" si="0"/>
        <v>test.BallonFactory_7_</v>
      </c>
      <c r="D23">
        <v>6</v>
      </c>
      <c r="E23" s="4">
        <v>0.24242424242424243</v>
      </c>
      <c r="F23" s="4">
        <v>0.29935100054083286</v>
      </c>
      <c r="G23" s="4" t="str">
        <f t="shared" si="1"/>
        <v/>
      </c>
      <c r="H23" s="4">
        <f t="shared" si="2"/>
        <v>0.24242424242424243</v>
      </c>
      <c r="I23" s="4" t="str">
        <f t="shared" si="3"/>
        <v/>
      </c>
      <c r="J23" s="4" t="str">
        <f t="shared" si="4"/>
        <v/>
      </c>
      <c r="K23" s="4" t="str">
        <f t="shared" si="5"/>
        <v/>
      </c>
      <c r="L23" s="4" t="str">
        <f t="shared" si="6"/>
        <v/>
      </c>
      <c r="M23" s="4"/>
      <c r="N23" s="4"/>
      <c r="O23" s="4"/>
      <c r="P23" s="4"/>
      <c r="Q23" s="4"/>
      <c r="R23" s="4"/>
      <c r="S23" s="4"/>
      <c r="T23" s="4"/>
      <c r="U23" s="4"/>
    </row>
    <row r="24" spans="1:21">
      <c r="A24" t="s">
        <v>188</v>
      </c>
      <c r="B24">
        <v>7</v>
      </c>
      <c r="C24" t="str">
        <f t="shared" si="0"/>
        <v>test.BallonFactory_7_</v>
      </c>
      <c r="D24">
        <v>7</v>
      </c>
      <c r="E24" s="4">
        <v>0.24242424242424243</v>
      </c>
      <c r="F24" s="4">
        <v>0.29989183342347214</v>
      </c>
      <c r="G24" s="4" t="str">
        <f t="shared" si="1"/>
        <v/>
      </c>
      <c r="H24" s="4">
        <f t="shared" si="2"/>
        <v>0.24242424242424243</v>
      </c>
      <c r="I24" s="4" t="str">
        <f t="shared" si="3"/>
        <v/>
      </c>
      <c r="J24" s="4" t="str">
        <f t="shared" si="4"/>
        <v/>
      </c>
      <c r="K24" s="4" t="str">
        <f t="shared" si="5"/>
        <v/>
      </c>
      <c r="L24" s="4" t="str">
        <f t="shared" si="6"/>
        <v/>
      </c>
      <c r="M24" s="4"/>
      <c r="N24" s="4"/>
      <c r="O24" s="4"/>
      <c r="P24" s="4"/>
      <c r="Q24" s="4"/>
      <c r="R24" s="4"/>
      <c r="S24" s="4"/>
      <c r="T24" s="4"/>
      <c r="U24" s="4"/>
    </row>
    <row r="25" spans="1:21">
      <c r="A25" t="s">
        <v>188</v>
      </c>
      <c r="B25">
        <v>7</v>
      </c>
      <c r="C25" t="str">
        <f t="shared" si="0"/>
        <v>test.BallonFactory_7_</v>
      </c>
      <c r="D25">
        <v>8</v>
      </c>
      <c r="E25" s="4">
        <v>0.24242424242424243</v>
      </c>
      <c r="F25" s="4">
        <v>0.30097349918875066</v>
      </c>
      <c r="G25" s="4" t="str">
        <f t="shared" si="1"/>
        <v/>
      </c>
      <c r="H25" s="4">
        <f t="shared" si="2"/>
        <v>0.24242424242424243</v>
      </c>
      <c r="I25" s="4" t="str">
        <f t="shared" si="3"/>
        <v/>
      </c>
      <c r="J25" s="4" t="str">
        <f t="shared" si="4"/>
        <v/>
      </c>
      <c r="K25" s="4" t="str">
        <f t="shared" si="5"/>
        <v/>
      </c>
      <c r="L25" s="4" t="str">
        <f t="shared" si="6"/>
        <v/>
      </c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t="s">
        <v>188</v>
      </c>
      <c r="B26">
        <v>7</v>
      </c>
      <c r="C26" t="str">
        <f t="shared" si="0"/>
        <v>test.BallonFactory_7_</v>
      </c>
      <c r="D26">
        <v>9</v>
      </c>
      <c r="E26" s="4">
        <v>0.48484848484848486</v>
      </c>
      <c r="F26" s="4">
        <v>0.47674418604651164</v>
      </c>
      <c r="G26" s="4" t="str">
        <f t="shared" si="1"/>
        <v/>
      </c>
      <c r="H26" s="4" t="str">
        <f t="shared" si="2"/>
        <v/>
      </c>
      <c r="I26" s="4">
        <f t="shared" si="3"/>
        <v>0.48484848484848486</v>
      </c>
      <c r="J26" s="4" t="str">
        <f t="shared" si="4"/>
        <v/>
      </c>
      <c r="K26" s="4" t="str">
        <f t="shared" si="5"/>
        <v/>
      </c>
      <c r="L26" s="4" t="str">
        <f t="shared" si="6"/>
        <v/>
      </c>
      <c r="M26" s="4"/>
      <c r="N26" s="4"/>
      <c r="O26" s="4"/>
      <c r="P26" s="4"/>
      <c r="Q26" s="4"/>
      <c r="R26" s="4"/>
      <c r="S26" s="4"/>
      <c r="T26" s="4"/>
      <c r="U26" s="4"/>
    </row>
    <row r="27" spans="1:21">
      <c r="A27" t="s">
        <v>188</v>
      </c>
      <c r="B27">
        <v>7</v>
      </c>
      <c r="C27" t="str">
        <f t="shared" si="0"/>
        <v>test.BallonFactory_7_</v>
      </c>
      <c r="D27">
        <v>10</v>
      </c>
      <c r="E27" s="4">
        <v>0.48484848484848486</v>
      </c>
      <c r="F27" s="4">
        <v>0.47728501892915087</v>
      </c>
      <c r="G27" s="4" t="str">
        <f t="shared" si="1"/>
        <v/>
      </c>
      <c r="H27" s="4" t="str">
        <f t="shared" si="2"/>
        <v/>
      </c>
      <c r="I27" s="4">
        <f t="shared" si="3"/>
        <v>0.48484848484848486</v>
      </c>
      <c r="J27" s="4" t="str">
        <f t="shared" si="4"/>
        <v/>
      </c>
      <c r="K27" s="4" t="str">
        <f t="shared" si="5"/>
        <v/>
      </c>
      <c r="L27" s="4" t="str">
        <f t="shared" si="6"/>
        <v/>
      </c>
      <c r="M27" s="4"/>
      <c r="N27" s="4"/>
      <c r="O27" s="4"/>
      <c r="P27" s="4"/>
      <c r="Q27" s="4"/>
      <c r="R27" s="4"/>
      <c r="S27" s="4"/>
      <c r="T27" s="4"/>
      <c r="U27" s="4"/>
    </row>
    <row r="28" spans="1:21">
      <c r="A28" t="s">
        <v>188</v>
      </c>
      <c r="B28">
        <v>7</v>
      </c>
      <c r="C28" t="str">
        <f t="shared" si="0"/>
        <v>test.BallonFactory_7_</v>
      </c>
      <c r="D28">
        <v>11</v>
      </c>
      <c r="E28" s="4">
        <v>0.48484848484848486</v>
      </c>
      <c r="F28" s="4">
        <v>0.47944835045970796</v>
      </c>
      <c r="G28" s="4" t="str">
        <f t="shared" si="1"/>
        <v/>
      </c>
      <c r="H28" s="4" t="str">
        <f t="shared" si="2"/>
        <v/>
      </c>
      <c r="I28" s="4">
        <f t="shared" si="3"/>
        <v>0.48484848484848486</v>
      </c>
      <c r="J28" s="4" t="str">
        <f t="shared" si="4"/>
        <v/>
      </c>
      <c r="K28" s="4" t="str">
        <f t="shared" si="5"/>
        <v/>
      </c>
      <c r="L28" s="4" t="str">
        <f t="shared" si="6"/>
        <v/>
      </c>
      <c r="M28" s="4"/>
      <c r="N28" s="4"/>
      <c r="O28" s="4"/>
      <c r="P28" s="4"/>
      <c r="Q28" s="4"/>
      <c r="R28" s="4"/>
      <c r="S28" s="4"/>
      <c r="T28" s="4"/>
      <c r="U28" s="4"/>
    </row>
    <row r="29" spans="1:21">
      <c r="A29" t="s">
        <v>188</v>
      </c>
      <c r="B29">
        <v>7</v>
      </c>
      <c r="C29" t="str">
        <f t="shared" si="0"/>
        <v>test.BallonFactory_7_</v>
      </c>
      <c r="D29">
        <v>12</v>
      </c>
      <c r="E29" s="4">
        <v>0.48484848484848486</v>
      </c>
      <c r="F29" s="4">
        <v>0.48296376419686315</v>
      </c>
      <c r="G29" s="4" t="str">
        <f t="shared" si="1"/>
        <v/>
      </c>
      <c r="H29" s="4" t="str">
        <f t="shared" si="2"/>
        <v/>
      </c>
      <c r="I29" s="4">
        <f t="shared" si="3"/>
        <v>0.48484848484848486</v>
      </c>
      <c r="J29" s="4" t="str">
        <f t="shared" si="4"/>
        <v/>
      </c>
      <c r="K29" s="4" t="str">
        <f t="shared" si="5"/>
        <v/>
      </c>
      <c r="L29" s="4" t="str">
        <f t="shared" si="6"/>
        <v/>
      </c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t="s">
        <v>188</v>
      </c>
      <c r="B30">
        <v>7</v>
      </c>
      <c r="C30" t="str">
        <f t="shared" si="0"/>
        <v>test.BallonFactory_7_</v>
      </c>
      <c r="D30">
        <v>13</v>
      </c>
      <c r="E30" s="4">
        <v>0.70454545454545459</v>
      </c>
      <c r="F30" s="4">
        <v>0.64142779881016765</v>
      </c>
      <c r="G30" s="4" t="str">
        <f t="shared" si="1"/>
        <v/>
      </c>
      <c r="H30" s="4" t="str">
        <f t="shared" si="2"/>
        <v/>
      </c>
      <c r="I30" s="4" t="str">
        <f t="shared" si="3"/>
        <v/>
      </c>
      <c r="J30" s="4">
        <f t="shared" si="4"/>
        <v>0.70454545454545459</v>
      </c>
      <c r="K30" s="4" t="str">
        <f t="shared" si="5"/>
        <v/>
      </c>
      <c r="L30" s="4" t="str">
        <f t="shared" si="6"/>
        <v/>
      </c>
      <c r="M30" s="4"/>
      <c r="N30" s="4"/>
      <c r="O30" s="4"/>
      <c r="P30" s="4"/>
      <c r="Q30" s="4"/>
      <c r="R30" s="4"/>
      <c r="S30" s="4"/>
      <c r="T30" s="4"/>
      <c r="U30" s="4"/>
    </row>
    <row r="31" spans="1:21">
      <c r="A31" t="s">
        <v>188</v>
      </c>
      <c r="B31">
        <v>7</v>
      </c>
      <c r="C31" t="str">
        <f t="shared" si="0"/>
        <v>test.BallonFactory_7_</v>
      </c>
      <c r="D31">
        <v>14</v>
      </c>
      <c r="E31" s="4">
        <v>0.70454545454545459</v>
      </c>
      <c r="F31" s="4">
        <v>0.65305570578691186</v>
      </c>
      <c r="G31" s="4" t="str">
        <f t="shared" si="1"/>
        <v/>
      </c>
      <c r="H31" s="4" t="str">
        <f t="shared" si="2"/>
        <v/>
      </c>
      <c r="I31" s="4" t="str">
        <f t="shared" si="3"/>
        <v/>
      </c>
      <c r="J31" s="4">
        <f t="shared" si="4"/>
        <v>0.70454545454545459</v>
      </c>
      <c r="K31" s="4" t="str">
        <f t="shared" si="5"/>
        <v/>
      </c>
      <c r="L31" s="4" t="str">
        <f t="shared" si="6"/>
        <v/>
      </c>
      <c r="M31" s="4"/>
      <c r="N31" s="4"/>
      <c r="O31" s="4"/>
      <c r="P31" s="4"/>
      <c r="Q31" s="4"/>
      <c r="R31" s="4"/>
      <c r="S31" s="4"/>
      <c r="T31" s="4"/>
      <c r="U31" s="4"/>
    </row>
    <row r="32" spans="1:21">
      <c r="A32" t="s">
        <v>188</v>
      </c>
      <c r="B32">
        <v>7</v>
      </c>
      <c r="C32" t="str">
        <f t="shared" si="0"/>
        <v>test.BallonFactory_7_</v>
      </c>
      <c r="D32">
        <v>15</v>
      </c>
      <c r="E32" s="4">
        <v>0.94696969696969702</v>
      </c>
      <c r="F32" s="4">
        <v>0.7777176852352623</v>
      </c>
      <c r="G32" s="4" t="str">
        <f t="shared" si="1"/>
        <v/>
      </c>
      <c r="H32" s="4" t="str">
        <f t="shared" si="2"/>
        <v/>
      </c>
      <c r="I32" s="4" t="str">
        <f t="shared" si="3"/>
        <v/>
      </c>
      <c r="J32" s="4">
        <f t="shared" si="4"/>
        <v>0.94696969696969702</v>
      </c>
      <c r="K32" s="4" t="str">
        <f t="shared" si="5"/>
        <v/>
      </c>
      <c r="L32" s="4" t="str">
        <f t="shared" si="6"/>
        <v/>
      </c>
      <c r="M32" s="4"/>
      <c r="N32" s="4"/>
      <c r="O32" s="4"/>
      <c r="P32" s="4"/>
      <c r="Q32" s="4"/>
      <c r="R32" s="4"/>
      <c r="S32" s="4"/>
      <c r="T32" s="4"/>
      <c r="U32" s="4"/>
    </row>
    <row r="33" spans="1:21">
      <c r="A33" t="s">
        <v>188</v>
      </c>
      <c r="B33">
        <v>7</v>
      </c>
      <c r="C33" t="str">
        <f t="shared" si="0"/>
        <v>test.BallonFactory_7_</v>
      </c>
      <c r="D33">
        <v>16</v>
      </c>
      <c r="E33" s="4">
        <v>1</v>
      </c>
      <c r="F33" s="4">
        <v>0.81665765278528935</v>
      </c>
      <c r="G33" s="4" t="str">
        <f t="shared" si="1"/>
        <v/>
      </c>
      <c r="H33" s="4" t="str">
        <f t="shared" si="2"/>
        <v/>
      </c>
      <c r="I33" s="4" t="str">
        <f t="shared" si="3"/>
        <v/>
      </c>
      <c r="J33" s="4" t="str">
        <f t="shared" si="4"/>
        <v/>
      </c>
      <c r="K33" s="4">
        <f t="shared" si="5"/>
        <v>1</v>
      </c>
      <c r="L33" s="4" t="str">
        <f t="shared" si="6"/>
        <v/>
      </c>
      <c r="M33" s="4"/>
      <c r="N33" s="4"/>
      <c r="O33" s="4"/>
      <c r="P33" s="4"/>
      <c r="Q33" s="4"/>
      <c r="R33" s="4"/>
      <c r="S33" s="4"/>
      <c r="T33" s="4"/>
      <c r="U33" s="4"/>
    </row>
    <row r="34" spans="1:21">
      <c r="A34" t="s">
        <v>219</v>
      </c>
      <c r="B34">
        <v>18</v>
      </c>
      <c r="C34" t="str">
        <f t="shared" si="0"/>
        <v>test.Base64_18_</v>
      </c>
      <c r="D34">
        <v>1</v>
      </c>
      <c r="E34" s="4">
        <v>2.1276595744680851E-2</v>
      </c>
      <c r="F34" s="4">
        <v>1.6835767644107481E-2</v>
      </c>
      <c r="G34" s="4">
        <f t="shared" si="1"/>
        <v>2.1276595744680851E-2</v>
      </c>
      <c r="H34" s="4" t="str">
        <f t="shared" si="2"/>
        <v/>
      </c>
      <c r="I34" s="4" t="str">
        <f t="shared" si="3"/>
        <v/>
      </c>
      <c r="J34" s="4" t="str">
        <f t="shared" si="4"/>
        <v/>
      </c>
      <c r="K34" s="4" t="str">
        <f t="shared" si="5"/>
        <v/>
      </c>
      <c r="L34" s="4" t="str">
        <f t="shared" si="6"/>
        <v/>
      </c>
      <c r="M34" s="4"/>
      <c r="N34" s="4"/>
      <c r="O34" s="4"/>
      <c r="P34" s="4"/>
      <c r="Q34" s="4"/>
      <c r="R34" s="4"/>
      <c r="S34" s="4"/>
      <c r="T34" s="4"/>
      <c r="U34" s="4"/>
    </row>
    <row r="35" spans="1:21">
      <c r="A35" t="s">
        <v>219</v>
      </c>
      <c r="B35">
        <v>18</v>
      </c>
      <c r="C35" t="str">
        <f t="shared" si="0"/>
        <v>test.Base64_18_</v>
      </c>
      <c r="D35">
        <v>2</v>
      </c>
      <c r="E35" s="4">
        <v>4.2553191489361701E-2</v>
      </c>
      <c r="F35" s="4">
        <v>2.865425353997101E-2</v>
      </c>
      <c r="G35" s="4">
        <f t="shared" si="1"/>
        <v>4.2553191489361701E-2</v>
      </c>
      <c r="H35" s="4" t="str">
        <f t="shared" si="2"/>
        <v/>
      </c>
      <c r="I35" s="4" t="str">
        <f t="shared" si="3"/>
        <v/>
      </c>
      <c r="J35" s="4" t="str">
        <f t="shared" si="4"/>
        <v/>
      </c>
      <c r="K35" s="4" t="str">
        <f t="shared" si="5"/>
        <v/>
      </c>
      <c r="L35" s="4" t="str">
        <f t="shared" si="6"/>
        <v/>
      </c>
      <c r="M35" s="4"/>
      <c r="N35" s="4"/>
      <c r="O35" s="4"/>
      <c r="P35" s="4"/>
      <c r="Q35" s="4"/>
      <c r="R35" s="4"/>
      <c r="S35" s="4"/>
      <c r="T35" s="4"/>
      <c r="U35" s="4"/>
    </row>
    <row r="36" spans="1:21">
      <c r="A36" t="s">
        <v>219</v>
      </c>
      <c r="B36">
        <v>18</v>
      </c>
      <c r="C36" t="str">
        <f t="shared" si="0"/>
        <v>test.Base64_18_</v>
      </c>
      <c r="D36">
        <v>3</v>
      </c>
      <c r="E36" s="4">
        <v>0.12056737588652482</v>
      </c>
      <c r="F36" s="4">
        <v>6.3663730627717699E-2</v>
      </c>
      <c r="G36" s="4">
        <f t="shared" si="1"/>
        <v>0.12056737588652482</v>
      </c>
      <c r="H36" s="4" t="str">
        <f t="shared" si="2"/>
        <v/>
      </c>
      <c r="I36" s="4" t="str">
        <f t="shared" si="3"/>
        <v/>
      </c>
      <c r="J36" s="4" t="str">
        <f t="shared" si="4"/>
        <v/>
      </c>
      <c r="K36" s="4" t="str">
        <f t="shared" si="5"/>
        <v/>
      </c>
      <c r="L36" s="4" t="str">
        <f t="shared" si="6"/>
        <v/>
      </c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t="s">
        <v>219</v>
      </c>
      <c r="B37">
        <v>18</v>
      </c>
      <c r="C37" t="str">
        <f t="shared" si="0"/>
        <v>test.Base64_18_</v>
      </c>
      <c r="D37">
        <v>4</v>
      </c>
      <c r="E37" s="4">
        <v>0.16312056737588654</v>
      </c>
      <c r="F37" s="4">
        <v>8.0053517671981267E-2</v>
      </c>
      <c r="G37" s="4">
        <f t="shared" si="1"/>
        <v>0.16312056737588654</v>
      </c>
      <c r="H37" s="4" t="str">
        <f t="shared" si="2"/>
        <v/>
      </c>
      <c r="I37" s="4" t="str">
        <f t="shared" si="3"/>
        <v/>
      </c>
      <c r="J37" s="4" t="str">
        <f t="shared" si="4"/>
        <v/>
      </c>
      <c r="K37" s="4" t="str">
        <f t="shared" si="5"/>
        <v/>
      </c>
      <c r="L37" s="4" t="str">
        <f t="shared" si="6"/>
        <v/>
      </c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t="s">
        <v>219</v>
      </c>
      <c r="B38">
        <v>18</v>
      </c>
      <c r="C38" t="str">
        <f t="shared" si="0"/>
        <v>test.Base64_18_</v>
      </c>
      <c r="D38">
        <v>5</v>
      </c>
      <c r="E38" s="4">
        <v>0.24822695035460993</v>
      </c>
      <c r="F38" s="4">
        <v>0.10491693611327907</v>
      </c>
      <c r="G38" s="4">
        <f t="shared" si="1"/>
        <v>0.24822695035460993</v>
      </c>
      <c r="H38" s="4" t="str">
        <f t="shared" si="2"/>
        <v/>
      </c>
      <c r="I38" s="4" t="str">
        <f t="shared" si="3"/>
        <v/>
      </c>
      <c r="J38" s="4" t="str">
        <f t="shared" si="4"/>
        <v/>
      </c>
      <c r="K38" s="4" t="str">
        <f t="shared" si="5"/>
        <v/>
      </c>
      <c r="L38" s="4" t="str">
        <f t="shared" si="6"/>
        <v/>
      </c>
      <c r="M38" s="4"/>
      <c r="N38" s="4"/>
      <c r="O38" s="4"/>
      <c r="P38" s="4"/>
      <c r="Q38" s="4"/>
      <c r="R38" s="4"/>
      <c r="S38" s="4"/>
      <c r="T38" s="4"/>
      <c r="U38" s="4"/>
    </row>
    <row r="39" spans="1:21">
      <c r="A39" t="s">
        <v>219</v>
      </c>
      <c r="B39">
        <v>18</v>
      </c>
      <c r="C39" t="str">
        <f t="shared" si="0"/>
        <v>test.Base64_18_</v>
      </c>
      <c r="D39">
        <v>6</v>
      </c>
      <c r="E39" s="4">
        <v>0.26950354609929078</v>
      </c>
      <c r="F39" s="4">
        <v>0.11216412086074255</v>
      </c>
      <c r="G39" s="4">
        <f t="shared" si="1"/>
        <v>0.26950354609929078</v>
      </c>
      <c r="H39" s="4" t="str">
        <f t="shared" si="2"/>
        <v/>
      </c>
      <c r="I39" s="4" t="str">
        <f t="shared" si="3"/>
        <v/>
      </c>
      <c r="J39" s="4" t="str">
        <f t="shared" si="4"/>
        <v/>
      </c>
      <c r="K39" s="4" t="str">
        <f t="shared" si="5"/>
        <v/>
      </c>
      <c r="L39" s="4" t="str">
        <f t="shared" si="6"/>
        <v/>
      </c>
      <c r="M39" s="4"/>
      <c r="N39" s="4"/>
      <c r="O39" s="4"/>
      <c r="P39" s="4"/>
      <c r="Q39" s="4"/>
      <c r="R39" s="4"/>
      <c r="S39" s="4"/>
      <c r="T39" s="4"/>
      <c r="U39" s="4"/>
    </row>
    <row r="40" spans="1:21">
      <c r="A40" t="s">
        <v>219</v>
      </c>
      <c r="B40">
        <v>18</v>
      </c>
      <c r="C40" t="str">
        <f t="shared" si="0"/>
        <v>test.Base64_18_</v>
      </c>
      <c r="D40">
        <v>7</v>
      </c>
      <c r="E40" s="4">
        <v>0.29078014184397161</v>
      </c>
      <c r="F40" s="4">
        <v>0.11773887835879139</v>
      </c>
      <c r="G40" s="4">
        <f t="shared" si="1"/>
        <v>0.29078014184397161</v>
      </c>
      <c r="H40" s="4" t="str">
        <f t="shared" si="2"/>
        <v/>
      </c>
      <c r="I40" s="4" t="str">
        <f t="shared" si="3"/>
        <v/>
      </c>
      <c r="J40" s="4" t="str">
        <f t="shared" si="4"/>
        <v/>
      </c>
      <c r="K40" s="4" t="str">
        <f t="shared" si="5"/>
        <v/>
      </c>
      <c r="L40" s="4" t="str">
        <f t="shared" si="6"/>
        <v/>
      </c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t="s">
        <v>219</v>
      </c>
      <c r="B41">
        <v>18</v>
      </c>
      <c r="C41" t="str">
        <f t="shared" si="0"/>
        <v>test.Base64_18_</v>
      </c>
      <c r="D41">
        <v>8</v>
      </c>
      <c r="E41" s="4">
        <v>0.29078014184397161</v>
      </c>
      <c r="F41" s="4">
        <v>0.11929981045824507</v>
      </c>
      <c r="G41" s="4">
        <f t="shared" si="1"/>
        <v>0.29078014184397161</v>
      </c>
      <c r="H41" s="4" t="str">
        <f t="shared" si="2"/>
        <v/>
      </c>
      <c r="I41" s="4" t="str">
        <f t="shared" si="3"/>
        <v/>
      </c>
      <c r="J41" s="4" t="str">
        <f t="shared" si="4"/>
        <v/>
      </c>
      <c r="K41" s="4" t="str">
        <f t="shared" si="5"/>
        <v/>
      </c>
      <c r="L41" s="4" t="str">
        <f t="shared" si="6"/>
        <v/>
      </c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t="s">
        <v>219</v>
      </c>
      <c r="B42">
        <v>18</v>
      </c>
      <c r="C42" t="str">
        <f t="shared" si="0"/>
        <v>test.Base64_18_</v>
      </c>
      <c r="D42">
        <v>9</v>
      </c>
      <c r="E42" s="4">
        <v>0.41134751773049644</v>
      </c>
      <c r="F42" s="4">
        <v>0.16400936559259671</v>
      </c>
      <c r="G42" s="4">
        <f t="shared" si="1"/>
        <v>0.41134751773049644</v>
      </c>
      <c r="H42" s="4" t="str">
        <f t="shared" si="2"/>
        <v/>
      </c>
      <c r="I42" s="4" t="str">
        <f t="shared" si="3"/>
        <v/>
      </c>
      <c r="J42" s="4" t="str">
        <f t="shared" si="4"/>
        <v/>
      </c>
      <c r="K42" s="4" t="str">
        <f t="shared" si="5"/>
        <v/>
      </c>
      <c r="L42" s="4" t="str">
        <f t="shared" si="6"/>
        <v/>
      </c>
      <c r="M42" s="4"/>
      <c r="N42" s="4"/>
      <c r="O42" s="4"/>
      <c r="P42" s="4"/>
      <c r="Q42" s="4"/>
      <c r="R42" s="4"/>
      <c r="S42" s="4"/>
      <c r="T42" s="4"/>
      <c r="U42" s="4"/>
    </row>
    <row r="43" spans="1:21">
      <c r="A43" t="s">
        <v>219</v>
      </c>
      <c r="B43">
        <v>18</v>
      </c>
      <c r="C43" t="str">
        <f t="shared" si="0"/>
        <v>test.Base64_18_</v>
      </c>
      <c r="D43">
        <v>10</v>
      </c>
      <c r="E43" s="4">
        <v>0.54609929078014185</v>
      </c>
      <c r="F43" s="4">
        <v>0.17214851153974803</v>
      </c>
      <c r="G43" s="4">
        <f t="shared" si="1"/>
        <v>0.54609929078014185</v>
      </c>
      <c r="H43" s="4" t="str">
        <f t="shared" si="2"/>
        <v/>
      </c>
      <c r="I43" s="4" t="str">
        <f t="shared" si="3"/>
        <v/>
      </c>
      <c r="J43" s="4" t="str">
        <f t="shared" si="4"/>
        <v/>
      </c>
      <c r="K43" s="4" t="str">
        <f t="shared" si="5"/>
        <v/>
      </c>
      <c r="L43" s="4" t="str">
        <f t="shared" si="6"/>
        <v/>
      </c>
      <c r="M43" s="4"/>
      <c r="N43" s="4"/>
      <c r="O43" s="4"/>
      <c r="P43" s="4"/>
      <c r="Q43" s="4"/>
      <c r="R43" s="4"/>
      <c r="S43" s="4"/>
      <c r="T43" s="4"/>
      <c r="U43" s="4"/>
    </row>
    <row r="44" spans="1:21">
      <c r="A44" t="s">
        <v>219</v>
      </c>
      <c r="B44">
        <v>18</v>
      </c>
      <c r="C44" t="str">
        <f t="shared" si="0"/>
        <v>test.Base64_18_</v>
      </c>
      <c r="D44">
        <v>11</v>
      </c>
      <c r="E44" s="4">
        <v>0.54609929078014185</v>
      </c>
      <c r="F44" s="4">
        <v>0.17337495818931875</v>
      </c>
      <c r="G44" s="4">
        <f t="shared" si="1"/>
        <v>0.54609929078014185</v>
      </c>
      <c r="H44" s="4" t="str">
        <f t="shared" si="2"/>
        <v/>
      </c>
      <c r="I44" s="4" t="str">
        <f t="shared" si="3"/>
        <v/>
      </c>
      <c r="J44" s="4" t="str">
        <f t="shared" si="4"/>
        <v/>
      </c>
      <c r="K44" s="4" t="str">
        <f t="shared" si="5"/>
        <v/>
      </c>
      <c r="L44" s="4" t="str">
        <f t="shared" si="6"/>
        <v/>
      </c>
      <c r="M44" s="4"/>
      <c r="N44" s="4"/>
      <c r="O44" s="4"/>
      <c r="P44" s="4"/>
      <c r="Q44" s="4"/>
      <c r="R44" s="4"/>
      <c r="S44" s="4"/>
      <c r="T44" s="4"/>
      <c r="U44" s="4"/>
    </row>
    <row r="45" spans="1:21">
      <c r="A45" t="s">
        <v>219</v>
      </c>
      <c r="B45">
        <v>18</v>
      </c>
      <c r="C45" t="str">
        <f t="shared" si="0"/>
        <v>test.Base64_18_</v>
      </c>
      <c r="D45">
        <v>12</v>
      </c>
      <c r="E45" s="4">
        <v>0.58156028368794321</v>
      </c>
      <c r="F45" s="4">
        <v>0.18140260898650909</v>
      </c>
      <c r="G45" s="4">
        <f t="shared" si="1"/>
        <v>0.58156028368794321</v>
      </c>
      <c r="H45" s="4" t="str">
        <f t="shared" si="2"/>
        <v/>
      </c>
      <c r="I45" s="4" t="str">
        <f t="shared" si="3"/>
        <v/>
      </c>
      <c r="J45" s="4" t="str">
        <f t="shared" si="4"/>
        <v/>
      </c>
      <c r="K45" s="4" t="str">
        <f t="shared" si="5"/>
        <v/>
      </c>
      <c r="L45" s="4" t="str">
        <f t="shared" si="6"/>
        <v/>
      </c>
      <c r="M45" s="4"/>
      <c r="N45" s="4"/>
      <c r="O45" s="4"/>
      <c r="P45" s="4"/>
      <c r="Q45" s="4"/>
      <c r="R45" s="4"/>
      <c r="S45" s="4"/>
      <c r="T45" s="4"/>
      <c r="U45" s="4"/>
    </row>
    <row r="46" spans="1:21">
      <c r="A46" t="s">
        <v>219</v>
      </c>
      <c r="B46">
        <v>18</v>
      </c>
      <c r="C46" t="str">
        <f t="shared" si="0"/>
        <v>test.Base64_18_</v>
      </c>
      <c r="D46">
        <v>13</v>
      </c>
      <c r="E46" s="4">
        <v>0.58156028368794321</v>
      </c>
      <c r="F46" s="4">
        <v>0.18530493923514327</v>
      </c>
      <c r="G46" s="4">
        <f t="shared" si="1"/>
        <v>0.58156028368794321</v>
      </c>
      <c r="H46" s="4" t="str">
        <f t="shared" si="2"/>
        <v/>
      </c>
      <c r="I46" s="4" t="str">
        <f t="shared" si="3"/>
        <v/>
      </c>
      <c r="J46" s="4" t="str">
        <f t="shared" si="4"/>
        <v/>
      </c>
      <c r="K46" s="4" t="str">
        <f t="shared" si="5"/>
        <v/>
      </c>
      <c r="L46" s="4" t="str">
        <f t="shared" si="6"/>
        <v/>
      </c>
      <c r="M46" s="4"/>
      <c r="N46" s="4"/>
      <c r="O46" s="4"/>
      <c r="P46" s="4"/>
      <c r="Q46" s="4"/>
      <c r="R46" s="4"/>
      <c r="S46" s="4"/>
      <c r="T46" s="4"/>
      <c r="U46" s="4"/>
    </row>
    <row r="47" spans="1:21">
      <c r="A47" t="s">
        <v>219</v>
      </c>
      <c r="B47">
        <v>18</v>
      </c>
      <c r="C47" t="str">
        <f t="shared" si="0"/>
        <v>test.Base64_18_</v>
      </c>
      <c r="D47">
        <v>14</v>
      </c>
      <c r="E47" s="4">
        <v>0.58156028368794321</v>
      </c>
      <c r="F47" s="4">
        <v>0.18931876463373842</v>
      </c>
      <c r="G47" s="4">
        <f t="shared" si="1"/>
        <v>0.58156028368794321</v>
      </c>
      <c r="H47" s="4" t="str">
        <f t="shared" si="2"/>
        <v/>
      </c>
      <c r="I47" s="4" t="str">
        <f t="shared" si="3"/>
        <v/>
      </c>
      <c r="J47" s="4" t="str">
        <f t="shared" si="4"/>
        <v/>
      </c>
      <c r="K47" s="4" t="str">
        <f t="shared" si="5"/>
        <v/>
      </c>
      <c r="L47" s="4" t="str">
        <f t="shared" si="6"/>
        <v/>
      </c>
      <c r="M47" s="4"/>
      <c r="N47" s="4"/>
      <c r="O47" s="4"/>
      <c r="P47" s="4"/>
      <c r="Q47" s="4"/>
      <c r="R47" s="4"/>
      <c r="S47" s="4"/>
      <c r="T47" s="4"/>
      <c r="U47" s="4"/>
    </row>
    <row r="48" spans="1:21">
      <c r="A48" t="s">
        <v>219</v>
      </c>
      <c r="B48">
        <v>18</v>
      </c>
      <c r="C48" t="str">
        <f t="shared" si="0"/>
        <v>test.Base64_18_</v>
      </c>
      <c r="D48">
        <v>15</v>
      </c>
      <c r="E48" s="4">
        <v>0.61702127659574468</v>
      </c>
      <c r="F48" s="4">
        <v>0.19344408518229458</v>
      </c>
      <c r="G48" s="4">
        <f t="shared" si="1"/>
        <v>0.61702127659574468</v>
      </c>
      <c r="H48" s="4" t="str">
        <f t="shared" si="2"/>
        <v/>
      </c>
      <c r="I48" s="4" t="str">
        <f t="shared" si="3"/>
        <v/>
      </c>
      <c r="J48" s="4" t="str">
        <f t="shared" si="4"/>
        <v/>
      </c>
      <c r="K48" s="4" t="str">
        <f t="shared" si="5"/>
        <v/>
      </c>
      <c r="L48" s="4" t="str">
        <f t="shared" si="6"/>
        <v/>
      </c>
      <c r="M48" s="4"/>
      <c r="N48" s="4"/>
      <c r="O48" s="4"/>
      <c r="P48" s="4"/>
      <c r="Q48" s="4"/>
      <c r="R48" s="4"/>
      <c r="S48" s="4"/>
      <c r="T48" s="4"/>
      <c r="U48" s="4"/>
    </row>
    <row r="49" spans="1:21">
      <c r="A49" t="s">
        <v>219</v>
      </c>
      <c r="B49">
        <v>18</v>
      </c>
      <c r="C49" t="str">
        <f t="shared" si="0"/>
        <v>test.Base64_18_</v>
      </c>
      <c r="D49">
        <v>16</v>
      </c>
      <c r="E49" s="4">
        <v>0.61702127659574468</v>
      </c>
      <c r="F49" s="4">
        <v>0.20102575537964099</v>
      </c>
      <c r="G49" s="4" t="str">
        <f t="shared" si="1"/>
        <v/>
      </c>
      <c r="H49" s="4">
        <f t="shared" si="2"/>
        <v>0.61702127659574468</v>
      </c>
      <c r="I49" s="4" t="str">
        <f t="shared" si="3"/>
        <v/>
      </c>
      <c r="J49" s="4" t="str">
        <f t="shared" si="4"/>
        <v/>
      </c>
      <c r="K49" s="4" t="str">
        <f t="shared" si="5"/>
        <v/>
      </c>
      <c r="L49" s="4" t="str">
        <f t="shared" si="6"/>
        <v/>
      </c>
      <c r="M49" s="4"/>
      <c r="N49" s="4"/>
      <c r="O49" s="4"/>
      <c r="P49" s="4"/>
      <c r="Q49" s="4"/>
      <c r="R49" s="4"/>
      <c r="S49" s="4"/>
      <c r="T49" s="4"/>
      <c r="U49" s="4"/>
    </row>
    <row r="50" spans="1:21">
      <c r="A50" t="s">
        <v>219</v>
      </c>
      <c r="B50">
        <v>18</v>
      </c>
      <c r="C50" t="str">
        <f t="shared" si="0"/>
        <v>test.Base64_18_</v>
      </c>
      <c r="D50">
        <v>17</v>
      </c>
      <c r="E50" s="4">
        <v>0.61702127659574468</v>
      </c>
      <c r="F50" s="4">
        <v>0.2019177165793288</v>
      </c>
      <c r="G50" s="4" t="str">
        <f t="shared" si="1"/>
        <v/>
      </c>
      <c r="H50" s="4">
        <f t="shared" si="2"/>
        <v>0.61702127659574468</v>
      </c>
      <c r="I50" s="4" t="str">
        <f t="shared" si="3"/>
        <v/>
      </c>
      <c r="J50" s="4" t="str">
        <f t="shared" si="4"/>
        <v/>
      </c>
      <c r="K50" s="4" t="str">
        <f t="shared" si="5"/>
        <v/>
      </c>
      <c r="L50" s="4" t="str">
        <f t="shared" si="6"/>
        <v/>
      </c>
      <c r="M50" s="4"/>
      <c r="N50" s="4"/>
      <c r="O50" s="4"/>
      <c r="P50" s="4"/>
      <c r="Q50" s="4"/>
      <c r="R50" s="4"/>
      <c r="S50" s="4"/>
      <c r="T50" s="4"/>
      <c r="U50" s="4"/>
    </row>
    <row r="51" spans="1:21">
      <c r="A51" t="s">
        <v>219</v>
      </c>
      <c r="B51">
        <v>18</v>
      </c>
      <c r="C51" t="str">
        <f t="shared" si="0"/>
        <v>test.Base64_18_</v>
      </c>
      <c r="D51">
        <v>18</v>
      </c>
      <c r="E51" s="4">
        <v>0.65248226950354615</v>
      </c>
      <c r="F51" s="4">
        <v>0.21005686252648009</v>
      </c>
      <c r="G51" s="4" t="str">
        <f t="shared" si="1"/>
        <v/>
      </c>
      <c r="H51" s="4">
        <f t="shared" si="2"/>
        <v>0.65248226950354615</v>
      </c>
      <c r="I51" s="4" t="str">
        <f t="shared" si="3"/>
        <v/>
      </c>
      <c r="J51" s="4" t="str">
        <f t="shared" si="4"/>
        <v/>
      </c>
      <c r="K51" s="4" t="str">
        <f t="shared" si="5"/>
        <v/>
      </c>
      <c r="L51" s="4" t="str">
        <f t="shared" si="6"/>
        <v/>
      </c>
      <c r="M51" s="4"/>
      <c r="N51" s="4"/>
      <c r="O51" s="4"/>
      <c r="P51" s="4"/>
      <c r="Q51" s="4"/>
      <c r="R51" s="4"/>
      <c r="S51" s="4"/>
      <c r="T51" s="4"/>
      <c r="U51" s="4"/>
    </row>
    <row r="52" spans="1:21">
      <c r="A52" t="s">
        <v>219</v>
      </c>
      <c r="B52">
        <v>18</v>
      </c>
      <c r="C52" t="str">
        <f t="shared" si="0"/>
        <v>test.Base64_18_</v>
      </c>
      <c r="D52">
        <v>19</v>
      </c>
      <c r="E52" s="4">
        <v>0.65248226950354615</v>
      </c>
      <c r="F52" s="4">
        <v>0.21518563942468502</v>
      </c>
      <c r="G52" s="4" t="str">
        <f t="shared" si="1"/>
        <v/>
      </c>
      <c r="H52" s="4">
        <f t="shared" si="2"/>
        <v>0.65248226950354615</v>
      </c>
      <c r="I52" s="4" t="str">
        <f t="shared" si="3"/>
        <v/>
      </c>
      <c r="J52" s="4" t="str">
        <f t="shared" si="4"/>
        <v/>
      </c>
      <c r="K52" s="4" t="str">
        <f t="shared" si="5"/>
        <v/>
      </c>
      <c r="L52" s="4" t="str">
        <f t="shared" si="6"/>
        <v/>
      </c>
      <c r="M52" s="4"/>
      <c r="N52" s="4"/>
      <c r="O52" s="4"/>
      <c r="P52" s="4"/>
      <c r="Q52" s="4"/>
      <c r="R52" s="4"/>
      <c r="S52" s="4"/>
      <c r="T52" s="4"/>
      <c r="U52" s="4"/>
    </row>
    <row r="53" spans="1:21">
      <c r="A53" t="s">
        <v>219</v>
      </c>
      <c r="B53">
        <v>18</v>
      </c>
      <c r="C53" t="str">
        <f t="shared" si="0"/>
        <v>test.Base64_18_</v>
      </c>
      <c r="D53">
        <v>20</v>
      </c>
      <c r="E53" s="4">
        <v>0.65248226950354615</v>
      </c>
      <c r="F53" s="4">
        <v>0.2177500278737875</v>
      </c>
      <c r="G53" s="4" t="str">
        <f t="shared" si="1"/>
        <v/>
      </c>
      <c r="H53" s="4">
        <f t="shared" si="2"/>
        <v>0.65248226950354615</v>
      </c>
      <c r="I53" s="4" t="str">
        <f t="shared" si="3"/>
        <v/>
      </c>
      <c r="J53" s="4" t="str">
        <f t="shared" si="4"/>
        <v/>
      </c>
      <c r="K53" s="4" t="str">
        <f t="shared" si="5"/>
        <v/>
      </c>
      <c r="L53" s="4" t="str">
        <f t="shared" si="6"/>
        <v/>
      </c>
      <c r="M53" s="4"/>
      <c r="N53" s="4"/>
      <c r="O53" s="4"/>
      <c r="P53" s="4"/>
      <c r="Q53" s="4"/>
      <c r="R53" s="4"/>
      <c r="S53" s="4"/>
      <c r="T53" s="4"/>
      <c r="U53" s="4"/>
    </row>
    <row r="54" spans="1:21">
      <c r="A54" t="s">
        <v>219</v>
      </c>
      <c r="B54">
        <v>18</v>
      </c>
      <c r="C54" t="str">
        <f t="shared" si="0"/>
        <v>test.Base64_18_</v>
      </c>
      <c r="D54">
        <v>21</v>
      </c>
      <c r="E54" s="4">
        <v>0.85815602836879434</v>
      </c>
      <c r="F54" s="4">
        <v>0.92050395807782359</v>
      </c>
      <c r="G54" s="4" t="str">
        <f t="shared" si="1"/>
        <v/>
      </c>
      <c r="H54" s="4" t="str">
        <f t="shared" si="2"/>
        <v/>
      </c>
      <c r="I54" s="4" t="str">
        <f t="shared" si="3"/>
        <v/>
      </c>
      <c r="J54" s="4" t="str">
        <f t="shared" si="4"/>
        <v/>
      </c>
      <c r="K54" s="4">
        <f t="shared" si="5"/>
        <v>0.85815602836879434</v>
      </c>
      <c r="L54" s="4" t="str">
        <f t="shared" si="6"/>
        <v/>
      </c>
      <c r="M54" s="4"/>
      <c r="N54" s="4"/>
      <c r="O54" s="4"/>
      <c r="P54" s="4"/>
      <c r="Q54" s="4"/>
      <c r="R54" s="4"/>
      <c r="S54" s="4"/>
      <c r="T54" s="4"/>
      <c r="U54" s="4"/>
    </row>
    <row r="55" spans="1:21">
      <c r="A55" t="s">
        <v>219</v>
      </c>
      <c r="B55">
        <v>18</v>
      </c>
      <c r="C55" t="str">
        <f t="shared" si="0"/>
        <v>test.Base64_18_</v>
      </c>
      <c r="D55">
        <v>22</v>
      </c>
      <c r="E55" s="4">
        <v>0.85815602836879434</v>
      </c>
      <c r="F55" s="4">
        <v>0.92195339502731632</v>
      </c>
      <c r="G55" s="4" t="str">
        <f t="shared" si="1"/>
        <v/>
      </c>
      <c r="H55" s="4" t="str">
        <f t="shared" si="2"/>
        <v/>
      </c>
      <c r="I55" s="4" t="str">
        <f t="shared" si="3"/>
        <v/>
      </c>
      <c r="J55" s="4" t="str">
        <f t="shared" si="4"/>
        <v/>
      </c>
      <c r="K55" s="4">
        <f t="shared" si="5"/>
        <v>0.85815602836879434</v>
      </c>
      <c r="L55" s="4" t="str">
        <f t="shared" si="6"/>
        <v/>
      </c>
      <c r="M55" s="4"/>
      <c r="N55" s="4"/>
      <c r="O55" s="4"/>
      <c r="P55" s="4"/>
      <c r="Q55" s="4"/>
      <c r="R55" s="4"/>
      <c r="S55" s="4"/>
      <c r="T55" s="4"/>
      <c r="U55" s="4"/>
    </row>
    <row r="56" spans="1:21">
      <c r="A56" t="s">
        <v>219</v>
      </c>
      <c r="B56">
        <v>18</v>
      </c>
      <c r="C56" t="str">
        <f t="shared" si="0"/>
        <v>test.Base64_18_</v>
      </c>
      <c r="D56">
        <v>23</v>
      </c>
      <c r="E56" s="4">
        <v>1</v>
      </c>
      <c r="F56" s="4">
        <v>0.94157654142044822</v>
      </c>
      <c r="G56" s="4" t="str">
        <f t="shared" si="1"/>
        <v/>
      </c>
      <c r="H56" s="4" t="str">
        <f t="shared" si="2"/>
        <v/>
      </c>
      <c r="I56" s="4" t="str">
        <f t="shared" si="3"/>
        <v/>
      </c>
      <c r="J56" s="4" t="str">
        <f t="shared" si="4"/>
        <v/>
      </c>
      <c r="K56" s="4">
        <f t="shared" si="5"/>
        <v>1</v>
      </c>
      <c r="L56" s="4" t="str">
        <f t="shared" si="6"/>
        <v/>
      </c>
      <c r="M56" s="4"/>
      <c r="N56" s="4"/>
      <c r="O56" s="4"/>
      <c r="P56" s="4"/>
      <c r="Q56" s="4"/>
      <c r="R56" s="4"/>
      <c r="S56" s="4"/>
      <c r="T56" s="4"/>
      <c r="U56" s="4"/>
    </row>
    <row r="57" spans="1:21">
      <c r="A57" t="s">
        <v>219</v>
      </c>
      <c r="B57">
        <v>18</v>
      </c>
      <c r="C57" t="str">
        <f t="shared" si="0"/>
        <v>test.Base64_18_</v>
      </c>
      <c r="D57">
        <v>24</v>
      </c>
      <c r="E57" s="4">
        <v>1</v>
      </c>
      <c r="F57" s="4">
        <v>0.94191102687033113</v>
      </c>
      <c r="G57" s="4" t="str">
        <f t="shared" si="1"/>
        <v/>
      </c>
      <c r="H57" s="4" t="str">
        <f t="shared" si="2"/>
        <v/>
      </c>
      <c r="I57" s="4" t="str">
        <f t="shared" si="3"/>
        <v/>
      </c>
      <c r="J57" s="4" t="str">
        <f t="shared" si="4"/>
        <v/>
      </c>
      <c r="K57" s="4">
        <f t="shared" si="5"/>
        <v>1</v>
      </c>
      <c r="L57" s="4" t="str">
        <f t="shared" si="6"/>
        <v/>
      </c>
      <c r="M57" s="4"/>
      <c r="N57" s="4"/>
      <c r="O57" s="4"/>
      <c r="P57" s="4"/>
      <c r="Q57" s="4"/>
      <c r="R57" s="4"/>
      <c r="S57" s="4"/>
      <c r="T57" s="4"/>
      <c r="U57" s="4"/>
    </row>
    <row r="58" spans="1:21">
      <c r="A58" t="s">
        <v>219</v>
      </c>
      <c r="B58">
        <v>18</v>
      </c>
      <c r="C58" t="str">
        <f t="shared" si="0"/>
        <v>test.Base64_18_</v>
      </c>
      <c r="D58">
        <v>25</v>
      </c>
      <c r="E58" s="4">
        <v>1</v>
      </c>
      <c r="F58" s="4">
        <v>0.94436392016947268</v>
      </c>
      <c r="G58" s="4" t="str">
        <f t="shared" si="1"/>
        <v/>
      </c>
      <c r="H58" s="4" t="str">
        <f t="shared" si="2"/>
        <v/>
      </c>
      <c r="I58" s="4" t="str">
        <f t="shared" si="3"/>
        <v/>
      </c>
      <c r="J58" s="4" t="str">
        <f t="shared" si="4"/>
        <v/>
      </c>
      <c r="K58" s="4">
        <f t="shared" si="5"/>
        <v>1</v>
      </c>
      <c r="L58" s="4" t="str">
        <f t="shared" si="6"/>
        <v/>
      </c>
      <c r="M58" s="4"/>
      <c r="N58" s="4"/>
      <c r="O58" s="4"/>
      <c r="P58" s="4"/>
      <c r="Q58" s="4"/>
      <c r="R58" s="4"/>
      <c r="S58" s="4"/>
      <c r="T58" s="4"/>
      <c r="U58" s="4"/>
    </row>
    <row r="59" spans="1:21">
      <c r="A59" t="s">
        <v>219</v>
      </c>
      <c r="B59">
        <v>18</v>
      </c>
      <c r="C59" t="str">
        <f t="shared" si="0"/>
        <v>test.Base64_18_</v>
      </c>
      <c r="D59">
        <v>26</v>
      </c>
      <c r="E59" s="4">
        <v>1</v>
      </c>
      <c r="F59" s="4">
        <v>0.95083063886720931</v>
      </c>
      <c r="G59" s="4" t="str">
        <f t="shared" si="1"/>
        <v/>
      </c>
      <c r="H59" s="4" t="str">
        <f t="shared" si="2"/>
        <v/>
      </c>
      <c r="I59" s="4" t="str">
        <f t="shared" si="3"/>
        <v/>
      </c>
      <c r="J59" s="4" t="str">
        <f t="shared" si="4"/>
        <v/>
      </c>
      <c r="K59" s="4">
        <f t="shared" si="5"/>
        <v>1</v>
      </c>
      <c r="L59" s="4" t="str">
        <f t="shared" si="6"/>
        <v/>
      </c>
      <c r="M59" s="4"/>
      <c r="N59" s="4"/>
      <c r="O59" s="4"/>
      <c r="P59" s="4"/>
      <c r="Q59" s="4"/>
      <c r="R59" s="4"/>
      <c r="S59" s="4"/>
      <c r="T59" s="4"/>
      <c r="U59" s="4"/>
    </row>
    <row r="60" spans="1:21">
      <c r="A60" t="s">
        <v>219</v>
      </c>
      <c r="B60">
        <v>18</v>
      </c>
      <c r="C60" t="str">
        <f t="shared" si="0"/>
        <v>test.Base64_18_</v>
      </c>
      <c r="D60">
        <v>27</v>
      </c>
      <c r="E60" s="4">
        <v>1</v>
      </c>
      <c r="F60" s="4">
        <v>0.95462147396588248</v>
      </c>
      <c r="G60" s="4" t="str">
        <f t="shared" si="1"/>
        <v/>
      </c>
      <c r="H60" s="4" t="str">
        <f t="shared" si="2"/>
        <v/>
      </c>
      <c r="I60" s="4" t="str">
        <f t="shared" si="3"/>
        <v/>
      </c>
      <c r="J60" s="4" t="str">
        <f t="shared" si="4"/>
        <v/>
      </c>
      <c r="K60" s="4">
        <f t="shared" si="5"/>
        <v>1</v>
      </c>
      <c r="L60" s="4" t="str">
        <f t="shared" si="6"/>
        <v/>
      </c>
      <c r="M60" s="4"/>
      <c r="N60" s="4"/>
      <c r="O60" s="4"/>
      <c r="P60" s="4"/>
      <c r="Q60" s="4"/>
      <c r="R60" s="4"/>
      <c r="S60" s="4"/>
      <c r="T60" s="4"/>
      <c r="U60" s="4"/>
    </row>
    <row r="61" spans="1:21">
      <c r="A61" t="s">
        <v>219</v>
      </c>
      <c r="B61">
        <v>19</v>
      </c>
      <c r="C61" t="str">
        <f t="shared" si="0"/>
        <v>test.Base64_19_</v>
      </c>
      <c r="D61">
        <v>1</v>
      </c>
      <c r="E61" s="4">
        <v>2.3622047244094488E-2</v>
      </c>
      <c r="F61" s="4">
        <v>1.4805546866854343E-2</v>
      </c>
      <c r="G61" s="4">
        <f t="shared" si="1"/>
        <v>2.3622047244094488E-2</v>
      </c>
      <c r="H61" s="4" t="str">
        <f t="shared" si="2"/>
        <v/>
      </c>
      <c r="I61" s="4" t="str">
        <f t="shared" si="3"/>
        <v/>
      </c>
      <c r="J61" s="4" t="str">
        <f t="shared" si="4"/>
        <v/>
      </c>
      <c r="K61" s="4" t="str">
        <f t="shared" si="5"/>
        <v/>
      </c>
      <c r="L61" s="4" t="str">
        <f t="shared" si="6"/>
        <v/>
      </c>
      <c r="M61" s="4"/>
      <c r="N61" s="4"/>
      <c r="O61" s="4"/>
      <c r="P61" s="4"/>
      <c r="Q61" s="4"/>
      <c r="R61" s="4"/>
      <c r="S61" s="4"/>
      <c r="T61" s="4"/>
      <c r="U61" s="4"/>
    </row>
    <row r="62" spans="1:21">
      <c r="A62" t="s">
        <v>219</v>
      </c>
      <c r="B62">
        <v>19</v>
      </c>
      <c r="C62" t="str">
        <f t="shared" si="0"/>
        <v>test.Base64_19_</v>
      </c>
      <c r="D62">
        <v>2</v>
      </c>
      <c r="E62" s="4">
        <v>4.7244094488188976E-2</v>
      </c>
      <c r="F62" s="4">
        <v>2.7004483369825878E-2</v>
      </c>
      <c r="G62" s="4">
        <f t="shared" si="1"/>
        <v>4.7244094488188976E-2</v>
      </c>
      <c r="H62" s="4" t="str">
        <f t="shared" si="2"/>
        <v/>
      </c>
      <c r="I62" s="4" t="str">
        <f t="shared" si="3"/>
        <v/>
      </c>
      <c r="J62" s="4" t="str">
        <f t="shared" si="4"/>
        <v/>
      </c>
      <c r="K62" s="4" t="str">
        <f t="shared" si="5"/>
        <v/>
      </c>
      <c r="L62" s="4" t="str">
        <f t="shared" si="6"/>
        <v/>
      </c>
      <c r="M62" s="4"/>
      <c r="N62" s="4"/>
      <c r="O62" s="4"/>
      <c r="P62" s="4"/>
      <c r="Q62" s="4"/>
      <c r="R62" s="4"/>
      <c r="S62" s="4"/>
      <c r="T62" s="4"/>
      <c r="U62" s="4"/>
    </row>
    <row r="63" spans="1:21">
      <c r="A63" t="s">
        <v>219</v>
      </c>
      <c r="B63">
        <v>19</v>
      </c>
      <c r="C63" t="str">
        <f t="shared" si="0"/>
        <v>test.Base64_19_</v>
      </c>
      <c r="D63">
        <v>3</v>
      </c>
      <c r="E63" s="4">
        <v>0.65354330708661412</v>
      </c>
      <c r="F63" s="4">
        <v>0.19247210926910646</v>
      </c>
      <c r="G63" s="4">
        <f t="shared" si="1"/>
        <v>0.65354330708661412</v>
      </c>
      <c r="H63" s="4" t="str">
        <f t="shared" si="2"/>
        <v/>
      </c>
      <c r="I63" s="4" t="str">
        <f t="shared" si="3"/>
        <v/>
      </c>
      <c r="J63" s="4" t="str">
        <f t="shared" si="4"/>
        <v/>
      </c>
      <c r="K63" s="4" t="str">
        <f t="shared" si="5"/>
        <v/>
      </c>
      <c r="L63" s="4" t="str">
        <f t="shared" si="6"/>
        <v/>
      </c>
      <c r="M63" s="4"/>
      <c r="N63" s="4"/>
      <c r="O63" s="4"/>
      <c r="P63" s="4"/>
      <c r="Q63" s="4"/>
      <c r="R63" s="4"/>
      <c r="S63" s="4"/>
      <c r="T63" s="4"/>
      <c r="U63" s="4"/>
    </row>
    <row r="64" spans="1:21">
      <c r="A64" t="s">
        <v>219</v>
      </c>
      <c r="B64">
        <v>19</v>
      </c>
      <c r="C64" t="str">
        <f t="shared" si="0"/>
        <v>test.Base64_19_</v>
      </c>
      <c r="D64">
        <v>4</v>
      </c>
      <c r="E64" s="4">
        <v>0.69291338582677164</v>
      </c>
      <c r="F64" s="4">
        <v>0.20467104577207798</v>
      </c>
      <c r="G64" s="4" t="str">
        <f t="shared" si="1"/>
        <v/>
      </c>
      <c r="H64" s="4">
        <f t="shared" si="2"/>
        <v>0.69291338582677164</v>
      </c>
      <c r="I64" s="4" t="str">
        <f t="shared" si="3"/>
        <v/>
      </c>
      <c r="J64" s="4" t="str">
        <f t="shared" si="4"/>
        <v/>
      </c>
      <c r="K64" s="4" t="str">
        <f t="shared" si="5"/>
        <v/>
      </c>
      <c r="L64" s="4" t="str">
        <f t="shared" si="6"/>
        <v/>
      </c>
      <c r="M64" s="4"/>
      <c r="N64" s="4"/>
      <c r="O64" s="4"/>
      <c r="P64" s="4"/>
      <c r="Q64" s="4"/>
      <c r="R64" s="4"/>
      <c r="S64" s="4"/>
      <c r="T64" s="4"/>
      <c r="U64" s="4"/>
    </row>
    <row r="65" spans="1:21">
      <c r="A65" t="s">
        <v>219</v>
      </c>
      <c r="B65">
        <v>19</v>
      </c>
      <c r="C65" t="str">
        <f t="shared" si="0"/>
        <v>test.Base64_19_</v>
      </c>
      <c r="D65">
        <v>5</v>
      </c>
      <c r="E65" s="4">
        <v>0.73228346456692917</v>
      </c>
      <c r="F65" s="4">
        <v>0.22041497236993016</v>
      </c>
      <c r="G65" s="4" t="str">
        <f t="shared" si="1"/>
        <v/>
      </c>
      <c r="H65" s="4">
        <f t="shared" si="2"/>
        <v>0.73228346456692917</v>
      </c>
      <c r="I65" s="4" t="str">
        <f t="shared" si="3"/>
        <v/>
      </c>
      <c r="J65" s="4" t="str">
        <f t="shared" si="4"/>
        <v/>
      </c>
      <c r="K65" s="4" t="str">
        <f t="shared" si="5"/>
        <v/>
      </c>
      <c r="L65" s="4" t="str">
        <f t="shared" si="6"/>
        <v/>
      </c>
      <c r="M65" s="4"/>
      <c r="N65" s="4"/>
      <c r="O65" s="4"/>
      <c r="P65" s="4"/>
      <c r="Q65" s="4"/>
      <c r="R65" s="4"/>
      <c r="S65" s="4"/>
      <c r="T65" s="4"/>
      <c r="U65" s="4"/>
    </row>
    <row r="66" spans="1:21">
      <c r="A66" t="s">
        <v>219</v>
      </c>
      <c r="B66">
        <v>19</v>
      </c>
      <c r="C66" t="str">
        <f t="shared" si="0"/>
        <v>test.Base64_19_</v>
      </c>
      <c r="D66">
        <v>6</v>
      </c>
      <c r="E66" s="4">
        <v>0.77165354330708658</v>
      </c>
      <c r="F66" s="4">
        <v>0.24126785528099259</v>
      </c>
      <c r="G66" s="4" t="str">
        <f t="shared" si="1"/>
        <v/>
      </c>
      <c r="H66" s="4">
        <f t="shared" si="2"/>
        <v>0.77165354330708658</v>
      </c>
      <c r="I66" s="4" t="str">
        <f t="shared" si="3"/>
        <v/>
      </c>
      <c r="J66" s="4" t="str">
        <f t="shared" si="4"/>
        <v/>
      </c>
      <c r="K66" s="4" t="str">
        <f t="shared" si="5"/>
        <v/>
      </c>
      <c r="L66" s="4" t="str">
        <f t="shared" si="6"/>
        <v/>
      </c>
      <c r="M66" s="4"/>
      <c r="N66" s="4"/>
      <c r="O66" s="4"/>
      <c r="P66" s="4"/>
      <c r="Q66" s="4"/>
      <c r="R66" s="4"/>
      <c r="S66" s="4"/>
      <c r="T66" s="4"/>
      <c r="U66" s="4"/>
    </row>
    <row r="67" spans="1:21">
      <c r="A67" t="s">
        <v>219</v>
      </c>
      <c r="B67">
        <v>19</v>
      </c>
      <c r="C67" t="str">
        <f t="shared" ref="C67:C130" si="18">CONCATENATE(A67, "_",B67,"_")</f>
        <v>test.Base64_19_</v>
      </c>
      <c r="D67">
        <v>7</v>
      </c>
      <c r="E67" s="4">
        <v>0.98425196850393704</v>
      </c>
      <c r="F67" s="4">
        <v>0.70211656761547281</v>
      </c>
      <c r="G67" s="4" t="str">
        <f t="shared" ref="G67:G130" si="19">IF($F67 &lt;= 0.2,$E67,"")</f>
        <v/>
      </c>
      <c r="H67" s="4" t="str">
        <f t="shared" ref="H67:H130" si="20">IF(AND($F67 &gt; 0.2,$F67 &lt;= 0.4),$E67,"")</f>
        <v/>
      </c>
      <c r="I67" s="4" t="str">
        <f t="shared" ref="I67:I130" si="21">IF(AND($F67 &gt; 0.4,$F67 &lt;= 0.6),$E67,"")</f>
        <v/>
      </c>
      <c r="J67" s="4">
        <f t="shared" ref="J67:J130" si="22">IF(AND($F67 &gt; 0.6,$F67 &lt;= 0.8),$E67,"")</f>
        <v>0.98425196850393704</v>
      </c>
      <c r="K67" s="4" t="str">
        <f t="shared" ref="K67:K130" si="23">IF(AND($F67 &gt; 0.8, $F67 &lt;=1.1),$E67,"")</f>
        <v/>
      </c>
      <c r="L67" s="4" t="str">
        <f t="shared" ref="L67:L130" si="24">IF(AND($F67 &gt; 1.1),$E67,"")</f>
        <v/>
      </c>
      <c r="M67" s="4"/>
      <c r="N67" s="4"/>
      <c r="O67" s="4"/>
      <c r="P67" s="4"/>
      <c r="Q67" s="4"/>
      <c r="R67" s="4"/>
      <c r="S67" s="4"/>
      <c r="T67" s="4"/>
      <c r="U67" s="4"/>
    </row>
    <row r="68" spans="1:21">
      <c r="A68" t="s">
        <v>219</v>
      </c>
      <c r="B68">
        <v>19</v>
      </c>
      <c r="C68" t="str">
        <f t="shared" si="18"/>
        <v>test.Base64_19_</v>
      </c>
      <c r="D68">
        <v>8</v>
      </c>
      <c r="E68" s="4">
        <v>0.99212598425196852</v>
      </c>
      <c r="F68" s="4">
        <v>0.72213533521009277</v>
      </c>
      <c r="G68" s="4" t="str">
        <f t="shared" si="19"/>
        <v/>
      </c>
      <c r="H68" s="4" t="str">
        <f t="shared" si="20"/>
        <v/>
      </c>
      <c r="I68" s="4" t="str">
        <f t="shared" si="21"/>
        <v/>
      </c>
      <c r="J68" s="4">
        <f t="shared" si="22"/>
        <v>0.99212598425196852</v>
      </c>
      <c r="K68" s="4" t="str">
        <f t="shared" si="23"/>
        <v/>
      </c>
      <c r="L68" s="4" t="str">
        <f t="shared" si="24"/>
        <v/>
      </c>
      <c r="M68" s="4"/>
      <c r="N68" s="4"/>
      <c r="O68" s="4"/>
      <c r="P68" s="4"/>
      <c r="Q68" s="4"/>
      <c r="R68" s="4"/>
      <c r="S68" s="4"/>
      <c r="T68" s="4"/>
      <c r="U68" s="4"/>
    </row>
    <row r="69" spans="1:21">
      <c r="A69" t="s">
        <v>219</v>
      </c>
      <c r="B69">
        <v>19</v>
      </c>
      <c r="C69" t="str">
        <f t="shared" si="18"/>
        <v>test.Base64_19_</v>
      </c>
      <c r="D69">
        <v>9</v>
      </c>
      <c r="E69" s="4">
        <v>1</v>
      </c>
      <c r="F69" s="4">
        <v>0.74601188614325931</v>
      </c>
      <c r="G69" s="4" t="str">
        <f t="shared" si="19"/>
        <v/>
      </c>
      <c r="H69" s="4" t="str">
        <f t="shared" si="20"/>
        <v/>
      </c>
      <c r="I69" s="4" t="str">
        <f t="shared" si="21"/>
        <v/>
      </c>
      <c r="J69" s="4">
        <f t="shared" si="22"/>
        <v>1</v>
      </c>
      <c r="K69" s="4" t="str">
        <f t="shared" si="23"/>
        <v/>
      </c>
      <c r="L69" s="4" t="str">
        <f t="shared" si="24"/>
        <v/>
      </c>
      <c r="M69" s="4"/>
      <c r="N69" s="4"/>
      <c r="O69" s="4"/>
      <c r="P69" s="4"/>
      <c r="Q69" s="4"/>
      <c r="R69" s="4"/>
      <c r="S69" s="4"/>
      <c r="T69" s="4"/>
      <c r="U69" s="4"/>
    </row>
    <row r="70" spans="1:21">
      <c r="A70" t="s">
        <v>219</v>
      </c>
      <c r="B70">
        <v>19</v>
      </c>
      <c r="C70" t="str">
        <f t="shared" si="18"/>
        <v>test.Base64_19_</v>
      </c>
      <c r="D70">
        <v>10</v>
      </c>
      <c r="E70" s="4">
        <v>1</v>
      </c>
      <c r="F70" s="4">
        <v>0.74851423209258683</v>
      </c>
      <c r="G70" s="4" t="str">
        <f t="shared" si="19"/>
        <v/>
      </c>
      <c r="H70" s="4" t="str">
        <f t="shared" si="20"/>
        <v/>
      </c>
      <c r="I70" s="4" t="str">
        <f t="shared" si="21"/>
        <v/>
      </c>
      <c r="J70" s="4">
        <f t="shared" si="22"/>
        <v>1</v>
      </c>
      <c r="K70" s="4" t="str">
        <f t="shared" si="23"/>
        <v/>
      </c>
      <c r="L70" s="4" t="str">
        <f t="shared" si="24"/>
        <v/>
      </c>
      <c r="M70" s="4"/>
      <c r="N70" s="4"/>
      <c r="O70" s="4"/>
      <c r="P70" s="4"/>
      <c r="Q70" s="4"/>
      <c r="R70" s="4"/>
      <c r="S70" s="4"/>
      <c r="T70" s="4"/>
      <c r="U70" s="4"/>
    </row>
    <row r="71" spans="1:21">
      <c r="A71" t="s">
        <v>219</v>
      </c>
      <c r="B71">
        <v>19</v>
      </c>
      <c r="C71" t="str">
        <f t="shared" si="18"/>
        <v>test.Base64_19_</v>
      </c>
      <c r="D71">
        <v>11</v>
      </c>
      <c r="E71" s="4">
        <v>1</v>
      </c>
      <c r="F71" s="4">
        <v>0.75143363570013555</v>
      </c>
      <c r="G71" s="4" t="str">
        <f t="shared" si="19"/>
        <v/>
      </c>
      <c r="H71" s="4" t="str">
        <f t="shared" si="20"/>
        <v/>
      </c>
      <c r="I71" s="4" t="str">
        <f t="shared" si="21"/>
        <v/>
      </c>
      <c r="J71" s="4">
        <f t="shared" si="22"/>
        <v>1</v>
      </c>
      <c r="K71" s="4" t="str">
        <f t="shared" si="23"/>
        <v/>
      </c>
      <c r="L71" s="4" t="str">
        <f t="shared" si="24"/>
        <v/>
      </c>
      <c r="M71" s="4"/>
      <c r="N71" s="4"/>
      <c r="O71" s="4"/>
      <c r="P71" s="4"/>
      <c r="Q71" s="4"/>
      <c r="R71" s="4"/>
      <c r="S71" s="4"/>
      <c r="T71" s="4"/>
      <c r="U71" s="4"/>
    </row>
    <row r="72" spans="1:21">
      <c r="A72" t="s">
        <v>219</v>
      </c>
      <c r="B72">
        <v>19</v>
      </c>
      <c r="C72" t="str">
        <f t="shared" si="18"/>
        <v>test.Base64_19_</v>
      </c>
      <c r="D72">
        <v>12</v>
      </c>
      <c r="E72" s="4">
        <v>1</v>
      </c>
      <c r="F72" s="4">
        <v>0.75247627984568866</v>
      </c>
      <c r="G72" s="4" t="str">
        <f t="shared" si="19"/>
        <v/>
      </c>
      <c r="H72" s="4" t="str">
        <f t="shared" si="20"/>
        <v/>
      </c>
      <c r="I72" s="4" t="str">
        <f t="shared" si="21"/>
        <v/>
      </c>
      <c r="J72" s="4">
        <f t="shared" si="22"/>
        <v>1</v>
      </c>
      <c r="K72" s="4" t="str">
        <f t="shared" si="23"/>
        <v/>
      </c>
      <c r="L72" s="4" t="str">
        <f t="shared" si="24"/>
        <v/>
      </c>
      <c r="M72" s="4"/>
      <c r="N72" s="4"/>
      <c r="O72" s="4"/>
      <c r="P72" s="4"/>
      <c r="Q72" s="4"/>
      <c r="R72" s="4"/>
      <c r="S72" s="4"/>
      <c r="T72" s="4"/>
      <c r="U72" s="4"/>
    </row>
    <row r="73" spans="1:21">
      <c r="A73" t="s">
        <v>219</v>
      </c>
      <c r="B73">
        <v>19</v>
      </c>
      <c r="C73" t="str">
        <f t="shared" si="18"/>
        <v>test.Base64_19_</v>
      </c>
      <c r="D73">
        <v>13</v>
      </c>
      <c r="E73" s="4">
        <v>1</v>
      </c>
      <c r="F73" s="4">
        <v>0.75383171723490772</v>
      </c>
      <c r="G73" s="4" t="str">
        <f t="shared" si="19"/>
        <v/>
      </c>
      <c r="H73" s="4" t="str">
        <f t="shared" si="20"/>
        <v/>
      </c>
      <c r="I73" s="4" t="str">
        <f t="shared" si="21"/>
        <v/>
      </c>
      <c r="J73" s="4">
        <f t="shared" si="22"/>
        <v>1</v>
      </c>
      <c r="K73" s="4" t="str">
        <f t="shared" si="23"/>
        <v/>
      </c>
      <c r="L73" s="4" t="str">
        <f t="shared" si="24"/>
        <v/>
      </c>
      <c r="M73" s="4"/>
      <c r="N73" s="4"/>
      <c r="O73" s="4"/>
      <c r="P73" s="4"/>
      <c r="Q73" s="4"/>
      <c r="R73" s="4"/>
      <c r="S73" s="4"/>
      <c r="T73" s="4"/>
      <c r="U73" s="4"/>
    </row>
    <row r="74" spans="1:21">
      <c r="A74" t="s">
        <v>219</v>
      </c>
      <c r="B74">
        <v>19</v>
      </c>
      <c r="C74" t="str">
        <f t="shared" si="18"/>
        <v>test.Base64_19_</v>
      </c>
      <c r="D74">
        <v>14</v>
      </c>
      <c r="E74" s="4">
        <v>1</v>
      </c>
      <c r="F74" s="4">
        <v>0.75529141903868213</v>
      </c>
      <c r="G74" s="4" t="str">
        <f t="shared" si="19"/>
        <v/>
      </c>
      <c r="H74" s="4" t="str">
        <f t="shared" si="20"/>
        <v/>
      </c>
      <c r="I74" s="4" t="str">
        <f t="shared" si="21"/>
        <v/>
      </c>
      <c r="J74" s="4">
        <f t="shared" si="22"/>
        <v>1</v>
      </c>
      <c r="K74" s="4" t="str">
        <f t="shared" si="23"/>
        <v/>
      </c>
      <c r="L74" s="4" t="str">
        <f t="shared" si="24"/>
        <v/>
      </c>
      <c r="M74" s="4"/>
      <c r="N74" s="4"/>
      <c r="O74" s="4"/>
      <c r="P74" s="4"/>
      <c r="Q74" s="4"/>
      <c r="R74" s="4"/>
      <c r="S74" s="4"/>
      <c r="T74" s="4"/>
      <c r="U74" s="4"/>
    </row>
    <row r="75" spans="1:21">
      <c r="A75" t="s">
        <v>219</v>
      </c>
      <c r="B75">
        <v>19</v>
      </c>
      <c r="C75" t="str">
        <f t="shared" si="18"/>
        <v>test.Base64_19_</v>
      </c>
      <c r="D75">
        <v>15</v>
      </c>
      <c r="E75" s="4">
        <v>1</v>
      </c>
      <c r="F75" s="4">
        <v>0.75904493796267336</v>
      </c>
      <c r="G75" s="4" t="str">
        <f t="shared" si="19"/>
        <v/>
      </c>
      <c r="H75" s="4" t="str">
        <f t="shared" si="20"/>
        <v/>
      </c>
      <c r="I75" s="4" t="str">
        <f t="shared" si="21"/>
        <v/>
      </c>
      <c r="J75" s="4">
        <f t="shared" si="22"/>
        <v>1</v>
      </c>
      <c r="K75" s="4" t="str">
        <f t="shared" si="23"/>
        <v/>
      </c>
      <c r="L75" s="4" t="str">
        <f t="shared" si="24"/>
        <v/>
      </c>
      <c r="M75" s="4"/>
      <c r="N75" s="4"/>
      <c r="O75" s="4"/>
      <c r="P75" s="4"/>
      <c r="Q75" s="4"/>
      <c r="R75" s="4"/>
      <c r="S75" s="4"/>
      <c r="T75" s="4"/>
      <c r="U75" s="4"/>
    </row>
    <row r="76" spans="1:21">
      <c r="A76" t="s">
        <v>219</v>
      </c>
      <c r="B76">
        <v>19</v>
      </c>
      <c r="C76" t="str">
        <f t="shared" si="18"/>
        <v>test.Base64_19_</v>
      </c>
      <c r="D76">
        <v>16</v>
      </c>
      <c r="E76" s="4">
        <v>1</v>
      </c>
      <c r="F76" s="4">
        <v>0.75946199562089456</v>
      </c>
      <c r="G76" s="4" t="str">
        <f t="shared" si="19"/>
        <v/>
      </c>
      <c r="H76" s="4" t="str">
        <f t="shared" si="20"/>
        <v/>
      </c>
      <c r="I76" s="4" t="str">
        <f t="shared" si="21"/>
        <v/>
      </c>
      <c r="J76" s="4">
        <f t="shared" si="22"/>
        <v>1</v>
      </c>
      <c r="K76" s="4" t="str">
        <f t="shared" si="23"/>
        <v/>
      </c>
      <c r="L76" s="4" t="str">
        <f t="shared" si="24"/>
        <v/>
      </c>
      <c r="M76" s="4"/>
      <c r="N76" s="4"/>
      <c r="O76" s="4"/>
      <c r="P76" s="4"/>
      <c r="Q76" s="4"/>
      <c r="R76" s="4"/>
      <c r="S76" s="4"/>
      <c r="T76" s="4"/>
      <c r="U76" s="4"/>
    </row>
    <row r="77" spans="1:21">
      <c r="A77" t="s">
        <v>219</v>
      </c>
      <c r="B77">
        <v>19</v>
      </c>
      <c r="C77" t="str">
        <f t="shared" si="18"/>
        <v>test.Base64_19_</v>
      </c>
      <c r="D77">
        <v>17</v>
      </c>
      <c r="E77" s="4">
        <v>1</v>
      </c>
      <c r="F77" s="4">
        <v>0.76040037535189242</v>
      </c>
      <c r="G77" s="4" t="str">
        <f t="shared" si="19"/>
        <v/>
      </c>
      <c r="H77" s="4" t="str">
        <f t="shared" si="20"/>
        <v/>
      </c>
      <c r="I77" s="4" t="str">
        <f t="shared" si="21"/>
        <v/>
      </c>
      <c r="J77" s="4">
        <f t="shared" si="22"/>
        <v>1</v>
      </c>
      <c r="K77" s="4" t="str">
        <f t="shared" si="23"/>
        <v/>
      </c>
      <c r="L77" s="4" t="str">
        <f t="shared" si="24"/>
        <v/>
      </c>
      <c r="M77" s="4"/>
      <c r="N77" s="4"/>
      <c r="O77" s="4"/>
      <c r="P77" s="4"/>
      <c r="Q77" s="4"/>
      <c r="R77" s="4"/>
      <c r="S77" s="4"/>
      <c r="T77" s="4"/>
      <c r="U77" s="4"/>
    </row>
    <row r="78" spans="1:21">
      <c r="A78" t="s">
        <v>219</v>
      </c>
      <c r="B78">
        <v>19</v>
      </c>
      <c r="C78" t="str">
        <f t="shared" si="18"/>
        <v>test.Base64_19_</v>
      </c>
      <c r="D78">
        <v>18</v>
      </c>
      <c r="E78" s="4">
        <v>1</v>
      </c>
      <c r="F78" s="4">
        <v>0.76050463976644767</v>
      </c>
      <c r="G78" s="4" t="str">
        <f t="shared" si="19"/>
        <v/>
      </c>
      <c r="H78" s="4" t="str">
        <f t="shared" si="20"/>
        <v/>
      </c>
      <c r="I78" s="4" t="str">
        <f t="shared" si="21"/>
        <v/>
      </c>
      <c r="J78" s="4">
        <f t="shared" si="22"/>
        <v>1</v>
      </c>
      <c r="K78" s="4" t="str">
        <f t="shared" si="23"/>
        <v/>
      </c>
      <c r="L78" s="4" t="str">
        <f t="shared" si="24"/>
        <v/>
      </c>
      <c r="M78" s="4"/>
      <c r="N78" s="4"/>
      <c r="O78" s="4"/>
      <c r="P78" s="4"/>
      <c r="Q78" s="4"/>
      <c r="R78" s="4"/>
      <c r="S78" s="4"/>
      <c r="T78" s="4"/>
      <c r="U78" s="4"/>
    </row>
    <row r="79" spans="1:21">
      <c r="A79" t="s">
        <v>219</v>
      </c>
      <c r="B79">
        <v>19</v>
      </c>
      <c r="C79" t="str">
        <f t="shared" si="18"/>
        <v>test.Base64_19_</v>
      </c>
      <c r="D79">
        <v>19</v>
      </c>
      <c r="E79" s="4">
        <v>1</v>
      </c>
      <c r="F79" s="4">
        <v>0.76133875508289017</v>
      </c>
      <c r="G79" s="4" t="str">
        <f t="shared" si="19"/>
        <v/>
      </c>
      <c r="H79" s="4" t="str">
        <f t="shared" si="20"/>
        <v/>
      </c>
      <c r="I79" s="4" t="str">
        <f t="shared" si="21"/>
        <v/>
      </c>
      <c r="J79" s="4">
        <f t="shared" si="22"/>
        <v>1</v>
      </c>
      <c r="K79" s="4" t="str">
        <f t="shared" si="23"/>
        <v/>
      </c>
      <c r="L79" s="4" t="str">
        <f t="shared" si="24"/>
        <v/>
      </c>
      <c r="M79" s="4"/>
      <c r="N79" s="4"/>
      <c r="O79" s="4"/>
      <c r="P79" s="4"/>
      <c r="Q79" s="4"/>
      <c r="R79" s="4"/>
      <c r="S79" s="4"/>
      <c r="T79" s="4"/>
      <c r="U79" s="4"/>
    </row>
    <row r="80" spans="1:21">
      <c r="A80" t="s">
        <v>219</v>
      </c>
      <c r="B80">
        <v>19</v>
      </c>
      <c r="C80" t="str">
        <f t="shared" si="18"/>
        <v>test.Base64_19_</v>
      </c>
      <c r="D80">
        <v>20</v>
      </c>
      <c r="E80" s="4">
        <v>1</v>
      </c>
      <c r="F80" s="4">
        <v>0.76352830778855174</v>
      </c>
      <c r="G80" s="4" t="str">
        <f t="shared" si="19"/>
        <v/>
      </c>
      <c r="H80" s="4" t="str">
        <f t="shared" si="20"/>
        <v/>
      </c>
      <c r="I80" s="4" t="str">
        <f t="shared" si="21"/>
        <v/>
      </c>
      <c r="J80" s="4">
        <f t="shared" si="22"/>
        <v>1</v>
      </c>
      <c r="K80" s="4" t="str">
        <f t="shared" si="23"/>
        <v/>
      </c>
      <c r="L80" s="4" t="str">
        <f t="shared" si="24"/>
        <v/>
      </c>
      <c r="M80" s="4"/>
      <c r="N80" s="4"/>
      <c r="O80" s="4"/>
      <c r="P80" s="4"/>
      <c r="Q80" s="4"/>
      <c r="R80" s="4"/>
      <c r="S80" s="4"/>
      <c r="T80" s="4"/>
      <c r="U80" s="4"/>
    </row>
    <row r="81" spans="1:21">
      <c r="A81" t="s">
        <v>219</v>
      </c>
      <c r="B81">
        <v>19</v>
      </c>
      <c r="C81" t="str">
        <f t="shared" si="18"/>
        <v>test.Base64_19_</v>
      </c>
      <c r="D81">
        <v>21</v>
      </c>
      <c r="E81" s="4">
        <v>1</v>
      </c>
      <c r="F81" s="4">
        <v>0.76394536544677305</v>
      </c>
      <c r="G81" s="4" t="str">
        <f t="shared" si="19"/>
        <v/>
      </c>
      <c r="H81" s="4" t="str">
        <f t="shared" si="20"/>
        <v/>
      </c>
      <c r="I81" s="4" t="str">
        <f t="shared" si="21"/>
        <v/>
      </c>
      <c r="J81" s="4">
        <f t="shared" si="22"/>
        <v>1</v>
      </c>
      <c r="K81" s="4" t="str">
        <f t="shared" si="23"/>
        <v/>
      </c>
      <c r="L81" s="4" t="str">
        <f t="shared" si="24"/>
        <v/>
      </c>
      <c r="M81" s="4"/>
      <c r="N81" s="4"/>
      <c r="O81" s="4"/>
      <c r="P81" s="4"/>
      <c r="Q81" s="4"/>
      <c r="R81" s="4"/>
      <c r="S81" s="4"/>
      <c r="T81" s="4"/>
      <c r="U81" s="4"/>
    </row>
    <row r="82" spans="1:21">
      <c r="A82" t="s">
        <v>219</v>
      </c>
      <c r="B82">
        <v>19</v>
      </c>
      <c r="C82" t="str">
        <f t="shared" si="18"/>
        <v>test.Base64_19_</v>
      </c>
      <c r="D82">
        <v>22</v>
      </c>
      <c r="E82" s="4">
        <v>1</v>
      </c>
      <c r="F82" s="4">
        <v>0.76498800959232616</v>
      </c>
      <c r="G82" s="4" t="str">
        <f t="shared" si="19"/>
        <v/>
      </c>
      <c r="H82" s="4" t="str">
        <f t="shared" si="20"/>
        <v/>
      </c>
      <c r="I82" s="4" t="str">
        <f t="shared" si="21"/>
        <v/>
      </c>
      <c r="J82" s="4">
        <f t="shared" si="22"/>
        <v>1</v>
      </c>
      <c r="K82" s="4" t="str">
        <f t="shared" si="23"/>
        <v/>
      </c>
      <c r="L82" s="4" t="str">
        <f t="shared" si="24"/>
        <v/>
      </c>
      <c r="M82" s="4"/>
      <c r="N82" s="4"/>
      <c r="O82" s="4"/>
      <c r="P82" s="4"/>
      <c r="Q82" s="4"/>
      <c r="R82" s="4"/>
      <c r="S82" s="4"/>
      <c r="T82" s="4"/>
      <c r="U82" s="4"/>
    </row>
    <row r="83" spans="1:21">
      <c r="A83" t="s">
        <v>219</v>
      </c>
      <c r="B83">
        <v>19</v>
      </c>
      <c r="C83" t="str">
        <f t="shared" si="18"/>
        <v>test.Base64_19_</v>
      </c>
      <c r="D83">
        <v>23</v>
      </c>
      <c r="E83" s="4">
        <v>1</v>
      </c>
      <c r="F83" s="4">
        <v>0.77113961005108955</v>
      </c>
      <c r="G83" s="4" t="str">
        <f t="shared" si="19"/>
        <v/>
      </c>
      <c r="H83" s="4" t="str">
        <f t="shared" si="20"/>
        <v/>
      </c>
      <c r="I83" s="4" t="str">
        <f t="shared" si="21"/>
        <v/>
      </c>
      <c r="J83" s="4">
        <f t="shared" si="22"/>
        <v>1</v>
      </c>
      <c r="K83" s="4" t="str">
        <f t="shared" si="23"/>
        <v/>
      </c>
      <c r="L83" s="4" t="str">
        <f t="shared" si="24"/>
        <v/>
      </c>
      <c r="M83" s="4"/>
      <c r="N83" s="4"/>
      <c r="O83" s="4"/>
      <c r="P83" s="4"/>
      <c r="Q83" s="4"/>
      <c r="R83" s="4"/>
      <c r="S83" s="4"/>
      <c r="T83" s="4"/>
      <c r="U83" s="4"/>
    </row>
    <row r="84" spans="1:21">
      <c r="A84" t="s">
        <v>219</v>
      </c>
      <c r="B84">
        <v>19</v>
      </c>
      <c r="C84" t="str">
        <f t="shared" si="18"/>
        <v>test.Base64_19_</v>
      </c>
      <c r="D84">
        <v>24</v>
      </c>
      <c r="E84" s="4">
        <v>1</v>
      </c>
      <c r="F84" s="4">
        <v>0.77124387446564491</v>
      </c>
      <c r="G84" s="4" t="str">
        <f t="shared" si="19"/>
        <v/>
      </c>
      <c r="H84" s="4" t="str">
        <f t="shared" si="20"/>
        <v/>
      </c>
      <c r="I84" s="4" t="str">
        <f t="shared" si="21"/>
        <v/>
      </c>
      <c r="J84" s="4">
        <f t="shared" si="22"/>
        <v>1</v>
      </c>
      <c r="K84" s="4" t="str">
        <f t="shared" si="23"/>
        <v/>
      </c>
      <c r="L84" s="4" t="str">
        <f t="shared" si="24"/>
        <v/>
      </c>
      <c r="M84" s="4"/>
      <c r="N84" s="4"/>
      <c r="O84" s="4"/>
      <c r="P84" s="4"/>
      <c r="Q84" s="4"/>
      <c r="R84" s="4"/>
      <c r="S84" s="4"/>
      <c r="T84" s="4"/>
      <c r="U84" s="4"/>
    </row>
    <row r="85" spans="1:21">
      <c r="A85" t="s">
        <v>219</v>
      </c>
      <c r="B85">
        <v>19</v>
      </c>
      <c r="C85" t="str">
        <f t="shared" si="18"/>
        <v>test.Base64_19_</v>
      </c>
      <c r="D85">
        <v>25</v>
      </c>
      <c r="E85" s="4">
        <v>1</v>
      </c>
      <c r="F85" s="4">
        <v>0.77468460014597018</v>
      </c>
      <c r="G85" s="4" t="str">
        <f t="shared" si="19"/>
        <v/>
      </c>
      <c r="H85" s="4" t="str">
        <f t="shared" si="20"/>
        <v/>
      </c>
      <c r="I85" s="4" t="str">
        <f t="shared" si="21"/>
        <v/>
      </c>
      <c r="J85" s="4">
        <f t="shared" si="22"/>
        <v>1</v>
      </c>
      <c r="K85" s="4" t="str">
        <f t="shared" si="23"/>
        <v/>
      </c>
      <c r="L85" s="4" t="str">
        <f t="shared" si="24"/>
        <v/>
      </c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t="s">
        <v>219</v>
      </c>
      <c r="B86">
        <v>19</v>
      </c>
      <c r="C86" t="str">
        <f t="shared" si="18"/>
        <v>test.Base64_19_</v>
      </c>
      <c r="D86">
        <v>26</v>
      </c>
      <c r="E86" s="4">
        <v>1</v>
      </c>
      <c r="F86" s="4">
        <v>0.77624856636429984</v>
      </c>
      <c r="G86" s="4" t="str">
        <f t="shared" si="19"/>
        <v/>
      </c>
      <c r="H86" s="4" t="str">
        <f t="shared" si="20"/>
        <v/>
      </c>
      <c r="I86" s="4" t="str">
        <f t="shared" si="21"/>
        <v/>
      </c>
      <c r="J86" s="4">
        <f t="shared" si="22"/>
        <v>1</v>
      </c>
      <c r="K86" s="4" t="str">
        <f t="shared" si="23"/>
        <v/>
      </c>
      <c r="L86" s="4" t="str">
        <f t="shared" si="24"/>
        <v/>
      </c>
      <c r="M86" s="4"/>
      <c r="N86" s="4"/>
      <c r="O86" s="4"/>
      <c r="P86" s="4"/>
      <c r="Q86" s="4"/>
      <c r="R86" s="4"/>
      <c r="S86" s="4"/>
      <c r="T86" s="4"/>
      <c r="U86" s="4"/>
    </row>
    <row r="87" spans="1:21">
      <c r="A87" t="s">
        <v>219</v>
      </c>
      <c r="B87">
        <v>19</v>
      </c>
      <c r="C87" t="str">
        <f t="shared" si="18"/>
        <v>test.Base64_19_</v>
      </c>
      <c r="D87">
        <v>27</v>
      </c>
      <c r="E87" s="4">
        <v>1</v>
      </c>
      <c r="F87" s="4">
        <v>0.77916796997184856</v>
      </c>
      <c r="G87" s="4" t="str">
        <f t="shared" si="19"/>
        <v/>
      </c>
      <c r="H87" s="4" t="str">
        <f t="shared" si="20"/>
        <v/>
      </c>
      <c r="I87" s="4" t="str">
        <f t="shared" si="21"/>
        <v/>
      </c>
      <c r="J87" s="4">
        <f t="shared" si="22"/>
        <v>1</v>
      </c>
      <c r="K87" s="4" t="str">
        <f t="shared" si="23"/>
        <v/>
      </c>
      <c r="L87" s="4" t="str">
        <f t="shared" si="24"/>
        <v/>
      </c>
      <c r="M87" s="4"/>
      <c r="N87" s="4"/>
      <c r="O87" s="4"/>
      <c r="P87" s="4"/>
      <c r="Q87" s="4"/>
      <c r="R87" s="4"/>
      <c r="S87" s="4"/>
      <c r="T87" s="4"/>
      <c r="U87" s="4"/>
    </row>
    <row r="88" spans="1:21">
      <c r="A88" t="s">
        <v>219</v>
      </c>
      <c r="B88">
        <v>19</v>
      </c>
      <c r="C88" t="str">
        <f t="shared" si="18"/>
        <v>test.Base64_19_</v>
      </c>
      <c r="D88">
        <v>28</v>
      </c>
      <c r="E88" s="4">
        <v>1</v>
      </c>
      <c r="F88" s="4">
        <v>0.79303513710770512</v>
      </c>
      <c r="G88" s="4" t="str">
        <f t="shared" si="19"/>
        <v/>
      </c>
      <c r="H88" s="4" t="str">
        <f t="shared" si="20"/>
        <v/>
      </c>
      <c r="I88" s="4" t="str">
        <f t="shared" si="21"/>
        <v/>
      </c>
      <c r="J88" s="4">
        <f t="shared" si="22"/>
        <v>1</v>
      </c>
      <c r="K88" s="4" t="str">
        <f t="shared" si="23"/>
        <v/>
      </c>
      <c r="L88" s="4" t="str">
        <f t="shared" si="24"/>
        <v/>
      </c>
      <c r="M88" s="4"/>
      <c r="N88" s="4"/>
      <c r="O88" s="4"/>
      <c r="P88" s="4"/>
      <c r="Q88" s="4"/>
      <c r="R88" s="4"/>
      <c r="S88" s="4"/>
      <c r="T88" s="4"/>
      <c r="U88" s="4"/>
    </row>
    <row r="89" spans="1:21">
      <c r="A89" t="s">
        <v>219</v>
      </c>
      <c r="B89">
        <v>19</v>
      </c>
      <c r="C89" t="str">
        <f t="shared" si="18"/>
        <v>test.Base64_19_</v>
      </c>
      <c r="D89">
        <v>29</v>
      </c>
      <c r="E89" s="4">
        <v>1</v>
      </c>
      <c r="F89" s="4">
        <v>0.79376498800959228</v>
      </c>
      <c r="G89" s="4" t="str">
        <f t="shared" si="19"/>
        <v/>
      </c>
      <c r="H89" s="4" t="str">
        <f t="shared" si="20"/>
        <v/>
      </c>
      <c r="I89" s="4" t="str">
        <f t="shared" si="21"/>
        <v/>
      </c>
      <c r="J89" s="4">
        <f t="shared" si="22"/>
        <v>1</v>
      </c>
      <c r="K89" s="4" t="str">
        <f t="shared" si="23"/>
        <v/>
      </c>
      <c r="L89" s="4" t="str">
        <f t="shared" si="24"/>
        <v/>
      </c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t="s">
        <v>219</v>
      </c>
      <c r="B90">
        <v>20</v>
      </c>
      <c r="C90" t="str">
        <f t="shared" si="18"/>
        <v>test.Base64_20_</v>
      </c>
      <c r="D90">
        <v>1</v>
      </c>
      <c r="E90" s="4">
        <v>0.19801980198019803</v>
      </c>
      <c r="F90" s="4">
        <v>8.8974854932301742E-2</v>
      </c>
      <c r="G90" s="4">
        <f t="shared" si="19"/>
        <v>0.19801980198019803</v>
      </c>
      <c r="H90" s="4" t="str">
        <f t="shared" si="20"/>
        <v/>
      </c>
      <c r="I90" s="4" t="str">
        <f t="shared" si="21"/>
        <v/>
      </c>
      <c r="J90" s="4" t="str">
        <f t="shared" si="22"/>
        <v/>
      </c>
      <c r="K90" s="4" t="str">
        <f t="shared" si="23"/>
        <v/>
      </c>
      <c r="L90" s="4" t="str">
        <f t="shared" si="24"/>
        <v/>
      </c>
      <c r="M90" s="4"/>
      <c r="N90" s="4"/>
      <c r="O90" s="4"/>
      <c r="P90" s="4"/>
      <c r="Q90" s="4"/>
      <c r="R90" s="4"/>
      <c r="S90" s="4"/>
      <c r="T90" s="4"/>
      <c r="U90" s="4"/>
    </row>
    <row r="91" spans="1:21">
      <c r="A91" t="s">
        <v>219</v>
      </c>
      <c r="B91">
        <v>20</v>
      </c>
      <c r="C91" t="str">
        <f t="shared" si="18"/>
        <v>test.Base64_20_</v>
      </c>
      <c r="D91">
        <v>2</v>
      </c>
      <c r="E91" s="4">
        <v>0.22772277227722773</v>
      </c>
      <c r="F91" s="4">
        <v>0.10309477756286267</v>
      </c>
      <c r="G91" s="4">
        <f t="shared" si="19"/>
        <v>0.22772277227722773</v>
      </c>
      <c r="H91" s="4" t="str">
        <f t="shared" si="20"/>
        <v/>
      </c>
      <c r="I91" s="4" t="str">
        <f t="shared" si="21"/>
        <v/>
      </c>
      <c r="J91" s="4" t="str">
        <f t="shared" si="22"/>
        <v/>
      </c>
      <c r="K91" s="4" t="str">
        <f t="shared" si="23"/>
        <v/>
      </c>
      <c r="L91" s="4" t="str">
        <f t="shared" si="24"/>
        <v/>
      </c>
      <c r="M91" s="4"/>
      <c r="N91" s="4"/>
      <c r="O91" s="4"/>
      <c r="P91" s="4"/>
      <c r="Q91" s="4"/>
      <c r="R91" s="4"/>
      <c r="S91" s="4"/>
      <c r="T91" s="4"/>
      <c r="U91" s="4"/>
    </row>
    <row r="92" spans="1:21">
      <c r="A92" t="s">
        <v>219</v>
      </c>
      <c r="B92">
        <v>20</v>
      </c>
      <c r="C92" t="str">
        <f t="shared" si="18"/>
        <v>test.Base64_20_</v>
      </c>
      <c r="D92">
        <v>3</v>
      </c>
      <c r="E92" s="4">
        <v>0.25742574257425743</v>
      </c>
      <c r="F92" s="4">
        <v>0.10348162475822051</v>
      </c>
      <c r="G92" s="4">
        <f t="shared" si="19"/>
        <v>0.25742574257425743</v>
      </c>
      <c r="H92" s="4" t="str">
        <f t="shared" si="20"/>
        <v/>
      </c>
      <c r="I92" s="4" t="str">
        <f t="shared" si="21"/>
        <v/>
      </c>
      <c r="J92" s="4" t="str">
        <f t="shared" si="22"/>
        <v/>
      </c>
      <c r="K92" s="4" t="str">
        <f t="shared" si="23"/>
        <v/>
      </c>
      <c r="L92" s="4" t="str">
        <f t="shared" si="24"/>
        <v/>
      </c>
      <c r="M92" s="4"/>
      <c r="N92" s="4"/>
      <c r="O92" s="4"/>
      <c r="P92" s="4"/>
      <c r="Q92" s="4"/>
      <c r="R92" s="4"/>
      <c r="S92" s="4"/>
      <c r="T92" s="4"/>
      <c r="U92" s="4"/>
    </row>
    <row r="93" spans="1:21">
      <c r="A93" t="s">
        <v>219</v>
      </c>
      <c r="B93">
        <v>20</v>
      </c>
      <c r="C93" t="str">
        <f t="shared" si="18"/>
        <v>test.Base64_20_</v>
      </c>
      <c r="D93">
        <v>4</v>
      </c>
      <c r="E93" s="4">
        <v>0.28712871287128711</v>
      </c>
      <c r="F93" s="4">
        <v>0.10870406189555126</v>
      </c>
      <c r="G93" s="4">
        <f t="shared" si="19"/>
        <v>0.28712871287128711</v>
      </c>
      <c r="H93" s="4" t="str">
        <f t="shared" si="20"/>
        <v/>
      </c>
      <c r="I93" s="4" t="str">
        <f t="shared" si="21"/>
        <v/>
      </c>
      <c r="J93" s="4" t="str">
        <f t="shared" si="22"/>
        <v/>
      </c>
      <c r="K93" s="4" t="str">
        <f t="shared" si="23"/>
        <v/>
      </c>
      <c r="L93" s="4" t="str">
        <f t="shared" si="24"/>
        <v/>
      </c>
      <c r="M93" s="4"/>
      <c r="N93" s="4"/>
      <c r="O93" s="4"/>
      <c r="P93" s="4"/>
      <c r="Q93" s="4"/>
      <c r="R93" s="4"/>
      <c r="S93" s="4"/>
      <c r="T93" s="4"/>
      <c r="U93" s="4"/>
    </row>
    <row r="94" spans="1:21">
      <c r="A94" t="s">
        <v>219</v>
      </c>
      <c r="B94">
        <v>20</v>
      </c>
      <c r="C94" t="str">
        <f t="shared" si="18"/>
        <v>test.Base64_20_</v>
      </c>
      <c r="D94">
        <v>5</v>
      </c>
      <c r="E94" s="4">
        <v>0.44554455445544555</v>
      </c>
      <c r="F94" s="4">
        <v>0.11586073500967117</v>
      </c>
      <c r="G94" s="4">
        <f t="shared" si="19"/>
        <v>0.44554455445544555</v>
      </c>
      <c r="H94" s="4" t="str">
        <f t="shared" si="20"/>
        <v/>
      </c>
      <c r="I94" s="4" t="str">
        <f t="shared" si="21"/>
        <v/>
      </c>
      <c r="J94" s="4" t="str">
        <f t="shared" si="22"/>
        <v/>
      </c>
      <c r="K94" s="4" t="str">
        <f t="shared" si="23"/>
        <v/>
      </c>
      <c r="L94" s="4" t="str">
        <f t="shared" si="24"/>
        <v/>
      </c>
      <c r="M94" s="4"/>
      <c r="N94" s="4"/>
      <c r="O94" s="4"/>
      <c r="P94" s="4"/>
      <c r="Q94" s="4"/>
      <c r="R94" s="4"/>
      <c r="S94" s="4"/>
      <c r="T94" s="4"/>
      <c r="U94" s="4"/>
    </row>
    <row r="95" spans="1:21">
      <c r="A95" t="s">
        <v>219</v>
      </c>
      <c r="B95">
        <v>20</v>
      </c>
      <c r="C95" t="str">
        <f t="shared" si="18"/>
        <v>test.Base64_20_</v>
      </c>
      <c r="D95">
        <v>6</v>
      </c>
      <c r="E95" s="4">
        <v>0.44554455445544555</v>
      </c>
      <c r="F95" s="4">
        <v>0.11856866537717602</v>
      </c>
      <c r="G95" s="4">
        <f t="shared" si="19"/>
        <v>0.44554455445544555</v>
      </c>
      <c r="H95" s="4" t="str">
        <f t="shared" si="20"/>
        <v/>
      </c>
      <c r="I95" s="4" t="str">
        <f t="shared" si="21"/>
        <v/>
      </c>
      <c r="J95" s="4" t="str">
        <f t="shared" si="22"/>
        <v/>
      </c>
      <c r="K95" s="4" t="str">
        <f t="shared" si="23"/>
        <v/>
      </c>
      <c r="L95" s="4" t="str">
        <f t="shared" si="24"/>
        <v/>
      </c>
      <c r="M95" s="4"/>
      <c r="N95" s="4"/>
      <c r="O95" s="4"/>
      <c r="P95" s="4"/>
      <c r="Q95" s="4"/>
      <c r="R95" s="4"/>
      <c r="S95" s="4"/>
      <c r="T95" s="4"/>
      <c r="U95" s="4"/>
    </row>
    <row r="96" spans="1:21">
      <c r="A96" t="s">
        <v>219</v>
      </c>
      <c r="B96">
        <v>20</v>
      </c>
      <c r="C96" t="str">
        <f t="shared" si="18"/>
        <v>test.Base64_20_</v>
      </c>
      <c r="D96">
        <v>7</v>
      </c>
      <c r="E96" s="4">
        <v>0.52475247524752477</v>
      </c>
      <c r="F96" s="4">
        <v>0.11876208897485493</v>
      </c>
      <c r="G96" s="4">
        <f t="shared" si="19"/>
        <v>0.52475247524752477</v>
      </c>
      <c r="H96" s="4" t="str">
        <f t="shared" si="20"/>
        <v/>
      </c>
      <c r="I96" s="4" t="str">
        <f t="shared" si="21"/>
        <v/>
      </c>
      <c r="J96" s="4" t="str">
        <f t="shared" si="22"/>
        <v/>
      </c>
      <c r="K96" s="4" t="str">
        <f t="shared" si="23"/>
        <v/>
      </c>
      <c r="L96" s="4" t="str">
        <f t="shared" si="24"/>
        <v/>
      </c>
      <c r="M96" s="4"/>
      <c r="N96" s="4"/>
      <c r="O96" s="4"/>
      <c r="P96" s="4"/>
      <c r="Q96" s="4"/>
      <c r="R96" s="4"/>
      <c r="S96" s="4"/>
      <c r="T96" s="4"/>
      <c r="U96" s="4"/>
    </row>
    <row r="97" spans="1:21">
      <c r="A97" t="s">
        <v>219</v>
      </c>
      <c r="B97">
        <v>20</v>
      </c>
      <c r="C97" t="str">
        <f t="shared" si="18"/>
        <v>test.Base64_20_</v>
      </c>
      <c r="D97">
        <v>8</v>
      </c>
      <c r="E97" s="4">
        <v>0.52475247524752477</v>
      </c>
      <c r="F97" s="4">
        <v>0.12243713733075436</v>
      </c>
      <c r="G97" s="4">
        <f t="shared" si="19"/>
        <v>0.52475247524752477</v>
      </c>
      <c r="H97" s="4" t="str">
        <f t="shared" si="20"/>
        <v/>
      </c>
      <c r="I97" s="4" t="str">
        <f t="shared" si="21"/>
        <v/>
      </c>
      <c r="J97" s="4" t="str">
        <f t="shared" si="22"/>
        <v/>
      </c>
      <c r="K97" s="4" t="str">
        <f t="shared" si="23"/>
        <v/>
      </c>
      <c r="L97" s="4" t="str">
        <f t="shared" si="24"/>
        <v/>
      </c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t="s">
        <v>219</v>
      </c>
      <c r="B98">
        <v>20</v>
      </c>
      <c r="C98" t="str">
        <f t="shared" si="18"/>
        <v>test.Base64_20_</v>
      </c>
      <c r="D98">
        <v>9</v>
      </c>
      <c r="E98" s="4">
        <v>0.52475247524752477</v>
      </c>
      <c r="F98" s="4">
        <v>0.12475822050290135</v>
      </c>
      <c r="G98" s="4">
        <f t="shared" si="19"/>
        <v>0.52475247524752477</v>
      </c>
      <c r="H98" s="4" t="str">
        <f t="shared" si="20"/>
        <v/>
      </c>
      <c r="I98" s="4" t="str">
        <f t="shared" si="21"/>
        <v/>
      </c>
      <c r="J98" s="4" t="str">
        <f t="shared" si="22"/>
        <v/>
      </c>
      <c r="K98" s="4" t="str">
        <f t="shared" si="23"/>
        <v/>
      </c>
      <c r="L98" s="4" t="str">
        <f t="shared" si="24"/>
        <v/>
      </c>
      <c r="M98" s="4"/>
      <c r="N98" s="4"/>
      <c r="O98" s="4"/>
      <c r="P98" s="4"/>
      <c r="Q98" s="4"/>
      <c r="R98" s="4"/>
      <c r="S98" s="4"/>
      <c r="T98" s="4"/>
      <c r="U98" s="4"/>
    </row>
    <row r="99" spans="1:21">
      <c r="A99" t="s">
        <v>219</v>
      </c>
      <c r="B99">
        <v>20</v>
      </c>
      <c r="C99" t="str">
        <f t="shared" si="18"/>
        <v>test.Base64_20_</v>
      </c>
      <c r="D99">
        <v>10</v>
      </c>
      <c r="E99" s="4">
        <v>0.52475247524752477</v>
      </c>
      <c r="F99" s="4">
        <v>0.13191489361702127</v>
      </c>
      <c r="G99" s="4">
        <f t="shared" si="19"/>
        <v>0.52475247524752477</v>
      </c>
      <c r="H99" s="4" t="str">
        <f t="shared" si="20"/>
        <v/>
      </c>
      <c r="I99" s="4" t="str">
        <f t="shared" si="21"/>
        <v/>
      </c>
      <c r="J99" s="4" t="str">
        <f t="shared" si="22"/>
        <v/>
      </c>
      <c r="K99" s="4" t="str">
        <f t="shared" si="23"/>
        <v/>
      </c>
      <c r="L99" s="4" t="str">
        <f t="shared" si="24"/>
        <v/>
      </c>
      <c r="M99" s="4"/>
      <c r="N99" s="4"/>
      <c r="O99" s="4"/>
      <c r="P99" s="4"/>
      <c r="Q99" s="4"/>
      <c r="R99" s="4"/>
      <c r="S99" s="4"/>
      <c r="T99" s="4"/>
      <c r="U99" s="4"/>
    </row>
    <row r="100" spans="1:21">
      <c r="A100" t="s">
        <v>219</v>
      </c>
      <c r="B100">
        <v>20</v>
      </c>
      <c r="C100" t="str">
        <f t="shared" si="18"/>
        <v>test.Base64_20_</v>
      </c>
      <c r="D100">
        <v>11</v>
      </c>
      <c r="E100" s="4">
        <v>0.5544554455445545</v>
      </c>
      <c r="F100" s="4">
        <v>0.1321083172147002</v>
      </c>
      <c r="G100" s="4">
        <f t="shared" si="19"/>
        <v>0.5544554455445545</v>
      </c>
      <c r="H100" s="4" t="str">
        <f t="shared" si="20"/>
        <v/>
      </c>
      <c r="I100" s="4" t="str">
        <f t="shared" si="21"/>
        <v/>
      </c>
      <c r="J100" s="4" t="str">
        <f t="shared" si="22"/>
        <v/>
      </c>
      <c r="K100" s="4" t="str">
        <f t="shared" si="23"/>
        <v/>
      </c>
      <c r="L100" s="4" t="str">
        <f t="shared" si="24"/>
        <v/>
      </c>
      <c r="M100" s="4"/>
      <c r="N100" s="4"/>
      <c r="O100" s="4"/>
      <c r="P100" s="4"/>
      <c r="Q100" s="4"/>
      <c r="R100" s="4"/>
      <c r="S100" s="4"/>
      <c r="T100" s="4"/>
      <c r="U100" s="4"/>
    </row>
    <row r="101" spans="1:21">
      <c r="A101" t="s">
        <v>219</v>
      </c>
      <c r="B101">
        <v>20</v>
      </c>
      <c r="C101" t="str">
        <f t="shared" si="18"/>
        <v>test.Base64_20_</v>
      </c>
      <c r="D101">
        <v>12</v>
      </c>
      <c r="E101" s="4">
        <v>0.5544554455445545</v>
      </c>
      <c r="F101" s="4">
        <v>0.1346228239845261</v>
      </c>
      <c r="G101" s="4">
        <f t="shared" si="19"/>
        <v>0.5544554455445545</v>
      </c>
      <c r="H101" s="4" t="str">
        <f t="shared" si="20"/>
        <v/>
      </c>
      <c r="I101" s="4" t="str">
        <f t="shared" si="21"/>
        <v/>
      </c>
      <c r="J101" s="4" t="str">
        <f t="shared" si="22"/>
        <v/>
      </c>
      <c r="K101" s="4" t="str">
        <f t="shared" si="23"/>
        <v/>
      </c>
      <c r="L101" s="4" t="str">
        <f t="shared" si="24"/>
        <v/>
      </c>
      <c r="M101" s="4"/>
      <c r="N101" s="4"/>
      <c r="O101" s="4"/>
      <c r="P101" s="4"/>
      <c r="Q101" s="4"/>
      <c r="R101" s="4"/>
      <c r="S101" s="4"/>
      <c r="T101" s="4"/>
      <c r="U101" s="4"/>
    </row>
    <row r="102" spans="1:21">
      <c r="A102" t="s">
        <v>219</v>
      </c>
      <c r="B102">
        <v>20</v>
      </c>
      <c r="C102" t="str">
        <f t="shared" si="18"/>
        <v>test.Base64_20_</v>
      </c>
      <c r="D102">
        <v>13</v>
      </c>
      <c r="E102" s="4">
        <v>0.5544554455445545</v>
      </c>
      <c r="F102" s="4">
        <v>0.13752417794970986</v>
      </c>
      <c r="G102" s="4">
        <f t="shared" si="19"/>
        <v>0.5544554455445545</v>
      </c>
      <c r="H102" s="4" t="str">
        <f t="shared" si="20"/>
        <v/>
      </c>
      <c r="I102" s="4" t="str">
        <f t="shared" si="21"/>
        <v/>
      </c>
      <c r="J102" s="4" t="str">
        <f t="shared" si="22"/>
        <v/>
      </c>
      <c r="K102" s="4" t="str">
        <f t="shared" si="23"/>
        <v/>
      </c>
      <c r="L102" s="4" t="str">
        <f t="shared" si="24"/>
        <v/>
      </c>
      <c r="M102" s="4"/>
      <c r="N102" s="4"/>
      <c r="O102" s="4"/>
      <c r="P102" s="4"/>
      <c r="Q102" s="4"/>
      <c r="R102" s="4"/>
      <c r="S102" s="4"/>
      <c r="T102" s="4"/>
      <c r="U102" s="4"/>
    </row>
    <row r="103" spans="1:21">
      <c r="A103" t="s">
        <v>219</v>
      </c>
      <c r="B103">
        <v>20</v>
      </c>
      <c r="C103" t="str">
        <f t="shared" si="18"/>
        <v>test.Base64_20_</v>
      </c>
      <c r="D103">
        <v>14</v>
      </c>
      <c r="E103" s="4">
        <v>0.5544554455445545</v>
      </c>
      <c r="F103" s="4">
        <v>0.14003868471953579</v>
      </c>
      <c r="G103" s="4">
        <f t="shared" si="19"/>
        <v>0.5544554455445545</v>
      </c>
      <c r="H103" s="4" t="str">
        <f t="shared" si="20"/>
        <v/>
      </c>
      <c r="I103" s="4" t="str">
        <f t="shared" si="21"/>
        <v/>
      </c>
      <c r="J103" s="4" t="str">
        <f t="shared" si="22"/>
        <v/>
      </c>
      <c r="K103" s="4" t="str">
        <f t="shared" si="23"/>
        <v/>
      </c>
      <c r="L103" s="4" t="str">
        <f t="shared" si="24"/>
        <v/>
      </c>
      <c r="M103" s="4"/>
      <c r="N103" s="4"/>
      <c r="O103" s="4"/>
      <c r="P103" s="4"/>
      <c r="Q103" s="4"/>
      <c r="R103" s="4"/>
      <c r="S103" s="4"/>
      <c r="T103" s="4"/>
      <c r="U103" s="4"/>
    </row>
    <row r="104" spans="1:21">
      <c r="A104" t="s">
        <v>219</v>
      </c>
      <c r="B104">
        <v>20</v>
      </c>
      <c r="C104" t="str">
        <f t="shared" si="18"/>
        <v>test.Base64_20_</v>
      </c>
      <c r="D104">
        <v>15</v>
      </c>
      <c r="E104" s="4">
        <v>0.5544554455445545</v>
      </c>
      <c r="F104" s="4">
        <v>0.14216634429400388</v>
      </c>
      <c r="G104" s="4">
        <f t="shared" si="19"/>
        <v>0.5544554455445545</v>
      </c>
      <c r="H104" s="4" t="str">
        <f t="shared" si="20"/>
        <v/>
      </c>
      <c r="I104" s="4" t="str">
        <f t="shared" si="21"/>
        <v/>
      </c>
      <c r="J104" s="4" t="str">
        <f t="shared" si="22"/>
        <v/>
      </c>
      <c r="K104" s="4" t="str">
        <f t="shared" si="23"/>
        <v/>
      </c>
      <c r="L104" s="4" t="str">
        <f t="shared" si="24"/>
        <v/>
      </c>
      <c r="M104" s="4"/>
      <c r="N104" s="4"/>
      <c r="O104" s="4"/>
      <c r="P104" s="4"/>
      <c r="Q104" s="4"/>
      <c r="R104" s="4"/>
      <c r="S104" s="4"/>
      <c r="T104" s="4"/>
      <c r="U104" s="4"/>
    </row>
    <row r="105" spans="1:21">
      <c r="A105" t="s">
        <v>219</v>
      </c>
      <c r="B105">
        <v>20</v>
      </c>
      <c r="C105" t="str">
        <f t="shared" si="18"/>
        <v>test.Base64_20_</v>
      </c>
      <c r="D105">
        <v>16</v>
      </c>
      <c r="E105" s="4">
        <v>0.5544554455445545</v>
      </c>
      <c r="F105" s="4">
        <v>0.14235976789168278</v>
      </c>
      <c r="G105" s="4">
        <f t="shared" si="19"/>
        <v>0.5544554455445545</v>
      </c>
      <c r="H105" s="4" t="str">
        <f t="shared" si="20"/>
        <v/>
      </c>
      <c r="I105" s="4" t="str">
        <f t="shared" si="21"/>
        <v/>
      </c>
      <c r="J105" s="4" t="str">
        <f t="shared" si="22"/>
        <v/>
      </c>
      <c r="K105" s="4" t="str">
        <f t="shared" si="23"/>
        <v/>
      </c>
      <c r="L105" s="4" t="str">
        <f t="shared" si="24"/>
        <v/>
      </c>
      <c r="M105" s="4"/>
      <c r="N105" s="4"/>
      <c r="O105" s="4"/>
      <c r="P105" s="4"/>
      <c r="Q105" s="4"/>
      <c r="R105" s="4"/>
      <c r="S105" s="4"/>
      <c r="T105" s="4"/>
      <c r="U105" s="4"/>
    </row>
    <row r="106" spans="1:21">
      <c r="A106" t="s">
        <v>219</v>
      </c>
      <c r="B106">
        <v>20</v>
      </c>
      <c r="C106" t="str">
        <f t="shared" si="18"/>
        <v>test.Base64_20_</v>
      </c>
      <c r="D106">
        <v>17</v>
      </c>
      <c r="E106" s="4">
        <v>0.73267326732673266</v>
      </c>
      <c r="F106" s="4">
        <v>0.14777562862669247</v>
      </c>
      <c r="G106" s="4">
        <f t="shared" si="19"/>
        <v>0.73267326732673266</v>
      </c>
      <c r="H106" s="4" t="str">
        <f t="shared" si="20"/>
        <v/>
      </c>
      <c r="I106" s="4" t="str">
        <f t="shared" si="21"/>
        <v/>
      </c>
      <c r="J106" s="4" t="str">
        <f t="shared" si="22"/>
        <v/>
      </c>
      <c r="K106" s="4" t="str">
        <f t="shared" si="23"/>
        <v/>
      </c>
      <c r="L106" s="4" t="str">
        <f t="shared" si="24"/>
        <v/>
      </c>
      <c r="M106" s="4"/>
      <c r="N106" s="4"/>
      <c r="O106" s="4"/>
      <c r="P106" s="4"/>
      <c r="Q106" s="4"/>
      <c r="R106" s="4"/>
      <c r="S106" s="4"/>
      <c r="T106" s="4"/>
      <c r="U106" s="4"/>
    </row>
    <row r="107" spans="1:21">
      <c r="A107" t="s">
        <v>219</v>
      </c>
      <c r="B107">
        <v>20</v>
      </c>
      <c r="C107" t="str">
        <f t="shared" si="18"/>
        <v>test.Base64_20_</v>
      </c>
      <c r="D107">
        <v>18</v>
      </c>
      <c r="E107" s="4">
        <v>0.73267326732673266</v>
      </c>
      <c r="F107" s="4">
        <v>0.15551257253384912</v>
      </c>
      <c r="G107" s="4">
        <f t="shared" si="19"/>
        <v>0.73267326732673266</v>
      </c>
      <c r="H107" s="4" t="str">
        <f t="shared" si="20"/>
        <v/>
      </c>
      <c r="I107" s="4" t="str">
        <f t="shared" si="21"/>
        <v/>
      </c>
      <c r="J107" s="4" t="str">
        <f t="shared" si="22"/>
        <v/>
      </c>
      <c r="K107" s="4" t="str">
        <f t="shared" si="23"/>
        <v/>
      </c>
      <c r="L107" s="4" t="str">
        <f t="shared" si="24"/>
        <v/>
      </c>
      <c r="M107" s="4"/>
      <c r="N107" s="4"/>
      <c r="O107" s="4"/>
      <c r="P107" s="4"/>
      <c r="Q107" s="4"/>
      <c r="R107" s="4"/>
      <c r="S107" s="4"/>
      <c r="T107" s="4"/>
      <c r="U107" s="4"/>
    </row>
    <row r="108" spans="1:21">
      <c r="A108" t="s">
        <v>219</v>
      </c>
      <c r="B108">
        <v>20</v>
      </c>
      <c r="C108" t="str">
        <f t="shared" si="18"/>
        <v>test.Base64_20_</v>
      </c>
      <c r="D108">
        <v>19</v>
      </c>
      <c r="E108" s="4">
        <v>0.73267326732673266</v>
      </c>
      <c r="F108" s="4">
        <v>0.15609284332688589</v>
      </c>
      <c r="G108" s="4">
        <f t="shared" si="19"/>
        <v>0.73267326732673266</v>
      </c>
      <c r="H108" s="4" t="str">
        <f t="shared" si="20"/>
        <v/>
      </c>
      <c r="I108" s="4" t="str">
        <f t="shared" si="21"/>
        <v/>
      </c>
      <c r="J108" s="4" t="str">
        <f t="shared" si="22"/>
        <v/>
      </c>
      <c r="K108" s="4" t="str">
        <f t="shared" si="23"/>
        <v/>
      </c>
      <c r="L108" s="4" t="str">
        <f t="shared" si="24"/>
        <v/>
      </c>
      <c r="M108" s="4"/>
      <c r="N108" s="4"/>
      <c r="O108" s="4"/>
      <c r="P108" s="4"/>
      <c r="Q108" s="4"/>
      <c r="R108" s="4"/>
      <c r="S108" s="4"/>
      <c r="T108" s="4"/>
      <c r="U108" s="4"/>
    </row>
    <row r="109" spans="1:21">
      <c r="A109" t="s">
        <v>219</v>
      </c>
      <c r="B109">
        <v>20</v>
      </c>
      <c r="C109" t="str">
        <f t="shared" si="18"/>
        <v>test.Base64_20_</v>
      </c>
      <c r="D109">
        <v>20</v>
      </c>
      <c r="E109" s="4">
        <v>0.73267326732673266</v>
      </c>
      <c r="F109" s="4">
        <v>0.15725338491295937</v>
      </c>
      <c r="G109" s="4">
        <f t="shared" si="19"/>
        <v>0.73267326732673266</v>
      </c>
      <c r="H109" s="4" t="str">
        <f t="shared" si="20"/>
        <v/>
      </c>
      <c r="I109" s="4" t="str">
        <f t="shared" si="21"/>
        <v/>
      </c>
      <c r="J109" s="4" t="str">
        <f t="shared" si="22"/>
        <v/>
      </c>
      <c r="K109" s="4" t="str">
        <f t="shared" si="23"/>
        <v/>
      </c>
      <c r="L109" s="4" t="str">
        <f t="shared" si="24"/>
        <v/>
      </c>
      <c r="M109" s="4"/>
      <c r="N109" s="4"/>
      <c r="O109" s="4"/>
      <c r="P109" s="4"/>
      <c r="Q109" s="4"/>
      <c r="R109" s="4"/>
      <c r="S109" s="4"/>
      <c r="T109" s="4"/>
      <c r="U109" s="4"/>
    </row>
    <row r="110" spans="1:21">
      <c r="A110" t="s">
        <v>219</v>
      </c>
      <c r="B110">
        <v>20</v>
      </c>
      <c r="C110" t="str">
        <f t="shared" si="18"/>
        <v>test.Base64_20_</v>
      </c>
      <c r="D110">
        <v>21</v>
      </c>
      <c r="E110" s="4">
        <v>0.73267326732673266</v>
      </c>
      <c r="F110" s="4">
        <v>0.15918762088974855</v>
      </c>
      <c r="G110" s="4">
        <f t="shared" si="19"/>
        <v>0.73267326732673266</v>
      </c>
      <c r="H110" s="4" t="str">
        <f t="shared" si="20"/>
        <v/>
      </c>
      <c r="I110" s="4" t="str">
        <f t="shared" si="21"/>
        <v/>
      </c>
      <c r="J110" s="4" t="str">
        <f t="shared" si="22"/>
        <v/>
      </c>
      <c r="K110" s="4" t="str">
        <f t="shared" si="23"/>
        <v/>
      </c>
      <c r="L110" s="4" t="str">
        <f t="shared" si="24"/>
        <v/>
      </c>
      <c r="M110" s="4"/>
      <c r="N110" s="4"/>
      <c r="O110" s="4"/>
      <c r="P110" s="4"/>
      <c r="Q110" s="4"/>
      <c r="R110" s="4"/>
      <c r="S110" s="4"/>
      <c r="T110" s="4"/>
      <c r="U110" s="4"/>
    </row>
    <row r="111" spans="1:21">
      <c r="A111" t="s">
        <v>219</v>
      </c>
      <c r="B111">
        <v>20</v>
      </c>
      <c r="C111" t="str">
        <f t="shared" si="18"/>
        <v>test.Base64_20_</v>
      </c>
      <c r="D111">
        <v>22</v>
      </c>
      <c r="E111" s="4">
        <v>0.73267326732673266</v>
      </c>
      <c r="F111" s="4">
        <v>0.16189555125725338</v>
      </c>
      <c r="G111" s="4">
        <f t="shared" si="19"/>
        <v>0.73267326732673266</v>
      </c>
      <c r="H111" s="4" t="str">
        <f t="shared" si="20"/>
        <v/>
      </c>
      <c r="I111" s="4" t="str">
        <f t="shared" si="21"/>
        <v/>
      </c>
      <c r="J111" s="4" t="str">
        <f t="shared" si="22"/>
        <v/>
      </c>
      <c r="K111" s="4" t="str">
        <f t="shared" si="23"/>
        <v/>
      </c>
      <c r="L111" s="4" t="str">
        <f t="shared" si="24"/>
        <v/>
      </c>
      <c r="M111" s="4"/>
      <c r="N111" s="4"/>
      <c r="O111" s="4"/>
      <c r="P111" s="4"/>
      <c r="Q111" s="4"/>
      <c r="R111" s="4"/>
      <c r="S111" s="4"/>
      <c r="T111" s="4"/>
      <c r="U111" s="4"/>
    </row>
    <row r="112" spans="1:21">
      <c r="A112" t="s">
        <v>219</v>
      </c>
      <c r="B112">
        <v>20</v>
      </c>
      <c r="C112" t="str">
        <f t="shared" si="18"/>
        <v>test.Base64_20_</v>
      </c>
      <c r="D112">
        <v>23</v>
      </c>
      <c r="E112" s="4">
        <v>0.73267326732673266</v>
      </c>
      <c r="F112" s="4">
        <v>0.16247582205029013</v>
      </c>
      <c r="G112" s="4">
        <f t="shared" si="19"/>
        <v>0.73267326732673266</v>
      </c>
      <c r="H112" s="4" t="str">
        <f t="shared" si="20"/>
        <v/>
      </c>
      <c r="I112" s="4" t="str">
        <f t="shared" si="21"/>
        <v/>
      </c>
      <c r="J112" s="4" t="str">
        <f t="shared" si="22"/>
        <v/>
      </c>
      <c r="K112" s="4" t="str">
        <f t="shared" si="23"/>
        <v/>
      </c>
      <c r="L112" s="4" t="str">
        <f t="shared" si="24"/>
        <v/>
      </c>
      <c r="M112" s="4"/>
      <c r="N112" s="4"/>
      <c r="O112" s="4"/>
      <c r="P112" s="4"/>
      <c r="Q112" s="4"/>
      <c r="R112" s="4"/>
      <c r="S112" s="4"/>
      <c r="T112" s="4"/>
      <c r="U112" s="4"/>
    </row>
    <row r="113" spans="1:21">
      <c r="A113" t="s">
        <v>219</v>
      </c>
      <c r="B113">
        <v>20</v>
      </c>
      <c r="C113" t="str">
        <f t="shared" si="18"/>
        <v>test.Base64_20_</v>
      </c>
      <c r="D113">
        <v>24</v>
      </c>
      <c r="E113" s="4">
        <v>0.73267326732673266</v>
      </c>
      <c r="F113" s="4">
        <v>0.1702127659574468</v>
      </c>
      <c r="G113" s="4">
        <f t="shared" si="19"/>
        <v>0.73267326732673266</v>
      </c>
      <c r="H113" s="4" t="str">
        <f t="shared" si="20"/>
        <v/>
      </c>
      <c r="I113" s="4" t="str">
        <f t="shared" si="21"/>
        <v/>
      </c>
      <c r="J113" s="4" t="str">
        <f t="shared" si="22"/>
        <v/>
      </c>
      <c r="K113" s="4" t="str">
        <f t="shared" si="23"/>
        <v/>
      </c>
      <c r="L113" s="4" t="str">
        <f t="shared" si="24"/>
        <v/>
      </c>
      <c r="M113" s="4"/>
      <c r="N113" s="4"/>
      <c r="O113" s="4"/>
      <c r="P113" s="4"/>
      <c r="Q113" s="4"/>
      <c r="R113" s="4"/>
      <c r="S113" s="4"/>
      <c r="T113" s="4"/>
      <c r="U113" s="4"/>
    </row>
    <row r="114" spans="1:21">
      <c r="A114" t="s">
        <v>219</v>
      </c>
      <c r="B114">
        <v>20</v>
      </c>
      <c r="C114" t="str">
        <f t="shared" si="18"/>
        <v>test.Base64_20_</v>
      </c>
      <c r="D114">
        <v>25</v>
      </c>
      <c r="E114" s="4">
        <v>0.73267326732673266</v>
      </c>
      <c r="F114" s="4">
        <v>0.17330754352030947</v>
      </c>
      <c r="G114" s="4">
        <f t="shared" si="19"/>
        <v>0.73267326732673266</v>
      </c>
      <c r="H114" s="4" t="str">
        <f t="shared" si="20"/>
        <v/>
      </c>
      <c r="I114" s="4" t="str">
        <f t="shared" si="21"/>
        <v/>
      </c>
      <c r="J114" s="4" t="str">
        <f t="shared" si="22"/>
        <v/>
      </c>
      <c r="K114" s="4" t="str">
        <f t="shared" si="23"/>
        <v/>
      </c>
      <c r="L114" s="4" t="str">
        <f t="shared" si="24"/>
        <v/>
      </c>
      <c r="M114" s="4"/>
      <c r="N114" s="4"/>
      <c r="O114" s="4"/>
      <c r="P114" s="4"/>
      <c r="Q114" s="4"/>
      <c r="R114" s="4"/>
      <c r="S114" s="4"/>
      <c r="T114" s="4"/>
      <c r="U114" s="4"/>
    </row>
    <row r="115" spans="1:21">
      <c r="A115" t="s">
        <v>219</v>
      </c>
      <c r="B115">
        <v>20</v>
      </c>
      <c r="C115" t="str">
        <f t="shared" si="18"/>
        <v>test.Base64_20_</v>
      </c>
      <c r="D115">
        <v>26</v>
      </c>
      <c r="E115" s="4">
        <v>0.73267326732673266</v>
      </c>
      <c r="F115" s="4">
        <v>0.1735009671179884</v>
      </c>
      <c r="G115" s="4">
        <f t="shared" si="19"/>
        <v>0.73267326732673266</v>
      </c>
      <c r="H115" s="4" t="str">
        <f t="shared" si="20"/>
        <v/>
      </c>
      <c r="I115" s="4" t="str">
        <f t="shared" si="21"/>
        <v/>
      </c>
      <c r="J115" s="4" t="str">
        <f t="shared" si="22"/>
        <v/>
      </c>
      <c r="K115" s="4" t="str">
        <f t="shared" si="23"/>
        <v/>
      </c>
      <c r="L115" s="4" t="str">
        <f t="shared" si="24"/>
        <v/>
      </c>
      <c r="M115" s="4"/>
      <c r="N115" s="4"/>
      <c r="O115" s="4"/>
      <c r="P115" s="4"/>
      <c r="Q115" s="4"/>
      <c r="R115" s="4"/>
      <c r="S115" s="4"/>
      <c r="T115" s="4"/>
      <c r="U115" s="4"/>
    </row>
    <row r="116" spans="1:21">
      <c r="A116" t="s">
        <v>219</v>
      </c>
      <c r="B116">
        <v>20</v>
      </c>
      <c r="C116" t="str">
        <f t="shared" si="18"/>
        <v>test.Base64_20_</v>
      </c>
      <c r="D116">
        <v>27</v>
      </c>
      <c r="E116" s="4">
        <v>0.73267326732673266</v>
      </c>
      <c r="F116" s="4">
        <v>0.18220502901353966</v>
      </c>
      <c r="G116" s="4">
        <f t="shared" si="19"/>
        <v>0.73267326732673266</v>
      </c>
      <c r="H116" s="4" t="str">
        <f t="shared" si="20"/>
        <v/>
      </c>
      <c r="I116" s="4" t="str">
        <f t="shared" si="21"/>
        <v/>
      </c>
      <c r="J116" s="4" t="str">
        <f t="shared" si="22"/>
        <v/>
      </c>
      <c r="K116" s="4" t="str">
        <f t="shared" si="23"/>
        <v/>
      </c>
      <c r="L116" s="4" t="str">
        <f t="shared" si="24"/>
        <v/>
      </c>
      <c r="M116" s="4"/>
      <c r="N116" s="4"/>
      <c r="O116" s="4"/>
      <c r="P116" s="4"/>
      <c r="Q116" s="4"/>
      <c r="R116" s="4"/>
      <c r="S116" s="4"/>
      <c r="T116" s="4"/>
      <c r="U116" s="4"/>
    </row>
    <row r="117" spans="1:21">
      <c r="A117" t="s">
        <v>219</v>
      </c>
      <c r="B117">
        <v>20</v>
      </c>
      <c r="C117" t="str">
        <f t="shared" si="18"/>
        <v>test.Base64_20_</v>
      </c>
      <c r="D117">
        <v>28</v>
      </c>
      <c r="E117" s="4">
        <v>0.73267326732673266</v>
      </c>
      <c r="F117" s="4">
        <v>0.18336557059961314</v>
      </c>
      <c r="G117" s="4">
        <f t="shared" si="19"/>
        <v>0.73267326732673266</v>
      </c>
      <c r="H117" s="4" t="str">
        <f t="shared" si="20"/>
        <v/>
      </c>
      <c r="I117" s="4" t="str">
        <f t="shared" si="21"/>
        <v/>
      </c>
      <c r="J117" s="4" t="str">
        <f t="shared" si="22"/>
        <v/>
      </c>
      <c r="K117" s="4" t="str">
        <f t="shared" si="23"/>
        <v/>
      </c>
      <c r="L117" s="4" t="str">
        <f t="shared" si="24"/>
        <v/>
      </c>
      <c r="M117" s="4"/>
      <c r="N117" s="4"/>
      <c r="O117" s="4"/>
      <c r="P117" s="4"/>
      <c r="Q117" s="4"/>
      <c r="R117" s="4"/>
      <c r="S117" s="4"/>
      <c r="T117" s="4"/>
      <c r="U117" s="4"/>
    </row>
    <row r="118" spans="1:21">
      <c r="A118" t="s">
        <v>219</v>
      </c>
      <c r="B118">
        <v>20</v>
      </c>
      <c r="C118" t="str">
        <f t="shared" si="18"/>
        <v>test.Base64_20_</v>
      </c>
      <c r="D118">
        <v>29</v>
      </c>
      <c r="E118" s="4">
        <v>0.73267326732673266</v>
      </c>
      <c r="F118" s="4">
        <v>0.19032882011605415</v>
      </c>
      <c r="G118" s="4">
        <f t="shared" si="19"/>
        <v>0.73267326732673266</v>
      </c>
      <c r="H118" s="4" t="str">
        <f t="shared" si="20"/>
        <v/>
      </c>
      <c r="I118" s="4" t="str">
        <f t="shared" si="21"/>
        <v/>
      </c>
      <c r="J118" s="4" t="str">
        <f t="shared" si="22"/>
        <v/>
      </c>
      <c r="K118" s="4" t="str">
        <f t="shared" si="23"/>
        <v/>
      </c>
      <c r="L118" s="4" t="str">
        <f t="shared" si="24"/>
        <v/>
      </c>
      <c r="M118" s="4"/>
      <c r="N118" s="4"/>
      <c r="O118" s="4"/>
      <c r="P118" s="4"/>
      <c r="Q118" s="4"/>
      <c r="R118" s="4"/>
      <c r="S118" s="4"/>
      <c r="T118" s="4"/>
      <c r="U118" s="4"/>
    </row>
    <row r="119" spans="1:21">
      <c r="A119" t="s">
        <v>219</v>
      </c>
      <c r="B119">
        <v>20</v>
      </c>
      <c r="C119" t="str">
        <f t="shared" si="18"/>
        <v>test.Base64_20_</v>
      </c>
      <c r="D119">
        <v>30</v>
      </c>
      <c r="E119" s="4">
        <v>0.73267326732673266</v>
      </c>
      <c r="F119" s="4">
        <v>0.19226305609284333</v>
      </c>
      <c r="G119" s="4">
        <f t="shared" si="19"/>
        <v>0.73267326732673266</v>
      </c>
      <c r="H119" s="4" t="str">
        <f t="shared" si="20"/>
        <v/>
      </c>
      <c r="I119" s="4" t="str">
        <f t="shared" si="21"/>
        <v/>
      </c>
      <c r="J119" s="4" t="str">
        <f t="shared" si="22"/>
        <v/>
      </c>
      <c r="K119" s="4" t="str">
        <f t="shared" si="23"/>
        <v/>
      </c>
      <c r="L119" s="4" t="str">
        <f t="shared" si="24"/>
        <v/>
      </c>
      <c r="M119" s="4"/>
      <c r="N119" s="4"/>
      <c r="O119" s="4"/>
      <c r="P119" s="4"/>
      <c r="Q119" s="4"/>
      <c r="R119" s="4"/>
      <c r="S119" s="4"/>
      <c r="T119" s="4"/>
      <c r="U119" s="4"/>
    </row>
    <row r="120" spans="1:21">
      <c r="A120" t="s">
        <v>219</v>
      </c>
      <c r="B120">
        <v>20</v>
      </c>
      <c r="C120" t="str">
        <f t="shared" si="18"/>
        <v>test.Base64_20_</v>
      </c>
      <c r="D120">
        <v>31</v>
      </c>
      <c r="E120" s="4">
        <v>0.73267326732673266</v>
      </c>
      <c r="F120" s="4">
        <v>0.20212765957446807</v>
      </c>
      <c r="G120" s="4" t="str">
        <f t="shared" si="19"/>
        <v/>
      </c>
      <c r="H120" s="4">
        <f t="shared" si="20"/>
        <v>0.73267326732673266</v>
      </c>
      <c r="I120" s="4" t="str">
        <f t="shared" si="21"/>
        <v/>
      </c>
      <c r="J120" s="4" t="str">
        <f t="shared" si="22"/>
        <v/>
      </c>
      <c r="K120" s="4" t="str">
        <f t="shared" si="23"/>
        <v/>
      </c>
      <c r="L120" s="4" t="str">
        <f t="shared" si="24"/>
        <v/>
      </c>
      <c r="M120" s="4"/>
      <c r="N120" s="4"/>
      <c r="O120" s="4"/>
      <c r="P120" s="4"/>
      <c r="Q120" s="4"/>
      <c r="R120" s="4"/>
      <c r="S120" s="4"/>
      <c r="T120" s="4"/>
      <c r="U120" s="4"/>
    </row>
    <row r="121" spans="1:21">
      <c r="A121" t="s">
        <v>219</v>
      </c>
      <c r="B121">
        <v>20</v>
      </c>
      <c r="C121" t="str">
        <f t="shared" si="18"/>
        <v>test.Base64_20_</v>
      </c>
      <c r="D121">
        <v>32</v>
      </c>
      <c r="E121" s="4">
        <v>0.73267326732673266</v>
      </c>
      <c r="F121" s="4">
        <v>0.21508704061895551</v>
      </c>
      <c r="G121" s="4" t="str">
        <f t="shared" si="19"/>
        <v/>
      </c>
      <c r="H121" s="4">
        <f t="shared" si="20"/>
        <v>0.73267326732673266</v>
      </c>
      <c r="I121" s="4" t="str">
        <f t="shared" si="21"/>
        <v/>
      </c>
      <c r="J121" s="4" t="str">
        <f t="shared" si="22"/>
        <v/>
      </c>
      <c r="K121" s="4" t="str">
        <f t="shared" si="23"/>
        <v/>
      </c>
      <c r="L121" s="4" t="str">
        <f t="shared" si="24"/>
        <v/>
      </c>
      <c r="M121" s="4"/>
      <c r="N121" s="4"/>
      <c r="O121" s="4"/>
      <c r="P121" s="4"/>
      <c r="Q121" s="4"/>
      <c r="R121" s="4"/>
      <c r="S121" s="4"/>
      <c r="T121" s="4"/>
      <c r="U121" s="4"/>
    </row>
    <row r="122" spans="1:21">
      <c r="A122" t="s">
        <v>219</v>
      </c>
      <c r="B122">
        <v>20</v>
      </c>
      <c r="C122" t="str">
        <f t="shared" si="18"/>
        <v>test.Base64_20_</v>
      </c>
      <c r="D122">
        <v>33</v>
      </c>
      <c r="E122" s="4">
        <v>0.73267326732673266</v>
      </c>
      <c r="F122" s="4">
        <v>0.52243713733075436</v>
      </c>
      <c r="G122" s="4" t="str">
        <f t="shared" si="19"/>
        <v/>
      </c>
      <c r="H122" s="4" t="str">
        <f t="shared" si="20"/>
        <v/>
      </c>
      <c r="I122" s="4">
        <f t="shared" si="21"/>
        <v>0.73267326732673266</v>
      </c>
      <c r="J122" s="4" t="str">
        <f t="shared" si="22"/>
        <v/>
      </c>
      <c r="K122" s="4" t="str">
        <f t="shared" si="23"/>
        <v/>
      </c>
      <c r="L122" s="4" t="str">
        <f t="shared" si="24"/>
        <v/>
      </c>
      <c r="M122" s="4"/>
      <c r="N122" s="4"/>
      <c r="O122" s="4"/>
      <c r="P122" s="4"/>
      <c r="Q122" s="4"/>
      <c r="R122" s="4"/>
      <c r="S122" s="4"/>
      <c r="T122" s="4"/>
      <c r="U122" s="4"/>
    </row>
    <row r="123" spans="1:21">
      <c r="A123" t="s">
        <v>219</v>
      </c>
      <c r="B123">
        <v>20</v>
      </c>
      <c r="C123" t="str">
        <f t="shared" si="18"/>
        <v>test.Base64_20_</v>
      </c>
      <c r="D123">
        <v>34</v>
      </c>
      <c r="E123" s="4">
        <v>0.76237623762376239</v>
      </c>
      <c r="F123" s="4">
        <v>0.58839458413926504</v>
      </c>
      <c r="G123" s="4" t="str">
        <f t="shared" si="19"/>
        <v/>
      </c>
      <c r="H123" s="4" t="str">
        <f t="shared" si="20"/>
        <v/>
      </c>
      <c r="I123" s="4">
        <f t="shared" si="21"/>
        <v>0.76237623762376239</v>
      </c>
      <c r="J123" s="4" t="str">
        <f t="shared" si="22"/>
        <v/>
      </c>
      <c r="K123" s="4" t="str">
        <f t="shared" si="23"/>
        <v/>
      </c>
      <c r="L123" s="4" t="str">
        <f t="shared" si="24"/>
        <v/>
      </c>
      <c r="M123" s="4"/>
      <c r="N123" s="4"/>
      <c r="O123" s="4"/>
      <c r="P123" s="4"/>
      <c r="Q123" s="4"/>
      <c r="R123" s="4"/>
      <c r="S123" s="4"/>
      <c r="T123" s="4"/>
      <c r="U123" s="4"/>
    </row>
    <row r="124" spans="1:21">
      <c r="A124" t="s">
        <v>219</v>
      </c>
      <c r="B124">
        <v>20</v>
      </c>
      <c r="C124" t="str">
        <f t="shared" si="18"/>
        <v>test.Base64_20_</v>
      </c>
      <c r="D124">
        <v>35</v>
      </c>
      <c r="E124" s="4">
        <v>0.76237623762376239</v>
      </c>
      <c r="F124" s="4">
        <v>0.60406189555125722</v>
      </c>
      <c r="G124" s="4" t="str">
        <f t="shared" si="19"/>
        <v/>
      </c>
      <c r="H124" s="4" t="str">
        <f t="shared" si="20"/>
        <v/>
      </c>
      <c r="I124" s="4" t="str">
        <f t="shared" si="21"/>
        <v/>
      </c>
      <c r="J124" s="4">
        <f t="shared" si="22"/>
        <v>0.76237623762376239</v>
      </c>
      <c r="K124" s="4" t="str">
        <f t="shared" si="23"/>
        <v/>
      </c>
      <c r="L124" s="4" t="str">
        <f t="shared" si="24"/>
        <v/>
      </c>
      <c r="M124" s="4"/>
      <c r="N124" s="4"/>
      <c r="O124" s="4"/>
      <c r="P124" s="4"/>
      <c r="Q124" s="4"/>
      <c r="R124" s="4"/>
      <c r="S124" s="4"/>
      <c r="T124" s="4"/>
      <c r="U124" s="4"/>
    </row>
    <row r="125" spans="1:21">
      <c r="A125" t="s">
        <v>219</v>
      </c>
      <c r="B125">
        <v>20</v>
      </c>
      <c r="C125" t="str">
        <f t="shared" si="18"/>
        <v>test.Base64_20_</v>
      </c>
      <c r="D125">
        <v>36</v>
      </c>
      <c r="E125" s="4">
        <v>0.76237623762376239</v>
      </c>
      <c r="F125" s="4">
        <v>0.60889748549323019</v>
      </c>
      <c r="G125" s="4" t="str">
        <f t="shared" si="19"/>
        <v/>
      </c>
      <c r="H125" s="4" t="str">
        <f t="shared" si="20"/>
        <v/>
      </c>
      <c r="I125" s="4" t="str">
        <f t="shared" si="21"/>
        <v/>
      </c>
      <c r="J125" s="4">
        <f t="shared" si="22"/>
        <v>0.76237623762376239</v>
      </c>
      <c r="K125" s="4" t="str">
        <f t="shared" si="23"/>
        <v/>
      </c>
      <c r="L125" s="4" t="str">
        <f t="shared" si="24"/>
        <v/>
      </c>
      <c r="M125" s="4"/>
      <c r="N125" s="4"/>
      <c r="O125" s="4"/>
      <c r="P125" s="4"/>
      <c r="Q125" s="4"/>
      <c r="R125" s="4"/>
      <c r="S125" s="4"/>
      <c r="T125" s="4"/>
      <c r="U125" s="4"/>
    </row>
    <row r="126" spans="1:21">
      <c r="A126" t="s">
        <v>219</v>
      </c>
      <c r="B126">
        <v>20</v>
      </c>
      <c r="C126" t="str">
        <f t="shared" si="18"/>
        <v>test.Base64_20_</v>
      </c>
      <c r="D126">
        <v>37</v>
      </c>
      <c r="E126" s="4">
        <v>0.76237623762376239</v>
      </c>
      <c r="F126" s="4">
        <v>0.61740812379110255</v>
      </c>
      <c r="G126" s="4" t="str">
        <f t="shared" si="19"/>
        <v/>
      </c>
      <c r="H126" s="4" t="str">
        <f t="shared" si="20"/>
        <v/>
      </c>
      <c r="I126" s="4" t="str">
        <f t="shared" si="21"/>
        <v/>
      </c>
      <c r="J126" s="4">
        <f t="shared" si="22"/>
        <v>0.76237623762376239</v>
      </c>
      <c r="K126" s="4" t="str">
        <f t="shared" si="23"/>
        <v/>
      </c>
      <c r="L126" s="4" t="str">
        <f t="shared" si="24"/>
        <v/>
      </c>
      <c r="M126" s="4"/>
      <c r="N126" s="4"/>
      <c r="O126" s="4"/>
      <c r="P126" s="4"/>
      <c r="Q126" s="4"/>
      <c r="R126" s="4"/>
      <c r="S126" s="4"/>
      <c r="T126" s="4"/>
      <c r="U126" s="4"/>
    </row>
    <row r="127" spans="1:21">
      <c r="A127" t="s">
        <v>219</v>
      </c>
      <c r="B127">
        <v>20</v>
      </c>
      <c r="C127" t="str">
        <f t="shared" si="18"/>
        <v>test.Base64_20_</v>
      </c>
      <c r="D127">
        <v>38</v>
      </c>
      <c r="E127" s="4">
        <v>0.76237623762376239</v>
      </c>
      <c r="F127" s="4">
        <v>0.62166344294003872</v>
      </c>
      <c r="G127" s="4" t="str">
        <f t="shared" si="19"/>
        <v/>
      </c>
      <c r="H127" s="4" t="str">
        <f t="shared" si="20"/>
        <v/>
      </c>
      <c r="I127" s="4" t="str">
        <f t="shared" si="21"/>
        <v/>
      </c>
      <c r="J127" s="4">
        <f t="shared" si="22"/>
        <v>0.76237623762376239</v>
      </c>
      <c r="K127" s="4" t="str">
        <f t="shared" si="23"/>
        <v/>
      </c>
      <c r="L127" s="4" t="str">
        <f t="shared" si="24"/>
        <v/>
      </c>
      <c r="M127" s="4"/>
      <c r="N127" s="4"/>
      <c r="O127" s="4"/>
      <c r="P127" s="4"/>
      <c r="Q127" s="4"/>
      <c r="R127" s="4"/>
      <c r="S127" s="4"/>
      <c r="T127" s="4"/>
      <c r="U127" s="4"/>
    </row>
    <row r="128" spans="1:21">
      <c r="A128" t="s">
        <v>219</v>
      </c>
      <c r="B128">
        <v>20</v>
      </c>
      <c r="C128" t="str">
        <f t="shared" si="18"/>
        <v>test.Base64_20_</v>
      </c>
      <c r="D128">
        <v>39</v>
      </c>
      <c r="E128" s="4">
        <v>0.76237623762376239</v>
      </c>
      <c r="F128" s="4">
        <v>0.62901353965183748</v>
      </c>
      <c r="G128" s="4" t="str">
        <f t="shared" si="19"/>
        <v/>
      </c>
      <c r="H128" s="4" t="str">
        <f t="shared" si="20"/>
        <v/>
      </c>
      <c r="I128" s="4" t="str">
        <f t="shared" si="21"/>
        <v/>
      </c>
      <c r="J128" s="4">
        <f t="shared" si="22"/>
        <v>0.76237623762376239</v>
      </c>
      <c r="K128" s="4" t="str">
        <f t="shared" si="23"/>
        <v/>
      </c>
      <c r="L128" s="4" t="str">
        <f t="shared" si="24"/>
        <v/>
      </c>
      <c r="M128" s="4"/>
      <c r="N128" s="4"/>
      <c r="O128" s="4"/>
      <c r="P128" s="4"/>
      <c r="Q128" s="4"/>
      <c r="R128" s="4"/>
      <c r="S128" s="4"/>
      <c r="T128" s="4"/>
      <c r="U128" s="4"/>
    </row>
    <row r="129" spans="1:21">
      <c r="A129" t="s">
        <v>219</v>
      </c>
      <c r="B129">
        <v>20</v>
      </c>
      <c r="C129" t="str">
        <f t="shared" si="18"/>
        <v>test.Base64_20_</v>
      </c>
      <c r="D129">
        <v>40</v>
      </c>
      <c r="E129" s="4">
        <v>0.76237623762376239</v>
      </c>
      <c r="F129" s="4">
        <v>0.64119922630560933</v>
      </c>
      <c r="G129" s="4" t="str">
        <f t="shared" si="19"/>
        <v/>
      </c>
      <c r="H129" s="4" t="str">
        <f t="shared" si="20"/>
        <v/>
      </c>
      <c r="I129" s="4" t="str">
        <f t="shared" si="21"/>
        <v/>
      </c>
      <c r="J129" s="4">
        <f t="shared" si="22"/>
        <v>0.76237623762376239</v>
      </c>
      <c r="K129" s="4" t="str">
        <f t="shared" si="23"/>
        <v/>
      </c>
      <c r="L129" s="4" t="str">
        <f t="shared" si="24"/>
        <v/>
      </c>
      <c r="M129" s="4"/>
      <c r="N129" s="4"/>
      <c r="O129" s="4"/>
      <c r="P129" s="4"/>
      <c r="Q129" s="4"/>
      <c r="R129" s="4"/>
      <c r="S129" s="4"/>
      <c r="T129" s="4"/>
      <c r="U129" s="4"/>
    </row>
    <row r="130" spans="1:21">
      <c r="A130" t="s">
        <v>219</v>
      </c>
      <c r="B130">
        <v>20</v>
      </c>
      <c r="C130" t="str">
        <f t="shared" si="18"/>
        <v>test.Base64_20_</v>
      </c>
      <c r="D130">
        <v>41</v>
      </c>
      <c r="E130" s="4">
        <v>0.76237623762376239</v>
      </c>
      <c r="F130" s="4">
        <v>0.65106382978723409</v>
      </c>
      <c r="G130" s="4" t="str">
        <f t="shared" si="19"/>
        <v/>
      </c>
      <c r="H130" s="4" t="str">
        <f t="shared" si="20"/>
        <v/>
      </c>
      <c r="I130" s="4" t="str">
        <f t="shared" si="21"/>
        <v/>
      </c>
      <c r="J130" s="4">
        <f t="shared" si="22"/>
        <v>0.76237623762376239</v>
      </c>
      <c r="K130" s="4" t="str">
        <f t="shared" si="23"/>
        <v/>
      </c>
      <c r="L130" s="4" t="str">
        <f t="shared" si="24"/>
        <v/>
      </c>
      <c r="M130" s="4"/>
      <c r="N130" s="4"/>
      <c r="O130" s="4"/>
      <c r="P130" s="4"/>
      <c r="Q130" s="4"/>
      <c r="R130" s="4"/>
      <c r="S130" s="4"/>
      <c r="T130" s="4"/>
      <c r="U130" s="4"/>
    </row>
    <row r="131" spans="1:21">
      <c r="A131" t="s">
        <v>219</v>
      </c>
      <c r="B131">
        <v>20</v>
      </c>
      <c r="C131" t="str">
        <f t="shared" ref="C131:C194" si="25">CONCATENATE(A131, "_",B131,"_")</f>
        <v>test.Base64_20_</v>
      </c>
      <c r="D131">
        <v>42</v>
      </c>
      <c r="E131" s="4">
        <v>0.76237623762376239</v>
      </c>
      <c r="F131" s="4">
        <v>0.660541586073501</v>
      </c>
      <c r="G131" s="4" t="str">
        <f t="shared" ref="G131:G194" si="26">IF($F131 &lt;= 0.2,$E131,"")</f>
        <v/>
      </c>
      <c r="H131" s="4" t="str">
        <f t="shared" ref="H131:H194" si="27">IF(AND($F131 &gt; 0.2,$F131 &lt;= 0.4),$E131,"")</f>
        <v/>
      </c>
      <c r="I131" s="4" t="str">
        <f t="shared" ref="I131:I194" si="28">IF(AND($F131 &gt; 0.4,$F131 &lt;= 0.6),$E131,"")</f>
        <v/>
      </c>
      <c r="J131" s="4">
        <f t="shared" ref="J131:J194" si="29">IF(AND($F131 &gt; 0.6,$F131 &lt;= 0.8),$E131,"")</f>
        <v>0.76237623762376239</v>
      </c>
      <c r="K131" s="4" t="str">
        <f t="shared" ref="K131:K194" si="30">IF(AND($F131 &gt; 0.8, $F131 &lt;=1.1),$E131,"")</f>
        <v/>
      </c>
      <c r="L131" s="4" t="str">
        <f t="shared" ref="L131:L194" si="31">IF(AND($F131 &gt; 1.1),$E131,"")</f>
        <v/>
      </c>
      <c r="M131" s="4"/>
      <c r="N131" s="4"/>
      <c r="O131" s="4"/>
      <c r="P131" s="4"/>
      <c r="Q131" s="4"/>
      <c r="R131" s="4"/>
      <c r="S131" s="4"/>
      <c r="T131" s="4"/>
      <c r="U131" s="4"/>
    </row>
    <row r="132" spans="1:21">
      <c r="A132" t="s">
        <v>219</v>
      </c>
      <c r="B132">
        <v>20</v>
      </c>
      <c r="C132" t="str">
        <f t="shared" si="25"/>
        <v>test.Base64_20_</v>
      </c>
      <c r="D132">
        <v>43</v>
      </c>
      <c r="E132" s="4">
        <v>0.76237623762376239</v>
      </c>
      <c r="F132" s="4">
        <v>0.66131528046421661</v>
      </c>
      <c r="G132" s="4" t="str">
        <f t="shared" si="26"/>
        <v/>
      </c>
      <c r="H132" s="4" t="str">
        <f t="shared" si="27"/>
        <v/>
      </c>
      <c r="I132" s="4" t="str">
        <f t="shared" si="28"/>
        <v/>
      </c>
      <c r="J132" s="4">
        <f t="shared" si="29"/>
        <v>0.76237623762376239</v>
      </c>
      <c r="K132" s="4" t="str">
        <f t="shared" si="30"/>
        <v/>
      </c>
      <c r="L132" s="4" t="str">
        <f t="shared" si="31"/>
        <v/>
      </c>
      <c r="M132" s="4"/>
      <c r="N132" s="4"/>
      <c r="O132" s="4"/>
      <c r="P132" s="4"/>
      <c r="Q132" s="4"/>
      <c r="R132" s="4"/>
      <c r="S132" s="4"/>
      <c r="T132" s="4"/>
      <c r="U132" s="4"/>
    </row>
    <row r="133" spans="1:21">
      <c r="A133" t="s">
        <v>219</v>
      </c>
      <c r="B133">
        <v>20</v>
      </c>
      <c r="C133" t="str">
        <f t="shared" si="25"/>
        <v>test.Base64_20_</v>
      </c>
      <c r="D133">
        <v>44</v>
      </c>
      <c r="E133" s="4">
        <v>0.76237623762376239</v>
      </c>
      <c r="F133" s="4">
        <v>0.67562862669245649</v>
      </c>
      <c r="G133" s="4" t="str">
        <f t="shared" si="26"/>
        <v/>
      </c>
      <c r="H133" s="4" t="str">
        <f t="shared" si="27"/>
        <v/>
      </c>
      <c r="I133" s="4" t="str">
        <f t="shared" si="28"/>
        <v/>
      </c>
      <c r="J133" s="4">
        <f t="shared" si="29"/>
        <v>0.76237623762376239</v>
      </c>
      <c r="K133" s="4" t="str">
        <f t="shared" si="30"/>
        <v/>
      </c>
      <c r="L133" s="4" t="str">
        <f t="shared" si="31"/>
        <v/>
      </c>
      <c r="M133" s="4"/>
      <c r="N133" s="4"/>
      <c r="O133" s="4"/>
      <c r="P133" s="4"/>
      <c r="Q133" s="4"/>
      <c r="R133" s="4"/>
      <c r="S133" s="4"/>
      <c r="T133" s="4"/>
      <c r="U133" s="4"/>
    </row>
    <row r="134" spans="1:21">
      <c r="A134" t="s">
        <v>219</v>
      </c>
      <c r="B134">
        <v>20</v>
      </c>
      <c r="C134" t="str">
        <f t="shared" si="25"/>
        <v>test.Base64_20_</v>
      </c>
      <c r="D134">
        <v>45</v>
      </c>
      <c r="E134" s="4">
        <v>0.7722772277227723</v>
      </c>
      <c r="F134" s="4">
        <v>0.9112185686653772</v>
      </c>
      <c r="G134" s="4" t="str">
        <f t="shared" si="26"/>
        <v/>
      </c>
      <c r="H134" s="4" t="str">
        <f t="shared" si="27"/>
        <v/>
      </c>
      <c r="I134" s="4" t="str">
        <f t="shared" si="28"/>
        <v/>
      </c>
      <c r="J134" s="4" t="str">
        <f t="shared" si="29"/>
        <v/>
      </c>
      <c r="K134" s="4">
        <f t="shared" si="30"/>
        <v>0.7722772277227723</v>
      </c>
      <c r="L134" s="4" t="str">
        <f t="shared" si="31"/>
        <v/>
      </c>
      <c r="M134" s="4"/>
      <c r="N134" s="4"/>
      <c r="O134" s="4"/>
      <c r="P134" s="4"/>
      <c r="Q134" s="4"/>
      <c r="R134" s="4"/>
      <c r="S134" s="4"/>
      <c r="T134" s="4"/>
      <c r="U134" s="4"/>
    </row>
    <row r="135" spans="1:21">
      <c r="A135" t="s">
        <v>220</v>
      </c>
      <c r="B135">
        <v>1</v>
      </c>
      <c r="C135" t="str">
        <f t="shared" si="25"/>
        <v>test.Class11_1_</v>
      </c>
      <c r="D135">
        <v>1</v>
      </c>
      <c r="E135" s="4">
        <v>0.57894736842105265</v>
      </c>
      <c r="F135" s="4">
        <v>0.370928717662386</v>
      </c>
      <c r="G135" s="4" t="str">
        <f t="shared" si="26"/>
        <v/>
      </c>
      <c r="H135" s="4">
        <f t="shared" si="27"/>
        <v>0.57894736842105265</v>
      </c>
      <c r="I135" s="4" t="str">
        <f t="shared" si="28"/>
        <v/>
      </c>
      <c r="J135" s="4" t="str">
        <f t="shared" si="29"/>
        <v/>
      </c>
      <c r="K135" s="4" t="str">
        <f t="shared" si="30"/>
        <v/>
      </c>
      <c r="L135" s="4" t="str">
        <f t="shared" si="31"/>
        <v/>
      </c>
      <c r="M135" s="4"/>
      <c r="N135" s="4"/>
      <c r="O135" s="4"/>
      <c r="P135" s="4"/>
      <c r="Q135" s="4"/>
      <c r="R135" s="4"/>
      <c r="S135" s="4"/>
      <c r="T135" s="4"/>
      <c r="U135" s="4"/>
    </row>
    <row r="136" spans="1:21">
      <c r="A136" t="s">
        <v>220</v>
      </c>
      <c r="B136">
        <v>1</v>
      </c>
      <c r="C136" t="str">
        <f t="shared" si="25"/>
        <v>test.Class11_1_</v>
      </c>
      <c r="D136">
        <v>2</v>
      </c>
      <c r="E136" s="4">
        <v>0.57894736842105265</v>
      </c>
      <c r="F136" s="4">
        <v>0.37130094919039641</v>
      </c>
      <c r="G136" s="4" t="str">
        <f t="shared" si="26"/>
        <v/>
      </c>
      <c r="H136" s="4">
        <f t="shared" si="27"/>
        <v>0.57894736842105265</v>
      </c>
      <c r="I136" s="4" t="str">
        <f t="shared" si="28"/>
        <v/>
      </c>
      <c r="J136" s="4" t="str">
        <f t="shared" si="29"/>
        <v/>
      </c>
      <c r="K136" s="4" t="str">
        <f t="shared" si="30"/>
        <v/>
      </c>
      <c r="L136" s="4" t="str">
        <f t="shared" si="31"/>
        <v/>
      </c>
      <c r="M136" s="4"/>
      <c r="N136" s="4"/>
      <c r="O136" s="4"/>
      <c r="P136" s="4"/>
      <c r="Q136" s="4"/>
      <c r="R136" s="4"/>
      <c r="S136" s="4"/>
      <c r="T136" s="4"/>
      <c r="U136" s="4"/>
    </row>
    <row r="137" spans="1:21">
      <c r="A137" t="s">
        <v>220</v>
      </c>
      <c r="B137">
        <v>1</v>
      </c>
      <c r="C137" t="str">
        <f t="shared" si="25"/>
        <v>test.Class11_1_</v>
      </c>
      <c r="D137">
        <v>3</v>
      </c>
      <c r="E137" s="4">
        <v>0.57894736842105265</v>
      </c>
      <c r="F137" s="4">
        <v>0.37278987530243812</v>
      </c>
      <c r="G137" s="4" t="str">
        <f t="shared" si="26"/>
        <v/>
      </c>
      <c r="H137" s="4">
        <f t="shared" si="27"/>
        <v>0.57894736842105265</v>
      </c>
      <c r="I137" s="4" t="str">
        <f t="shared" si="28"/>
        <v/>
      </c>
      <c r="J137" s="4" t="str">
        <f t="shared" si="29"/>
        <v/>
      </c>
      <c r="K137" s="4" t="str">
        <f t="shared" si="30"/>
        <v/>
      </c>
      <c r="L137" s="4" t="str">
        <f t="shared" si="31"/>
        <v/>
      </c>
      <c r="M137" s="4"/>
      <c r="N137" s="4"/>
      <c r="O137" s="4"/>
      <c r="P137" s="4"/>
      <c r="Q137" s="4"/>
      <c r="R137" s="4"/>
      <c r="S137" s="4"/>
      <c r="T137" s="4"/>
      <c r="U137" s="4"/>
    </row>
    <row r="138" spans="1:21">
      <c r="A138" t="s">
        <v>220</v>
      </c>
      <c r="B138">
        <v>1</v>
      </c>
      <c r="C138" t="str">
        <f t="shared" si="25"/>
        <v>test.Class11_1_</v>
      </c>
      <c r="D138">
        <v>4</v>
      </c>
      <c r="E138" s="4">
        <v>0.63157894736842102</v>
      </c>
      <c r="F138" s="4">
        <v>0.45654196910478317</v>
      </c>
      <c r="G138" s="4" t="str">
        <f t="shared" si="26"/>
        <v/>
      </c>
      <c r="H138" s="4" t="str">
        <f t="shared" si="27"/>
        <v/>
      </c>
      <c r="I138" s="4">
        <f t="shared" si="28"/>
        <v>0.63157894736842102</v>
      </c>
      <c r="J138" s="4" t="str">
        <f t="shared" si="29"/>
        <v/>
      </c>
      <c r="K138" s="4" t="str">
        <f t="shared" si="30"/>
        <v/>
      </c>
      <c r="L138" s="4" t="str">
        <f t="shared" si="31"/>
        <v/>
      </c>
      <c r="M138" s="4"/>
      <c r="N138" s="4"/>
      <c r="O138" s="4"/>
      <c r="P138" s="4"/>
      <c r="Q138" s="4"/>
      <c r="R138" s="4"/>
      <c r="S138" s="4"/>
      <c r="T138" s="4"/>
      <c r="U138" s="4"/>
    </row>
    <row r="139" spans="1:21">
      <c r="A139" t="s">
        <v>220</v>
      </c>
      <c r="B139">
        <v>1</v>
      </c>
      <c r="C139" t="str">
        <f t="shared" si="25"/>
        <v>test.Class11_1_</v>
      </c>
      <c r="D139">
        <v>5</v>
      </c>
      <c r="E139" s="4">
        <v>0.89473684210526316</v>
      </c>
      <c r="F139" s="4">
        <v>0.63595756560580685</v>
      </c>
      <c r="G139" s="4" t="str">
        <f t="shared" si="26"/>
        <v/>
      </c>
      <c r="H139" s="4" t="str">
        <f t="shared" si="27"/>
        <v/>
      </c>
      <c r="I139" s="4" t="str">
        <f t="shared" si="28"/>
        <v/>
      </c>
      <c r="J139" s="4">
        <f t="shared" si="29"/>
        <v>0.89473684210526316</v>
      </c>
      <c r="K139" s="4" t="str">
        <f t="shared" si="30"/>
        <v/>
      </c>
      <c r="L139" s="4" t="str">
        <f t="shared" si="31"/>
        <v/>
      </c>
      <c r="M139" s="4"/>
      <c r="N139" s="4"/>
      <c r="O139" s="4"/>
      <c r="P139" s="4"/>
      <c r="Q139" s="4"/>
      <c r="R139" s="4"/>
      <c r="S139" s="4"/>
      <c r="T139" s="4"/>
      <c r="U139" s="4"/>
    </row>
    <row r="140" spans="1:21">
      <c r="A140" t="s">
        <v>220</v>
      </c>
      <c r="B140">
        <v>6</v>
      </c>
      <c r="C140" t="str">
        <f t="shared" si="25"/>
        <v>test.Class11_6_</v>
      </c>
      <c r="D140">
        <v>1</v>
      </c>
      <c r="E140" s="4">
        <v>4.4642857142857144E-2</v>
      </c>
      <c r="F140" s="4">
        <v>5.362776025236593E-2</v>
      </c>
      <c r="G140" s="4">
        <f t="shared" si="26"/>
        <v>4.4642857142857144E-2</v>
      </c>
      <c r="H140" s="4" t="str">
        <f t="shared" si="27"/>
        <v/>
      </c>
      <c r="I140" s="4" t="str">
        <f t="shared" si="28"/>
        <v/>
      </c>
      <c r="J140" s="4" t="str">
        <f t="shared" si="29"/>
        <v/>
      </c>
      <c r="K140" s="4" t="str">
        <f t="shared" si="30"/>
        <v/>
      </c>
      <c r="L140" s="4" t="str">
        <f t="shared" si="31"/>
        <v/>
      </c>
      <c r="M140" s="4"/>
      <c r="N140" s="4"/>
      <c r="O140" s="4"/>
      <c r="P140" s="4"/>
      <c r="Q140" s="4"/>
      <c r="R140" s="4"/>
      <c r="S140" s="4"/>
      <c r="T140" s="4"/>
      <c r="U140" s="4"/>
    </row>
    <row r="141" spans="1:21">
      <c r="A141" t="s">
        <v>220</v>
      </c>
      <c r="B141">
        <v>6</v>
      </c>
      <c r="C141" t="str">
        <f t="shared" si="25"/>
        <v>test.Class11_6_</v>
      </c>
      <c r="D141">
        <v>2</v>
      </c>
      <c r="E141" s="4">
        <v>0.5</v>
      </c>
      <c r="F141" s="4">
        <v>0.51104100946372244</v>
      </c>
      <c r="G141" s="4" t="str">
        <f t="shared" si="26"/>
        <v/>
      </c>
      <c r="H141" s="4" t="str">
        <f t="shared" si="27"/>
        <v/>
      </c>
      <c r="I141" s="4">
        <f t="shared" si="28"/>
        <v>0.5</v>
      </c>
      <c r="J141" s="4" t="str">
        <f t="shared" si="29"/>
        <v/>
      </c>
      <c r="K141" s="4" t="str">
        <f t="shared" si="30"/>
        <v/>
      </c>
      <c r="L141" s="4" t="str">
        <f t="shared" si="31"/>
        <v/>
      </c>
      <c r="M141" s="4"/>
      <c r="N141" s="4"/>
      <c r="O141" s="4"/>
      <c r="P141" s="4"/>
      <c r="Q141" s="4"/>
      <c r="R141" s="4"/>
      <c r="S141" s="4"/>
      <c r="T141" s="4"/>
      <c r="U141" s="4"/>
    </row>
    <row r="142" spans="1:21">
      <c r="A142" t="s">
        <v>220</v>
      </c>
      <c r="B142">
        <v>6</v>
      </c>
      <c r="C142" t="str">
        <f t="shared" si="25"/>
        <v>test.Class11_6_</v>
      </c>
      <c r="D142">
        <v>3</v>
      </c>
      <c r="E142" s="4">
        <v>1</v>
      </c>
      <c r="F142" s="4">
        <v>0.99500525762355418</v>
      </c>
      <c r="G142" s="4" t="str">
        <f t="shared" si="26"/>
        <v/>
      </c>
      <c r="H142" s="4" t="str">
        <f t="shared" si="27"/>
        <v/>
      </c>
      <c r="I142" s="4" t="str">
        <f t="shared" si="28"/>
        <v/>
      </c>
      <c r="J142" s="4" t="str">
        <f t="shared" si="29"/>
        <v/>
      </c>
      <c r="K142" s="4">
        <f t="shared" si="30"/>
        <v>1</v>
      </c>
      <c r="L142" s="4" t="str">
        <f t="shared" si="31"/>
        <v/>
      </c>
      <c r="M142" s="4"/>
      <c r="N142" s="4"/>
      <c r="O142" s="4"/>
      <c r="P142" s="4"/>
      <c r="Q142" s="4"/>
      <c r="R142" s="4"/>
      <c r="S142" s="4"/>
      <c r="T142" s="4"/>
      <c r="U142" s="4"/>
    </row>
    <row r="143" spans="1:21">
      <c r="A143" t="s">
        <v>225</v>
      </c>
      <c r="B143">
        <v>3</v>
      </c>
      <c r="C143" t="str">
        <f t="shared" si="25"/>
        <v>test.ImageData_3_</v>
      </c>
      <c r="D143">
        <v>1</v>
      </c>
      <c r="E143" s="4">
        <v>0.10857142857142857</v>
      </c>
      <c r="F143" s="4">
        <v>6.8965517241379309E-2</v>
      </c>
      <c r="G143" s="4">
        <f t="shared" si="26"/>
        <v>0.10857142857142857</v>
      </c>
      <c r="H143" s="4" t="str">
        <f t="shared" si="27"/>
        <v/>
      </c>
      <c r="I143" s="4" t="str">
        <f t="shared" si="28"/>
        <v/>
      </c>
      <c r="J143" s="4" t="str">
        <f t="shared" si="29"/>
        <v/>
      </c>
      <c r="K143" s="4" t="str">
        <f t="shared" si="30"/>
        <v/>
      </c>
      <c r="L143" s="4" t="str">
        <f t="shared" si="31"/>
        <v/>
      </c>
      <c r="M143" s="4"/>
      <c r="N143" s="4"/>
      <c r="O143" s="4"/>
      <c r="P143" s="4"/>
      <c r="Q143" s="4"/>
      <c r="R143" s="4"/>
      <c r="S143" s="4"/>
      <c r="T143" s="4"/>
      <c r="U143" s="4"/>
    </row>
    <row r="144" spans="1:21">
      <c r="A144" t="s">
        <v>225</v>
      </c>
      <c r="B144">
        <v>3</v>
      </c>
      <c r="C144" t="str">
        <f t="shared" si="25"/>
        <v>test.ImageData_3_</v>
      </c>
      <c r="D144">
        <v>2</v>
      </c>
      <c r="E144" s="4">
        <v>0.16</v>
      </c>
      <c r="F144" s="4">
        <v>0.1129119982595453</v>
      </c>
      <c r="G144" s="4">
        <f t="shared" si="26"/>
        <v>0.16</v>
      </c>
      <c r="H144" s="4" t="str">
        <f t="shared" si="27"/>
        <v/>
      </c>
      <c r="I144" s="4" t="str">
        <f t="shared" si="28"/>
        <v/>
      </c>
      <c r="J144" s="4" t="str">
        <f t="shared" si="29"/>
        <v/>
      </c>
      <c r="K144" s="4" t="str">
        <f t="shared" si="30"/>
        <v/>
      </c>
      <c r="L144" s="4" t="str">
        <f t="shared" si="31"/>
        <v/>
      </c>
      <c r="M144" s="4"/>
      <c r="N144" s="4"/>
      <c r="O144" s="4"/>
      <c r="P144" s="4"/>
      <c r="Q144" s="4"/>
      <c r="R144" s="4"/>
      <c r="S144" s="4"/>
      <c r="T144" s="4"/>
      <c r="U144" s="4"/>
    </row>
    <row r="145" spans="1:21">
      <c r="A145" t="s">
        <v>225</v>
      </c>
      <c r="B145">
        <v>3</v>
      </c>
      <c r="C145" t="str">
        <f t="shared" si="25"/>
        <v>test.ImageData_3_</v>
      </c>
      <c r="D145">
        <v>3</v>
      </c>
      <c r="E145" s="4">
        <v>0.30857142857142855</v>
      </c>
      <c r="F145" s="4">
        <v>0.2003698466224301</v>
      </c>
      <c r="G145" s="4" t="str">
        <f t="shared" si="26"/>
        <v/>
      </c>
      <c r="H145" s="4">
        <f t="shared" si="27"/>
        <v>0.30857142857142855</v>
      </c>
      <c r="I145" s="4" t="str">
        <f t="shared" si="28"/>
        <v/>
      </c>
      <c r="J145" s="4" t="str">
        <f t="shared" si="29"/>
        <v/>
      </c>
      <c r="K145" s="4" t="str">
        <f t="shared" si="30"/>
        <v/>
      </c>
      <c r="L145" s="4" t="str">
        <f t="shared" si="31"/>
        <v/>
      </c>
      <c r="M145" s="4"/>
      <c r="N145" s="4"/>
      <c r="O145" s="4"/>
      <c r="P145" s="4"/>
      <c r="Q145" s="4"/>
      <c r="R145" s="4"/>
      <c r="S145" s="4"/>
      <c r="T145" s="4"/>
      <c r="U145" s="4"/>
    </row>
    <row r="146" spans="1:21">
      <c r="A146" t="s">
        <v>225</v>
      </c>
      <c r="B146">
        <v>3</v>
      </c>
      <c r="C146" t="str">
        <f t="shared" si="25"/>
        <v>test.ImageData_3_</v>
      </c>
      <c r="D146">
        <v>4</v>
      </c>
      <c r="E146" s="4">
        <v>0.45714285714285713</v>
      </c>
      <c r="F146" s="4">
        <v>0.20526487544871097</v>
      </c>
      <c r="G146" s="4" t="str">
        <f t="shared" si="26"/>
        <v/>
      </c>
      <c r="H146" s="4">
        <f t="shared" si="27"/>
        <v>0.45714285714285713</v>
      </c>
      <c r="I146" s="4" t="str">
        <f t="shared" si="28"/>
        <v/>
      </c>
      <c r="J146" s="4" t="str">
        <f t="shared" si="29"/>
        <v/>
      </c>
      <c r="K146" s="4" t="str">
        <f t="shared" si="30"/>
        <v/>
      </c>
      <c r="L146" s="4" t="str">
        <f t="shared" si="31"/>
        <v/>
      </c>
      <c r="M146" s="4"/>
      <c r="N146" s="4"/>
      <c r="O146" s="4"/>
      <c r="P146" s="4"/>
      <c r="Q146" s="4"/>
      <c r="R146" s="4"/>
      <c r="S146" s="4"/>
      <c r="T146" s="4"/>
      <c r="U146" s="4"/>
    </row>
    <row r="147" spans="1:21">
      <c r="A147" t="s">
        <v>225</v>
      </c>
      <c r="B147">
        <v>3</v>
      </c>
      <c r="C147" t="str">
        <f t="shared" si="25"/>
        <v>test.ImageData_3_</v>
      </c>
      <c r="D147">
        <v>5</v>
      </c>
      <c r="E147" s="4">
        <v>0.50857142857142856</v>
      </c>
      <c r="F147" s="4">
        <v>0.20657021646905255</v>
      </c>
      <c r="G147" s="4" t="str">
        <f t="shared" si="26"/>
        <v/>
      </c>
      <c r="H147" s="4">
        <f t="shared" si="27"/>
        <v>0.50857142857142856</v>
      </c>
      <c r="I147" s="4" t="str">
        <f t="shared" si="28"/>
        <v/>
      </c>
      <c r="J147" s="4" t="str">
        <f t="shared" si="29"/>
        <v/>
      </c>
      <c r="K147" s="4" t="str">
        <f t="shared" si="30"/>
        <v/>
      </c>
      <c r="L147" s="4" t="str">
        <f t="shared" si="31"/>
        <v/>
      </c>
      <c r="M147" s="4"/>
      <c r="N147" s="4"/>
      <c r="O147" s="4"/>
      <c r="P147" s="4"/>
      <c r="Q147" s="4"/>
      <c r="R147" s="4"/>
      <c r="S147" s="4"/>
      <c r="T147" s="4"/>
      <c r="U147" s="4"/>
    </row>
    <row r="148" spans="1:21">
      <c r="A148" t="s">
        <v>225</v>
      </c>
      <c r="B148">
        <v>3</v>
      </c>
      <c r="C148" t="str">
        <f t="shared" si="25"/>
        <v>test.ImageData_3_</v>
      </c>
      <c r="D148">
        <v>6</v>
      </c>
      <c r="E148" s="4">
        <v>0.56000000000000005</v>
      </c>
      <c r="F148" s="4">
        <v>0.21309692157076035</v>
      </c>
      <c r="G148" s="4" t="str">
        <f t="shared" si="26"/>
        <v/>
      </c>
      <c r="H148" s="4">
        <f t="shared" si="27"/>
        <v>0.56000000000000005</v>
      </c>
      <c r="I148" s="4" t="str">
        <f t="shared" si="28"/>
        <v/>
      </c>
      <c r="J148" s="4" t="str">
        <f t="shared" si="29"/>
        <v/>
      </c>
      <c r="K148" s="4" t="str">
        <f t="shared" si="30"/>
        <v/>
      </c>
      <c r="L148" s="4" t="str">
        <f t="shared" si="31"/>
        <v/>
      </c>
      <c r="M148" s="4"/>
      <c r="N148" s="4"/>
      <c r="O148" s="4"/>
      <c r="P148" s="4"/>
      <c r="Q148" s="4"/>
      <c r="R148" s="4"/>
      <c r="S148" s="4"/>
      <c r="T148" s="4"/>
      <c r="U148" s="4"/>
    </row>
    <row r="149" spans="1:21">
      <c r="A149" t="s">
        <v>225</v>
      </c>
      <c r="B149">
        <v>3</v>
      </c>
      <c r="C149" t="str">
        <f t="shared" si="25"/>
        <v>test.ImageData_3_</v>
      </c>
      <c r="D149">
        <v>7</v>
      </c>
      <c r="E149" s="4">
        <v>0.8</v>
      </c>
      <c r="F149" s="4">
        <v>0.26868269335363865</v>
      </c>
      <c r="G149" s="4" t="str">
        <f t="shared" si="26"/>
        <v/>
      </c>
      <c r="H149" s="4">
        <f t="shared" si="27"/>
        <v>0.8</v>
      </c>
      <c r="I149" s="4" t="str">
        <f t="shared" si="28"/>
        <v/>
      </c>
      <c r="J149" s="4" t="str">
        <f t="shared" si="29"/>
        <v/>
      </c>
      <c r="K149" s="4" t="str">
        <f t="shared" si="30"/>
        <v/>
      </c>
      <c r="L149" s="4" t="str">
        <f t="shared" si="31"/>
        <v/>
      </c>
      <c r="M149" s="4"/>
      <c r="N149" s="4"/>
      <c r="O149" s="4"/>
      <c r="P149" s="4"/>
      <c r="Q149" s="4"/>
      <c r="R149" s="4"/>
      <c r="S149" s="4"/>
      <c r="T149" s="4"/>
      <c r="U149" s="4"/>
    </row>
    <row r="150" spans="1:21">
      <c r="A150" t="s">
        <v>225</v>
      </c>
      <c r="B150">
        <v>3</v>
      </c>
      <c r="C150" t="str">
        <f t="shared" si="25"/>
        <v>test.ImageData_3_</v>
      </c>
      <c r="D150">
        <v>8</v>
      </c>
      <c r="E150" s="4">
        <v>0.88571428571428568</v>
      </c>
      <c r="F150" s="4">
        <v>0.29511584901555532</v>
      </c>
      <c r="G150" s="4" t="str">
        <f t="shared" si="26"/>
        <v/>
      </c>
      <c r="H150" s="4">
        <f t="shared" si="27"/>
        <v>0.88571428571428568</v>
      </c>
      <c r="I150" s="4" t="str">
        <f t="shared" si="28"/>
        <v/>
      </c>
      <c r="J150" s="4" t="str">
        <f t="shared" si="29"/>
        <v/>
      </c>
      <c r="K150" s="4" t="str">
        <f t="shared" si="30"/>
        <v/>
      </c>
      <c r="L150" s="4" t="str">
        <f t="shared" si="31"/>
        <v/>
      </c>
      <c r="M150" s="4"/>
      <c r="N150" s="4"/>
      <c r="O150" s="4"/>
      <c r="P150" s="4"/>
      <c r="Q150" s="4"/>
      <c r="R150" s="4"/>
      <c r="S150" s="4"/>
      <c r="T150" s="4"/>
      <c r="U150" s="4"/>
    </row>
    <row r="151" spans="1:21">
      <c r="A151" t="s">
        <v>225</v>
      </c>
      <c r="B151">
        <v>3</v>
      </c>
      <c r="C151" t="str">
        <f t="shared" si="25"/>
        <v>test.ImageData_3_</v>
      </c>
      <c r="D151">
        <v>9</v>
      </c>
      <c r="E151" s="4">
        <v>1</v>
      </c>
      <c r="F151" s="4">
        <v>0.53910584140106599</v>
      </c>
      <c r="G151" s="4" t="str">
        <f t="shared" si="26"/>
        <v/>
      </c>
      <c r="H151" s="4" t="str">
        <f t="shared" si="27"/>
        <v/>
      </c>
      <c r="I151" s="4">
        <f t="shared" si="28"/>
        <v>1</v>
      </c>
      <c r="J151" s="4" t="str">
        <f t="shared" si="29"/>
        <v/>
      </c>
      <c r="K151" s="4" t="str">
        <f t="shared" si="30"/>
        <v/>
      </c>
      <c r="L151" s="4" t="str">
        <f t="shared" si="31"/>
        <v/>
      </c>
      <c r="M151" s="4"/>
      <c r="N151" s="4"/>
      <c r="O151" s="4"/>
      <c r="P151" s="4"/>
      <c r="Q151" s="4"/>
      <c r="R151" s="4"/>
      <c r="S151" s="4"/>
      <c r="T151" s="4"/>
      <c r="U151" s="4"/>
    </row>
    <row r="152" spans="1:21">
      <c r="A152" t="s">
        <v>225</v>
      </c>
      <c r="B152">
        <v>4</v>
      </c>
      <c r="C152" t="str">
        <f t="shared" si="25"/>
        <v>test.ImageData_4_</v>
      </c>
      <c r="D152">
        <v>1</v>
      </c>
      <c r="E152" s="4">
        <v>6.985294117647059E-2</v>
      </c>
      <c r="F152" s="4">
        <v>2.558756633813495E-2</v>
      </c>
      <c r="G152" s="4">
        <f t="shared" si="26"/>
        <v>6.985294117647059E-2</v>
      </c>
      <c r="H152" s="4" t="str">
        <f t="shared" si="27"/>
        <v/>
      </c>
      <c r="I152" s="4" t="str">
        <f t="shared" si="28"/>
        <v/>
      </c>
      <c r="J152" s="4" t="str">
        <f t="shared" si="29"/>
        <v/>
      </c>
      <c r="K152" s="4" t="str">
        <f t="shared" si="30"/>
        <v/>
      </c>
      <c r="L152" s="4" t="str">
        <f t="shared" si="31"/>
        <v/>
      </c>
      <c r="M152" s="4"/>
      <c r="N152" s="4"/>
      <c r="O152" s="4"/>
      <c r="P152" s="4"/>
      <c r="Q152" s="4"/>
      <c r="R152" s="4"/>
      <c r="S152" s="4"/>
      <c r="T152" s="4"/>
      <c r="U152" s="4"/>
    </row>
    <row r="153" spans="1:21">
      <c r="A153" t="s">
        <v>225</v>
      </c>
      <c r="B153">
        <v>4</v>
      </c>
      <c r="C153" t="str">
        <f t="shared" si="25"/>
        <v>test.ImageData_4_</v>
      </c>
      <c r="D153">
        <v>2</v>
      </c>
      <c r="E153" s="4">
        <v>0.11397058823529412</v>
      </c>
      <c r="F153" s="4">
        <v>4.6815769522365429E-2</v>
      </c>
      <c r="G153" s="4">
        <f t="shared" si="26"/>
        <v>0.11397058823529412</v>
      </c>
      <c r="H153" s="4" t="str">
        <f t="shared" si="27"/>
        <v/>
      </c>
      <c r="I153" s="4" t="str">
        <f t="shared" si="28"/>
        <v/>
      </c>
      <c r="J153" s="4" t="str">
        <f t="shared" si="29"/>
        <v/>
      </c>
      <c r="K153" s="4" t="str">
        <f t="shared" si="30"/>
        <v/>
      </c>
      <c r="L153" s="4" t="str">
        <f t="shared" si="31"/>
        <v/>
      </c>
      <c r="M153" s="4"/>
      <c r="N153" s="4"/>
      <c r="O153" s="4"/>
      <c r="P153" s="4"/>
      <c r="Q153" s="4"/>
      <c r="R153" s="4"/>
      <c r="S153" s="4"/>
      <c r="T153" s="4"/>
      <c r="U153" s="4"/>
    </row>
    <row r="154" spans="1:21">
      <c r="A154" t="s">
        <v>225</v>
      </c>
      <c r="B154">
        <v>4</v>
      </c>
      <c r="C154" t="str">
        <f t="shared" si="25"/>
        <v>test.ImageData_4_</v>
      </c>
      <c r="D154">
        <v>3</v>
      </c>
      <c r="E154" s="4">
        <v>0.24264705882352941</v>
      </c>
      <c r="F154" s="4">
        <v>7.8620166793025026E-2</v>
      </c>
      <c r="G154" s="4">
        <f t="shared" si="26"/>
        <v>0.24264705882352941</v>
      </c>
      <c r="H154" s="4" t="str">
        <f t="shared" si="27"/>
        <v/>
      </c>
      <c r="I154" s="4" t="str">
        <f t="shared" si="28"/>
        <v/>
      </c>
      <c r="J154" s="4" t="str">
        <f t="shared" si="29"/>
        <v/>
      </c>
      <c r="K154" s="4" t="str">
        <f t="shared" si="30"/>
        <v/>
      </c>
      <c r="L154" s="4" t="str">
        <f t="shared" si="31"/>
        <v/>
      </c>
      <c r="M154" s="4"/>
      <c r="N154" s="4"/>
      <c r="O154" s="4"/>
      <c r="P154" s="4"/>
      <c r="Q154" s="4"/>
      <c r="R154" s="4"/>
      <c r="S154" s="4"/>
      <c r="T154" s="4"/>
      <c r="U154" s="4"/>
    </row>
    <row r="155" spans="1:21">
      <c r="A155" t="s">
        <v>225</v>
      </c>
      <c r="B155">
        <v>4</v>
      </c>
      <c r="C155" t="str">
        <f t="shared" si="25"/>
        <v>test.ImageData_4_</v>
      </c>
      <c r="D155">
        <v>4</v>
      </c>
      <c r="E155" s="4">
        <v>0.37132352941176472</v>
      </c>
      <c r="F155" s="4">
        <v>7.8733889310083391E-2</v>
      </c>
      <c r="G155" s="4">
        <f t="shared" si="26"/>
        <v>0.37132352941176472</v>
      </c>
      <c r="H155" s="4" t="str">
        <f t="shared" si="27"/>
        <v/>
      </c>
      <c r="I155" s="4" t="str">
        <f t="shared" si="28"/>
        <v/>
      </c>
      <c r="J155" s="4" t="str">
        <f t="shared" si="29"/>
        <v/>
      </c>
      <c r="K155" s="4" t="str">
        <f t="shared" si="30"/>
        <v/>
      </c>
      <c r="L155" s="4" t="str">
        <f t="shared" si="31"/>
        <v/>
      </c>
      <c r="M155" s="4"/>
      <c r="N155" s="4"/>
      <c r="O155" s="4"/>
      <c r="P155" s="4"/>
      <c r="Q155" s="4"/>
      <c r="R155" s="4"/>
      <c r="S155" s="4"/>
      <c r="T155" s="4"/>
      <c r="U155" s="4"/>
    </row>
    <row r="156" spans="1:21">
      <c r="A156" t="s">
        <v>225</v>
      </c>
      <c r="B156">
        <v>4</v>
      </c>
      <c r="C156" t="str">
        <f t="shared" si="25"/>
        <v>test.ImageData_4_</v>
      </c>
      <c r="D156">
        <v>5</v>
      </c>
      <c r="E156" s="4">
        <v>0.51470588235294112</v>
      </c>
      <c r="F156" s="4">
        <v>9.34040940106141E-2</v>
      </c>
      <c r="G156" s="4">
        <f t="shared" si="26"/>
        <v>0.51470588235294112</v>
      </c>
      <c r="H156" s="4" t="str">
        <f t="shared" si="27"/>
        <v/>
      </c>
      <c r="I156" s="4" t="str">
        <f t="shared" si="28"/>
        <v/>
      </c>
      <c r="J156" s="4" t="str">
        <f t="shared" si="29"/>
        <v/>
      </c>
      <c r="K156" s="4" t="str">
        <f t="shared" si="30"/>
        <v/>
      </c>
      <c r="L156" s="4" t="str">
        <f t="shared" si="31"/>
        <v/>
      </c>
      <c r="M156" s="4"/>
      <c r="N156" s="4"/>
      <c r="O156" s="4"/>
      <c r="P156" s="4"/>
      <c r="Q156" s="4"/>
      <c r="R156" s="4"/>
      <c r="S156" s="4"/>
      <c r="T156" s="4"/>
      <c r="U156" s="4"/>
    </row>
    <row r="157" spans="1:21">
      <c r="A157" t="s">
        <v>225</v>
      </c>
      <c r="B157">
        <v>4</v>
      </c>
      <c r="C157" t="str">
        <f t="shared" si="25"/>
        <v>test.ImageData_4_</v>
      </c>
      <c r="D157">
        <v>6</v>
      </c>
      <c r="E157" s="4">
        <v>0.56617647058823528</v>
      </c>
      <c r="F157" s="4">
        <v>0.1064442759666414</v>
      </c>
      <c r="G157" s="4">
        <f t="shared" si="26"/>
        <v>0.56617647058823528</v>
      </c>
      <c r="H157" s="4" t="str">
        <f t="shared" si="27"/>
        <v/>
      </c>
      <c r="I157" s="4" t="str">
        <f t="shared" si="28"/>
        <v/>
      </c>
      <c r="J157" s="4" t="str">
        <f t="shared" si="29"/>
        <v/>
      </c>
      <c r="K157" s="4" t="str">
        <f t="shared" si="30"/>
        <v/>
      </c>
      <c r="L157" s="4" t="str">
        <f t="shared" si="31"/>
        <v/>
      </c>
      <c r="M157" s="4"/>
      <c r="N157" s="4"/>
      <c r="O157" s="4"/>
      <c r="P157" s="4"/>
      <c r="Q157" s="4"/>
      <c r="R157" s="4"/>
      <c r="S157" s="4"/>
      <c r="T157" s="4"/>
      <c r="U157" s="4"/>
    </row>
    <row r="158" spans="1:21">
      <c r="A158" t="s">
        <v>225</v>
      </c>
      <c r="B158">
        <v>4</v>
      </c>
      <c r="C158" t="str">
        <f t="shared" si="25"/>
        <v>test.ImageData_4_</v>
      </c>
      <c r="D158">
        <v>7</v>
      </c>
      <c r="E158" s="4">
        <v>0.64338235294117652</v>
      </c>
      <c r="F158" s="4">
        <v>0.1895754359363154</v>
      </c>
      <c r="G158" s="4">
        <f t="shared" si="26"/>
        <v>0.64338235294117652</v>
      </c>
      <c r="H158" s="4" t="str">
        <f t="shared" si="27"/>
        <v/>
      </c>
      <c r="I158" s="4" t="str">
        <f t="shared" si="28"/>
        <v/>
      </c>
      <c r="J158" s="4" t="str">
        <f t="shared" si="29"/>
        <v/>
      </c>
      <c r="K158" s="4" t="str">
        <f t="shared" si="30"/>
        <v/>
      </c>
      <c r="L158" s="4" t="str">
        <f t="shared" si="31"/>
        <v/>
      </c>
      <c r="M158" s="4"/>
      <c r="N158" s="4"/>
      <c r="O158" s="4"/>
      <c r="P158" s="4"/>
      <c r="Q158" s="4"/>
      <c r="R158" s="4"/>
      <c r="S158" s="4"/>
      <c r="T158" s="4"/>
      <c r="U158" s="4"/>
    </row>
    <row r="159" spans="1:21">
      <c r="A159" s="9" t="s">
        <v>225</v>
      </c>
      <c r="B159" s="9">
        <v>4</v>
      </c>
      <c r="C159" t="str">
        <f t="shared" si="25"/>
        <v>test.ImageData_4_</v>
      </c>
      <c r="D159" s="9">
        <v>8</v>
      </c>
      <c r="E159" s="4">
        <v>0.74264705882352944</v>
      </c>
      <c r="F159" s="4">
        <v>0.22213798332069751</v>
      </c>
      <c r="G159" s="4" t="str">
        <f t="shared" si="26"/>
        <v/>
      </c>
      <c r="H159" s="4">
        <f t="shared" si="27"/>
        <v>0.74264705882352944</v>
      </c>
      <c r="I159" s="4" t="str">
        <f t="shared" si="28"/>
        <v/>
      </c>
      <c r="J159" s="4" t="str">
        <f t="shared" si="29"/>
        <v/>
      </c>
      <c r="K159" s="4" t="str">
        <f t="shared" si="30"/>
        <v/>
      </c>
      <c r="L159" s="4" t="str">
        <f t="shared" si="31"/>
        <v/>
      </c>
      <c r="M159" s="4"/>
      <c r="N159" s="4"/>
      <c r="O159" s="4"/>
      <c r="P159" s="4"/>
      <c r="Q159" s="4"/>
      <c r="R159" s="4"/>
      <c r="S159" s="4"/>
      <c r="T159" s="4"/>
      <c r="U159" s="4"/>
    </row>
    <row r="160" spans="1:21">
      <c r="A160" t="s">
        <v>225</v>
      </c>
      <c r="B160">
        <v>4</v>
      </c>
      <c r="C160" t="str">
        <f t="shared" si="25"/>
        <v>test.ImageData_4_</v>
      </c>
      <c r="D160">
        <v>9</v>
      </c>
      <c r="E160" s="4">
        <v>0.86029411764705888</v>
      </c>
      <c r="F160" s="4">
        <v>0.23206974981046247</v>
      </c>
      <c r="G160" s="4" t="str">
        <f t="shared" si="26"/>
        <v/>
      </c>
      <c r="H160" s="4">
        <f t="shared" si="27"/>
        <v>0.86029411764705888</v>
      </c>
      <c r="I160" s="4" t="str">
        <f t="shared" si="28"/>
        <v/>
      </c>
      <c r="J160" s="4" t="str">
        <f t="shared" si="29"/>
        <v/>
      </c>
      <c r="K160" s="4" t="str">
        <f t="shared" si="30"/>
        <v/>
      </c>
      <c r="L160" s="4" t="str">
        <f t="shared" si="31"/>
        <v/>
      </c>
      <c r="M160" s="4"/>
      <c r="N160" s="4"/>
      <c r="O160" s="4"/>
      <c r="P160" s="4"/>
      <c r="Q160" s="4"/>
      <c r="R160" s="4"/>
      <c r="S160" s="4"/>
      <c r="T160" s="4"/>
      <c r="U160" s="4"/>
    </row>
    <row r="161" spans="1:21">
      <c r="A161" t="s">
        <v>225</v>
      </c>
      <c r="B161">
        <v>4</v>
      </c>
      <c r="C161" t="str">
        <f t="shared" si="25"/>
        <v>test.ImageData_4_</v>
      </c>
      <c r="D161">
        <v>10</v>
      </c>
      <c r="E161" s="4">
        <v>1</v>
      </c>
      <c r="F161" s="4">
        <v>0.2551554207733131</v>
      </c>
      <c r="G161" s="4" t="str">
        <f t="shared" si="26"/>
        <v/>
      </c>
      <c r="H161" s="4">
        <f t="shared" si="27"/>
        <v>1</v>
      </c>
      <c r="I161" s="4" t="str">
        <f t="shared" si="28"/>
        <v/>
      </c>
      <c r="J161" s="4" t="str">
        <f t="shared" si="29"/>
        <v/>
      </c>
      <c r="K161" s="4" t="str">
        <f t="shared" si="30"/>
        <v/>
      </c>
      <c r="L161" s="4" t="str">
        <f t="shared" si="31"/>
        <v/>
      </c>
      <c r="M161" s="4"/>
      <c r="N161" s="4"/>
      <c r="O161" s="4"/>
      <c r="P161" s="4"/>
      <c r="Q161" s="4"/>
      <c r="R161" s="4"/>
      <c r="S161" s="4"/>
      <c r="T161" s="4"/>
      <c r="U161" s="4"/>
    </row>
    <row r="162" spans="1:21">
      <c r="A162" t="s">
        <v>225</v>
      </c>
      <c r="B162">
        <v>8</v>
      </c>
      <c r="C162" t="str">
        <f t="shared" si="25"/>
        <v>test.ImageData_8_</v>
      </c>
      <c r="D162">
        <v>1</v>
      </c>
      <c r="E162" s="4">
        <v>0.11728395061728394</v>
      </c>
      <c r="F162" s="4">
        <v>7.2128227960819233E-2</v>
      </c>
      <c r="G162" s="4">
        <f t="shared" si="26"/>
        <v>0.11728395061728394</v>
      </c>
      <c r="H162" s="4" t="str">
        <f t="shared" si="27"/>
        <v/>
      </c>
      <c r="I162" s="4" t="str">
        <f t="shared" si="28"/>
        <v/>
      </c>
      <c r="J162" s="4" t="str">
        <f t="shared" si="29"/>
        <v/>
      </c>
      <c r="K162" s="4" t="str">
        <f t="shared" si="30"/>
        <v/>
      </c>
      <c r="L162" s="4" t="str">
        <f t="shared" si="31"/>
        <v/>
      </c>
      <c r="M162" s="4"/>
      <c r="N162" s="4"/>
      <c r="O162" s="4"/>
      <c r="P162" s="4"/>
      <c r="Q162" s="4"/>
      <c r="R162" s="4"/>
      <c r="S162" s="4"/>
      <c r="T162" s="4"/>
      <c r="U162" s="4"/>
    </row>
    <row r="163" spans="1:21">
      <c r="A163" t="s">
        <v>225</v>
      </c>
      <c r="B163">
        <v>8</v>
      </c>
      <c r="C163" t="str">
        <f t="shared" si="25"/>
        <v>test.ImageData_8_</v>
      </c>
      <c r="D163">
        <v>2</v>
      </c>
      <c r="E163" s="4">
        <v>0.1728395061728395</v>
      </c>
      <c r="F163" s="4">
        <v>0.11231077471059661</v>
      </c>
      <c r="G163" s="4">
        <f t="shared" si="26"/>
        <v>0.1728395061728395</v>
      </c>
      <c r="H163" s="4" t="str">
        <f t="shared" si="27"/>
        <v/>
      </c>
      <c r="I163" s="4" t="str">
        <f t="shared" si="28"/>
        <v/>
      </c>
      <c r="J163" s="4" t="str">
        <f t="shared" si="29"/>
        <v/>
      </c>
      <c r="K163" s="4" t="str">
        <f t="shared" si="30"/>
        <v/>
      </c>
      <c r="L163" s="4" t="str">
        <f t="shared" si="31"/>
        <v/>
      </c>
      <c r="M163" s="4"/>
      <c r="N163" s="4"/>
      <c r="O163" s="4"/>
      <c r="P163" s="4"/>
      <c r="Q163" s="4"/>
      <c r="R163" s="4"/>
      <c r="S163" s="4"/>
      <c r="T163" s="4"/>
      <c r="U163" s="4"/>
    </row>
    <row r="164" spans="1:21">
      <c r="A164" t="s">
        <v>225</v>
      </c>
      <c r="B164">
        <v>8</v>
      </c>
      <c r="C164" t="str">
        <f t="shared" si="25"/>
        <v>test.ImageData_8_</v>
      </c>
      <c r="D164">
        <v>3</v>
      </c>
      <c r="E164" s="4">
        <v>0.34567901234567899</v>
      </c>
      <c r="F164" s="4">
        <v>0.20747996438112198</v>
      </c>
      <c r="G164" s="4" t="str">
        <f t="shared" si="26"/>
        <v/>
      </c>
      <c r="H164" s="4">
        <f t="shared" si="27"/>
        <v>0.34567901234567899</v>
      </c>
      <c r="I164" s="4" t="str">
        <f t="shared" si="28"/>
        <v/>
      </c>
      <c r="J164" s="4" t="str">
        <f t="shared" si="29"/>
        <v/>
      </c>
      <c r="K164" s="4" t="str">
        <f t="shared" si="30"/>
        <v/>
      </c>
      <c r="L164" s="4" t="str">
        <f t="shared" si="31"/>
        <v/>
      </c>
      <c r="M164" s="4"/>
      <c r="N164" s="4"/>
      <c r="O164" s="4"/>
      <c r="P164" s="4"/>
      <c r="Q164" s="4"/>
      <c r="R164" s="4"/>
      <c r="S164" s="4"/>
      <c r="T164" s="4"/>
      <c r="U164" s="4"/>
    </row>
    <row r="165" spans="1:21">
      <c r="A165" t="s">
        <v>225</v>
      </c>
      <c r="B165">
        <v>8</v>
      </c>
      <c r="C165" t="str">
        <f t="shared" si="25"/>
        <v>test.ImageData_8_</v>
      </c>
      <c r="D165">
        <v>4</v>
      </c>
      <c r="E165" s="4">
        <v>0.53086419753086422</v>
      </c>
      <c r="F165" s="4">
        <v>0.20825912733748886</v>
      </c>
      <c r="G165" s="4" t="str">
        <f t="shared" si="26"/>
        <v/>
      </c>
      <c r="H165" s="4">
        <f t="shared" si="27"/>
        <v>0.53086419753086422</v>
      </c>
      <c r="I165" s="4" t="str">
        <f t="shared" si="28"/>
        <v/>
      </c>
      <c r="J165" s="4" t="str">
        <f t="shared" si="29"/>
        <v/>
      </c>
      <c r="K165" s="4" t="str">
        <f t="shared" si="30"/>
        <v/>
      </c>
      <c r="L165" s="4" t="str">
        <f t="shared" si="31"/>
        <v/>
      </c>
      <c r="M165" s="4"/>
      <c r="N165" s="4"/>
      <c r="O165" s="4"/>
      <c r="P165" s="4"/>
      <c r="Q165" s="4"/>
      <c r="R165" s="4"/>
      <c r="S165" s="4"/>
      <c r="T165" s="4"/>
      <c r="U165" s="4"/>
    </row>
    <row r="166" spans="1:21">
      <c r="A166" t="s">
        <v>225</v>
      </c>
      <c r="B166">
        <v>8</v>
      </c>
      <c r="C166" t="str">
        <f t="shared" si="25"/>
        <v>test.ImageData_8_</v>
      </c>
      <c r="D166">
        <v>5</v>
      </c>
      <c r="E166" s="4">
        <v>0.56172839506172845</v>
      </c>
      <c r="F166" s="4">
        <v>0.20859305431878897</v>
      </c>
      <c r="G166" s="4" t="str">
        <f t="shared" si="26"/>
        <v/>
      </c>
      <c r="H166" s="4">
        <f t="shared" si="27"/>
        <v>0.56172839506172845</v>
      </c>
      <c r="I166" s="4" t="str">
        <f t="shared" si="28"/>
        <v/>
      </c>
      <c r="J166" s="4" t="str">
        <f t="shared" si="29"/>
        <v/>
      </c>
      <c r="K166" s="4" t="str">
        <f t="shared" si="30"/>
        <v/>
      </c>
      <c r="L166" s="4" t="str">
        <f t="shared" si="31"/>
        <v/>
      </c>
      <c r="M166" s="4"/>
      <c r="N166" s="4"/>
      <c r="O166" s="4"/>
      <c r="P166" s="4"/>
      <c r="Q166" s="4"/>
      <c r="R166" s="4"/>
      <c r="S166" s="4"/>
      <c r="T166" s="4"/>
      <c r="U166" s="4"/>
    </row>
    <row r="167" spans="1:21">
      <c r="A167" t="s">
        <v>225</v>
      </c>
      <c r="B167">
        <v>8</v>
      </c>
      <c r="C167" t="str">
        <f t="shared" si="25"/>
        <v>test.ImageData_8_</v>
      </c>
      <c r="D167">
        <v>6</v>
      </c>
      <c r="E167" s="4">
        <v>0.62345679012345678</v>
      </c>
      <c r="F167" s="4">
        <v>0.20981745325022261</v>
      </c>
      <c r="G167" s="4" t="str">
        <f t="shared" si="26"/>
        <v/>
      </c>
      <c r="H167" s="4">
        <f t="shared" si="27"/>
        <v>0.62345679012345678</v>
      </c>
      <c r="I167" s="4" t="str">
        <f t="shared" si="28"/>
        <v/>
      </c>
      <c r="J167" s="4" t="str">
        <f t="shared" si="29"/>
        <v/>
      </c>
      <c r="K167" s="4" t="str">
        <f t="shared" si="30"/>
        <v/>
      </c>
      <c r="L167" s="4" t="str">
        <f t="shared" si="31"/>
        <v/>
      </c>
      <c r="M167" s="4"/>
      <c r="N167" s="4"/>
      <c r="O167" s="4"/>
      <c r="P167" s="4"/>
      <c r="Q167" s="4"/>
      <c r="R167" s="4"/>
      <c r="S167" s="4"/>
      <c r="T167" s="4"/>
      <c r="U167" s="4"/>
    </row>
    <row r="168" spans="1:21">
      <c r="A168" t="s">
        <v>225</v>
      </c>
      <c r="B168">
        <v>8</v>
      </c>
      <c r="C168" t="str">
        <f t="shared" si="25"/>
        <v>test.ImageData_8_</v>
      </c>
      <c r="D168">
        <v>7</v>
      </c>
      <c r="E168" s="4">
        <v>0.66049382716049387</v>
      </c>
      <c r="F168" s="4">
        <v>0.21705253784505787</v>
      </c>
      <c r="G168" s="4" t="str">
        <f t="shared" si="26"/>
        <v/>
      </c>
      <c r="H168" s="4">
        <f t="shared" si="27"/>
        <v>0.66049382716049387</v>
      </c>
      <c r="I168" s="4" t="str">
        <f t="shared" si="28"/>
        <v/>
      </c>
      <c r="J168" s="4" t="str">
        <f t="shared" si="29"/>
        <v/>
      </c>
      <c r="K168" s="4" t="str">
        <f t="shared" si="30"/>
        <v/>
      </c>
      <c r="L168" s="4" t="str">
        <f t="shared" si="31"/>
        <v/>
      </c>
      <c r="M168" s="4"/>
      <c r="N168" s="4"/>
      <c r="O168" s="4"/>
      <c r="P168" s="4"/>
      <c r="Q168" s="4"/>
      <c r="R168" s="4"/>
      <c r="S168" s="4"/>
      <c r="T168" s="4"/>
      <c r="U168" s="4"/>
    </row>
    <row r="169" spans="1:21">
      <c r="A169" t="s">
        <v>225</v>
      </c>
      <c r="B169">
        <v>8</v>
      </c>
      <c r="C169" t="str">
        <f t="shared" si="25"/>
        <v>test.ImageData_8_</v>
      </c>
      <c r="D169">
        <v>8</v>
      </c>
      <c r="E169" s="4">
        <v>0.66049382716049387</v>
      </c>
      <c r="F169" s="4">
        <v>0.21905609973285842</v>
      </c>
      <c r="G169" s="4" t="str">
        <f t="shared" si="26"/>
        <v/>
      </c>
      <c r="H169" s="4">
        <f t="shared" si="27"/>
        <v>0.66049382716049387</v>
      </c>
      <c r="I169" s="4" t="str">
        <f t="shared" si="28"/>
        <v/>
      </c>
      <c r="J169" s="4" t="str">
        <f t="shared" si="29"/>
        <v/>
      </c>
      <c r="K169" s="4" t="str">
        <f t="shared" si="30"/>
        <v/>
      </c>
      <c r="L169" s="4" t="str">
        <f t="shared" si="31"/>
        <v/>
      </c>
      <c r="M169" s="4"/>
      <c r="N169" s="4"/>
      <c r="O169" s="4"/>
      <c r="P169" s="4"/>
      <c r="Q169" s="4"/>
      <c r="R169" s="4"/>
      <c r="S169" s="4"/>
      <c r="T169" s="4"/>
      <c r="U169" s="4"/>
    </row>
    <row r="170" spans="1:21">
      <c r="A170" t="s">
        <v>225</v>
      </c>
      <c r="B170">
        <v>8</v>
      </c>
      <c r="C170" t="str">
        <f t="shared" si="25"/>
        <v>test.ImageData_8_</v>
      </c>
      <c r="D170">
        <v>9</v>
      </c>
      <c r="E170" s="4">
        <v>0.86419753086419748</v>
      </c>
      <c r="F170" s="4">
        <v>0.31110863757791629</v>
      </c>
      <c r="G170" s="4" t="str">
        <f t="shared" si="26"/>
        <v/>
      </c>
      <c r="H170" s="4">
        <f t="shared" si="27"/>
        <v>0.86419753086419748</v>
      </c>
      <c r="I170" s="4" t="str">
        <f t="shared" si="28"/>
        <v/>
      </c>
      <c r="J170" s="4" t="str">
        <f t="shared" si="29"/>
        <v/>
      </c>
      <c r="K170" s="4" t="str">
        <f t="shared" si="30"/>
        <v/>
      </c>
      <c r="L170" s="4" t="str">
        <f t="shared" si="31"/>
        <v/>
      </c>
      <c r="M170" s="4"/>
      <c r="N170" s="4"/>
      <c r="O170" s="4"/>
      <c r="P170" s="4"/>
      <c r="Q170" s="4"/>
      <c r="R170" s="4"/>
      <c r="S170" s="4"/>
      <c r="T170" s="4"/>
      <c r="U170" s="4"/>
    </row>
    <row r="171" spans="1:21">
      <c r="A171" t="s">
        <v>225</v>
      </c>
      <c r="B171">
        <v>8</v>
      </c>
      <c r="C171" t="str">
        <f t="shared" si="25"/>
        <v>test.ImageData_8_</v>
      </c>
      <c r="D171">
        <v>10</v>
      </c>
      <c r="E171" s="4">
        <v>1</v>
      </c>
      <c r="F171" s="4">
        <v>0.54953250222617989</v>
      </c>
      <c r="G171" s="4" t="str">
        <f t="shared" si="26"/>
        <v/>
      </c>
      <c r="H171" s="4" t="str">
        <f t="shared" si="27"/>
        <v/>
      </c>
      <c r="I171" s="4">
        <f t="shared" si="28"/>
        <v>1</v>
      </c>
      <c r="J171" s="4" t="str">
        <f t="shared" si="29"/>
        <v/>
      </c>
      <c r="K171" s="4" t="str">
        <f t="shared" si="30"/>
        <v/>
      </c>
      <c r="L171" s="4" t="str">
        <f t="shared" si="31"/>
        <v/>
      </c>
      <c r="M171" s="4"/>
      <c r="N171" s="4"/>
      <c r="O171" s="4"/>
      <c r="P171" s="4"/>
      <c r="Q171" s="4"/>
      <c r="R171" s="4"/>
      <c r="S171" s="4"/>
      <c r="T171" s="4"/>
      <c r="U171" s="4"/>
    </row>
    <row r="172" spans="1:21">
      <c r="A172" t="s">
        <v>225</v>
      </c>
      <c r="B172">
        <v>9</v>
      </c>
      <c r="C172" t="str">
        <f t="shared" si="25"/>
        <v>test.ImageData_9_</v>
      </c>
      <c r="D172">
        <v>1</v>
      </c>
      <c r="E172" s="4">
        <v>7.3643410852713184E-2</v>
      </c>
      <c r="F172" s="4">
        <v>2.4407050119677958E-2</v>
      </c>
      <c r="G172" s="4">
        <f t="shared" si="26"/>
        <v>7.3643410852713184E-2</v>
      </c>
      <c r="H172" s="4" t="str">
        <f t="shared" si="27"/>
        <v/>
      </c>
      <c r="I172" s="4" t="str">
        <f t="shared" si="28"/>
        <v/>
      </c>
      <c r="J172" s="4" t="str">
        <f t="shared" si="29"/>
        <v/>
      </c>
      <c r="K172" s="4" t="str">
        <f t="shared" si="30"/>
        <v/>
      </c>
      <c r="L172" s="4" t="str">
        <f t="shared" si="31"/>
        <v/>
      </c>
      <c r="M172" s="4"/>
      <c r="N172" s="4"/>
      <c r="O172" s="4"/>
      <c r="P172" s="4"/>
      <c r="Q172" s="4"/>
      <c r="R172" s="4"/>
      <c r="S172" s="4"/>
      <c r="T172" s="4"/>
      <c r="U172" s="4"/>
    </row>
    <row r="173" spans="1:21">
      <c r="A173" t="s">
        <v>225</v>
      </c>
      <c r="B173">
        <v>9</v>
      </c>
      <c r="C173" t="str">
        <f t="shared" si="25"/>
        <v>test.ImageData_9_</v>
      </c>
      <c r="D173">
        <v>2</v>
      </c>
      <c r="E173" s="4">
        <v>0.12015503875968993</v>
      </c>
      <c r="F173" s="4">
        <v>4.4498440559947776E-2</v>
      </c>
      <c r="G173" s="4">
        <f t="shared" si="26"/>
        <v>0.12015503875968993</v>
      </c>
      <c r="H173" s="4" t="str">
        <f t="shared" si="27"/>
        <v/>
      </c>
      <c r="I173" s="4" t="str">
        <f t="shared" si="28"/>
        <v/>
      </c>
      <c r="J173" s="4" t="str">
        <f t="shared" si="29"/>
        <v/>
      </c>
      <c r="K173" s="4" t="str">
        <f t="shared" si="30"/>
        <v/>
      </c>
      <c r="L173" s="4" t="str">
        <f t="shared" si="31"/>
        <v/>
      </c>
      <c r="M173" s="4"/>
      <c r="N173" s="4"/>
      <c r="O173" s="4"/>
      <c r="P173" s="4"/>
      <c r="Q173" s="4"/>
      <c r="R173" s="4"/>
      <c r="S173" s="4"/>
      <c r="T173" s="4"/>
      <c r="U173" s="4"/>
    </row>
    <row r="174" spans="1:21">
      <c r="A174" t="s">
        <v>225</v>
      </c>
      <c r="B174">
        <v>9</v>
      </c>
      <c r="C174" t="str">
        <f t="shared" si="25"/>
        <v>test.ImageData_9_</v>
      </c>
      <c r="D174">
        <v>3</v>
      </c>
      <c r="E174" s="4">
        <v>0.2558139534883721</v>
      </c>
      <c r="F174" s="4">
        <v>7.0066004206861543E-2</v>
      </c>
      <c r="G174" s="4">
        <f t="shared" si="26"/>
        <v>0.2558139534883721</v>
      </c>
      <c r="H174" s="4" t="str">
        <f t="shared" si="27"/>
        <v/>
      </c>
      <c r="I174" s="4" t="str">
        <f t="shared" si="28"/>
        <v/>
      </c>
      <c r="J174" s="4" t="str">
        <f t="shared" si="29"/>
        <v/>
      </c>
      <c r="K174" s="4" t="str">
        <f t="shared" si="30"/>
        <v/>
      </c>
      <c r="L174" s="4" t="str">
        <f t="shared" si="31"/>
        <v/>
      </c>
      <c r="M174" s="4"/>
      <c r="N174" s="4"/>
      <c r="O174" s="4"/>
      <c r="P174" s="4"/>
      <c r="Q174" s="4"/>
      <c r="R174" s="4"/>
      <c r="S174" s="4"/>
      <c r="T174" s="4"/>
      <c r="U174" s="4"/>
    </row>
    <row r="175" spans="1:21">
      <c r="A175" t="s">
        <v>225</v>
      </c>
      <c r="B175">
        <v>9</v>
      </c>
      <c r="C175" t="str">
        <f t="shared" si="25"/>
        <v>test.ImageData_9_</v>
      </c>
      <c r="D175">
        <v>4</v>
      </c>
      <c r="E175" s="4">
        <v>0.38759689922480622</v>
      </c>
      <c r="F175" s="4">
        <v>7.5252049031696522E-2</v>
      </c>
      <c r="G175" s="4">
        <f t="shared" si="26"/>
        <v>0.38759689922480622</v>
      </c>
      <c r="H175" s="4" t="str">
        <f t="shared" si="27"/>
        <v/>
      </c>
      <c r="I175" s="4" t="str">
        <f t="shared" si="28"/>
        <v/>
      </c>
      <c r="J175" s="4" t="str">
        <f t="shared" si="29"/>
        <v/>
      </c>
      <c r="K175" s="4" t="str">
        <f t="shared" si="30"/>
        <v/>
      </c>
      <c r="L175" s="4" t="str">
        <f t="shared" si="31"/>
        <v/>
      </c>
      <c r="M175" s="4"/>
      <c r="N175" s="4"/>
      <c r="O175" s="4"/>
      <c r="P175" s="4"/>
      <c r="Q175" s="4"/>
      <c r="R175" s="4"/>
      <c r="S175" s="4"/>
      <c r="T175" s="4"/>
      <c r="U175" s="4"/>
    </row>
    <row r="176" spans="1:21">
      <c r="A176" t="s">
        <v>225</v>
      </c>
      <c r="B176">
        <v>9</v>
      </c>
      <c r="C176" t="str">
        <f t="shared" si="25"/>
        <v>test.ImageData_9_</v>
      </c>
      <c r="D176">
        <v>5</v>
      </c>
      <c r="E176" s="4">
        <v>0.4263565891472868</v>
      </c>
      <c r="F176" s="4">
        <v>7.550591136577936E-2</v>
      </c>
      <c r="G176" s="4">
        <f t="shared" si="26"/>
        <v>0.4263565891472868</v>
      </c>
      <c r="H176" s="4" t="str">
        <f t="shared" si="27"/>
        <v/>
      </c>
      <c r="I176" s="4" t="str">
        <f t="shared" si="28"/>
        <v/>
      </c>
      <c r="J176" s="4" t="str">
        <f t="shared" si="29"/>
        <v/>
      </c>
      <c r="K176" s="4" t="str">
        <f t="shared" si="30"/>
        <v/>
      </c>
      <c r="L176" s="4" t="str">
        <f t="shared" si="31"/>
        <v/>
      </c>
      <c r="M176" s="4"/>
      <c r="N176" s="4"/>
      <c r="O176" s="4"/>
      <c r="P176" s="4"/>
      <c r="Q176" s="4"/>
      <c r="R176" s="4"/>
      <c r="S176" s="4"/>
      <c r="T176" s="4"/>
      <c r="U176" s="4"/>
    </row>
    <row r="177" spans="1:21">
      <c r="A177" t="s">
        <v>225</v>
      </c>
      <c r="B177">
        <v>9</v>
      </c>
      <c r="C177" t="str">
        <f t="shared" si="25"/>
        <v>test.ImageData_9_</v>
      </c>
      <c r="D177">
        <v>6</v>
      </c>
      <c r="E177" s="4">
        <v>0.55426356589147285</v>
      </c>
      <c r="F177" s="4">
        <v>0.10248785087401174</v>
      </c>
      <c r="G177" s="4">
        <f t="shared" si="26"/>
        <v>0.55426356589147285</v>
      </c>
      <c r="H177" s="4" t="str">
        <f t="shared" si="27"/>
        <v/>
      </c>
      <c r="I177" s="4" t="str">
        <f t="shared" si="28"/>
        <v/>
      </c>
      <c r="J177" s="4" t="str">
        <f t="shared" si="29"/>
        <v/>
      </c>
      <c r="K177" s="4" t="str">
        <f t="shared" si="30"/>
        <v/>
      </c>
      <c r="L177" s="4" t="str">
        <f t="shared" si="31"/>
        <v/>
      </c>
      <c r="M177" s="4"/>
      <c r="N177" s="4"/>
      <c r="O177" s="4"/>
      <c r="P177" s="4"/>
      <c r="Q177" s="4"/>
      <c r="R177" s="4"/>
      <c r="S177" s="4"/>
      <c r="T177" s="4"/>
      <c r="U177" s="4"/>
    </row>
    <row r="178" spans="1:21">
      <c r="A178" t="s">
        <v>225</v>
      </c>
      <c r="B178">
        <v>9</v>
      </c>
      <c r="C178" t="str">
        <f t="shared" si="25"/>
        <v>test.ImageData_9_</v>
      </c>
      <c r="D178">
        <v>7</v>
      </c>
      <c r="E178" s="4">
        <v>0.63953488372093026</v>
      </c>
      <c r="F178" s="4">
        <v>0.18169289910785522</v>
      </c>
      <c r="G178" s="4">
        <f t="shared" si="26"/>
        <v>0.63953488372093026</v>
      </c>
      <c r="H178" s="4" t="str">
        <f t="shared" si="27"/>
        <v/>
      </c>
      <c r="I178" s="4" t="str">
        <f t="shared" si="28"/>
        <v/>
      </c>
      <c r="J178" s="4" t="str">
        <f t="shared" si="29"/>
        <v/>
      </c>
      <c r="K178" s="4" t="str">
        <f t="shared" si="30"/>
        <v/>
      </c>
      <c r="L178" s="4" t="str">
        <f t="shared" si="31"/>
        <v/>
      </c>
      <c r="M178" s="4"/>
      <c r="N178" s="4"/>
      <c r="O178" s="4"/>
      <c r="P178" s="4"/>
      <c r="Q178" s="4"/>
      <c r="R178" s="4"/>
      <c r="S178" s="4"/>
      <c r="T178" s="4"/>
      <c r="U178" s="4"/>
    </row>
    <row r="179" spans="1:21">
      <c r="A179" t="s">
        <v>225</v>
      </c>
      <c r="B179">
        <v>9</v>
      </c>
      <c r="C179" t="str">
        <f t="shared" si="25"/>
        <v>test.ImageData_9_</v>
      </c>
      <c r="D179">
        <v>8</v>
      </c>
      <c r="E179" s="4">
        <v>0.7441860465116279</v>
      </c>
      <c r="F179" s="4">
        <v>0.20508449989120187</v>
      </c>
      <c r="G179" s="4" t="str">
        <f t="shared" si="26"/>
        <v/>
      </c>
      <c r="H179" s="4">
        <f t="shared" si="27"/>
        <v>0.7441860465116279</v>
      </c>
      <c r="I179" s="4" t="str">
        <f t="shared" si="28"/>
        <v/>
      </c>
      <c r="J179" s="4" t="str">
        <f t="shared" si="29"/>
        <v/>
      </c>
      <c r="K179" s="4" t="str">
        <f t="shared" si="30"/>
        <v/>
      </c>
      <c r="L179" s="4" t="str">
        <f t="shared" si="31"/>
        <v/>
      </c>
      <c r="M179" s="4"/>
      <c r="N179" s="4"/>
      <c r="O179" s="4"/>
      <c r="P179" s="4"/>
      <c r="Q179" s="4"/>
      <c r="R179" s="4"/>
      <c r="S179" s="4"/>
      <c r="T179" s="4"/>
      <c r="U179" s="4"/>
    </row>
    <row r="180" spans="1:21">
      <c r="A180" t="s">
        <v>225</v>
      </c>
      <c r="B180">
        <v>9</v>
      </c>
      <c r="C180" t="str">
        <f t="shared" si="25"/>
        <v>test.ImageData_9_</v>
      </c>
      <c r="D180">
        <v>9</v>
      </c>
      <c r="E180" s="4">
        <v>0.86434108527131781</v>
      </c>
      <c r="F180" s="4">
        <v>0.22760571552912165</v>
      </c>
      <c r="G180" s="4" t="str">
        <f t="shared" si="26"/>
        <v/>
      </c>
      <c r="H180" s="4">
        <f t="shared" si="27"/>
        <v>0.86434108527131781</v>
      </c>
      <c r="I180" s="4" t="str">
        <f t="shared" si="28"/>
        <v/>
      </c>
      <c r="J180" s="4" t="str">
        <f t="shared" si="29"/>
        <v/>
      </c>
      <c r="K180" s="4" t="str">
        <f t="shared" si="30"/>
        <v/>
      </c>
      <c r="L180" s="4" t="str">
        <f t="shared" si="31"/>
        <v/>
      </c>
      <c r="M180" s="4"/>
      <c r="N180" s="4"/>
      <c r="O180" s="4"/>
      <c r="P180" s="4"/>
      <c r="Q180" s="4"/>
      <c r="R180" s="4"/>
      <c r="S180" s="4"/>
      <c r="T180" s="4"/>
      <c r="U180" s="4"/>
    </row>
    <row r="181" spans="1:21">
      <c r="A181" t="s">
        <v>225</v>
      </c>
      <c r="B181">
        <v>9</v>
      </c>
      <c r="C181" t="str">
        <f t="shared" si="25"/>
        <v>test.ImageData_9_</v>
      </c>
      <c r="D181">
        <v>10</v>
      </c>
      <c r="E181" s="4">
        <v>1</v>
      </c>
      <c r="F181" s="4">
        <v>0.24827736273300935</v>
      </c>
      <c r="G181" s="4" t="str">
        <f t="shared" si="26"/>
        <v/>
      </c>
      <c r="H181" s="4">
        <f t="shared" si="27"/>
        <v>1</v>
      </c>
      <c r="I181" s="4" t="str">
        <f t="shared" si="28"/>
        <v/>
      </c>
      <c r="J181" s="4" t="str">
        <f t="shared" si="29"/>
        <v/>
      </c>
      <c r="K181" s="4" t="str">
        <f t="shared" si="30"/>
        <v/>
      </c>
      <c r="L181" s="4" t="str">
        <f t="shared" si="31"/>
        <v/>
      </c>
      <c r="M181" s="4"/>
      <c r="N181" s="4"/>
      <c r="O181" s="4"/>
      <c r="P181" s="4"/>
      <c r="Q181" s="4"/>
      <c r="R181" s="4"/>
      <c r="S181" s="4"/>
      <c r="T181" s="4"/>
      <c r="U181" s="4"/>
    </row>
    <row r="182" spans="1:21">
      <c r="A182" t="s">
        <v>225</v>
      </c>
      <c r="B182">
        <v>10</v>
      </c>
      <c r="C182" t="str">
        <f t="shared" si="25"/>
        <v>test.ImageData_10_</v>
      </c>
      <c r="D182">
        <v>1</v>
      </c>
      <c r="E182" s="4">
        <v>0.5</v>
      </c>
      <c r="F182" s="4">
        <v>0.20512820512820512</v>
      </c>
      <c r="G182" s="4" t="str">
        <f t="shared" si="26"/>
        <v/>
      </c>
      <c r="H182" s="4">
        <f t="shared" si="27"/>
        <v>0.5</v>
      </c>
      <c r="I182" s="4" t="str">
        <f t="shared" si="28"/>
        <v/>
      </c>
      <c r="J182" s="4" t="str">
        <f t="shared" si="29"/>
        <v/>
      </c>
      <c r="K182" s="4" t="str">
        <f t="shared" si="30"/>
        <v/>
      </c>
      <c r="L182" s="4" t="str">
        <f t="shared" si="31"/>
        <v/>
      </c>
      <c r="M182" s="4"/>
      <c r="N182" s="4"/>
      <c r="O182" s="4"/>
      <c r="P182" s="4"/>
      <c r="Q182" s="4"/>
      <c r="R182" s="4"/>
      <c r="S182" s="4"/>
      <c r="T182" s="4"/>
      <c r="U182" s="4"/>
    </row>
    <row r="183" spans="1:21">
      <c r="A183" t="s">
        <v>225</v>
      </c>
      <c r="B183">
        <v>10</v>
      </c>
      <c r="C183" t="str">
        <f t="shared" si="25"/>
        <v>test.ImageData_10_</v>
      </c>
      <c r="D183">
        <v>2</v>
      </c>
      <c r="E183" s="4">
        <v>0.9</v>
      </c>
      <c r="F183" s="4">
        <v>0.96432552954292083</v>
      </c>
      <c r="G183" s="4" t="str">
        <f t="shared" si="26"/>
        <v/>
      </c>
      <c r="H183" s="4" t="str">
        <f t="shared" si="27"/>
        <v/>
      </c>
      <c r="I183" s="4" t="str">
        <f t="shared" si="28"/>
        <v/>
      </c>
      <c r="J183" s="4" t="str">
        <f t="shared" si="29"/>
        <v/>
      </c>
      <c r="K183" s="4">
        <f t="shared" si="30"/>
        <v>0.9</v>
      </c>
      <c r="L183" s="4" t="str">
        <f t="shared" si="31"/>
        <v/>
      </c>
      <c r="M183" s="4"/>
      <c r="N183" s="4"/>
      <c r="O183" s="4"/>
      <c r="P183" s="4"/>
      <c r="Q183" s="4"/>
      <c r="R183" s="4"/>
      <c r="S183" s="4"/>
      <c r="T183" s="4"/>
      <c r="U183" s="4"/>
    </row>
    <row r="184" spans="1:21">
      <c r="A184" t="s">
        <v>225</v>
      </c>
      <c r="B184">
        <v>11</v>
      </c>
      <c r="C184" t="str">
        <f t="shared" si="25"/>
        <v>test.ImageData_11_</v>
      </c>
      <c r="D184">
        <v>1</v>
      </c>
      <c r="E184" s="4">
        <v>0.33962264150943394</v>
      </c>
      <c r="F184" s="4">
        <v>4.7485160887222745E-2</v>
      </c>
      <c r="G184" s="4">
        <f t="shared" si="26"/>
        <v>0.33962264150943394</v>
      </c>
      <c r="H184" s="4" t="str">
        <f t="shared" si="27"/>
        <v/>
      </c>
      <c r="I184" s="4" t="str">
        <f t="shared" si="28"/>
        <v/>
      </c>
      <c r="J184" s="4" t="str">
        <f t="shared" si="29"/>
        <v/>
      </c>
      <c r="K184" s="4" t="str">
        <f t="shared" si="30"/>
        <v/>
      </c>
      <c r="L184" s="4" t="str">
        <f t="shared" si="31"/>
        <v/>
      </c>
      <c r="M184" s="4"/>
      <c r="N184" s="4"/>
      <c r="O184" s="4"/>
      <c r="P184" s="4"/>
      <c r="Q184" s="4"/>
      <c r="R184" s="4"/>
      <c r="S184" s="4"/>
      <c r="T184" s="4"/>
      <c r="U184" s="4"/>
    </row>
    <row r="185" spans="1:21">
      <c r="A185" t="s">
        <v>225</v>
      </c>
      <c r="B185">
        <v>11</v>
      </c>
      <c r="C185" t="str">
        <f t="shared" si="25"/>
        <v>test.ImageData_11_</v>
      </c>
      <c r="D185">
        <v>2</v>
      </c>
      <c r="E185" s="4">
        <v>0.84905660377358494</v>
      </c>
      <c r="F185" s="4">
        <v>0.69868791002811625</v>
      </c>
      <c r="G185" s="4" t="str">
        <f t="shared" si="26"/>
        <v/>
      </c>
      <c r="H185" s="4" t="str">
        <f t="shared" si="27"/>
        <v/>
      </c>
      <c r="I185" s="4" t="str">
        <f t="shared" si="28"/>
        <v/>
      </c>
      <c r="J185" s="4">
        <f t="shared" si="29"/>
        <v>0.84905660377358494</v>
      </c>
      <c r="K185" s="4" t="str">
        <f t="shared" si="30"/>
        <v/>
      </c>
      <c r="L185" s="4" t="str">
        <f t="shared" si="31"/>
        <v/>
      </c>
      <c r="M185" s="4"/>
      <c r="N185" s="4"/>
      <c r="O185" s="4"/>
      <c r="P185" s="4"/>
      <c r="Q185" s="4"/>
      <c r="R185" s="4"/>
      <c r="S185" s="4"/>
      <c r="T185" s="4"/>
      <c r="U185" s="4"/>
    </row>
    <row r="186" spans="1:21">
      <c r="A186" t="s">
        <v>225</v>
      </c>
      <c r="B186">
        <v>11</v>
      </c>
      <c r="C186" t="str">
        <f t="shared" si="25"/>
        <v>test.ImageData_11_</v>
      </c>
      <c r="D186">
        <v>3</v>
      </c>
      <c r="E186" s="4">
        <v>0.96226415094339623</v>
      </c>
      <c r="F186" s="4">
        <v>0.96407372696032489</v>
      </c>
      <c r="G186" s="4" t="str">
        <f t="shared" si="26"/>
        <v/>
      </c>
      <c r="H186" s="4" t="str">
        <f t="shared" si="27"/>
        <v/>
      </c>
      <c r="I186" s="4" t="str">
        <f t="shared" si="28"/>
        <v/>
      </c>
      <c r="J186" s="4" t="str">
        <f t="shared" si="29"/>
        <v/>
      </c>
      <c r="K186" s="4">
        <f t="shared" si="30"/>
        <v>0.96226415094339623</v>
      </c>
      <c r="L186" s="4" t="str">
        <f t="shared" si="31"/>
        <v/>
      </c>
      <c r="M186" s="4"/>
      <c r="N186" s="4"/>
      <c r="O186" s="4"/>
      <c r="P186" s="4"/>
      <c r="Q186" s="4"/>
      <c r="R186" s="4"/>
      <c r="S186" s="4"/>
      <c r="T186" s="4"/>
      <c r="U186" s="4"/>
    </row>
    <row r="187" spans="1:21">
      <c r="A187" t="s">
        <v>225</v>
      </c>
      <c r="B187">
        <v>14</v>
      </c>
      <c r="C187" t="str">
        <f t="shared" si="25"/>
        <v>test.ImageData_14_</v>
      </c>
      <c r="D187">
        <v>1</v>
      </c>
      <c r="E187" s="4">
        <v>1.0438413361169101E-3</v>
      </c>
      <c r="F187" s="4">
        <v>3.8978805052676459E-2</v>
      </c>
      <c r="G187" s="4">
        <f t="shared" si="26"/>
        <v>1.0438413361169101E-3</v>
      </c>
      <c r="H187" s="4" t="str">
        <f t="shared" si="27"/>
        <v/>
      </c>
      <c r="I187" s="4" t="str">
        <f t="shared" si="28"/>
        <v/>
      </c>
      <c r="J187" s="4" t="str">
        <f t="shared" si="29"/>
        <v/>
      </c>
      <c r="K187" s="4" t="str">
        <f t="shared" si="30"/>
        <v/>
      </c>
      <c r="L187" s="4" t="str">
        <f t="shared" si="31"/>
        <v/>
      </c>
      <c r="M187" s="4"/>
      <c r="N187" s="4"/>
      <c r="O187" s="4"/>
      <c r="P187" s="4"/>
      <c r="Q187" s="4"/>
      <c r="R187" s="4"/>
      <c r="S187" s="4"/>
      <c r="T187" s="4"/>
      <c r="U187" s="4"/>
    </row>
    <row r="188" spans="1:21">
      <c r="A188" t="s">
        <v>225</v>
      </c>
      <c r="B188">
        <v>14</v>
      </c>
      <c r="C188" t="str">
        <f t="shared" si="25"/>
        <v>test.ImageData_14_</v>
      </c>
      <c r="D188">
        <v>2</v>
      </c>
      <c r="E188" s="4">
        <v>3.1315240083507308E-3</v>
      </c>
      <c r="F188" s="4">
        <v>3.9831577451276495E-2</v>
      </c>
      <c r="G188" s="4">
        <f t="shared" si="26"/>
        <v>3.1315240083507308E-3</v>
      </c>
      <c r="H188" s="4" t="str">
        <f t="shared" si="27"/>
        <v/>
      </c>
      <c r="I188" s="4" t="str">
        <f t="shared" si="28"/>
        <v/>
      </c>
      <c r="J188" s="4" t="str">
        <f t="shared" si="29"/>
        <v/>
      </c>
      <c r="K188" s="4" t="str">
        <f t="shared" si="30"/>
        <v/>
      </c>
      <c r="L188" s="4" t="str">
        <f t="shared" si="31"/>
        <v/>
      </c>
      <c r="M188" s="4"/>
      <c r="N188" s="4"/>
      <c r="O188" s="4"/>
      <c r="P188" s="4"/>
      <c r="Q188" s="4"/>
      <c r="R188" s="4"/>
      <c r="S188" s="4"/>
      <c r="T188" s="4"/>
      <c r="U188" s="4"/>
    </row>
    <row r="189" spans="1:21">
      <c r="A189" t="s">
        <v>225</v>
      </c>
      <c r="B189">
        <v>14</v>
      </c>
      <c r="C189" t="str">
        <f t="shared" si="25"/>
        <v>test.ImageData_14_</v>
      </c>
      <c r="D189">
        <v>3</v>
      </c>
      <c r="E189" s="4">
        <v>5.2192066805845511E-3</v>
      </c>
      <c r="F189" s="4">
        <v>4.1128502140814045E-2</v>
      </c>
      <c r="G189" s="4">
        <f t="shared" si="26"/>
        <v>5.2192066805845511E-3</v>
      </c>
      <c r="H189" s="4" t="str">
        <f t="shared" si="27"/>
        <v/>
      </c>
      <c r="I189" s="4" t="str">
        <f t="shared" si="28"/>
        <v/>
      </c>
      <c r="J189" s="4" t="str">
        <f t="shared" si="29"/>
        <v/>
      </c>
      <c r="K189" s="4" t="str">
        <f t="shared" si="30"/>
        <v/>
      </c>
      <c r="L189" s="4" t="str">
        <f t="shared" si="31"/>
        <v/>
      </c>
      <c r="M189" s="4"/>
      <c r="N189" s="4"/>
      <c r="O189" s="4"/>
      <c r="P189" s="4"/>
      <c r="Q189" s="4"/>
      <c r="R189" s="4"/>
      <c r="S189" s="4"/>
      <c r="T189" s="4"/>
      <c r="U189" s="4"/>
    </row>
    <row r="190" spans="1:21">
      <c r="A190" t="s">
        <v>225</v>
      </c>
      <c r="B190">
        <v>14</v>
      </c>
      <c r="C190" t="str">
        <f t="shared" si="25"/>
        <v>test.ImageData_14_</v>
      </c>
      <c r="D190">
        <v>4</v>
      </c>
      <c r="E190" s="4">
        <v>0.39874739039665968</v>
      </c>
      <c r="F190" s="4">
        <v>0.46538277044432996</v>
      </c>
      <c r="G190" s="4" t="str">
        <f t="shared" si="26"/>
        <v/>
      </c>
      <c r="H190" s="4" t="str">
        <f t="shared" si="27"/>
        <v/>
      </c>
      <c r="I190" s="4">
        <f t="shared" si="28"/>
        <v>0.39874739039665968</v>
      </c>
      <c r="J190" s="4" t="str">
        <f t="shared" si="29"/>
        <v/>
      </c>
      <c r="K190" s="4" t="str">
        <f t="shared" si="30"/>
        <v/>
      </c>
      <c r="L190" s="4" t="str">
        <f t="shared" si="31"/>
        <v/>
      </c>
      <c r="M190" s="4"/>
      <c r="N190" s="4"/>
      <c r="O190" s="4"/>
      <c r="P190" s="4"/>
      <c r="Q190" s="4"/>
      <c r="R190" s="4"/>
      <c r="S190" s="4"/>
      <c r="T190" s="4"/>
      <c r="U190" s="4"/>
    </row>
    <row r="191" spans="1:21">
      <c r="A191" t="s">
        <v>225</v>
      </c>
      <c r="B191">
        <v>14</v>
      </c>
      <c r="C191" t="str">
        <f t="shared" si="25"/>
        <v>test.ImageData_14_</v>
      </c>
      <c r="D191">
        <v>5</v>
      </c>
      <c r="E191" s="4">
        <v>0.58768267223382042</v>
      </c>
      <c r="F191" s="4">
        <v>0.47263133583243022</v>
      </c>
      <c r="G191" s="4" t="str">
        <f t="shared" si="26"/>
        <v/>
      </c>
      <c r="H191" s="4" t="str">
        <f t="shared" si="27"/>
        <v/>
      </c>
      <c r="I191" s="4">
        <f t="shared" si="28"/>
        <v>0.58768267223382042</v>
      </c>
      <c r="J191" s="4" t="str">
        <f t="shared" si="29"/>
        <v/>
      </c>
      <c r="K191" s="4" t="str">
        <f t="shared" si="30"/>
        <v/>
      </c>
      <c r="L191" s="4" t="str">
        <f t="shared" si="31"/>
        <v/>
      </c>
      <c r="M191" s="4"/>
      <c r="N191" s="4"/>
      <c r="O191" s="4"/>
      <c r="P191" s="4"/>
      <c r="Q191" s="4"/>
      <c r="R191" s="4"/>
      <c r="S191" s="4"/>
      <c r="T191" s="4"/>
      <c r="U191" s="4"/>
    </row>
    <row r="192" spans="1:21">
      <c r="A192" t="s">
        <v>225</v>
      </c>
      <c r="B192">
        <v>14</v>
      </c>
      <c r="C192" t="str">
        <f t="shared" si="25"/>
        <v>test.ImageData_14_</v>
      </c>
      <c r="D192">
        <v>6</v>
      </c>
      <c r="E192" s="4">
        <v>0.58872651356993733</v>
      </c>
      <c r="F192" s="4">
        <v>0.4778545667738554</v>
      </c>
      <c r="G192" s="4" t="str">
        <f t="shared" si="26"/>
        <v/>
      </c>
      <c r="H192" s="4" t="str">
        <f t="shared" si="27"/>
        <v/>
      </c>
      <c r="I192" s="4">
        <f t="shared" si="28"/>
        <v>0.58872651356993733</v>
      </c>
      <c r="J192" s="4" t="str">
        <f t="shared" si="29"/>
        <v/>
      </c>
      <c r="K192" s="4" t="str">
        <f t="shared" si="30"/>
        <v/>
      </c>
      <c r="L192" s="4" t="str">
        <f t="shared" si="31"/>
        <v/>
      </c>
      <c r="M192" s="4"/>
      <c r="N192" s="4"/>
      <c r="O192" s="4"/>
      <c r="P192" s="4"/>
      <c r="Q192" s="4"/>
      <c r="R192" s="4"/>
      <c r="S192" s="4"/>
      <c r="T192" s="4"/>
      <c r="U192" s="4"/>
    </row>
    <row r="193" spans="1:21">
      <c r="A193" t="s">
        <v>225</v>
      </c>
      <c r="B193">
        <v>14</v>
      </c>
      <c r="C193" t="str">
        <f t="shared" si="25"/>
        <v>test.ImageData_14_</v>
      </c>
      <c r="D193">
        <v>7</v>
      </c>
      <c r="E193" s="4">
        <v>0.58872651356993733</v>
      </c>
      <c r="F193" s="4">
        <v>0.48055501270275552</v>
      </c>
      <c r="G193" s="4" t="str">
        <f t="shared" si="26"/>
        <v/>
      </c>
      <c r="H193" s="4" t="str">
        <f t="shared" si="27"/>
        <v/>
      </c>
      <c r="I193" s="4">
        <f t="shared" si="28"/>
        <v>0.58872651356993733</v>
      </c>
      <c r="J193" s="4" t="str">
        <f t="shared" si="29"/>
        <v/>
      </c>
      <c r="K193" s="4" t="str">
        <f t="shared" si="30"/>
        <v/>
      </c>
      <c r="L193" s="4" t="str">
        <f t="shared" si="31"/>
        <v/>
      </c>
      <c r="M193" s="4"/>
      <c r="N193" s="4"/>
      <c r="O193" s="4"/>
      <c r="P193" s="4"/>
      <c r="Q193" s="4"/>
      <c r="R193" s="4"/>
      <c r="S193" s="4"/>
      <c r="T193" s="4"/>
      <c r="U193" s="4"/>
    </row>
    <row r="194" spans="1:21">
      <c r="A194" t="s">
        <v>225</v>
      </c>
      <c r="B194">
        <v>14</v>
      </c>
      <c r="C194" t="str">
        <f t="shared" si="25"/>
        <v>test.ImageData_14_</v>
      </c>
      <c r="D194">
        <v>8</v>
      </c>
      <c r="E194" s="4">
        <v>0.75782881002087688</v>
      </c>
      <c r="F194" s="4">
        <v>0.49215627054204347</v>
      </c>
      <c r="G194" s="4" t="str">
        <f t="shared" si="26"/>
        <v/>
      </c>
      <c r="H194" s="4" t="str">
        <f t="shared" si="27"/>
        <v/>
      </c>
      <c r="I194" s="4">
        <f t="shared" si="28"/>
        <v>0.75782881002087688</v>
      </c>
      <c r="J194" s="4" t="str">
        <f t="shared" si="29"/>
        <v/>
      </c>
      <c r="K194" s="4" t="str">
        <f t="shared" si="30"/>
        <v/>
      </c>
      <c r="L194" s="4" t="str">
        <f t="shared" si="31"/>
        <v/>
      </c>
      <c r="M194" s="4"/>
      <c r="N194" s="4"/>
      <c r="O194" s="4"/>
      <c r="P194" s="4"/>
      <c r="Q194" s="4"/>
      <c r="R194" s="4"/>
      <c r="S194" s="4"/>
      <c r="T194" s="4"/>
      <c r="U194" s="4"/>
    </row>
    <row r="195" spans="1:21">
      <c r="A195" t="s">
        <v>225</v>
      </c>
      <c r="B195">
        <v>14</v>
      </c>
      <c r="C195" t="str">
        <f t="shared" ref="C195:C258" si="32">CONCATENATE(A195, "_",B195,"_")</f>
        <v>test.ImageData_14_</v>
      </c>
      <c r="D195">
        <v>9</v>
      </c>
      <c r="E195" s="4">
        <v>0.75887265135699378</v>
      </c>
      <c r="F195" s="4">
        <v>0.49242276191660594</v>
      </c>
      <c r="G195" s="4" t="str">
        <f t="shared" ref="G195:G258" si="33">IF($F195 &lt;= 0.2,$E195,"")</f>
        <v/>
      </c>
      <c r="H195" s="4" t="str">
        <f t="shared" ref="H195:H258" si="34">IF(AND($F195 &gt; 0.2,$F195 &lt;= 0.4),$E195,"")</f>
        <v/>
      </c>
      <c r="I195" s="4">
        <f t="shared" ref="I195:I258" si="35">IF(AND($F195 &gt; 0.4,$F195 &lt;= 0.6),$E195,"")</f>
        <v>0.75887265135699378</v>
      </c>
      <c r="J195" s="4" t="str">
        <f t="shared" ref="J195:J258" si="36">IF(AND($F195 &gt; 0.6,$F195 &lt;= 0.8),$E195,"")</f>
        <v/>
      </c>
      <c r="K195" s="4" t="str">
        <f t="shared" ref="K195:K258" si="37">IF(AND($F195 &gt; 0.8, $F195 &lt;=1.1),$E195,"")</f>
        <v/>
      </c>
      <c r="L195" s="4" t="str">
        <f t="shared" ref="L195:L258" si="38">IF(AND($F195 &gt; 1.1),$E195,"")</f>
        <v/>
      </c>
      <c r="M195" s="4"/>
      <c r="N195" s="4"/>
      <c r="O195" s="4"/>
      <c r="P195" s="4"/>
      <c r="Q195" s="4"/>
      <c r="R195" s="4"/>
      <c r="S195" s="4"/>
      <c r="T195" s="4"/>
      <c r="U195" s="4"/>
    </row>
    <row r="196" spans="1:21">
      <c r="A196" t="s">
        <v>225</v>
      </c>
      <c r="B196">
        <v>14</v>
      </c>
      <c r="C196" t="str">
        <f t="shared" si="32"/>
        <v>test.ImageData_14_</v>
      </c>
      <c r="D196">
        <v>10</v>
      </c>
      <c r="E196" s="4">
        <v>0.75887265135699378</v>
      </c>
      <c r="F196" s="4">
        <v>0.49427043544690602</v>
      </c>
      <c r="G196" s="4" t="str">
        <f t="shared" si="33"/>
        <v/>
      </c>
      <c r="H196" s="4" t="str">
        <f t="shared" si="34"/>
        <v/>
      </c>
      <c r="I196" s="4">
        <f t="shared" si="35"/>
        <v>0.75887265135699378</v>
      </c>
      <c r="J196" s="4" t="str">
        <f t="shared" si="36"/>
        <v/>
      </c>
      <c r="K196" s="4" t="str">
        <f t="shared" si="37"/>
        <v/>
      </c>
      <c r="L196" s="4" t="str">
        <f t="shared" si="38"/>
        <v/>
      </c>
      <c r="M196" s="4"/>
      <c r="N196" s="4"/>
      <c r="O196" s="4"/>
      <c r="P196" s="4"/>
      <c r="Q196" s="4"/>
      <c r="R196" s="4"/>
      <c r="S196" s="4"/>
      <c r="T196" s="4"/>
      <c r="U196" s="4"/>
    </row>
    <row r="197" spans="1:21">
      <c r="A197" t="s">
        <v>225</v>
      </c>
      <c r="B197">
        <v>14</v>
      </c>
      <c r="C197" t="str">
        <f t="shared" si="32"/>
        <v>test.ImageData_14_</v>
      </c>
      <c r="D197">
        <v>11</v>
      </c>
      <c r="E197" s="4">
        <v>0.75887265135699378</v>
      </c>
      <c r="F197" s="4">
        <v>0.5049300904294064</v>
      </c>
      <c r="G197" s="4" t="str">
        <f t="shared" si="33"/>
        <v/>
      </c>
      <c r="H197" s="4" t="str">
        <f t="shared" si="34"/>
        <v/>
      </c>
      <c r="I197" s="4">
        <f t="shared" si="35"/>
        <v>0.75887265135699378</v>
      </c>
      <c r="J197" s="4" t="str">
        <f t="shared" si="36"/>
        <v/>
      </c>
      <c r="K197" s="4" t="str">
        <f t="shared" si="37"/>
        <v/>
      </c>
      <c r="L197" s="4" t="str">
        <f t="shared" si="38"/>
        <v/>
      </c>
      <c r="M197" s="4"/>
      <c r="N197" s="4"/>
      <c r="O197" s="4"/>
      <c r="P197" s="4"/>
      <c r="Q197" s="4"/>
      <c r="R197" s="4"/>
      <c r="S197" s="4"/>
      <c r="T197" s="4"/>
      <c r="U197" s="4"/>
    </row>
    <row r="198" spans="1:21">
      <c r="A198" t="s">
        <v>225</v>
      </c>
      <c r="B198">
        <v>14</v>
      </c>
      <c r="C198" t="str">
        <f t="shared" si="32"/>
        <v>test.ImageData_14_</v>
      </c>
      <c r="D198">
        <v>12</v>
      </c>
      <c r="E198" s="4">
        <v>0.94885177453027136</v>
      </c>
      <c r="F198" s="4">
        <v>0.76628706450867878</v>
      </c>
      <c r="G198" s="4" t="str">
        <f t="shared" si="33"/>
        <v/>
      </c>
      <c r="H198" s="4" t="str">
        <f t="shared" si="34"/>
        <v/>
      </c>
      <c r="I198" s="4" t="str">
        <f t="shared" si="35"/>
        <v/>
      </c>
      <c r="J198" s="4">
        <f t="shared" si="36"/>
        <v>0.94885177453027136</v>
      </c>
      <c r="K198" s="4" t="str">
        <f t="shared" si="37"/>
        <v/>
      </c>
      <c r="L198" s="4" t="str">
        <f t="shared" si="38"/>
        <v/>
      </c>
      <c r="M198" s="4"/>
      <c r="N198" s="4"/>
      <c r="O198" s="4"/>
      <c r="P198" s="4"/>
      <c r="Q198" s="4"/>
      <c r="R198" s="4"/>
      <c r="S198" s="4"/>
      <c r="T198" s="4"/>
      <c r="U198" s="4"/>
    </row>
    <row r="199" spans="1:21">
      <c r="A199" t="s">
        <v>225</v>
      </c>
      <c r="B199">
        <v>14</v>
      </c>
      <c r="C199" t="str">
        <f t="shared" si="32"/>
        <v>test.ImageData_14_</v>
      </c>
      <c r="D199">
        <v>13</v>
      </c>
      <c r="E199" s="4">
        <v>0.94885177453027136</v>
      </c>
      <c r="F199" s="4">
        <v>0.77190114946612898</v>
      </c>
      <c r="G199" s="4" t="str">
        <f t="shared" si="33"/>
        <v/>
      </c>
      <c r="H199" s="4" t="str">
        <f t="shared" si="34"/>
        <v/>
      </c>
      <c r="I199" s="4" t="str">
        <f t="shared" si="35"/>
        <v/>
      </c>
      <c r="J199" s="4">
        <f t="shared" si="36"/>
        <v>0.94885177453027136</v>
      </c>
      <c r="K199" s="4" t="str">
        <f t="shared" si="37"/>
        <v/>
      </c>
      <c r="L199" s="4" t="str">
        <f t="shared" si="38"/>
        <v/>
      </c>
      <c r="M199" s="4"/>
      <c r="N199" s="4"/>
      <c r="O199" s="4"/>
      <c r="P199" s="4"/>
      <c r="Q199" s="4"/>
      <c r="R199" s="4"/>
      <c r="S199" s="4"/>
      <c r="T199" s="4"/>
      <c r="U199" s="4"/>
    </row>
    <row r="200" spans="1:21">
      <c r="A200" t="s">
        <v>225</v>
      </c>
      <c r="B200">
        <v>14</v>
      </c>
      <c r="C200" t="str">
        <f t="shared" si="32"/>
        <v>test.ImageData_14_</v>
      </c>
      <c r="D200">
        <v>14</v>
      </c>
      <c r="E200" s="4">
        <v>1</v>
      </c>
      <c r="F200" s="4">
        <v>0.80078881446870498</v>
      </c>
      <c r="G200" s="4" t="str">
        <f t="shared" si="33"/>
        <v/>
      </c>
      <c r="H200" s="4" t="str">
        <f t="shared" si="34"/>
        <v/>
      </c>
      <c r="I200" s="4" t="str">
        <f t="shared" si="35"/>
        <v/>
      </c>
      <c r="J200" s="4" t="str">
        <f t="shared" si="36"/>
        <v/>
      </c>
      <c r="K200" s="4">
        <f t="shared" si="37"/>
        <v>1</v>
      </c>
      <c r="L200" s="4" t="str">
        <f t="shared" si="38"/>
        <v/>
      </c>
      <c r="M200" s="4"/>
      <c r="N200" s="4"/>
      <c r="O200" s="4"/>
      <c r="P200" s="4"/>
      <c r="Q200" s="4"/>
      <c r="R200" s="4"/>
      <c r="S200" s="4"/>
      <c r="T200" s="4"/>
      <c r="U200" s="4"/>
    </row>
    <row r="201" spans="1:21">
      <c r="A201" t="s">
        <v>225</v>
      </c>
      <c r="B201">
        <v>14</v>
      </c>
      <c r="C201" t="str">
        <f t="shared" si="32"/>
        <v>test.ImageData_14_</v>
      </c>
      <c r="D201">
        <v>15</v>
      </c>
      <c r="E201" s="4">
        <v>1</v>
      </c>
      <c r="F201" s="4">
        <v>0.8163163785598806</v>
      </c>
      <c r="G201" s="4" t="str">
        <f t="shared" si="33"/>
        <v/>
      </c>
      <c r="H201" s="4" t="str">
        <f t="shared" si="34"/>
        <v/>
      </c>
      <c r="I201" s="4" t="str">
        <f t="shared" si="35"/>
        <v/>
      </c>
      <c r="J201" s="4" t="str">
        <f t="shared" si="36"/>
        <v/>
      </c>
      <c r="K201" s="4">
        <f t="shared" si="37"/>
        <v>1</v>
      </c>
      <c r="L201" s="4" t="str">
        <f t="shared" si="38"/>
        <v/>
      </c>
      <c r="M201" s="4"/>
      <c r="N201" s="4"/>
      <c r="O201" s="4"/>
      <c r="P201" s="4"/>
      <c r="Q201" s="4"/>
      <c r="R201" s="4"/>
      <c r="S201" s="4"/>
      <c r="T201" s="4"/>
      <c r="U201" s="4"/>
    </row>
    <row r="202" spans="1:21">
      <c r="A202" t="s">
        <v>225</v>
      </c>
      <c r="B202">
        <v>21</v>
      </c>
      <c r="C202" t="str">
        <f t="shared" si="32"/>
        <v>test.ImageData_21_</v>
      </c>
      <c r="D202">
        <v>1</v>
      </c>
      <c r="E202" s="4">
        <v>0.47368421052631576</v>
      </c>
      <c r="F202" s="4">
        <v>0.50767158146845293</v>
      </c>
      <c r="G202" s="4" t="str">
        <f t="shared" si="33"/>
        <v/>
      </c>
      <c r="H202" s="4" t="str">
        <f t="shared" si="34"/>
        <v/>
      </c>
      <c r="I202" s="4">
        <f t="shared" si="35"/>
        <v>0.47368421052631576</v>
      </c>
      <c r="J202" s="4" t="str">
        <f t="shared" si="36"/>
        <v/>
      </c>
      <c r="K202" s="4" t="str">
        <f t="shared" si="37"/>
        <v/>
      </c>
      <c r="L202" s="4" t="str">
        <f t="shared" si="38"/>
        <v/>
      </c>
      <c r="M202" s="4"/>
      <c r="N202" s="4"/>
      <c r="O202" s="4"/>
      <c r="P202" s="4"/>
      <c r="Q202" s="4"/>
      <c r="R202" s="4"/>
      <c r="S202" s="4"/>
      <c r="T202" s="4"/>
      <c r="U202" s="4"/>
    </row>
    <row r="203" spans="1:21">
      <c r="A203" t="s">
        <v>225</v>
      </c>
      <c r="B203">
        <v>21</v>
      </c>
      <c r="C203" t="str">
        <f t="shared" si="32"/>
        <v>test.ImageData_21_</v>
      </c>
      <c r="D203">
        <v>2</v>
      </c>
      <c r="E203" s="4">
        <v>0.85964912280701755</v>
      </c>
      <c r="F203" s="4">
        <v>0.50954269889978299</v>
      </c>
      <c r="G203" s="4" t="str">
        <f t="shared" si="33"/>
        <v/>
      </c>
      <c r="H203" s="4" t="str">
        <f t="shared" si="34"/>
        <v/>
      </c>
      <c r="I203" s="4">
        <f t="shared" si="35"/>
        <v>0.85964912280701755</v>
      </c>
      <c r="J203" s="4" t="str">
        <f t="shared" si="36"/>
        <v/>
      </c>
      <c r="K203" s="4" t="str">
        <f t="shared" si="37"/>
        <v/>
      </c>
      <c r="L203" s="4" t="str">
        <f t="shared" si="38"/>
        <v/>
      </c>
      <c r="M203" s="4"/>
      <c r="N203" s="4"/>
      <c r="O203" s="4"/>
      <c r="P203" s="4"/>
      <c r="Q203" s="4"/>
      <c r="R203" s="4"/>
      <c r="S203" s="4"/>
      <c r="T203" s="4"/>
      <c r="U203" s="4"/>
    </row>
    <row r="204" spans="1:21">
      <c r="A204" t="s">
        <v>225</v>
      </c>
      <c r="B204">
        <v>21</v>
      </c>
      <c r="C204" t="str">
        <f t="shared" si="32"/>
        <v>test.ImageData_21_</v>
      </c>
      <c r="D204">
        <v>3</v>
      </c>
      <c r="E204" s="4">
        <v>0.92982456140350878</v>
      </c>
      <c r="F204" s="4">
        <v>0.51231195269815133</v>
      </c>
      <c r="G204" s="4" t="str">
        <f t="shared" si="33"/>
        <v/>
      </c>
      <c r="H204" s="4" t="str">
        <f t="shared" si="34"/>
        <v/>
      </c>
      <c r="I204" s="4">
        <f t="shared" si="35"/>
        <v>0.92982456140350878</v>
      </c>
      <c r="J204" s="4" t="str">
        <f t="shared" si="36"/>
        <v/>
      </c>
      <c r="K204" s="4" t="str">
        <f t="shared" si="37"/>
        <v/>
      </c>
      <c r="L204" s="4" t="str">
        <f t="shared" si="38"/>
        <v/>
      </c>
      <c r="M204" s="4"/>
      <c r="N204" s="4"/>
      <c r="O204" s="4"/>
      <c r="P204" s="4"/>
      <c r="Q204" s="4"/>
      <c r="R204" s="4"/>
      <c r="S204" s="4"/>
      <c r="T204" s="4"/>
      <c r="U204" s="4"/>
    </row>
    <row r="205" spans="1:21">
      <c r="A205" t="s">
        <v>225</v>
      </c>
      <c r="B205">
        <v>21</v>
      </c>
      <c r="C205" t="str">
        <f t="shared" si="32"/>
        <v>test.ImageData_21_</v>
      </c>
      <c r="D205">
        <v>4</v>
      </c>
      <c r="E205" s="4">
        <v>1</v>
      </c>
      <c r="F205" s="4">
        <v>0.51440760422124088</v>
      </c>
      <c r="G205" s="4" t="str">
        <f t="shared" si="33"/>
        <v/>
      </c>
      <c r="H205" s="4" t="str">
        <f t="shared" si="34"/>
        <v/>
      </c>
      <c r="I205" s="4">
        <f t="shared" si="35"/>
        <v>1</v>
      </c>
      <c r="J205" s="4" t="str">
        <f t="shared" si="36"/>
        <v/>
      </c>
      <c r="K205" s="4" t="str">
        <f t="shared" si="37"/>
        <v/>
      </c>
      <c r="L205" s="4" t="str">
        <f t="shared" si="38"/>
        <v/>
      </c>
      <c r="M205" s="4"/>
      <c r="N205" s="4"/>
      <c r="O205" s="4"/>
      <c r="P205" s="4"/>
      <c r="Q205" s="4"/>
      <c r="R205" s="4"/>
      <c r="S205" s="4"/>
      <c r="T205" s="4"/>
      <c r="U205" s="4"/>
    </row>
    <row r="206" spans="1:21">
      <c r="A206" t="s">
        <v>226</v>
      </c>
      <c r="B206">
        <v>2</v>
      </c>
      <c r="C206" t="str">
        <f t="shared" si="32"/>
        <v>test.MapViewer_2_</v>
      </c>
      <c r="D206">
        <v>1</v>
      </c>
      <c r="E206" s="4">
        <v>0.72307692307692306</v>
      </c>
      <c r="F206" s="4">
        <v>0.59438366664343945</v>
      </c>
      <c r="G206" s="4" t="str">
        <f t="shared" si="33"/>
        <v/>
      </c>
      <c r="H206" s="4" t="str">
        <f t="shared" si="34"/>
        <v/>
      </c>
      <c r="I206" s="4">
        <f t="shared" si="35"/>
        <v>0.72307692307692306</v>
      </c>
      <c r="J206" s="4" t="str">
        <f t="shared" si="36"/>
        <v/>
      </c>
      <c r="K206" s="4" t="str">
        <f t="shared" si="37"/>
        <v/>
      </c>
      <c r="L206" s="4" t="str">
        <f t="shared" si="38"/>
        <v/>
      </c>
      <c r="M206" s="4"/>
      <c r="N206" s="4"/>
      <c r="O206" s="4"/>
      <c r="P206" s="4"/>
      <c r="Q206" s="4"/>
      <c r="R206" s="4"/>
      <c r="S206" s="4"/>
      <c r="T206" s="4"/>
      <c r="U206" s="4"/>
    </row>
    <row r="207" spans="1:21">
      <c r="A207" t="s">
        <v>226</v>
      </c>
      <c r="B207">
        <v>2</v>
      </c>
      <c r="C207" t="str">
        <f t="shared" si="32"/>
        <v>test.MapViewer_2_</v>
      </c>
      <c r="D207">
        <v>2</v>
      </c>
      <c r="E207" s="4">
        <v>0.96923076923076923</v>
      </c>
      <c r="F207" s="4">
        <v>1.0016723573270156</v>
      </c>
      <c r="G207" s="4" t="str">
        <f t="shared" si="33"/>
        <v/>
      </c>
      <c r="H207" s="4" t="str">
        <f t="shared" si="34"/>
        <v/>
      </c>
      <c r="I207" s="4" t="str">
        <f t="shared" si="35"/>
        <v/>
      </c>
      <c r="J207" s="4" t="str">
        <f t="shared" si="36"/>
        <v/>
      </c>
      <c r="K207" s="4">
        <f t="shared" si="37"/>
        <v>0.96923076923076923</v>
      </c>
      <c r="L207" s="4" t="str">
        <f t="shared" si="38"/>
        <v/>
      </c>
      <c r="M207" s="4"/>
      <c r="N207" s="4"/>
      <c r="O207" s="4"/>
      <c r="P207" s="4"/>
      <c r="Q207" s="4"/>
      <c r="R207" s="4"/>
      <c r="S207" s="4"/>
      <c r="T207" s="4"/>
      <c r="U207" s="4"/>
    </row>
    <row r="208" spans="1:21">
      <c r="A208" t="s">
        <v>226</v>
      </c>
      <c r="B208">
        <v>3</v>
      </c>
      <c r="C208" t="str">
        <f t="shared" si="32"/>
        <v>test.MapViewer_3_</v>
      </c>
      <c r="D208">
        <v>1</v>
      </c>
      <c r="E208" s="4">
        <v>4.7619047619047616E-2</v>
      </c>
      <c r="F208" s="4">
        <v>3.9269688998916912E-2</v>
      </c>
      <c r="G208" s="4">
        <f t="shared" si="33"/>
        <v>4.7619047619047616E-2</v>
      </c>
      <c r="H208" s="4" t="str">
        <f t="shared" si="34"/>
        <v/>
      </c>
      <c r="I208" s="4" t="str">
        <f t="shared" si="35"/>
        <v/>
      </c>
      <c r="J208" s="4" t="str">
        <f t="shared" si="36"/>
        <v/>
      </c>
      <c r="K208" s="4" t="str">
        <f t="shared" si="37"/>
        <v/>
      </c>
      <c r="L208" s="4" t="str">
        <f t="shared" si="38"/>
        <v/>
      </c>
      <c r="M208" s="4"/>
      <c r="N208" s="4"/>
      <c r="O208" s="4"/>
      <c r="P208" s="4"/>
      <c r="Q208" s="4"/>
      <c r="R208" s="4"/>
      <c r="S208" s="4"/>
      <c r="T208" s="4"/>
      <c r="U208" s="4"/>
    </row>
    <row r="209" spans="1:21">
      <c r="A209" t="s">
        <v>226</v>
      </c>
      <c r="B209">
        <v>3</v>
      </c>
      <c r="C209" t="str">
        <f t="shared" si="32"/>
        <v>test.MapViewer_3_</v>
      </c>
      <c r="D209">
        <v>2</v>
      </c>
      <c r="E209" s="4">
        <v>0.20408163265306123</v>
      </c>
      <c r="F209" s="4">
        <v>0.14665016246325235</v>
      </c>
      <c r="G209" s="4">
        <f t="shared" si="33"/>
        <v>0.20408163265306123</v>
      </c>
      <c r="H209" s="4" t="str">
        <f t="shared" si="34"/>
        <v/>
      </c>
      <c r="I209" s="4" t="str">
        <f t="shared" si="35"/>
        <v/>
      </c>
      <c r="J209" s="4" t="str">
        <f t="shared" si="36"/>
        <v/>
      </c>
      <c r="K209" s="4" t="str">
        <f t="shared" si="37"/>
        <v/>
      </c>
      <c r="L209" s="4" t="str">
        <f t="shared" si="38"/>
        <v/>
      </c>
      <c r="M209" s="4"/>
      <c r="N209" s="4"/>
      <c r="O209" s="4"/>
      <c r="P209" s="4"/>
      <c r="Q209" s="4"/>
      <c r="R209" s="4"/>
      <c r="S209" s="4"/>
      <c r="T209" s="4"/>
      <c r="U209" s="4"/>
    </row>
    <row r="210" spans="1:21">
      <c r="A210" t="s">
        <v>226</v>
      </c>
      <c r="B210">
        <v>3</v>
      </c>
      <c r="C210" t="str">
        <f t="shared" si="32"/>
        <v>test.MapViewer_3_</v>
      </c>
      <c r="D210">
        <v>3</v>
      </c>
      <c r="E210" s="4">
        <v>0.30612244897959184</v>
      </c>
      <c r="F210" s="4">
        <v>0.20922172365774408</v>
      </c>
      <c r="G210" s="4" t="str">
        <f t="shared" si="33"/>
        <v/>
      </c>
      <c r="H210" s="4">
        <f t="shared" si="34"/>
        <v>0.30612244897959184</v>
      </c>
      <c r="I210" s="4" t="str">
        <f t="shared" si="35"/>
        <v/>
      </c>
      <c r="J210" s="4" t="str">
        <f t="shared" si="36"/>
        <v/>
      </c>
      <c r="K210" s="4" t="str">
        <f t="shared" si="37"/>
        <v/>
      </c>
      <c r="L210" s="4" t="str">
        <f t="shared" si="38"/>
        <v/>
      </c>
      <c r="M210" s="4"/>
      <c r="N210" s="4"/>
      <c r="O210" s="4"/>
      <c r="P210" s="4"/>
      <c r="Q210" s="4"/>
      <c r="R210" s="4"/>
      <c r="S210" s="4"/>
      <c r="T210" s="4"/>
      <c r="U210" s="4"/>
    </row>
    <row r="211" spans="1:21">
      <c r="A211" t="s">
        <v>226</v>
      </c>
      <c r="B211">
        <v>3</v>
      </c>
      <c r="C211" t="str">
        <f t="shared" si="32"/>
        <v>test.MapViewer_3_</v>
      </c>
      <c r="D211">
        <v>4</v>
      </c>
      <c r="E211" s="4">
        <v>0.34693877551020408</v>
      </c>
      <c r="F211" s="4">
        <v>0.26835834751663312</v>
      </c>
      <c r="G211" s="4" t="str">
        <f t="shared" si="33"/>
        <v/>
      </c>
      <c r="H211" s="4">
        <f t="shared" si="34"/>
        <v>0.34693877551020408</v>
      </c>
      <c r="I211" s="4" t="str">
        <f t="shared" si="35"/>
        <v/>
      </c>
      <c r="J211" s="4" t="str">
        <f t="shared" si="36"/>
        <v/>
      </c>
      <c r="K211" s="4" t="str">
        <f t="shared" si="37"/>
        <v/>
      </c>
      <c r="L211" s="4" t="str">
        <f t="shared" si="38"/>
        <v/>
      </c>
      <c r="M211" s="4"/>
      <c r="N211" s="4"/>
      <c r="O211" s="4"/>
      <c r="P211" s="4"/>
      <c r="Q211" s="4"/>
      <c r="R211" s="4"/>
      <c r="S211" s="4"/>
      <c r="T211" s="4"/>
      <c r="U211" s="4"/>
    </row>
    <row r="212" spans="1:21">
      <c r="A212" t="s">
        <v>226</v>
      </c>
      <c r="B212">
        <v>3</v>
      </c>
      <c r="C212" t="str">
        <f t="shared" si="32"/>
        <v>test.MapViewer_3_</v>
      </c>
      <c r="D212">
        <v>5</v>
      </c>
      <c r="E212" s="4">
        <v>1</v>
      </c>
      <c r="F212" s="4">
        <v>0.89973696425808447</v>
      </c>
      <c r="G212" s="4" t="str">
        <f t="shared" si="33"/>
        <v/>
      </c>
      <c r="H212" s="4" t="str">
        <f t="shared" si="34"/>
        <v/>
      </c>
      <c r="I212" s="4" t="str">
        <f t="shared" si="35"/>
        <v/>
      </c>
      <c r="J212" s="4" t="str">
        <f t="shared" si="36"/>
        <v/>
      </c>
      <c r="K212" s="4">
        <f t="shared" si="37"/>
        <v>1</v>
      </c>
      <c r="L212" s="4" t="str">
        <f t="shared" si="38"/>
        <v/>
      </c>
      <c r="M212" s="4"/>
      <c r="N212" s="4"/>
      <c r="O212" s="4"/>
      <c r="P212" s="4"/>
      <c r="Q212" s="4"/>
      <c r="R212" s="4"/>
      <c r="S212" s="4"/>
      <c r="T212" s="4"/>
      <c r="U212" s="4"/>
    </row>
    <row r="213" spans="1:21">
      <c r="A213" t="s">
        <v>226</v>
      </c>
      <c r="B213">
        <v>3</v>
      </c>
      <c r="C213" t="str">
        <f t="shared" si="32"/>
        <v>test.MapViewer_3_</v>
      </c>
      <c r="D213">
        <v>6</v>
      </c>
      <c r="E213" s="4">
        <v>1</v>
      </c>
      <c r="F213" s="4">
        <v>0.95367476404146678</v>
      </c>
      <c r="G213" s="4" t="str">
        <f t="shared" si="33"/>
        <v/>
      </c>
      <c r="H213" s="4" t="str">
        <f t="shared" si="34"/>
        <v/>
      </c>
      <c r="I213" s="4" t="str">
        <f t="shared" si="35"/>
        <v/>
      </c>
      <c r="J213" s="4" t="str">
        <f t="shared" si="36"/>
        <v/>
      </c>
      <c r="K213" s="4">
        <f t="shared" si="37"/>
        <v>1</v>
      </c>
      <c r="L213" s="4" t="str">
        <f t="shared" si="38"/>
        <v/>
      </c>
      <c r="M213" s="4"/>
      <c r="N213" s="4"/>
      <c r="O213" s="4"/>
      <c r="P213" s="4"/>
      <c r="Q213" s="4"/>
      <c r="R213" s="4"/>
      <c r="S213" s="4"/>
      <c r="T213" s="4"/>
      <c r="U213" s="4"/>
    </row>
    <row r="214" spans="1:21">
      <c r="A214" t="s">
        <v>229</v>
      </c>
      <c r="B214">
        <v>3</v>
      </c>
      <c r="C214" t="str">
        <f t="shared" si="32"/>
        <v>test.TileRenderor_3_</v>
      </c>
      <c r="D214">
        <v>1</v>
      </c>
      <c r="E214" s="4">
        <v>0.96177370030581044</v>
      </c>
      <c r="F214" s="4">
        <v>0.89496675799436709</v>
      </c>
      <c r="G214" s="4" t="str">
        <f t="shared" si="33"/>
        <v/>
      </c>
      <c r="H214" s="4" t="str">
        <f t="shared" si="34"/>
        <v/>
      </c>
      <c r="I214" s="4" t="str">
        <f t="shared" si="35"/>
        <v/>
      </c>
      <c r="J214" s="4" t="str">
        <f t="shared" si="36"/>
        <v/>
      </c>
      <c r="K214" s="4">
        <f t="shared" si="37"/>
        <v>0.96177370030581044</v>
      </c>
      <c r="L214" s="4" t="str">
        <f t="shared" si="38"/>
        <v/>
      </c>
      <c r="M214" s="4"/>
      <c r="N214" s="4"/>
      <c r="O214" s="4"/>
      <c r="P214" s="4"/>
      <c r="Q214" s="4"/>
      <c r="R214" s="4"/>
      <c r="S214" s="4"/>
      <c r="T214" s="4"/>
      <c r="U214" s="4"/>
    </row>
    <row r="215" spans="1:21">
      <c r="A215" t="s">
        <v>229</v>
      </c>
      <c r="B215">
        <v>3</v>
      </c>
      <c r="C215" t="str">
        <f>CONCATENATE(A215, "_",B215,"_")</f>
        <v>test.TileRenderor_3_</v>
      </c>
      <c r="D215">
        <v>2</v>
      </c>
      <c r="E215" s="4">
        <v>1</v>
      </c>
      <c r="F215" s="4">
        <v>0.89573314429138007</v>
      </c>
      <c r="G215" s="4" t="str">
        <f t="shared" si="33"/>
        <v/>
      </c>
      <c r="H215" s="4" t="str">
        <f t="shared" si="34"/>
        <v/>
      </c>
      <c r="I215" s="4" t="str">
        <f t="shared" si="35"/>
        <v/>
      </c>
      <c r="J215" s="4" t="str">
        <f t="shared" si="36"/>
        <v/>
      </c>
      <c r="K215" s="4">
        <f t="shared" si="37"/>
        <v>1</v>
      </c>
      <c r="L215" s="4" t="str">
        <f t="shared" si="38"/>
        <v/>
      </c>
      <c r="M215" s="4"/>
      <c r="N215" s="4"/>
      <c r="O215" s="4"/>
      <c r="P215" s="4"/>
      <c r="Q215" s="4"/>
      <c r="R215" s="4"/>
      <c r="S215" s="4"/>
      <c r="T215" s="4"/>
      <c r="U215" s="4"/>
    </row>
    <row r="216" spans="1:21">
      <c r="A216" t="s">
        <v>230</v>
      </c>
      <c r="B216">
        <v>1</v>
      </c>
      <c r="C216" t="str">
        <f t="shared" si="32"/>
        <v>test.WorldController_1_</v>
      </c>
      <c r="D216">
        <v>1</v>
      </c>
      <c r="E216" s="4">
        <v>4.142011834319527E-2</v>
      </c>
      <c r="F216" s="4">
        <v>6.3185156277716675E-2</v>
      </c>
      <c r="G216" s="4">
        <f t="shared" si="33"/>
        <v>4.142011834319527E-2</v>
      </c>
      <c r="H216" s="4" t="str">
        <f t="shared" si="34"/>
        <v/>
      </c>
      <c r="I216" s="4" t="str">
        <f t="shared" si="35"/>
        <v/>
      </c>
      <c r="J216" s="4" t="str">
        <f t="shared" si="36"/>
        <v/>
      </c>
      <c r="K216" s="4" t="str">
        <f t="shared" si="37"/>
        <v/>
      </c>
      <c r="L216" s="4" t="str">
        <f t="shared" si="38"/>
        <v/>
      </c>
      <c r="M216" s="4"/>
      <c r="N216" s="4"/>
      <c r="O216" s="4"/>
      <c r="P216" s="4"/>
      <c r="Q216" s="4"/>
      <c r="R216" s="4"/>
      <c r="S216" s="4"/>
      <c r="T216" s="4"/>
      <c r="U216" s="4"/>
    </row>
    <row r="217" spans="1:21">
      <c r="A217" t="s">
        <v>230</v>
      </c>
      <c r="B217">
        <v>1</v>
      </c>
      <c r="C217" t="str">
        <f t="shared" si="32"/>
        <v>test.WorldController_1_</v>
      </c>
      <c r="D217">
        <v>2</v>
      </c>
      <c r="E217" s="4">
        <v>6.5088757396449703E-2</v>
      </c>
      <c r="F217" s="4">
        <v>7.8653279880796109E-2</v>
      </c>
      <c r="G217" s="4">
        <f t="shared" si="33"/>
        <v>6.5088757396449703E-2</v>
      </c>
      <c r="H217" s="4" t="str">
        <f t="shared" si="34"/>
        <v/>
      </c>
      <c r="I217" s="4" t="str">
        <f t="shared" si="35"/>
        <v/>
      </c>
      <c r="J217" s="4" t="str">
        <f t="shared" si="36"/>
        <v/>
      </c>
      <c r="K217" s="4" t="str">
        <f t="shared" si="37"/>
        <v/>
      </c>
      <c r="L217" s="4" t="str">
        <f t="shared" si="38"/>
        <v/>
      </c>
      <c r="M217" s="4"/>
      <c r="N217" s="4"/>
      <c r="O217" s="4"/>
      <c r="P217" s="4"/>
      <c r="Q217" s="4"/>
      <c r="R217" s="4"/>
      <c r="S217" s="4"/>
      <c r="T217" s="4"/>
      <c r="U217" s="4"/>
    </row>
    <row r="218" spans="1:21">
      <c r="A218" t="s">
        <v>230</v>
      </c>
      <c r="B218">
        <v>1</v>
      </c>
      <c r="C218" t="str">
        <f t="shared" si="32"/>
        <v>test.WorldController_1_</v>
      </c>
      <c r="D218">
        <v>3</v>
      </c>
      <c r="E218" s="4">
        <v>8.8757396449704137E-2</v>
      </c>
      <c r="F218" s="4">
        <v>9.2418490793628266E-2</v>
      </c>
      <c r="G218" s="4">
        <f t="shared" si="33"/>
        <v>8.8757396449704137E-2</v>
      </c>
      <c r="H218" s="4" t="str">
        <f t="shared" si="34"/>
        <v/>
      </c>
      <c r="I218" s="4" t="str">
        <f t="shared" si="35"/>
        <v/>
      </c>
      <c r="J218" s="4" t="str">
        <f t="shared" si="36"/>
        <v/>
      </c>
      <c r="K218" s="4" t="str">
        <f t="shared" si="37"/>
        <v/>
      </c>
      <c r="L218" s="4" t="str">
        <f t="shared" si="38"/>
        <v/>
      </c>
      <c r="M218" s="4"/>
      <c r="N218" s="4"/>
      <c r="O218" s="4"/>
      <c r="P218" s="4"/>
      <c r="Q218" s="4"/>
      <c r="R218" s="4"/>
      <c r="S218" s="4"/>
      <c r="T218" s="4"/>
      <c r="U218" s="4"/>
    </row>
    <row r="219" spans="1:21">
      <c r="A219" t="s">
        <v>230</v>
      </c>
      <c r="B219">
        <v>1</v>
      </c>
      <c r="C219" t="str">
        <f t="shared" si="32"/>
        <v>test.WorldController_1_</v>
      </c>
      <c r="D219">
        <v>4</v>
      </c>
      <c r="E219" s="4">
        <v>0.10650887573964497</v>
      </c>
      <c r="F219" s="4">
        <v>9.6356476389825099E-2</v>
      </c>
      <c r="G219" s="4">
        <f t="shared" si="33"/>
        <v>0.10650887573964497</v>
      </c>
      <c r="H219" s="4" t="str">
        <f t="shared" si="34"/>
        <v/>
      </c>
      <c r="I219" s="4" t="str">
        <f t="shared" si="35"/>
        <v/>
      </c>
      <c r="J219" s="4" t="str">
        <f t="shared" si="36"/>
        <v/>
      </c>
      <c r="K219" s="4" t="str">
        <f t="shared" si="37"/>
        <v/>
      </c>
      <c r="L219" s="4" t="str">
        <f t="shared" si="38"/>
        <v/>
      </c>
      <c r="M219" s="4"/>
      <c r="N219" s="4"/>
      <c r="O219" s="4"/>
      <c r="P219" s="4"/>
      <c r="Q219" s="4"/>
      <c r="R219" s="4"/>
      <c r="S219" s="4"/>
      <c r="T219" s="4"/>
      <c r="U219" s="4"/>
    </row>
    <row r="220" spans="1:21">
      <c r="A220" t="s">
        <v>230</v>
      </c>
      <c r="B220">
        <v>1</v>
      </c>
      <c r="C220" t="str">
        <f t="shared" si="32"/>
        <v>test.WorldController_1_</v>
      </c>
      <c r="D220">
        <v>5</v>
      </c>
      <c r="E220" s="4">
        <v>0.1242603550295858</v>
      </c>
      <c r="F220" s="4">
        <v>0.10636108844502785</v>
      </c>
      <c r="G220" s="4">
        <f t="shared" si="33"/>
        <v>0.1242603550295858</v>
      </c>
      <c r="H220" s="4" t="str">
        <f t="shared" si="34"/>
        <v/>
      </c>
      <c r="I220" s="4" t="str">
        <f t="shared" si="35"/>
        <v/>
      </c>
      <c r="J220" s="4" t="str">
        <f t="shared" si="36"/>
        <v/>
      </c>
      <c r="K220" s="4" t="str">
        <f t="shared" si="37"/>
        <v/>
      </c>
      <c r="L220" s="4" t="str">
        <f t="shared" si="38"/>
        <v/>
      </c>
      <c r="M220" s="4"/>
      <c r="N220" s="4"/>
      <c r="O220" s="4"/>
      <c r="P220" s="4"/>
      <c r="Q220" s="4"/>
      <c r="R220" s="4"/>
      <c r="S220" s="4"/>
      <c r="T220" s="4"/>
      <c r="U220" s="4"/>
    </row>
    <row r="221" spans="1:21">
      <c r="A221" t="s">
        <v>230</v>
      </c>
      <c r="B221">
        <v>1</v>
      </c>
      <c r="C221" t="str">
        <f t="shared" si="32"/>
        <v>test.WorldController_1_</v>
      </c>
      <c r="D221">
        <v>6</v>
      </c>
      <c r="E221" s="4">
        <v>0.14201183431952663</v>
      </c>
      <c r="F221" s="4">
        <v>0.12041011813956788</v>
      </c>
      <c r="G221" s="4">
        <f t="shared" si="33"/>
        <v>0.14201183431952663</v>
      </c>
      <c r="H221" s="4" t="str">
        <f t="shared" si="34"/>
        <v/>
      </c>
      <c r="I221" s="4" t="str">
        <f t="shared" si="35"/>
        <v/>
      </c>
      <c r="J221" s="4" t="str">
        <f t="shared" si="36"/>
        <v/>
      </c>
      <c r="K221" s="4" t="str">
        <f t="shared" si="37"/>
        <v/>
      </c>
      <c r="L221" s="4" t="str">
        <f t="shared" si="38"/>
        <v/>
      </c>
      <c r="M221" s="4"/>
      <c r="N221" s="4"/>
      <c r="O221" s="4"/>
      <c r="P221" s="4"/>
      <c r="Q221" s="4"/>
      <c r="R221" s="4"/>
      <c r="S221" s="4"/>
      <c r="T221" s="4"/>
      <c r="U221" s="4"/>
    </row>
    <row r="222" spans="1:21">
      <c r="A222" t="s">
        <v>230</v>
      </c>
      <c r="B222">
        <v>1</v>
      </c>
      <c r="C222" t="str">
        <f t="shared" si="32"/>
        <v>test.WorldController_1_</v>
      </c>
      <c r="D222">
        <v>7</v>
      </c>
      <c r="E222" s="4">
        <v>0.23076923076923078</v>
      </c>
      <c r="F222" s="4">
        <v>0.18334693298329016</v>
      </c>
      <c r="G222" s="4">
        <f t="shared" si="33"/>
        <v>0.23076923076923078</v>
      </c>
      <c r="H222" s="4" t="str">
        <f t="shared" si="34"/>
        <v/>
      </c>
      <c r="I222" s="4" t="str">
        <f t="shared" si="35"/>
        <v/>
      </c>
      <c r="J222" s="4" t="str">
        <f t="shared" si="36"/>
        <v/>
      </c>
      <c r="K222" s="4" t="str">
        <f t="shared" si="37"/>
        <v/>
      </c>
      <c r="L222" s="4" t="str">
        <f t="shared" si="38"/>
        <v/>
      </c>
      <c r="M222" s="4"/>
      <c r="N222" s="4"/>
      <c r="O222" s="4"/>
      <c r="P222" s="4"/>
      <c r="Q222" s="4"/>
      <c r="R222" s="4"/>
      <c r="S222" s="4"/>
      <c r="T222" s="4"/>
      <c r="U222" s="4"/>
    </row>
    <row r="223" spans="1:21">
      <c r="A223" t="s">
        <v>230</v>
      </c>
      <c r="B223">
        <v>1</v>
      </c>
      <c r="C223" t="str">
        <f t="shared" si="32"/>
        <v>test.WorldController_1_</v>
      </c>
      <c r="D223">
        <v>8</v>
      </c>
      <c r="E223" s="4">
        <v>0.31952662721893493</v>
      </c>
      <c r="F223" s="4">
        <v>0.20158228970802142</v>
      </c>
      <c r="G223" s="4" t="str">
        <f t="shared" si="33"/>
        <v/>
      </c>
      <c r="H223" s="4">
        <f t="shared" si="34"/>
        <v>0.31952662721893493</v>
      </c>
      <c r="I223" s="4" t="str">
        <f t="shared" si="35"/>
        <v/>
      </c>
      <c r="J223" s="4" t="str">
        <f t="shared" si="36"/>
        <v/>
      </c>
      <c r="K223" s="4" t="str">
        <f t="shared" si="37"/>
        <v/>
      </c>
      <c r="L223" s="4" t="str">
        <f t="shared" si="38"/>
        <v/>
      </c>
      <c r="M223" s="4"/>
      <c r="N223" s="4"/>
      <c r="O223" s="4"/>
      <c r="P223" s="4"/>
      <c r="Q223" s="4"/>
      <c r="R223" s="4"/>
      <c r="S223" s="4"/>
      <c r="T223" s="4"/>
      <c r="U223" s="4"/>
    </row>
    <row r="224" spans="1:21">
      <c r="A224" t="s">
        <v>230</v>
      </c>
      <c r="B224">
        <v>1</v>
      </c>
      <c r="C224" t="str">
        <f t="shared" si="32"/>
        <v>test.WorldController_1_</v>
      </c>
      <c r="D224">
        <v>9</v>
      </c>
      <c r="E224" s="4">
        <v>0.40236686390532544</v>
      </c>
      <c r="F224" s="4">
        <v>0.21350267853975236</v>
      </c>
      <c r="G224" s="4" t="str">
        <f t="shared" si="33"/>
        <v/>
      </c>
      <c r="H224" s="4">
        <f t="shared" si="34"/>
        <v>0.40236686390532544</v>
      </c>
      <c r="I224" s="4" t="str">
        <f t="shared" si="35"/>
        <v/>
      </c>
      <c r="J224" s="4" t="str">
        <f t="shared" si="36"/>
        <v/>
      </c>
      <c r="K224" s="4" t="str">
        <f t="shared" si="37"/>
        <v/>
      </c>
      <c r="L224" s="4" t="str">
        <f t="shared" si="38"/>
        <v/>
      </c>
      <c r="M224" s="4"/>
      <c r="N224" s="4"/>
      <c r="O224" s="4"/>
      <c r="P224" s="4"/>
      <c r="Q224" s="4"/>
      <c r="R224" s="4"/>
      <c r="S224" s="4"/>
      <c r="T224" s="4"/>
      <c r="U224" s="4"/>
    </row>
    <row r="225" spans="1:21">
      <c r="A225" t="s">
        <v>230</v>
      </c>
      <c r="B225">
        <v>1</v>
      </c>
      <c r="C225" t="str">
        <f t="shared" si="32"/>
        <v>test.WorldController_1_</v>
      </c>
      <c r="D225">
        <v>10</v>
      </c>
      <c r="E225" s="4">
        <v>0.4911242603550296</v>
      </c>
      <c r="F225" s="4">
        <v>0.21378649732146024</v>
      </c>
      <c r="G225" s="4" t="str">
        <f t="shared" si="33"/>
        <v/>
      </c>
      <c r="H225" s="4">
        <f t="shared" si="34"/>
        <v>0.4911242603550296</v>
      </c>
      <c r="I225" s="4" t="str">
        <f t="shared" si="35"/>
        <v/>
      </c>
      <c r="J225" s="4" t="str">
        <f t="shared" si="36"/>
        <v/>
      </c>
      <c r="K225" s="4" t="str">
        <f t="shared" si="37"/>
        <v/>
      </c>
      <c r="L225" s="4" t="str">
        <f t="shared" si="38"/>
        <v/>
      </c>
      <c r="M225" s="4"/>
      <c r="N225" s="4"/>
      <c r="O225" s="4"/>
      <c r="P225" s="4"/>
      <c r="Q225" s="4"/>
      <c r="R225" s="4"/>
      <c r="S225" s="4"/>
      <c r="T225" s="4"/>
      <c r="U225" s="4"/>
    </row>
    <row r="226" spans="1:21">
      <c r="A226" t="s">
        <v>230</v>
      </c>
      <c r="B226">
        <v>1</v>
      </c>
      <c r="C226" t="str">
        <f t="shared" si="32"/>
        <v>test.WorldController_1_</v>
      </c>
      <c r="D226">
        <v>11</v>
      </c>
      <c r="E226" s="4">
        <v>0.57988165680473369</v>
      </c>
      <c r="F226" s="4">
        <v>0.22783552701600029</v>
      </c>
      <c r="G226" s="4" t="str">
        <f t="shared" si="33"/>
        <v/>
      </c>
      <c r="H226" s="4">
        <f t="shared" si="34"/>
        <v>0.57988165680473369</v>
      </c>
      <c r="I226" s="4" t="str">
        <f t="shared" si="35"/>
        <v/>
      </c>
      <c r="J226" s="4" t="str">
        <f t="shared" si="36"/>
        <v/>
      </c>
      <c r="K226" s="4" t="str">
        <f t="shared" si="37"/>
        <v/>
      </c>
      <c r="L226" s="4" t="str">
        <f t="shared" si="38"/>
        <v/>
      </c>
      <c r="M226" s="4"/>
      <c r="N226" s="4"/>
      <c r="O226" s="4"/>
      <c r="P226" s="4"/>
      <c r="Q226" s="4"/>
      <c r="R226" s="4"/>
      <c r="S226" s="4"/>
      <c r="T226" s="4"/>
      <c r="U226" s="4"/>
    </row>
    <row r="227" spans="1:21">
      <c r="A227" t="s">
        <v>230</v>
      </c>
      <c r="B227">
        <v>1</v>
      </c>
      <c r="C227" t="str">
        <f t="shared" si="32"/>
        <v>test.WorldController_1_</v>
      </c>
      <c r="D227">
        <v>12</v>
      </c>
      <c r="E227" s="4">
        <v>0.66272189349112431</v>
      </c>
      <c r="F227" s="4">
        <v>0.24138787384255153</v>
      </c>
      <c r="G227" s="4" t="str">
        <f t="shared" si="33"/>
        <v/>
      </c>
      <c r="H227" s="4">
        <f t="shared" si="34"/>
        <v>0.66272189349112431</v>
      </c>
      <c r="I227" s="4" t="str">
        <f t="shared" si="35"/>
        <v/>
      </c>
      <c r="J227" s="4" t="str">
        <f t="shared" si="36"/>
        <v/>
      </c>
      <c r="K227" s="4" t="str">
        <f t="shared" si="37"/>
        <v/>
      </c>
      <c r="L227" s="4" t="str">
        <f t="shared" si="38"/>
        <v/>
      </c>
      <c r="M227" s="4"/>
      <c r="N227" s="4"/>
      <c r="O227" s="4"/>
      <c r="P227" s="4"/>
      <c r="Q227" s="4"/>
      <c r="R227" s="4"/>
      <c r="S227" s="4"/>
      <c r="T227" s="4"/>
      <c r="U227" s="4"/>
    </row>
    <row r="228" spans="1:21">
      <c r="A228" t="s">
        <v>230</v>
      </c>
      <c r="B228">
        <v>1</v>
      </c>
      <c r="C228" t="str">
        <f t="shared" si="32"/>
        <v>test.WorldController_1_</v>
      </c>
      <c r="D228">
        <v>13</v>
      </c>
      <c r="E228" s="4">
        <v>0.75147928994082835</v>
      </c>
      <c r="F228" s="4">
        <v>0.24206194344910775</v>
      </c>
      <c r="G228" s="4" t="str">
        <f t="shared" si="33"/>
        <v/>
      </c>
      <c r="H228" s="4">
        <f t="shared" si="34"/>
        <v>0.75147928994082835</v>
      </c>
      <c r="I228" s="4" t="str">
        <f t="shared" si="35"/>
        <v/>
      </c>
      <c r="J228" s="4" t="str">
        <f t="shared" si="36"/>
        <v/>
      </c>
      <c r="K228" s="4" t="str">
        <f t="shared" si="37"/>
        <v/>
      </c>
      <c r="L228" s="4" t="str">
        <f t="shared" si="38"/>
        <v/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1">
      <c r="A229" t="s">
        <v>230</v>
      </c>
      <c r="B229">
        <v>1</v>
      </c>
      <c r="C229" t="str">
        <f t="shared" si="32"/>
        <v>test.WorldController_1_</v>
      </c>
      <c r="D229">
        <v>14</v>
      </c>
      <c r="E229" s="4">
        <v>0.83431952662721898</v>
      </c>
      <c r="F229" s="4">
        <v>0.25554333558023201</v>
      </c>
      <c r="G229" s="4" t="str">
        <f t="shared" si="33"/>
        <v/>
      </c>
      <c r="H229" s="4">
        <f t="shared" si="34"/>
        <v>0.83431952662721898</v>
      </c>
      <c r="I229" s="4" t="str">
        <f t="shared" si="35"/>
        <v/>
      </c>
      <c r="J229" s="4" t="str">
        <f t="shared" si="36"/>
        <v/>
      </c>
      <c r="K229" s="4" t="str">
        <f t="shared" si="37"/>
        <v/>
      </c>
      <c r="L229" s="4" t="str">
        <f t="shared" si="38"/>
        <v/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1">
      <c r="A230" t="s">
        <v>230</v>
      </c>
      <c r="B230">
        <v>1</v>
      </c>
      <c r="C230" t="str">
        <f t="shared" si="32"/>
        <v>test.WorldController_1_</v>
      </c>
      <c r="D230">
        <v>15</v>
      </c>
      <c r="E230" s="4">
        <v>0.91715976331360949</v>
      </c>
      <c r="F230" s="4">
        <v>0.2689892503636428</v>
      </c>
      <c r="G230" s="4" t="str">
        <f t="shared" si="33"/>
        <v/>
      </c>
      <c r="H230" s="4">
        <f t="shared" si="34"/>
        <v>0.91715976331360949</v>
      </c>
      <c r="I230" s="4" t="str">
        <f t="shared" si="35"/>
        <v/>
      </c>
      <c r="J230" s="4" t="str">
        <f t="shared" si="36"/>
        <v/>
      </c>
      <c r="K230" s="4" t="str">
        <f t="shared" si="37"/>
        <v/>
      </c>
      <c r="L230" s="4" t="str">
        <f t="shared" si="38"/>
        <v/>
      </c>
      <c r="M230" s="4"/>
      <c r="N230" s="4"/>
      <c r="O230" s="4"/>
      <c r="P230" s="4"/>
      <c r="Q230" s="4"/>
      <c r="R230" s="4"/>
      <c r="S230" s="4"/>
      <c r="T230" s="4"/>
      <c r="U230" s="4"/>
    </row>
    <row r="231" spans="1:21">
      <c r="A231" t="s">
        <v>230</v>
      </c>
      <c r="B231">
        <v>1</v>
      </c>
      <c r="C231" t="str">
        <f t="shared" si="32"/>
        <v>test.WorldController_1_</v>
      </c>
      <c r="D231">
        <v>16</v>
      </c>
      <c r="E231" s="4">
        <v>1</v>
      </c>
      <c r="F231" s="4">
        <v>0.27530421825664314</v>
      </c>
      <c r="G231" s="4" t="str">
        <f t="shared" si="33"/>
        <v/>
      </c>
      <c r="H231" s="4">
        <f t="shared" si="34"/>
        <v>1</v>
      </c>
      <c r="I231" s="4" t="str">
        <f t="shared" si="35"/>
        <v/>
      </c>
      <c r="J231" s="4" t="str">
        <f t="shared" si="36"/>
        <v/>
      </c>
      <c r="K231" s="4" t="str">
        <f t="shared" si="37"/>
        <v/>
      </c>
      <c r="L231" s="4" t="str">
        <f t="shared" si="38"/>
        <v/>
      </c>
      <c r="M231" s="4"/>
      <c r="N231" s="4"/>
      <c r="O231" s="4"/>
      <c r="P231" s="4"/>
      <c r="Q231" s="4"/>
      <c r="R231" s="4"/>
      <c r="S231" s="4"/>
      <c r="T231" s="4"/>
      <c r="U231" s="4"/>
    </row>
    <row r="232" spans="1:21">
      <c r="A232" t="s">
        <v>231</v>
      </c>
      <c r="B232">
        <v>4</v>
      </c>
      <c r="C232" t="str">
        <f t="shared" si="32"/>
        <v>test.TIFFFaxDecoder_4_</v>
      </c>
      <c r="D232">
        <v>1</v>
      </c>
      <c r="E232" s="4">
        <v>0.1038961038961039</v>
      </c>
      <c r="F232" s="4">
        <v>1.2101135749053542E-2</v>
      </c>
      <c r="G232" s="4">
        <f t="shared" si="33"/>
        <v>0.1038961038961039</v>
      </c>
      <c r="H232" s="4" t="str">
        <f t="shared" si="34"/>
        <v/>
      </c>
      <c r="I232" s="4" t="str">
        <f t="shared" si="35"/>
        <v/>
      </c>
      <c r="J232" s="4" t="str">
        <f t="shared" si="36"/>
        <v/>
      </c>
      <c r="K232" s="4" t="str">
        <f t="shared" si="37"/>
        <v/>
      </c>
      <c r="L232" s="4" t="str">
        <f t="shared" si="38"/>
        <v/>
      </c>
      <c r="M232" s="4"/>
      <c r="N232" s="4"/>
      <c r="O232" s="4"/>
      <c r="P232" s="4"/>
      <c r="Q232" s="4"/>
      <c r="R232" s="4"/>
      <c r="S232" s="4"/>
      <c r="T232" s="4"/>
      <c r="U232" s="4"/>
    </row>
    <row r="233" spans="1:21">
      <c r="A233" t="s">
        <v>231</v>
      </c>
      <c r="B233">
        <v>4</v>
      </c>
      <c r="C233" t="str">
        <f t="shared" si="32"/>
        <v>test.TIFFFaxDecoder_4_</v>
      </c>
      <c r="D233">
        <v>2</v>
      </c>
      <c r="E233" s="4">
        <v>0.25974025974025972</v>
      </c>
      <c r="F233" s="4">
        <v>0.11776636019469984</v>
      </c>
      <c r="G233" s="4">
        <f t="shared" si="33"/>
        <v>0.25974025974025972</v>
      </c>
      <c r="H233" s="4" t="str">
        <f t="shared" si="34"/>
        <v/>
      </c>
      <c r="I233" s="4" t="str">
        <f t="shared" si="35"/>
        <v/>
      </c>
      <c r="J233" s="4" t="str">
        <f t="shared" si="36"/>
        <v/>
      </c>
      <c r="K233" s="4" t="str">
        <f t="shared" si="37"/>
        <v/>
      </c>
      <c r="L233" s="4" t="str">
        <f t="shared" si="38"/>
        <v/>
      </c>
      <c r="M233" s="4"/>
      <c r="N233" s="4"/>
      <c r="O233" s="4"/>
      <c r="P233" s="4"/>
      <c r="Q233" s="4"/>
      <c r="R233" s="4"/>
      <c r="S233" s="4"/>
      <c r="T233" s="4"/>
      <c r="U233" s="4"/>
    </row>
    <row r="234" spans="1:21">
      <c r="A234" t="s">
        <v>231</v>
      </c>
      <c r="B234">
        <v>4</v>
      </c>
      <c r="C234" t="str">
        <f t="shared" si="32"/>
        <v>test.TIFFFaxDecoder_4_</v>
      </c>
      <c r="D234">
        <v>3</v>
      </c>
      <c r="E234" s="4">
        <v>0.53246753246753242</v>
      </c>
      <c r="F234" s="4">
        <v>0.31307463493780424</v>
      </c>
      <c r="G234" s="4" t="str">
        <f t="shared" si="33"/>
        <v/>
      </c>
      <c r="H234" s="4">
        <f t="shared" si="34"/>
        <v>0.53246753246753242</v>
      </c>
      <c r="I234" s="4" t="str">
        <f t="shared" si="35"/>
        <v/>
      </c>
      <c r="J234" s="4" t="str">
        <f t="shared" si="36"/>
        <v/>
      </c>
      <c r="K234" s="4" t="str">
        <f t="shared" si="37"/>
        <v/>
      </c>
      <c r="L234" s="4" t="str">
        <f t="shared" si="38"/>
        <v/>
      </c>
      <c r="M234" s="4"/>
      <c r="N234" s="4"/>
      <c r="O234" s="4"/>
      <c r="P234" s="4"/>
      <c r="Q234" s="4"/>
      <c r="R234" s="4"/>
      <c r="S234" s="4"/>
      <c r="T234" s="4"/>
      <c r="U234" s="4"/>
    </row>
    <row r="235" spans="1:21">
      <c r="A235" t="s">
        <v>231</v>
      </c>
      <c r="B235">
        <v>4</v>
      </c>
      <c r="C235" t="str">
        <f t="shared" si="32"/>
        <v>test.TIFFFaxDecoder_4_</v>
      </c>
      <c r="D235">
        <v>4</v>
      </c>
      <c r="E235" s="4">
        <v>0.55844155844155841</v>
      </c>
      <c r="F235" s="4">
        <v>0.31611681990265006</v>
      </c>
      <c r="G235" s="4" t="str">
        <f t="shared" si="33"/>
        <v/>
      </c>
      <c r="H235" s="4">
        <f t="shared" si="34"/>
        <v>0.55844155844155841</v>
      </c>
      <c r="I235" s="4" t="str">
        <f t="shared" si="35"/>
        <v/>
      </c>
      <c r="J235" s="4" t="str">
        <f t="shared" si="36"/>
        <v/>
      </c>
      <c r="K235" s="4" t="str">
        <f t="shared" si="37"/>
        <v/>
      </c>
      <c r="L235" s="4" t="str">
        <f t="shared" si="38"/>
        <v/>
      </c>
      <c r="M235" s="4"/>
      <c r="N235" s="4"/>
      <c r="O235" s="4"/>
      <c r="P235" s="4"/>
      <c r="Q235" s="4"/>
      <c r="R235" s="4"/>
      <c r="S235" s="4"/>
      <c r="T235" s="4"/>
      <c r="U235" s="4"/>
    </row>
    <row r="236" spans="1:21">
      <c r="A236" t="s">
        <v>231</v>
      </c>
      <c r="B236">
        <v>4</v>
      </c>
      <c r="C236" t="str">
        <f t="shared" si="32"/>
        <v>test.TIFFFaxDecoder_4_</v>
      </c>
      <c r="D236">
        <v>5</v>
      </c>
      <c r="E236" s="4">
        <v>0.62337662337662336</v>
      </c>
      <c r="F236" s="4">
        <v>0.33693888588426174</v>
      </c>
      <c r="G236" s="4" t="str">
        <f t="shared" si="33"/>
        <v/>
      </c>
      <c r="H236" s="4">
        <f t="shared" si="34"/>
        <v>0.62337662337662336</v>
      </c>
      <c r="I236" s="4" t="str">
        <f t="shared" si="35"/>
        <v/>
      </c>
      <c r="J236" s="4" t="str">
        <f t="shared" si="36"/>
        <v/>
      </c>
      <c r="K236" s="4" t="str">
        <f t="shared" si="37"/>
        <v/>
      </c>
      <c r="L236" s="4" t="str">
        <f t="shared" si="38"/>
        <v/>
      </c>
      <c r="M236" s="4"/>
      <c r="N236" s="4"/>
      <c r="O236" s="4"/>
      <c r="P236" s="4"/>
      <c r="Q236" s="4"/>
      <c r="R236" s="4"/>
      <c r="S236" s="4"/>
      <c r="T236" s="4"/>
      <c r="U236" s="4"/>
    </row>
    <row r="237" spans="1:21">
      <c r="A237" t="s">
        <v>231</v>
      </c>
      <c r="B237">
        <v>4</v>
      </c>
      <c r="C237" t="str">
        <f t="shared" si="32"/>
        <v>test.TIFFFaxDecoder_4_</v>
      </c>
      <c r="D237">
        <v>6</v>
      </c>
      <c r="E237" s="4">
        <v>0.74025974025974028</v>
      </c>
      <c r="F237" s="4">
        <v>0.49540292049756623</v>
      </c>
      <c r="G237" s="4" t="str">
        <f t="shared" si="33"/>
        <v/>
      </c>
      <c r="H237" s="4" t="str">
        <f t="shared" si="34"/>
        <v/>
      </c>
      <c r="I237" s="4">
        <f t="shared" si="35"/>
        <v>0.74025974025974028</v>
      </c>
      <c r="J237" s="4" t="str">
        <f t="shared" si="36"/>
        <v/>
      </c>
      <c r="K237" s="4" t="str">
        <f t="shared" si="37"/>
        <v/>
      </c>
      <c r="L237" s="4" t="str">
        <f t="shared" si="38"/>
        <v/>
      </c>
      <c r="M237" s="4"/>
      <c r="N237" s="4"/>
      <c r="O237" s="4"/>
      <c r="P237" s="4"/>
      <c r="Q237" s="4"/>
      <c r="R237" s="4"/>
      <c r="S237" s="4"/>
      <c r="T237" s="4"/>
      <c r="U237" s="4"/>
    </row>
    <row r="238" spans="1:21">
      <c r="A238" t="s">
        <v>231</v>
      </c>
      <c r="B238">
        <v>4</v>
      </c>
      <c r="C238" t="str">
        <f t="shared" si="32"/>
        <v>test.TIFFFaxDecoder_4_</v>
      </c>
      <c r="D238">
        <v>7</v>
      </c>
      <c r="E238" s="4">
        <v>0.94805194805194803</v>
      </c>
      <c r="F238" s="4">
        <v>0.79042725797728497</v>
      </c>
      <c r="G238" s="4" t="str">
        <f t="shared" si="33"/>
        <v/>
      </c>
      <c r="H238" s="4" t="str">
        <f t="shared" si="34"/>
        <v/>
      </c>
      <c r="I238" s="4" t="str">
        <f t="shared" si="35"/>
        <v/>
      </c>
      <c r="J238" s="4">
        <f t="shared" si="36"/>
        <v>0.94805194805194803</v>
      </c>
      <c r="K238" s="4" t="str">
        <f t="shared" si="37"/>
        <v/>
      </c>
      <c r="L238" s="4" t="str">
        <f t="shared" si="38"/>
        <v/>
      </c>
      <c r="M238" s="4"/>
      <c r="N238" s="4"/>
      <c r="O238" s="4"/>
      <c r="P238" s="4"/>
      <c r="Q238" s="4"/>
      <c r="R238" s="4"/>
      <c r="S238" s="4"/>
      <c r="T238" s="4"/>
      <c r="U238" s="4"/>
    </row>
    <row r="239" spans="1:21">
      <c r="A239" t="s">
        <v>231</v>
      </c>
      <c r="B239">
        <v>5</v>
      </c>
      <c r="C239" t="str">
        <f t="shared" si="32"/>
        <v>test.TIFFFaxDecoder_5_</v>
      </c>
      <c r="D239">
        <v>1</v>
      </c>
      <c r="E239" s="4">
        <v>0.29921259842519687</v>
      </c>
      <c r="F239" s="4">
        <v>0.18860608852547123</v>
      </c>
      <c r="G239" s="4">
        <f t="shared" si="33"/>
        <v>0.29921259842519687</v>
      </c>
      <c r="H239" s="4" t="str">
        <f t="shared" si="34"/>
        <v/>
      </c>
      <c r="I239" s="4" t="str">
        <f t="shared" si="35"/>
        <v/>
      </c>
      <c r="J239" s="4" t="str">
        <f t="shared" si="36"/>
        <v/>
      </c>
      <c r="K239" s="4" t="str">
        <f t="shared" si="37"/>
        <v/>
      </c>
      <c r="L239" s="4" t="str">
        <f t="shared" si="38"/>
        <v/>
      </c>
      <c r="M239" s="4"/>
      <c r="N239" s="4"/>
      <c r="O239" s="4"/>
      <c r="P239" s="4"/>
      <c r="Q239" s="4"/>
      <c r="R239" s="4"/>
      <c r="S239" s="4"/>
      <c r="T239" s="4"/>
      <c r="U239" s="4"/>
    </row>
    <row r="240" spans="1:21">
      <c r="A240" t="s">
        <v>231</v>
      </c>
      <c r="B240">
        <v>5</v>
      </c>
      <c r="C240" t="str">
        <f t="shared" si="32"/>
        <v>test.TIFFFaxDecoder_5_</v>
      </c>
      <c r="D240">
        <v>2</v>
      </c>
      <c r="E240" s="4">
        <v>0.32283464566929132</v>
      </c>
      <c r="F240" s="4">
        <v>0.19943183999385772</v>
      </c>
      <c r="G240" s="4">
        <f t="shared" si="33"/>
        <v>0.32283464566929132</v>
      </c>
      <c r="H240" s="4" t="str">
        <f t="shared" si="34"/>
        <v/>
      </c>
      <c r="I240" s="4" t="str">
        <f t="shared" si="35"/>
        <v/>
      </c>
      <c r="J240" s="4" t="str">
        <f t="shared" si="36"/>
        <v/>
      </c>
      <c r="K240" s="4" t="str">
        <f t="shared" si="37"/>
        <v/>
      </c>
      <c r="L240" s="4" t="str">
        <f t="shared" si="38"/>
        <v/>
      </c>
      <c r="M240" s="4"/>
      <c r="N240" s="4"/>
      <c r="O240" s="4"/>
      <c r="P240" s="4"/>
      <c r="Q240" s="4"/>
      <c r="R240" s="4"/>
      <c r="S240" s="4"/>
      <c r="T240" s="4"/>
      <c r="U240" s="4"/>
    </row>
    <row r="241" spans="1:21">
      <c r="A241" t="s">
        <v>231</v>
      </c>
      <c r="B241">
        <v>5</v>
      </c>
      <c r="C241" t="str">
        <f t="shared" si="32"/>
        <v>test.TIFFFaxDecoder_5_</v>
      </c>
      <c r="D241">
        <v>3</v>
      </c>
      <c r="E241" s="4">
        <v>0.36220472440944884</v>
      </c>
      <c r="F241" s="4">
        <v>0.20380820760873739</v>
      </c>
      <c r="G241" s="4" t="str">
        <f t="shared" si="33"/>
        <v/>
      </c>
      <c r="H241" s="4">
        <f t="shared" si="34"/>
        <v>0.36220472440944884</v>
      </c>
      <c r="I241" s="4" t="str">
        <f t="shared" si="35"/>
        <v/>
      </c>
      <c r="J241" s="4" t="str">
        <f t="shared" si="36"/>
        <v/>
      </c>
      <c r="K241" s="4" t="str">
        <f t="shared" si="37"/>
        <v/>
      </c>
      <c r="L241" s="4" t="str">
        <f t="shared" si="38"/>
        <v/>
      </c>
      <c r="M241" s="4"/>
      <c r="N241" s="4"/>
      <c r="O241" s="4"/>
      <c r="P241" s="4"/>
      <c r="Q241" s="4"/>
      <c r="R241" s="4"/>
      <c r="S241" s="4"/>
      <c r="T241" s="4"/>
      <c r="U241" s="4"/>
    </row>
    <row r="242" spans="1:21">
      <c r="A242" t="s">
        <v>231</v>
      </c>
      <c r="B242">
        <v>5</v>
      </c>
      <c r="C242" t="str">
        <f t="shared" si="32"/>
        <v>test.TIFFFaxDecoder_5_</v>
      </c>
      <c r="D242">
        <v>4</v>
      </c>
      <c r="E242" s="4">
        <v>0.38582677165354329</v>
      </c>
      <c r="F242" s="4">
        <v>0.21774348343506469</v>
      </c>
      <c r="G242" s="4" t="str">
        <f t="shared" si="33"/>
        <v/>
      </c>
      <c r="H242" s="4">
        <f t="shared" si="34"/>
        <v>0.38582677165354329</v>
      </c>
      <c r="I242" s="4" t="str">
        <f t="shared" si="35"/>
        <v/>
      </c>
      <c r="J242" s="4" t="str">
        <f t="shared" si="36"/>
        <v/>
      </c>
      <c r="K242" s="4" t="str">
        <f t="shared" si="37"/>
        <v/>
      </c>
      <c r="L242" s="4" t="str">
        <f t="shared" si="38"/>
        <v/>
      </c>
      <c r="M242" s="4"/>
      <c r="N242" s="4"/>
      <c r="O242" s="4"/>
      <c r="P242" s="4"/>
      <c r="Q242" s="4"/>
      <c r="R242" s="4"/>
      <c r="S242" s="4"/>
      <c r="T242" s="4"/>
      <c r="U242" s="4"/>
    </row>
    <row r="243" spans="1:21">
      <c r="A243" t="s">
        <v>231</v>
      </c>
      <c r="B243">
        <v>5</v>
      </c>
      <c r="C243" t="str">
        <f t="shared" si="32"/>
        <v>test.TIFFFaxDecoder_5_</v>
      </c>
      <c r="D243">
        <v>5</v>
      </c>
      <c r="E243" s="4">
        <v>0.45669291338582679</v>
      </c>
      <c r="F243" s="4">
        <v>0.29843755998310878</v>
      </c>
      <c r="G243" s="4" t="str">
        <f t="shared" si="33"/>
        <v/>
      </c>
      <c r="H243" s="4">
        <f t="shared" si="34"/>
        <v>0.45669291338582679</v>
      </c>
      <c r="I243" s="4" t="str">
        <f t="shared" si="35"/>
        <v/>
      </c>
      <c r="J243" s="4" t="str">
        <f t="shared" si="36"/>
        <v/>
      </c>
      <c r="K243" s="4" t="str">
        <f t="shared" si="37"/>
        <v/>
      </c>
      <c r="L243" s="4" t="str">
        <f t="shared" si="38"/>
        <v/>
      </c>
      <c r="M243" s="4"/>
      <c r="N243" s="4"/>
      <c r="O243" s="4"/>
      <c r="P243" s="4"/>
      <c r="Q243" s="4"/>
      <c r="R243" s="4"/>
      <c r="S243" s="4"/>
      <c r="T243" s="4"/>
      <c r="U243" s="4"/>
    </row>
    <row r="244" spans="1:21">
      <c r="A244" t="s">
        <v>231</v>
      </c>
      <c r="B244">
        <v>5</v>
      </c>
      <c r="C244" t="str">
        <f t="shared" si="32"/>
        <v>test.TIFFFaxDecoder_5_</v>
      </c>
      <c r="D244">
        <v>6</v>
      </c>
      <c r="E244" s="4">
        <v>0.58267716535433067</v>
      </c>
      <c r="F244" s="4">
        <v>0.49871396214825903</v>
      </c>
      <c r="G244" s="4" t="str">
        <f t="shared" si="33"/>
        <v/>
      </c>
      <c r="H244" s="4" t="str">
        <f t="shared" si="34"/>
        <v/>
      </c>
      <c r="I244" s="4">
        <f t="shared" si="35"/>
        <v>0.58267716535433067</v>
      </c>
      <c r="J244" s="4" t="str">
        <f t="shared" si="36"/>
        <v/>
      </c>
      <c r="K244" s="4" t="str">
        <f t="shared" si="37"/>
        <v/>
      </c>
      <c r="L244" s="4" t="str">
        <f t="shared" si="38"/>
        <v/>
      </c>
      <c r="M244" s="4"/>
      <c r="N244" s="4"/>
      <c r="O244" s="4"/>
      <c r="P244" s="4"/>
      <c r="Q244" s="4"/>
      <c r="R244" s="4"/>
      <c r="S244" s="4"/>
      <c r="T244" s="4"/>
      <c r="U244" s="4"/>
    </row>
    <row r="245" spans="1:21">
      <c r="A245" t="s">
        <v>231</v>
      </c>
      <c r="B245">
        <v>5</v>
      </c>
      <c r="C245" t="str">
        <f t="shared" si="32"/>
        <v>test.TIFFFaxDecoder_5_</v>
      </c>
      <c r="D245">
        <v>7</v>
      </c>
      <c r="E245" s="4">
        <v>0.83464566929133854</v>
      </c>
      <c r="F245" s="4">
        <v>0.57057852508733542</v>
      </c>
      <c r="G245" s="4" t="str">
        <f t="shared" si="33"/>
        <v/>
      </c>
      <c r="H245" s="4" t="str">
        <f t="shared" si="34"/>
        <v/>
      </c>
      <c r="I245" s="4">
        <f t="shared" si="35"/>
        <v>0.83464566929133854</v>
      </c>
      <c r="J245" s="4" t="str">
        <f t="shared" si="36"/>
        <v/>
      </c>
      <c r="K245" s="4" t="str">
        <f t="shared" si="37"/>
        <v/>
      </c>
      <c r="L245" s="4" t="str">
        <f t="shared" si="38"/>
        <v/>
      </c>
      <c r="M245" s="4"/>
      <c r="N245" s="4"/>
      <c r="O245" s="4"/>
      <c r="P245" s="4"/>
      <c r="Q245" s="4"/>
      <c r="R245" s="4"/>
      <c r="S245" s="4"/>
      <c r="T245" s="4"/>
      <c r="U245" s="4"/>
    </row>
    <row r="246" spans="1:21">
      <c r="A246" t="s">
        <v>231</v>
      </c>
      <c r="B246">
        <v>5</v>
      </c>
      <c r="C246" t="str">
        <f t="shared" si="32"/>
        <v>test.TIFFFaxDecoder_5_</v>
      </c>
      <c r="D246">
        <v>8</v>
      </c>
      <c r="E246" s="4">
        <v>0.96850393700787396</v>
      </c>
      <c r="F246" s="4">
        <v>0.637490882567469</v>
      </c>
      <c r="G246" s="4" t="str">
        <f t="shared" si="33"/>
        <v/>
      </c>
      <c r="H246" s="4" t="str">
        <f t="shared" si="34"/>
        <v/>
      </c>
      <c r="I246" s="4" t="str">
        <f t="shared" si="35"/>
        <v/>
      </c>
      <c r="J246" s="4">
        <f t="shared" si="36"/>
        <v>0.96850393700787396</v>
      </c>
      <c r="K246" s="4" t="str">
        <f t="shared" si="37"/>
        <v/>
      </c>
      <c r="L246" s="4" t="str">
        <f t="shared" si="38"/>
        <v/>
      </c>
      <c r="M246" s="4"/>
      <c r="N246" s="4"/>
      <c r="O246" s="4"/>
      <c r="P246" s="4"/>
      <c r="Q246" s="4"/>
      <c r="R246" s="4"/>
      <c r="S246" s="4"/>
      <c r="T246" s="4"/>
      <c r="U246" s="4"/>
    </row>
    <row r="247" spans="1:21">
      <c r="A247" t="s">
        <v>231</v>
      </c>
      <c r="B247">
        <v>7</v>
      </c>
      <c r="C247" t="str">
        <f t="shared" si="32"/>
        <v>test.TIFFFaxDecoder_7_</v>
      </c>
      <c r="D247">
        <v>1</v>
      </c>
      <c r="E247" s="4">
        <v>0.30303030303030304</v>
      </c>
      <c r="F247" s="4">
        <v>0.28281622911694509</v>
      </c>
      <c r="G247" s="4" t="str">
        <f t="shared" si="33"/>
        <v/>
      </c>
      <c r="H247" s="4">
        <f t="shared" si="34"/>
        <v>0.30303030303030304</v>
      </c>
      <c r="I247" s="4" t="str">
        <f t="shared" si="35"/>
        <v/>
      </c>
      <c r="J247" s="4" t="str">
        <f t="shared" si="36"/>
        <v/>
      </c>
      <c r="K247" s="4" t="str">
        <f t="shared" si="37"/>
        <v/>
      </c>
      <c r="L247" s="4" t="str">
        <f t="shared" si="38"/>
        <v/>
      </c>
      <c r="M247" s="4"/>
      <c r="N247" s="4"/>
      <c r="O247" s="4"/>
      <c r="P247" s="4"/>
      <c r="Q247" s="4"/>
      <c r="R247" s="4"/>
      <c r="S247" s="4"/>
      <c r="T247" s="4"/>
      <c r="U247" s="4"/>
    </row>
    <row r="248" spans="1:21">
      <c r="A248" t="s">
        <v>231</v>
      </c>
      <c r="B248">
        <v>7</v>
      </c>
      <c r="C248" t="str">
        <f t="shared" si="32"/>
        <v>test.TIFFFaxDecoder_7_</v>
      </c>
      <c r="D248">
        <v>2</v>
      </c>
      <c r="E248" s="4">
        <v>0.36363636363636365</v>
      </c>
      <c r="F248" s="4">
        <v>0.3532219570405728</v>
      </c>
      <c r="G248" s="4" t="str">
        <f t="shared" si="33"/>
        <v/>
      </c>
      <c r="H248" s="4">
        <f t="shared" si="34"/>
        <v>0.36363636363636365</v>
      </c>
      <c r="I248" s="4" t="str">
        <f t="shared" si="35"/>
        <v/>
      </c>
      <c r="J248" s="4" t="str">
        <f t="shared" si="36"/>
        <v/>
      </c>
      <c r="K248" s="4" t="str">
        <f t="shared" si="37"/>
        <v/>
      </c>
      <c r="L248" s="4" t="str">
        <f t="shared" si="38"/>
        <v/>
      </c>
      <c r="M248" s="4"/>
      <c r="N248" s="4"/>
      <c r="O248" s="4"/>
      <c r="P248" s="4"/>
      <c r="Q248" s="4"/>
      <c r="R248" s="4"/>
      <c r="S248" s="4"/>
      <c r="T248" s="4"/>
      <c r="U248" s="4"/>
    </row>
    <row r="249" spans="1:21">
      <c r="A249" t="s">
        <v>231</v>
      </c>
      <c r="B249">
        <v>7</v>
      </c>
      <c r="C249" t="str">
        <f t="shared" si="32"/>
        <v>test.TIFFFaxDecoder_7_</v>
      </c>
      <c r="D249">
        <v>3</v>
      </c>
      <c r="E249" s="4">
        <v>0.72727272727272729</v>
      </c>
      <c r="F249" s="4">
        <v>0.54057279236276845</v>
      </c>
      <c r="G249" s="4" t="str">
        <f t="shared" si="33"/>
        <v/>
      </c>
      <c r="H249" s="4" t="str">
        <f t="shared" si="34"/>
        <v/>
      </c>
      <c r="I249" s="4">
        <f t="shared" si="35"/>
        <v>0.72727272727272729</v>
      </c>
      <c r="J249" s="4" t="str">
        <f t="shared" si="36"/>
        <v/>
      </c>
      <c r="K249" s="4" t="str">
        <f t="shared" si="37"/>
        <v/>
      </c>
      <c r="L249" s="4" t="str">
        <f t="shared" si="38"/>
        <v/>
      </c>
      <c r="M249" s="4"/>
      <c r="N249" s="4"/>
      <c r="O249" s="4"/>
      <c r="P249" s="4"/>
      <c r="Q249" s="4"/>
      <c r="R249" s="4"/>
      <c r="S249" s="4"/>
      <c r="T249" s="4"/>
      <c r="U249" s="4"/>
    </row>
    <row r="250" spans="1:21">
      <c r="A250" t="s">
        <v>231</v>
      </c>
      <c r="B250">
        <v>7</v>
      </c>
      <c r="C250" t="str">
        <f t="shared" si="32"/>
        <v>test.TIFFFaxDecoder_7_</v>
      </c>
      <c r="D250">
        <v>4</v>
      </c>
      <c r="E250" s="4">
        <v>1</v>
      </c>
      <c r="F250" s="4">
        <v>0.87470167064439142</v>
      </c>
      <c r="G250" s="4" t="str">
        <f t="shared" si="33"/>
        <v/>
      </c>
      <c r="H250" s="4" t="str">
        <f t="shared" si="34"/>
        <v/>
      </c>
      <c r="I250" s="4" t="str">
        <f t="shared" si="35"/>
        <v/>
      </c>
      <c r="J250" s="4" t="str">
        <f t="shared" si="36"/>
        <v/>
      </c>
      <c r="K250" s="4">
        <f t="shared" si="37"/>
        <v>1</v>
      </c>
      <c r="L250" s="4" t="str">
        <f t="shared" si="38"/>
        <v/>
      </c>
      <c r="M250" s="4"/>
      <c r="N250" s="4"/>
      <c r="O250" s="4"/>
      <c r="P250" s="4"/>
      <c r="Q250" s="4"/>
      <c r="R250" s="4"/>
      <c r="S250" s="4"/>
      <c r="T250" s="4"/>
      <c r="U250" s="4"/>
    </row>
    <row r="251" spans="1:21">
      <c r="A251" t="s">
        <v>231</v>
      </c>
      <c r="B251">
        <v>8</v>
      </c>
      <c r="C251" t="str">
        <f t="shared" si="32"/>
        <v>test.TIFFFaxDecoder_8_</v>
      </c>
      <c r="D251">
        <v>1</v>
      </c>
      <c r="E251" s="4">
        <v>0.38</v>
      </c>
      <c r="F251" s="4">
        <v>0.30018939393939392</v>
      </c>
      <c r="G251" s="4" t="str">
        <f t="shared" si="33"/>
        <v/>
      </c>
      <c r="H251" s="4">
        <f t="shared" si="34"/>
        <v>0.38</v>
      </c>
      <c r="I251" s="4" t="str">
        <f t="shared" si="35"/>
        <v/>
      </c>
      <c r="J251" s="4" t="str">
        <f t="shared" si="36"/>
        <v/>
      </c>
      <c r="K251" s="4" t="str">
        <f t="shared" si="37"/>
        <v/>
      </c>
      <c r="L251" s="4" t="str">
        <f t="shared" si="38"/>
        <v/>
      </c>
      <c r="M251" s="4"/>
      <c r="N251" s="4"/>
      <c r="O251" s="4"/>
      <c r="P251" s="4"/>
      <c r="Q251" s="4"/>
      <c r="R251" s="4"/>
      <c r="S251" s="4"/>
      <c r="T251" s="4"/>
      <c r="U251" s="4"/>
    </row>
    <row r="252" spans="1:21">
      <c r="A252" t="s">
        <v>231</v>
      </c>
      <c r="B252">
        <v>8</v>
      </c>
      <c r="C252" t="str">
        <f t="shared" si="32"/>
        <v>test.TIFFFaxDecoder_8_</v>
      </c>
      <c r="D252">
        <v>2</v>
      </c>
      <c r="E252" s="4">
        <v>0.56000000000000005</v>
      </c>
      <c r="F252" s="4">
        <v>0.51704545454545459</v>
      </c>
      <c r="G252" s="4" t="str">
        <f t="shared" si="33"/>
        <v/>
      </c>
      <c r="H252" s="4" t="str">
        <f t="shared" si="34"/>
        <v/>
      </c>
      <c r="I252" s="4">
        <f t="shared" si="35"/>
        <v>0.56000000000000005</v>
      </c>
      <c r="J252" s="4" t="str">
        <f t="shared" si="36"/>
        <v/>
      </c>
      <c r="K252" s="4" t="str">
        <f t="shared" si="37"/>
        <v/>
      </c>
      <c r="L252" s="4" t="str">
        <f t="shared" si="38"/>
        <v/>
      </c>
      <c r="M252" s="4"/>
      <c r="N252" s="4"/>
      <c r="O252" s="4"/>
      <c r="P252" s="4"/>
      <c r="Q252" s="4"/>
      <c r="R252" s="4"/>
      <c r="S252" s="4"/>
      <c r="T252" s="4"/>
      <c r="U252" s="4"/>
    </row>
    <row r="253" spans="1:21">
      <c r="A253" t="s">
        <v>231</v>
      </c>
      <c r="B253">
        <v>8</v>
      </c>
      <c r="C253" t="str">
        <f t="shared" si="32"/>
        <v>test.TIFFFaxDecoder_8_</v>
      </c>
      <c r="D253">
        <v>3</v>
      </c>
      <c r="E253" s="4">
        <v>0.82</v>
      </c>
      <c r="F253" s="4">
        <v>0.54356060606060608</v>
      </c>
      <c r="G253" s="4" t="str">
        <f t="shared" si="33"/>
        <v/>
      </c>
      <c r="H253" s="4" t="str">
        <f t="shared" si="34"/>
        <v/>
      </c>
      <c r="I253" s="4">
        <f t="shared" si="35"/>
        <v>0.82</v>
      </c>
      <c r="J253" s="4" t="str">
        <f t="shared" si="36"/>
        <v/>
      </c>
      <c r="K253" s="4" t="str">
        <f t="shared" si="37"/>
        <v/>
      </c>
      <c r="L253" s="4" t="str">
        <f t="shared" si="38"/>
        <v/>
      </c>
      <c r="M253" s="4"/>
      <c r="N253" s="4"/>
      <c r="O253" s="4"/>
      <c r="P253" s="4"/>
      <c r="Q253" s="4"/>
      <c r="R253" s="4"/>
      <c r="S253" s="4"/>
      <c r="T253" s="4"/>
      <c r="U253" s="4"/>
    </row>
    <row r="254" spans="1:21">
      <c r="A254" t="s">
        <v>231</v>
      </c>
      <c r="B254">
        <v>8</v>
      </c>
      <c r="C254" t="str">
        <f t="shared" si="32"/>
        <v>test.TIFFFaxDecoder_8_</v>
      </c>
      <c r="D254">
        <v>4</v>
      </c>
      <c r="E254" s="4">
        <v>0.88</v>
      </c>
      <c r="F254" s="4">
        <v>0.54829545454545459</v>
      </c>
      <c r="G254" s="4" t="str">
        <f t="shared" si="33"/>
        <v/>
      </c>
      <c r="H254" s="4" t="str">
        <f t="shared" si="34"/>
        <v/>
      </c>
      <c r="I254" s="4">
        <f t="shared" si="35"/>
        <v>0.88</v>
      </c>
      <c r="J254" s="4" t="str">
        <f t="shared" si="36"/>
        <v/>
      </c>
      <c r="K254" s="4" t="str">
        <f t="shared" si="37"/>
        <v/>
      </c>
      <c r="L254" s="4" t="str">
        <f t="shared" si="38"/>
        <v/>
      </c>
      <c r="M254" s="4"/>
      <c r="N254" s="4"/>
      <c r="O254" s="4"/>
      <c r="P254" s="4"/>
      <c r="Q254" s="4"/>
      <c r="R254" s="4"/>
      <c r="S254" s="4"/>
      <c r="T254" s="4"/>
      <c r="U254" s="4"/>
    </row>
    <row r="255" spans="1:21">
      <c r="A255" t="s">
        <v>231</v>
      </c>
      <c r="B255">
        <v>8</v>
      </c>
      <c r="C255" t="str">
        <f t="shared" si="32"/>
        <v>test.TIFFFaxDecoder_8_</v>
      </c>
      <c r="D255">
        <v>5</v>
      </c>
      <c r="E255" s="4">
        <v>1</v>
      </c>
      <c r="F255" s="4">
        <v>0.71117424242424243</v>
      </c>
      <c r="G255" s="4" t="str">
        <f t="shared" si="33"/>
        <v/>
      </c>
      <c r="H255" s="4" t="str">
        <f t="shared" si="34"/>
        <v/>
      </c>
      <c r="I255" s="4" t="str">
        <f t="shared" si="35"/>
        <v/>
      </c>
      <c r="J255" s="4">
        <f t="shared" si="36"/>
        <v>1</v>
      </c>
      <c r="K255" s="4" t="str">
        <f t="shared" si="37"/>
        <v/>
      </c>
      <c r="L255" s="4" t="str">
        <f t="shared" si="38"/>
        <v/>
      </c>
      <c r="M255" s="4"/>
      <c r="N255" s="4"/>
      <c r="O255" s="4"/>
      <c r="P255" s="4"/>
      <c r="Q255" s="4"/>
      <c r="R255" s="4"/>
      <c r="S255" s="4"/>
      <c r="T255" s="4"/>
      <c r="U255" s="4"/>
    </row>
    <row r="256" spans="1:21">
      <c r="A256" t="s">
        <v>231</v>
      </c>
      <c r="B256">
        <v>9</v>
      </c>
      <c r="C256" t="str">
        <f t="shared" si="32"/>
        <v>test.TIFFFaxDecoder_9_</v>
      </c>
      <c r="D256">
        <v>1</v>
      </c>
      <c r="E256" s="4">
        <v>0.19444444444444445</v>
      </c>
      <c r="F256" s="4">
        <v>0.2497175141242938</v>
      </c>
      <c r="G256" s="4" t="str">
        <f t="shared" si="33"/>
        <v/>
      </c>
      <c r="H256" s="4">
        <f t="shared" si="34"/>
        <v>0.19444444444444445</v>
      </c>
      <c r="I256" s="4" t="str">
        <f t="shared" si="35"/>
        <v/>
      </c>
      <c r="J256" s="4" t="str">
        <f t="shared" si="36"/>
        <v/>
      </c>
      <c r="K256" s="4" t="str">
        <f t="shared" si="37"/>
        <v/>
      </c>
      <c r="L256" s="4" t="str">
        <f t="shared" si="38"/>
        <v/>
      </c>
      <c r="M256" s="4"/>
      <c r="N256" s="4"/>
      <c r="O256" s="4"/>
      <c r="P256" s="4"/>
      <c r="Q256" s="4"/>
      <c r="R256" s="4"/>
      <c r="S256" s="4"/>
      <c r="T256" s="4"/>
      <c r="U256" s="4"/>
    </row>
    <row r="257" spans="1:21">
      <c r="A257" t="s">
        <v>231</v>
      </c>
      <c r="B257">
        <v>9</v>
      </c>
      <c r="C257" t="str">
        <f t="shared" si="32"/>
        <v>test.TIFFFaxDecoder_9_</v>
      </c>
      <c r="D257">
        <v>2</v>
      </c>
      <c r="E257" s="4">
        <v>0.30555555555555558</v>
      </c>
      <c r="F257" s="4">
        <v>0.25084745762711863</v>
      </c>
      <c r="G257" s="4" t="str">
        <f t="shared" si="33"/>
        <v/>
      </c>
      <c r="H257" s="4">
        <f t="shared" si="34"/>
        <v>0.30555555555555558</v>
      </c>
      <c r="I257" s="4" t="str">
        <f t="shared" si="35"/>
        <v/>
      </c>
      <c r="J257" s="4" t="str">
        <f t="shared" si="36"/>
        <v/>
      </c>
      <c r="K257" s="4" t="str">
        <f t="shared" si="37"/>
        <v/>
      </c>
      <c r="L257" s="4" t="str">
        <f t="shared" si="38"/>
        <v/>
      </c>
      <c r="M257" s="4"/>
      <c r="N257" s="4"/>
      <c r="O257" s="4"/>
      <c r="P257" s="4"/>
      <c r="Q257" s="4"/>
      <c r="R257" s="4"/>
      <c r="S257" s="4"/>
      <c r="T257" s="4"/>
      <c r="U257" s="4"/>
    </row>
    <row r="258" spans="1:21">
      <c r="A258" t="s">
        <v>231</v>
      </c>
      <c r="B258">
        <v>9</v>
      </c>
      <c r="C258" t="str">
        <f t="shared" si="32"/>
        <v>test.TIFFFaxDecoder_9_</v>
      </c>
      <c r="D258">
        <v>3</v>
      </c>
      <c r="E258" s="4">
        <v>0.33333333333333331</v>
      </c>
      <c r="F258" s="4">
        <v>0.26779661016949152</v>
      </c>
      <c r="G258" s="4" t="str">
        <f t="shared" si="33"/>
        <v/>
      </c>
      <c r="H258" s="4">
        <f t="shared" si="34"/>
        <v>0.33333333333333331</v>
      </c>
      <c r="I258" s="4" t="str">
        <f t="shared" si="35"/>
        <v/>
      </c>
      <c r="J258" s="4" t="str">
        <f t="shared" si="36"/>
        <v/>
      </c>
      <c r="K258" s="4" t="str">
        <f t="shared" si="37"/>
        <v/>
      </c>
      <c r="L258" s="4" t="str">
        <f t="shared" si="38"/>
        <v/>
      </c>
      <c r="M258" s="4"/>
      <c r="N258" s="4"/>
      <c r="O258" s="4"/>
      <c r="P258" s="4"/>
      <c r="Q258" s="4"/>
      <c r="R258" s="4"/>
      <c r="S258" s="4"/>
      <c r="T258" s="4"/>
      <c r="U258" s="4"/>
    </row>
    <row r="259" spans="1:21">
      <c r="A259" t="s">
        <v>231</v>
      </c>
      <c r="B259">
        <v>9</v>
      </c>
      <c r="C259" t="str">
        <f t="shared" ref="C259:C312" si="39">CONCATENATE(A259, "_",B259,"_")</f>
        <v>test.TIFFFaxDecoder_9_</v>
      </c>
      <c r="D259">
        <v>4</v>
      </c>
      <c r="E259" s="4">
        <v>0.47222222222222221</v>
      </c>
      <c r="F259" s="4">
        <v>0.28926553672316385</v>
      </c>
      <c r="G259" s="4" t="str">
        <f t="shared" ref="G259:G312" si="40">IF($F259 &lt;= 0.2,$E259,"")</f>
        <v/>
      </c>
      <c r="H259" s="4">
        <f t="shared" ref="H259:H312" si="41">IF(AND($F259 &gt; 0.2,$F259 &lt;= 0.4),$E259,"")</f>
        <v>0.47222222222222221</v>
      </c>
      <c r="I259" s="4" t="str">
        <f t="shared" ref="I259:I312" si="42">IF(AND($F259 &gt; 0.4,$F259 &lt;= 0.6),$E259,"")</f>
        <v/>
      </c>
      <c r="J259" s="4" t="str">
        <f t="shared" ref="J259:J312" si="43">IF(AND($F259 &gt; 0.6,$F259 &lt;= 0.8),$E259,"")</f>
        <v/>
      </c>
      <c r="K259" s="4" t="str">
        <f t="shared" ref="K259:K312" si="44">IF(AND($F259 &gt; 0.8, $F259 &lt;=1.1),$E259,"")</f>
        <v/>
      </c>
      <c r="L259" s="4" t="str">
        <f t="shared" ref="L259:L312" si="45">IF(AND($F259 &gt; 1.1),$E259,"")</f>
        <v/>
      </c>
      <c r="M259" s="4"/>
      <c r="N259" s="4"/>
      <c r="O259" s="4"/>
      <c r="P259" s="4"/>
      <c r="Q259" s="4"/>
      <c r="R259" s="4"/>
      <c r="S259" s="4"/>
      <c r="T259" s="4"/>
      <c r="U259" s="4"/>
    </row>
    <row r="260" spans="1:21">
      <c r="A260" t="s">
        <v>231</v>
      </c>
      <c r="B260">
        <v>9</v>
      </c>
      <c r="C260" t="str">
        <f t="shared" si="39"/>
        <v>test.TIFFFaxDecoder_9_</v>
      </c>
      <c r="D260">
        <v>5</v>
      </c>
      <c r="E260" s="4">
        <v>0.52777777777777779</v>
      </c>
      <c r="F260" s="4">
        <v>0.31186440677966104</v>
      </c>
      <c r="G260" s="4" t="str">
        <f t="shared" si="40"/>
        <v/>
      </c>
      <c r="H260" s="4">
        <f t="shared" si="41"/>
        <v>0.52777777777777779</v>
      </c>
      <c r="I260" s="4" t="str">
        <f t="shared" si="42"/>
        <v/>
      </c>
      <c r="J260" s="4" t="str">
        <f t="shared" si="43"/>
        <v/>
      </c>
      <c r="K260" s="4" t="str">
        <f t="shared" si="44"/>
        <v/>
      </c>
      <c r="L260" s="4" t="str">
        <f t="shared" si="45"/>
        <v/>
      </c>
      <c r="M260" s="4"/>
      <c r="N260" s="4"/>
      <c r="O260" s="4"/>
      <c r="P260" s="4"/>
      <c r="Q260" s="4"/>
      <c r="R260" s="4"/>
      <c r="S260" s="4"/>
      <c r="T260" s="4"/>
      <c r="U260" s="4"/>
    </row>
    <row r="261" spans="1:21">
      <c r="A261" t="s">
        <v>231</v>
      </c>
      <c r="B261">
        <v>9</v>
      </c>
      <c r="C261" t="str">
        <f t="shared" si="39"/>
        <v>test.TIFFFaxDecoder_9_</v>
      </c>
      <c r="D261">
        <v>6</v>
      </c>
      <c r="E261" s="4">
        <v>0.61111111111111116</v>
      </c>
      <c r="F261" s="4">
        <v>0.31412429378531076</v>
      </c>
      <c r="G261" s="4" t="str">
        <f t="shared" si="40"/>
        <v/>
      </c>
      <c r="H261" s="4">
        <f t="shared" si="41"/>
        <v>0.61111111111111116</v>
      </c>
      <c r="I261" s="4" t="str">
        <f t="shared" si="42"/>
        <v/>
      </c>
      <c r="J261" s="4" t="str">
        <f t="shared" si="43"/>
        <v/>
      </c>
      <c r="K261" s="4" t="str">
        <f t="shared" si="44"/>
        <v/>
      </c>
      <c r="L261" s="4" t="str">
        <f t="shared" si="45"/>
        <v/>
      </c>
      <c r="M261" s="4"/>
      <c r="N261" s="4"/>
      <c r="O261" s="4"/>
      <c r="P261" s="4"/>
      <c r="Q261" s="4"/>
      <c r="R261" s="4"/>
      <c r="S261" s="4"/>
      <c r="T261" s="4"/>
      <c r="U261" s="4"/>
    </row>
    <row r="262" spans="1:21">
      <c r="A262" t="s">
        <v>231</v>
      </c>
      <c r="B262">
        <v>9</v>
      </c>
      <c r="C262" t="str">
        <f t="shared" si="39"/>
        <v>test.TIFFFaxDecoder_9_</v>
      </c>
      <c r="D262">
        <v>7</v>
      </c>
      <c r="E262" s="4">
        <v>0.63888888888888884</v>
      </c>
      <c r="F262" s="4">
        <v>0.32994350282485874</v>
      </c>
      <c r="G262" s="4" t="str">
        <f t="shared" si="40"/>
        <v/>
      </c>
      <c r="H262" s="4">
        <f t="shared" si="41"/>
        <v>0.63888888888888884</v>
      </c>
      <c r="I262" s="4" t="str">
        <f t="shared" si="42"/>
        <v/>
      </c>
      <c r="J262" s="4" t="str">
        <f t="shared" si="43"/>
        <v/>
      </c>
      <c r="K262" s="4" t="str">
        <f t="shared" si="44"/>
        <v/>
      </c>
      <c r="L262" s="4" t="str">
        <f t="shared" si="45"/>
        <v/>
      </c>
      <c r="M262" s="4"/>
      <c r="N262" s="4"/>
      <c r="O262" s="4"/>
      <c r="P262" s="4"/>
      <c r="Q262" s="4"/>
      <c r="R262" s="4"/>
      <c r="S262" s="4"/>
      <c r="T262" s="4"/>
      <c r="U262" s="4"/>
    </row>
    <row r="263" spans="1:21">
      <c r="A263" t="s">
        <v>231</v>
      </c>
      <c r="B263">
        <v>9</v>
      </c>
      <c r="C263" t="str">
        <f t="shared" si="39"/>
        <v>test.TIFFFaxDecoder_9_</v>
      </c>
      <c r="D263">
        <v>8</v>
      </c>
      <c r="E263" s="4">
        <v>0.63888888888888884</v>
      </c>
      <c r="F263" s="4">
        <v>0.3310734463276836</v>
      </c>
      <c r="G263" s="4" t="str">
        <f t="shared" si="40"/>
        <v/>
      </c>
      <c r="H263" s="4">
        <f t="shared" si="41"/>
        <v>0.63888888888888884</v>
      </c>
      <c r="I263" s="4" t="str">
        <f t="shared" si="42"/>
        <v/>
      </c>
      <c r="J263" s="4" t="str">
        <f t="shared" si="43"/>
        <v/>
      </c>
      <c r="K263" s="4" t="str">
        <f t="shared" si="44"/>
        <v/>
      </c>
      <c r="L263" s="4" t="str">
        <f t="shared" si="45"/>
        <v/>
      </c>
      <c r="M263" s="4"/>
      <c r="N263" s="4"/>
      <c r="O263" s="4"/>
      <c r="P263" s="4"/>
      <c r="Q263" s="4"/>
      <c r="R263" s="4"/>
      <c r="S263" s="4"/>
      <c r="T263" s="4"/>
      <c r="U263" s="4"/>
    </row>
    <row r="264" spans="1:21">
      <c r="A264" t="s">
        <v>231</v>
      </c>
      <c r="B264">
        <v>9</v>
      </c>
      <c r="C264" t="str">
        <f t="shared" si="39"/>
        <v>test.TIFFFaxDecoder_9_</v>
      </c>
      <c r="D264">
        <v>9</v>
      </c>
      <c r="E264" s="4">
        <v>0.66666666666666663</v>
      </c>
      <c r="F264" s="4">
        <v>0.33220338983050846</v>
      </c>
      <c r="G264" s="4" t="str">
        <f t="shared" si="40"/>
        <v/>
      </c>
      <c r="H264" s="4">
        <f t="shared" si="41"/>
        <v>0.66666666666666663</v>
      </c>
      <c r="I264" s="4" t="str">
        <f t="shared" si="42"/>
        <v/>
      </c>
      <c r="J264" s="4" t="str">
        <f t="shared" si="43"/>
        <v/>
      </c>
      <c r="K264" s="4" t="str">
        <f t="shared" si="44"/>
        <v/>
      </c>
      <c r="L264" s="4" t="str">
        <f t="shared" si="45"/>
        <v/>
      </c>
      <c r="M264" s="4"/>
      <c r="N264" s="4"/>
      <c r="O264" s="4"/>
      <c r="P264" s="4"/>
      <c r="Q264" s="4"/>
      <c r="R264" s="4"/>
      <c r="S264" s="4"/>
      <c r="T264" s="4"/>
      <c r="U264" s="4"/>
    </row>
    <row r="265" spans="1:21">
      <c r="A265" t="s">
        <v>231</v>
      </c>
      <c r="B265">
        <v>9</v>
      </c>
      <c r="C265" t="str">
        <f t="shared" si="39"/>
        <v>test.TIFFFaxDecoder_9_</v>
      </c>
      <c r="D265">
        <v>10</v>
      </c>
      <c r="E265" s="4">
        <v>0.66666666666666663</v>
      </c>
      <c r="F265" s="4">
        <v>0.33333333333333331</v>
      </c>
      <c r="G265" s="4" t="str">
        <f t="shared" si="40"/>
        <v/>
      </c>
      <c r="H265" s="4">
        <f t="shared" si="41"/>
        <v>0.66666666666666663</v>
      </c>
      <c r="I265" s="4" t="str">
        <f t="shared" si="42"/>
        <v/>
      </c>
      <c r="J265" s="4" t="str">
        <f t="shared" si="43"/>
        <v/>
      </c>
      <c r="K265" s="4" t="str">
        <f t="shared" si="44"/>
        <v/>
      </c>
      <c r="L265" s="4" t="str">
        <f t="shared" si="45"/>
        <v/>
      </c>
      <c r="M265" s="4"/>
      <c r="N265" s="4"/>
      <c r="O265" s="4"/>
      <c r="P265" s="4"/>
      <c r="Q265" s="4"/>
      <c r="R265" s="4"/>
      <c r="S265" s="4"/>
      <c r="T265" s="4"/>
      <c r="U265" s="4"/>
    </row>
    <row r="266" spans="1:21">
      <c r="A266" t="s">
        <v>231</v>
      </c>
      <c r="B266">
        <v>9</v>
      </c>
      <c r="C266" t="str">
        <f t="shared" si="39"/>
        <v>test.TIFFFaxDecoder_9_</v>
      </c>
      <c r="D266">
        <v>11</v>
      </c>
      <c r="E266" s="4">
        <v>0.66666666666666663</v>
      </c>
      <c r="F266" s="4">
        <v>0.33559322033898303</v>
      </c>
      <c r="G266" s="4" t="str">
        <f t="shared" si="40"/>
        <v/>
      </c>
      <c r="H266" s="4">
        <f t="shared" si="41"/>
        <v>0.66666666666666663</v>
      </c>
      <c r="I266" s="4" t="str">
        <f t="shared" si="42"/>
        <v/>
      </c>
      <c r="J266" s="4" t="str">
        <f t="shared" si="43"/>
        <v/>
      </c>
      <c r="K266" s="4" t="str">
        <f t="shared" si="44"/>
        <v/>
      </c>
      <c r="L266" s="4" t="str">
        <f t="shared" si="45"/>
        <v/>
      </c>
      <c r="M266" s="4"/>
      <c r="N266" s="4"/>
      <c r="O266" s="4"/>
      <c r="P266" s="4"/>
      <c r="Q266" s="4"/>
      <c r="R266" s="4"/>
      <c r="S266" s="4"/>
      <c r="T266" s="4"/>
      <c r="U266" s="4"/>
    </row>
    <row r="267" spans="1:21">
      <c r="A267" t="s">
        <v>231</v>
      </c>
      <c r="B267">
        <v>9</v>
      </c>
      <c r="C267" t="str">
        <f t="shared" si="39"/>
        <v>test.TIFFFaxDecoder_9_</v>
      </c>
      <c r="D267">
        <v>12</v>
      </c>
      <c r="E267" s="4">
        <v>0.66666666666666663</v>
      </c>
      <c r="F267" s="4">
        <v>0.38983050847457629</v>
      </c>
      <c r="G267" s="4" t="str">
        <f t="shared" si="40"/>
        <v/>
      </c>
      <c r="H267" s="4">
        <f t="shared" si="41"/>
        <v>0.66666666666666663</v>
      </c>
      <c r="I267" s="4" t="str">
        <f t="shared" si="42"/>
        <v/>
      </c>
      <c r="J267" s="4" t="str">
        <f t="shared" si="43"/>
        <v/>
      </c>
      <c r="K267" s="4" t="str">
        <f t="shared" si="44"/>
        <v/>
      </c>
      <c r="L267" s="4" t="str">
        <f t="shared" si="45"/>
        <v/>
      </c>
      <c r="M267" s="4"/>
      <c r="N267" s="4"/>
      <c r="O267" s="4"/>
      <c r="P267" s="4"/>
      <c r="Q267" s="4"/>
      <c r="R267" s="4"/>
      <c r="S267" s="4"/>
      <c r="T267" s="4"/>
      <c r="U267" s="4"/>
    </row>
    <row r="268" spans="1:21">
      <c r="A268" t="s">
        <v>231</v>
      </c>
      <c r="B268">
        <v>9</v>
      </c>
      <c r="C268" t="str">
        <f t="shared" si="39"/>
        <v>test.TIFFFaxDecoder_9_</v>
      </c>
      <c r="D268">
        <v>13</v>
      </c>
      <c r="E268" s="4">
        <v>0.66666666666666663</v>
      </c>
      <c r="F268" s="4">
        <v>0.39096045197740115</v>
      </c>
      <c r="G268" s="4" t="str">
        <f t="shared" si="40"/>
        <v/>
      </c>
      <c r="H268" s="4">
        <f t="shared" si="41"/>
        <v>0.66666666666666663</v>
      </c>
      <c r="I268" s="4" t="str">
        <f t="shared" si="42"/>
        <v/>
      </c>
      <c r="J268" s="4" t="str">
        <f t="shared" si="43"/>
        <v/>
      </c>
      <c r="K268" s="4" t="str">
        <f t="shared" si="44"/>
        <v/>
      </c>
      <c r="L268" s="4" t="str">
        <f t="shared" si="45"/>
        <v/>
      </c>
      <c r="M268" s="4"/>
      <c r="N268" s="4"/>
      <c r="O268" s="4"/>
      <c r="P268" s="4"/>
      <c r="Q268" s="4"/>
      <c r="R268" s="4"/>
      <c r="S268" s="4"/>
      <c r="T268" s="4"/>
      <c r="U268" s="4"/>
    </row>
    <row r="269" spans="1:21">
      <c r="A269" t="s">
        <v>231</v>
      </c>
      <c r="B269">
        <v>9</v>
      </c>
      <c r="C269" t="str">
        <f t="shared" si="39"/>
        <v>test.TIFFFaxDecoder_9_</v>
      </c>
      <c r="D269">
        <v>14</v>
      </c>
      <c r="E269" s="4">
        <v>0.77777777777777779</v>
      </c>
      <c r="F269" s="4">
        <v>0.43728813559322033</v>
      </c>
      <c r="G269" s="4" t="str">
        <f t="shared" si="40"/>
        <v/>
      </c>
      <c r="H269" s="4" t="str">
        <f t="shared" si="41"/>
        <v/>
      </c>
      <c r="I269" s="4">
        <f t="shared" si="42"/>
        <v>0.77777777777777779</v>
      </c>
      <c r="J269" s="4" t="str">
        <f t="shared" si="43"/>
        <v/>
      </c>
      <c r="K269" s="4" t="str">
        <f t="shared" si="44"/>
        <v/>
      </c>
      <c r="L269" s="4" t="str">
        <f t="shared" si="45"/>
        <v/>
      </c>
      <c r="M269" s="4"/>
      <c r="N269" s="4"/>
      <c r="O269" s="4"/>
      <c r="P269" s="4"/>
      <c r="Q269" s="4"/>
      <c r="R269" s="4"/>
      <c r="S269" s="4"/>
      <c r="T269" s="4"/>
      <c r="U269" s="4"/>
    </row>
    <row r="270" spans="1:21">
      <c r="A270" t="s">
        <v>231</v>
      </c>
      <c r="B270">
        <v>9</v>
      </c>
      <c r="C270" t="str">
        <f t="shared" si="39"/>
        <v>test.TIFFFaxDecoder_9_</v>
      </c>
      <c r="D270">
        <v>15</v>
      </c>
      <c r="E270" s="4">
        <v>0.94444444444444442</v>
      </c>
      <c r="F270" s="4">
        <v>0.63163841807909604</v>
      </c>
      <c r="G270" s="4" t="str">
        <f t="shared" si="40"/>
        <v/>
      </c>
      <c r="H270" s="4" t="str">
        <f t="shared" si="41"/>
        <v/>
      </c>
      <c r="I270" s="4" t="str">
        <f t="shared" si="42"/>
        <v/>
      </c>
      <c r="J270" s="4">
        <f t="shared" si="43"/>
        <v>0.94444444444444442</v>
      </c>
      <c r="K270" s="4" t="str">
        <f t="shared" si="44"/>
        <v/>
      </c>
      <c r="L270" s="4" t="str">
        <f t="shared" si="45"/>
        <v/>
      </c>
      <c r="M270" s="4"/>
      <c r="N270" s="4"/>
      <c r="O270" s="4"/>
      <c r="P270" s="4"/>
      <c r="Q270" s="4"/>
      <c r="R270" s="4"/>
      <c r="S270" s="4"/>
      <c r="T270" s="4"/>
      <c r="U270" s="4"/>
    </row>
    <row r="271" spans="1:21">
      <c r="A271" t="s">
        <v>231</v>
      </c>
      <c r="B271">
        <v>9</v>
      </c>
      <c r="C271" t="str">
        <f t="shared" si="39"/>
        <v>test.TIFFFaxDecoder_9_</v>
      </c>
      <c r="D271">
        <v>16</v>
      </c>
      <c r="E271" s="4">
        <v>0.97222222222222221</v>
      </c>
      <c r="F271" s="4">
        <v>0.63615819209039548</v>
      </c>
      <c r="G271" s="4" t="str">
        <f t="shared" si="40"/>
        <v/>
      </c>
      <c r="H271" s="4" t="str">
        <f t="shared" si="41"/>
        <v/>
      </c>
      <c r="I271" s="4" t="str">
        <f t="shared" si="42"/>
        <v/>
      </c>
      <c r="J271" s="4">
        <f t="shared" si="43"/>
        <v>0.97222222222222221</v>
      </c>
      <c r="K271" s="4" t="str">
        <f t="shared" si="44"/>
        <v/>
      </c>
      <c r="L271" s="4" t="str">
        <f t="shared" si="45"/>
        <v/>
      </c>
      <c r="M271" s="4"/>
      <c r="N271" s="4"/>
      <c r="O271" s="4"/>
      <c r="P271" s="4"/>
      <c r="Q271" s="4"/>
      <c r="R271" s="4"/>
      <c r="S271" s="4"/>
      <c r="T271" s="4"/>
      <c r="U271" s="4"/>
    </row>
    <row r="272" spans="1:21">
      <c r="A272" t="s">
        <v>231</v>
      </c>
      <c r="B272">
        <v>9</v>
      </c>
      <c r="C272" t="str">
        <f t="shared" si="39"/>
        <v>test.TIFFFaxDecoder_9_</v>
      </c>
      <c r="D272">
        <v>17</v>
      </c>
      <c r="E272" s="4">
        <v>0.97222222222222221</v>
      </c>
      <c r="F272" s="4">
        <v>0.64745762711864407</v>
      </c>
      <c r="G272" s="4" t="str">
        <f t="shared" si="40"/>
        <v/>
      </c>
      <c r="H272" s="4" t="str">
        <f t="shared" si="41"/>
        <v/>
      </c>
      <c r="I272" s="4" t="str">
        <f t="shared" si="42"/>
        <v/>
      </c>
      <c r="J272" s="4">
        <f t="shared" si="43"/>
        <v>0.97222222222222221</v>
      </c>
      <c r="K272" s="4" t="str">
        <f t="shared" si="44"/>
        <v/>
      </c>
      <c r="L272" s="4" t="str">
        <f t="shared" si="45"/>
        <v/>
      </c>
      <c r="M272" s="4"/>
      <c r="N272" s="4"/>
      <c r="O272" s="4"/>
      <c r="P272" s="4"/>
      <c r="Q272" s="4"/>
      <c r="R272" s="4"/>
      <c r="S272" s="4"/>
      <c r="T272" s="4"/>
      <c r="U272" s="4"/>
    </row>
    <row r="273" spans="1:21">
      <c r="A273" t="s">
        <v>231</v>
      </c>
      <c r="B273">
        <v>9</v>
      </c>
      <c r="C273" t="str">
        <f t="shared" si="39"/>
        <v>test.TIFFFaxDecoder_9_</v>
      </c>
      <c r="D273">
        <v>18</v>
      </c>
      <c r="E273" s="4">
        <v>1</v>
      </c>
      <c r="F273" s="4">
        <v>0.71638418079096045</v>
      </c>
      <c r="G273" s="4" t="str">
        <f t="shared" si="40"/>
        <v/>
      </c>
      <c r="H273" s="4" t="str">
        <f t="shared" si="41"/>
        <v/>
      </c>
      <c r="I273" s="4" t="str">
        <f t="shared" si="42"/>
        <v/>
      </c>
      <c r="J273" s="4">
        <f t="shared" si="43"/>
        <v>1</v>
      </c>
      <c r="K273" s="4" t="str">
        <f t="shared" si="44"/>
        <v/>
      </c>
      <c r="L273" s="4" t="str">
        <f t="shared" si="45"/>
        <v/>
      </c>
      <c r="M273" s="4"/>
      <c r="N273" s="4"/>
      <c r="O273" s="4"/>
      <c r="P273" s="4"/>
      <c r="Q273" s="4"/>
      <c r="R273" s="4"/>
      <c r="S273" s="4"/>
      <c r="T273" s="4"/>
      <c r="U273" s="4"/>
    </row>
    <row r="274" spans="1:21">
      <c r="A274" t="s">
        <v>231</v>
      </c>
      <c r="B274">
        <v>9</v>
      </c>
      <c r="C274" t="str">
        <f t="shared" si="39"/>
        <v>test.TIFFFaxDecoder_9_</v>
      </c>
      <c r="D274">
        <v>19</v>
      </c>
      <c r="E274" s="4">
        <v>1</v>
      </c>
      <c r="F274" s="4">
        <v>0.72655367231638424</v>
      </c>
      <c r="G274" s="4" t="str">
        <f t="shared" si="40"/>
        <v/>
      </c>
      <c r="H274" s="4" t="str">
        <f t="shared" si="41"/>
        <v/>
      </c>
      <c r="I274" s="4" t="str">
        <f t="shared" si="42"/>
        <v/>
      </c>
      <c r="J274" s="4">
        <f t="shared" si="43"/>
        <v>1</v>
      </c>
      <c r="K274" s="4" t="str">
        <f t="shared" si="44"/>
        <v/>
      </c>
      <c r="L274" s="4" t="str">
        <f t="shared" si="45"/>
        <v/>
      </c>
      <c r="M274" s="4"/>
      <c r="N274" s="4"/>
      <c r="O274" s="4"/>
      <c r="P274" s="4"/>
      <c r="Q274" s="4"/>
      <c r="R274" s="4"/>
      <c r="S274" s="4"/>
      <c r="T274" s="4"/>
      <c r="U274" s="4"/>
    </row>
    <row r="275" spans="1:21">
      <c r="A275" t="s">
        <v>231</v>
      </c>
      <c r="B275">
        <v>9</v>
      </c>
      <c r="C275" t="str">
        <f t="shared" si="39"/>
        <v>test.TIFFFaxDecoder_9_</v>
      </c>
      <c r="D275">
        <v>20</v>
      </c>
      <c r="E275" s="4">
        <v>1</v>
      </c>
      <c r="F275" s="4">
        <v>0.73672316384180792</v>
      </c>
      <c r="G275" s="4" t="str">
        <f t="shared" si="40"/>
        <v/>
      </c>
      <c r="H275" s="4" t="str">
        <f t="shared" si="41"/>
        <v/>
      </c>
      <c r="I275" s="4" t="str">
        <f t="shared" si="42"/>
        <v/>
      </c>
      <c r="J275" s="4">
        <f t="shared" si="43"/>
        <v>1</v>
      </c>
      <c r="K275" s="4" t="str">
        <f t="shared" si="44"/>
        <v/>
      </c>
      <c r="L275" s="4" t="str">
        <f t="shared" si="45"/>
        <v/>
      </c>
      <c r="M275" s="4"/>
      <c r="N275" s="4"/>
      <c r="O275" s="4"/>
      <c r="P275" s="4"/>
      <c r="Q275" s="4"/>
      <c r="R275" s="4"/>
      <c r="S275" s="4"/>
      <c r="T275" s="4"/>
      <c r="U275" s="4"/>
    </row>
    <row r="276" spans="1:21">
      <c r="A276" t="s">
        <v>231</v>
      </c>
      <c r="B276">
        <v>10</v>
      </c>
      <c r="C276" t="str">
        <f t="shared" si="39"/>
        <v>test.TIFFFaxDecoder_10_</v>
      </c>
      <c r="D276">
        <v>1</v>
      </c>
      <c r="E276" s="4">
        <v>0.73333333333333328</v>
      </c>
      <c r="F276" s="4">
        <v>0.90702087286527511</v>
      </c>
      <c r="G276" s="4" t="str">
        <f t="shared" si="40"/>
        <v/>
      </c>
      <c r="H276" s="4" t="str">
        <f t="shared" si="41"/>
        <v/>
      </c>
      <c r="I276" s="4" t="str">
        <f t="shared" si="42"/>
        <v/>
      </c>
      <c r="J276" s="4" t="str">
        <f t="shared" si="43"/>
        <v/>
      </c>
      <c r="K276" s="4">
        <f t="shared" si="44"/>
        <v>0.73333333333333328</v>
      </c>
      <c r="L276" s="4" t="str">
        <f t="shared" si="45"/>
        <v/>
      </c>
      <c r="M276" s="4"/>
      <c r="N276" s="4"/>
      <c r="O276" s="4"/>
      <c r="P276" s="4"/>
      <c r="Q276" s="4"/>
      <c r="R276" s="4"/>
      <c r="S276" s="4"/>
      <c r="T276" s="4"/>
      <c r="U276" s="4"/>
    </row>
    <row r="277" spans="1:21">
      <c r="A277" s="9" t="s">
        <v>231</v>
      </c>
      <c r="B277" s="9">
        <v>10</v>
      </c>
      <c r="C277" s="9" t="str">
        <f t="shared" si="39"/>
        <v>test.TIFFFaxDecoder_10_</v>
      </c>
      <c r="D277" s="9">
        <v>2</v>
      </c>
      <c r="E277" s="4">
        <v>0.8666666666666667</v>
      </c>
      <c r="F277" s="4">
        <v>0.91461100569259957</v>
      </c>
      <c r="G277" s="4" t="str">
        <f t="shared" si="40"/>
        <v/>
      </c>
      <c r="H277" s="4" t="str">
        <f t="shared" si="41"/>
        <v/>
      </c>
      <c r="I277" s="4" t="str">
        <f t="shared" si="42"/>
        <v/>
      </c>
      <c r="J277" s="4" t="str">
        <f t="shared" si="43"/>
        <v/>
      </c>
      <c r="K277" s="4">
        <f t="shared" si="44"/>
        <v>0.8666666666666667</v>
      </c>
      <c r="L277" s="4" t="str">
        <f t="shared" si="45"/>
        <v/>
      </c>
      <c r="M277" s="4"/>
      <c r="N277" s="4"/>
      <c r="O277" s="4"/>
      <c r="P277" s="4"/>
      <c r="Q277" s="4"/>
      <c r="R277" s="4"/>
      <c r="S277" s="4"/>
      <c r="T277" s="4"/>
      <c r="U277" s="4"/>
    </row>
    <row r="278" spans="1:21">
      <c r="A278" t="s">
        <v>231</v>
      </c>
      <c r="B278">
        <v>10</v>
      </c>
      <c r="C278" t="str">
        <f t="shared" si="39"/>
        <v>test.TIFFFaxDecoder_10_</v>
      </c>
      <c r="D278">
        <v>3</v>
      </c>
      <c r="E278" s="4">
        <v>0.93333333333333335</v>
      </c>
      <c r="F278" s="4">
        <v>0.91650853889943074</v>
      </c>
      <c r="G278" s="4" t="str">
        <f t="shared" si="40"/>
        <v/>
      </c>
      <c r="H278" s="4" t="str">
        <f t="shared" si="41"/>
        <v/>
      </c>
      <c r="I278" s="4" t="str">
        <f t="shared" si="42"/>
        <v/>
      </c>
      <c r="J278" s="4" t="str">
        <f t="shared" si="43"/>
        <v/>
      </c>
      <c r="K278" s="4">
        <f t="shared" si="44"/>
        <v>0.93333333333333335</v>
      </c>
      <c r="L278" s="4" t="str">
        <f t="shared" si="45"/>
        <v/>
      </c>
      <c r="M278" s="4"/>
      <c r="N278" s="4"/>
      <c r="O278" s="4"/>
      <c r="P278" s="4"/>
      <c r="Q278" s="4"/>
      <c r="R278" s="4"/>
      <c r="S278" s="4"/>
      <c r="T278" s="4"/>
      <c r="U278" s="4"/>
    </row>
    <row r="279" spans="1:21">
      <c r="A279" t="s">
        <v>231</v>
      </c>
      <c r="B279">
        <v>10</v>
      </c>
      <c r="C279" t="str">
        <f t="shared" si="39"/>
        <v>test.TIFFFaxDecoder_10_</v>
      </c>
      <c r="D279">
        <v>4</v>
      </c>
      <c r="E279" s="4">
        <v>0.93333333333333335</v>
      </c>
      <c r="F279" s="4">
        <v>0.91745730550284632</v>
      </c>
      <c r="G279" s="4" t="str">
        <f t="shared" si="40"/>
        <v/>
      </c>
      <c r="H279" s="4" t="str">
        <f t="shared" si="41"/>
        <v/>
      </c>
      <c r="I279" s="4" t="str">
        <f t="shared" si="42"/>
        <v/>
      </c>
      <c r="J279" s="4" t="str">
        <f t="shared" si="43"/>
        <v/>
      </c>
      <c r="K279" s="4">
        <f t="shared" si="44"/>
        <v>0.93333333333333335</v>
      </c>
      <c r="L279" s="4" t="str">
        <f t="shared" si="45"/>
        <v/>
      </c>
      <c r="M279" s="4"/>
      <c r="N279" s="4"/>
      <c r="O279" s="4"/>
      <c r="P279" s="4"/>
      <c r="Q279" s="4"/>
      <c r="R279" s="4"/>
      <c r="S279" s="4"/>
      <c r="T279" s="4"/>
      <c r="U279" s="4"/>
    </row>
    <row r="280" spans="1:21">
      <c r="A280" t="s">
        <v>231</v>
      </c>
      <c r="B280">
        <v>10</v>
      </c>
      <c r="C280" t="str">
        <f t="shared" si="39"/>
        <v>test.TIFFFaxDecoder_10_</v>
      </c>
      <c r="D280">
        <v>5</v>
      </c>
      <c r="E280" s="4">
        <v>1</v>
      </c>
      <c r="F280" s="4">
        <v>0.95730550284629978</v>
      </c>
      <c r="G280" s="4" t="str">
        <f t="shared" si="40"/>
        <v/>
      </c>
      <c r="H280" s="4" t="str">
        <f t="shared" si="41"/>
        <v/>
      </c>
      <c r="I280" s="4" t="str">
        <f t="shared" si="42"/>
        <v/>
      </c>
      <c r="J280" s="4" t="str">
        <f t="shared" si="43"/>
        <v/>
      </c>
      <c r="K280" s="4">
        <f t="shared" si="44"/>
        <v>1</v>
      </c>
      <c r="L280" s="4" t="str">
        <f t="shared" si="45"/>
        <v/>
      </c>
      <c r="M280" s="4"/>
      <c r="N280" s="4"/>
      <c r="O280" s="4"/>
      <c r="P280" s="4"/>
      <c r="Q280" s="4"/>
      <c r="R280" s="4"/>
      <c r="S280" s="4"/>
      <c r="T280" s="4"/>
      <c r="U280" s="4"/>
    </row>
    <row r="281" spans="1:21">
      <c r="A281" t="s">
        <v>231</v>
      </c>
      <c r="B281">
        <v>10</v>
      </c>
      <c r="C281" t="str">
        <f t="shared" si="39"/>
        <v>test.TIFFFaxDecoder_10_</v>
      </c>
      <c r="D281">
        <v>6</v>
      </c>
      <c r="E281" s="4">
        <v>1</v>
      </c>
      <c r="F281" s="4">
        <v>0.95920303605313095</v>
      </c>
      <c r="G281" s="4" t="str">
        <f t="shared" si="40"/>
        <v/>
      </c>
      <c r="H281" s="4" t="str">
        <f t="shared" si="41"/>
        <v/>
      </c>
      <c r="I281" s="4" t="str">
        <f t="shared" si="42"/>
        <v/>
      </c>
      <c r="J281" s="4" t="str">
        <f t="shared" si="43"/>
        <v/>
      </c>
      <c r="K281" s="4">
        <f t="shared" si="44"/>
        <v>1</v>
      </c>
      <c r="L281" s="4" t="str">
        <f t="shared" si="45"/>
        <v/>
      </c>
      <c r="M281" s="4"/>
      <c r="N281" s="4"/>
      <c r="O281" s="4"/>
      <c r="P281" s="4"/>
      <c r="Q281" s="4"/>
      <c r="R281" s="4"/>
      <c r="S281" s="4"/>
      <c r="T281" s="4"/>
      <c r="U281" s="4"/>
    </row>
    <row r="282" spans="1:21">
      <c r="A282" t="s">
        <v>231</v>
      </c>
      <c r="B282">
        <v>10</v>
      </c>
      <c r="C282" t="str">
        <f t="shared" si="39"/>
        <v>test.TIFFFaxDecoder_10_</v>
      </c>
      <c r="D282">
        <v>7</v>
      </c>
      <c r="E282" s="4">
        <v>1</v>
      </c>
      <c r="F282" s="4">
        <v>0.96394686907020877</v>
      </c>
      <c r="G282" s="4" t="str">
        <f t="shared" si="40"/>
        <v/>
      </c>
      <c r="H282" s="4" t="str">
        <f t="shared" si="41"/>
        <v/>
      </c>
      <c r="I282" s="4" t="str">
        <f t="shared" si="42"/>
        <v/>
      </c>
      <c r="J282" s="4" t="str">
        <f t="shared" si="43"/>
        <v/>
      </c>
      <c r="K282" s="4">
        <f t="shared" si="44"/>
        <v>1</v>
      </c>
      <c r="L282" s="4" t="str">
        <f t="shared" si="45"/>
        <v/>
      </c>
      <c r="M282" s="4"/>
      <c r="N282" s="4"/>
      <c r="O282" s="4"/>
      <c r="P282" s="4"/>
      <c r="Q282" s="4"/>
      <c r="R282" s="4"/>
      <c r="S282" s="4"/>
      <c r="T282" s="4"/>
      <c r="U282" s="4"/>
    </row>
    <row r="283" spans="1:21">
      <c r="A283" t="s">
        <v>231</v>
      </c>
      <c r="B283">
        <v>10</v>
      </c>
      <c r="C283" t="str">
        <f t="shared" si="39"/>
        <v>test.TIFFFaxDecoder_10_</v>
      </c>
      <c r="D283">
        <v>8</v>
      </c>
      <c r="E283" s="4">
        <v>1</v>
      </c>
      <c r="F283" s="4">
        <v>1.577798861480076</v>
      </c>
      <c r="G283" s="4" t="str">
        <f t="shared" si="40"/>
        <v/>
      </c>
      <c r="H283" s="4" t="str">
        <f t="shared" si="41"/>
        <v/>
      </c>
      <c r="I283" s="4" t="str">
        <f t="shared" si="42"/>
        <v/>
      </c>
      <c r="J283" s="4" t="str">
        <f t="shared" si="43"/>
        <v/>
      </c>
      <c r="K283" s="4" t="str">
        <f t="shared" si="44"/>
        <v/>
      </c>
      <c r="L283" s="4">
        <f t="shared" si="45"/>
        <v>1</v>
      </c>
      <c r="M283" s="4"/>
      <c r="N283" s="4"/>
      <c r="O283" s="4"/>
      <c r="P283" s="4"/>
      <c r="Q283" s="4"/>
      <c r="R283" s="4"/>
      <c r="S283" s="4"/>
      <c r="T283" s="4"/>
      <c r="U283" s="4"/>
    </row>
    <row r="284" spans="1:21">
      <c r="A284" t="s">
        <v>598</v>
      </c>
      <c r="B284">
        <v>2</v>
      </c>
      <c r="C284" t="str">
        <f t="shared" si="39"/>
        <v>test.TIFFFaxEncoder_2_</v>
      </c>
      <c r="D284">
        <v>1</v>
      </c>
      <c r="E284" s="4">
        <v>0.352112676056338</v>
      </c>
      <c r="F284" s="4">
        <v>0.31063640409434801</v>
      </c>
      <c r="G284" s="4" t="str">
        <f t="shared" si="40"/>
        <v/>
      </c>
      <c r="H284" s="4">
        <f t="shared" si="41"/>
        <v>0.352112676056338</v>
      </c>
      <c r="I284" s="4" t="str">
        <f t="shared" si="42"/>
        <v/>
      </c>
      <c r="J284" s="4" t="str">
        <f t="shared" si="43"/>
        <v/>
      </c>
      <c r="K284" s="4" t="str">
        <f t="shared" si="44"/>
        <v/>
      </c>
      <c r="L284" s="4" t="str">
        <f t="shared" si="45"/>
        <v/>
      </c>
      <c r="M284" s="4"/>
      <c r="N284" s="4"/>
      <c r="O284" s="4"/>
      <c r="P284" s="4"/>
      <c r="Q284" s="4"/>
      <c r="R284" s="4"/>
      <c r="S284" s="4"/>
      <c r="T284" s="4"/>
      <c r="U284" s="4"/>
    </row>
    <row r="285" spans="1:21">
      <c r="A285" t="s">
        <v>598</v>
      </c>
      <c r="B285">
        <v>2</v>
      </c>
      <c r="C285" t="str">
        <f t="shared" si="39"/>
        <v>test.TIFFFaxEncoder_2_</v>
      </c>
      <c r="D285">
        <v>2</v>
      </c>
      <c r="E285" s="4">
        <v>0.63380281690140849</v>
      </c>
      <c r="F285" s="4">
        <v>0.44014241210502891</v>
      </c>
      <c r="G285" s="4" t="str">
        <f t="shared" si="40"/>
        <v/>
      </c>
      <c r="H285" s="4" t="str">
        <f t="shared" si="41"/>
        <v/>
      </c>
      <c r="I285" s="4">
        <f t="shared" si="42"/>
        <v>0.63380281690140849</v>
      </c>
      <c r="J285" s="4" t="str">
        <f t="shared" si="43"/>
        <v/>
      </c>
      <c r="K285" s="4" t="str">
        <f t="shared" si="44"/>
        <v/>
      </c>
      <c r="L285" s="4" t="str">
        <f t="shared" si="45"/>
        <v/>
      </c>
      <c r="M285" s="4"/>
      <c r="N285" s="4"/>
      <c r="O285" s="4"/>
      <c r="P285" s="4"/>
      <c r="Q285" s="4"/>
      <c r="R285" s="4"/>
      <c r="S285" s="4"/>
      <c r="T285" s="4"/>
      <c r="U285" s="4"/>
    </row>
    <row r="286" spans="1:21">
      <c r="A286" t="s">
        <v>598</v>
      </c>
      <c r="B286">
        <v>2</v>
      </c>
      <c r="C286" t="str">
        <f t="shared" si="39"/>
        <v>test.TIFFFaxEncoder_2_</v>
      </c>
      <c r="D286">
        <v>3</v>
      </c>
      <c r="E286" s="4">
        <v>0.70422535211267601</v>
      </c>
      <c r="F286" s="4">
        <v>0.46372941700044507</v>
      </c>
      <c r="G286" s="4" t="str">
        <f t="shared" si="40"/>
        <v/>
      </c>
      <c r="H286" s="4" t="str">
        <f t="shared" si="41"/>
        <v/>
      </c>
      <c r="I286" s="4">
        <f t="shared" si="42"/>
        <v>0.70422535211267601</v>
      </c>
      <c r="J286" s="4" t="str">
        <f t="shared" si="43"/>
        <v/>
      </c>
      <c r="K286" s="4" t="str">
        <f t="shared" si="44"/>
        <v/>
      </c>
      <c r="L286" s="4" t="str">
        <f t="shared" si="45"/>
        <v/>
      </c>
      <c r="M286" s="4"/>
      <c r="N286" s="4"/>
      <c r="O286" s="4"/>
      <c r="P286" s="4"/>
      <c r="Q286" s="4"/>
      <c r="R286" s="4"/>
      <c r="S286" s="4"/>
      <c r="T286" s="4"/>
      <c r="U286" s="4"/>
    </row>
    <row r="287" spans="1:21">
      <c r="A287" t="s">
        <v>598</v>
      </c>
      <c r="B287">
        <v>2</v>
      </c>
      <c r="C287" t="str">
        <f t="shared" si="39"/>
        <v>test.TIFFFaxEncoder_2_</v>
      </c>
      <c r="D287">
        <v>4</v>
      </c>
      <c r="E287" s="4">
        <v>0.84507042253521125</v>
      </c>
      <c r="F287" s="4">
        <v>0.51312861593235426</v>
      </c>
      <c r="G287" s="4" t="str">
        <f t="shared" si="40"/>
        <v/>
      </c>
      <c r="H287" s="4" t="str">
        <f t="shared" si="41"/>
        <v/>
      </c>
      <c r="I287" s="4">
        <f t="shared" si="42"/>
        <v>0.84507042253521125</v>
      </c>
      <c r="J287" s="4" t="str">
        <f t="shared" si="43"/>
        <v/>
      </c>
      <c r="K287" s="4" t="str">
        <f t="shared" si="44"/>
        <v/>
      </c>
      <c r="L287" s="4" t="str">
        <f t="shared" si="45"/>
        <v/>
      </c>
      <c r="M287" s="4"/>
      <c r="N287" s="4"/>
      <c r="O287" s="4"/>
      <c r="P287" s="4"/>
      <c r="Q287" s="4"/>
      <c r="R287" s="4"/>
      <c r="S287" s="4"/>
      <c r="T287" s="4"/>
      <c r="U287" s="4"/>
    </row>
    <row r="288" spans="1:21">
      <c r="A288" t="s">
        <v>598</v>
      </c>
      <c r="B288">
        <v>2</v>
      </c>
      <c r="C288" t="str">
        <f t="shared" si="39"/>
        <v>test.TIFFFaxEncoder_2_</v>
      </c>
      <c r="D288">
        <v>5</v>
      </c>
      <c r="E288" s="4">
        <v>1</v>
      </c>
      <c r="F288" s="4">
        <v>0.66889185580774368</v>
      </c>
      <c r="G288" s="4" t="str">
        <f t="shared" si="40"/>
        <v/>
      </c>
      <c r="H288" s="4" t="str">
        <f t="shared" si="41"/>
        <v/>
      </c>
      <c r="I288" s="4" t="str">
        <f t="shared" si="42"/>
        <v/>
      </c>
      <c r="J288" s="4">
        <f t="shared" si="43"/>
        <v>1</v>
      </c>
      <c r="K288" s="4" t="str">
        <f t="shared" si="44"/>
        <v/>
      </c>
      <c r="L288" s="4" t="str">
        <f t="shared" si="45"/>
        <v/>
      </c>
      <c r="M288" s="4"/>
      <c r="N288" s="4"/>
      <c r="O288" s="4"/>
      <c r="P288" s="4"/>
      <c r="Q288" s="4"/>
      <c r="R288" s="4"/>
      <c r="S288" s="4"/>
      <c r="T288" s="4"/>
      <c r="U288" s="4"/>
    </row>
    <row r="289" spans="1:21">
      <c r="A289" t="s">
        <v>598</v>
      </c>
      <c r="B289">
        <v>11</v>
      </c>
      <c r="C289" t="str">
        <f t="shared" si="39"/>
        <v>test.TIFFFaxEncoder_11_</v>
      </c>
      <c r="D289">
        <v>1</v>
      </c>
      <c r="E289" s="4">
        <v>0.4956521739130435</v>
      </c>
      <c r="F289" s="4">
        <v>0.63214807598636147</v>
      </c>
      <c r="G289" s="4" t="str">
        <f t="shared" si="40"/>
        <v/>
      </c>
      <c r="H289" s="4" t="str">
        <f t="shared" si="41"/>
        <v/>
      </c>
      <c r="I289" s="4" t="str">
        <f t="shared" si="42"/>
        <v/>
      </c>
      <c r="J289" s="4">
        <f t="shared" si="43"/>
        <v>0.4956521739130435</v>
      </c>
      <c r="K289" s="4" t="str">
        <f t="shared" si="44"/>
        <v/>
      </c>
      <c r="L289" s="4" t="str">
        <f t="shared" si="45"/>
        <v/>
      </c>
      <c r="M289" s="4"/>
      <c r="N289" s="4"/>
      <c r="O289" s="4"/>
      <c r="P289" s="4"/>
      <c r="Q289" s="4"/>
      <c r="R289" s="4"/>
      <c r="S289" s="4"/>
      <c r="T289" s="4"/>
      <c r="U289" s="4"/>
    </row>
    <row r="290" spans="1:21">
      <c r="A290" t="s">
        <v>598</v>
      </c>
      <c r="B290">
        <v>11</v>
      </c>
      <c r="C290" t="str">
        <f t="shared" si="39"/>
        <v>test.TIFFFaxEncoder_11_</v>
      </c>
      <c r="D290">
        <v>2</v>
      </c>
      <c r="E290" s="4">
        <v>0.58260869565217388</v>
      </c>
      <c r="F290" s="4">
        <v>0.67959084266926451</v>
      </c>
      <c r="G290" s="4" t="str">
        <f t="shared" si="40"/>
        <v/>
      </c>
      <c r="H290" s="4" t="str">
        <f t="shared" si="41"/>
        <v/>
      </c>
      <c r="I290" s="4" t="str">
        <f t="shared" si="42"/>
        <v/>
      </c>
      <c r="J290" s="4">
        <f t="shared" si="43"/>
        <v>0.58260869565217388</v>
      </c>
      <c r="K290" s="4" t="str">
        <f t="shared" si="44"/>
        <v/>
      </c>
      <c r="L290" s="4" t="str">
        <f t="shared" si="45"/>
        <v/>
      </c>
      <c r="M290" s="4"/>
      <c r="N290" s="4"/>
      <c r="O290" s="4"/>
      <c r="P290" s="4"/>
      <c r="Q290" s="4"/>
      <c r="R290" s="4"/>
      <c r="S290" s="4"/>
      <c r="T290" s="4"/>
      <c r="U290" s="4"/>
    </row>
    <row r="291" spans="1:21">
      <c r="A291" t="s">
        <v>598</v>
      </c>
      <c r="B291">
        <v>11</v>
      </c>
      <c r="C291" t="str">
        <f t="shared" si="39"/>
        <v>test.TIFFFaxEncoder_11_</v>
      </c>
      <c r="D291">
        <v>3</v>
      </c>
      <c r="E291" s="4">
        <v>0.70434782608695656</v>
      </c>
      <c r="F291" s="4">
        <v>0.70491962981003409</v>
      </c>
      <c r="G291" s="4" t="str">
        <f t="shared" si="40"/>
        <v/>
      </c>
      <c r="H291" s="4" t="str">
        <f t="shared" si="41"/>
        <v/>
      </c>
      <c r="I291" s="4" t="str">
        <f t="shared" si="42"/>
        <v/>
      </c>
      <c r="J291" s="4">
        <f t="shared" si="43"/>
        <v>0.70434782608695656</v>
      </c>
      <c r="K291" s="4" t="str">
        <f t="shared" si="44"/>
        <v/>
      </c>
      <c r="L291" s="4" t="str">
        <f t="shared" si="45"/>
        <v/>
      </c>
      <c r="M291" s="4"/>
      <c r="N291" s="4"/>
      <c r="O291" s="4"/>
      <c r="P291" s="4"/>
      <c r="Q291" s="4"/>
      <c r="R291" s="4"/>
      <c r="S291" s="4"/>
      <c r="T291" s="4"/>
      <c r="U291" s="4"/>
    </row>
    <row r="292" spans="1:21">
      <c r="A292" t="s">
        <v>598</v>
      </c>
      <c r="B292">
        <v>11</v>
      </c>
      <c r="C292" t="str">
        <f t="shared" si="39"/>
        <v>test.TIFFFaxEncoder_11_</v>
      </c>
      <c r="D292">
        <v>4</v>
      </c>
      <c r="E292" s="4">
        <v>0.78260869565217395</v>
      </c>
      <c r="F292" s="4">
        <v>0.70608865075499272</v>
      </c>
      <c r="G292" s="4" t="str">
        <f t="shared" si="40"/>
        <v/>
      </c>
      <c r="H292" s="4" t="str">
        <f t="shared" si="41"/>
        <v/>
      </c>
      <c r="I292" s="4" t="str">
        <f t="shared" si="42"/>
        <v/>
      </c>
      <c r="J292" s="4">
        <f t="shared" si="43"/>
        <v>0.78260869565217395</v>
      </c>
      <c r="K292" s="4" t="str">
        <f t="shared" si="44"/>
        <v/>
      </c>
      <c r="L292" s="4" t="str">
        <f t="shared" si="45"/>
        <v/>
      </c>
      <c r="M292" s="4"/>
      <c r="N292" s="4"/>
      <c r="O292" s="4"/>
      <c r="P292" s="4"/>
      <c r="Q292" s="4"/>
      <c r="R292" s="4"/>
      <c r="S292" s="4"/>
      <c r="T292" s="4"/>
      <c r="U292" s="4"/>
    </row>
    <row r="293" spans="1:21">
      <c r="A293" t="s">
        <v>598</v>
      </c>
      <c r="B293">
        <v>11</v>
      </c>
      <c r="C293" t="str">
        <f t="shared" si="39"/>
        <v>test.TIFFFaxEncoder_11_</v>
      </c>
      <c r="D293">
        <v>5</v>
      </c>
      <c r="E293" s="4">
        <v>0.89565217391304353</v>
      </c>
      <c r="F293" s="4">
        <v>0.74622503653190453</v>
      </c>
      <c r="G293" s="4" t="str">
        <f t="shared" si="40"/>
        <v/>
      </c>
      <c r="H293" s="4" t="str">
        <f t="shared" si="41"/>
        <v/>
      </c>
      <c r="I293" s="4" t="str">
        <f t="shared" si="42"/>
        <v/>
      </c>
      <c r="J293" s="4">
        <f t="shared" si="43"/>
        <v>0.89565217391304353</v>
      </c>
      <c r="K293" s="4" t="str">
        <f t="shared" si="44"/>
        <v/>
      </c>
      <c r="L293" s="4" t="str">
        <f t="shared" si="45"/>
        <v/>
      </c>
      <c r="M293" s="4"/>
      <c r="N293" s="4"/>
      <c r="O293" s="4"/>
      <c r="P293" s="4"/>
      <c r="Q293" s="4"/>
      <c r="R293" s="4"/>
      <c r="S293" s="4"/>
      <c r="T293" s="4"/>
      <c r="U293" s="4"/>
    </row>
    <row r="294" spans="1:21">
      <c r="A294" t="s">
        <v>598</v>
      </c>
      <c r="B294">
        <v>11</v>
      </c>
      <c r="C294" t="str">
        <f t="shared" si="39"/>
        <v>test.TIFFFaxEncoder_11_</v>
      </c>
      <c r="D294">
        <v>6</v>
      </c>
      <c r="E294" s="4">
        <v>0.89565217391304353</v>
      </c>
      <c r="F294" s="4">
        <v>0.74885533365806134</v>
      </c>
      <c r="G294" s="4" t="str">
        <f t="shared" si="40"/>
        <v/>
      </c>
      <c r="H294" s="4" t="str">
        <f t="shared" si="41"/>
        <v/>
      </c>
      <c r="I294" s="4" t="str">
        <f t="shared" si="42"/>
        <v/>
      </c>
      <c r="J294" s="4">
        <f t="shared" si="43"/>
        <v>0.89565217391304353</v>
      </c>
      <c r="K294" s="4" t="str">
        <f t="shared" si="44"/>
        <v/>
      </c>
      <c r="L294" s="4" t="str">
        <f t="shared" si="45"/>
        <v/>
      </c>
      <c r="M294" s="4"/>
      <c r="N294" s="4"/>
      <c r="O294" s="4"/>
      <c r="P294" s="4"/>
      <c r="Q294" s="4"/>
      <c r="R294" s="4"/>
      <c r="S294" s="4"/>
      <c r="T294" s="4"/>
      <c r="U294" s="4"/>
    </row>
    <row r="295" spans="1:21">
      <c r="A295" t="s">
        <v>598</v>
      </c>
      <c r="B295">
        <v>11</v>
      </c>
      <c r="C295" t="str">
        <f t="shared" si="39"/>
        <v>test.TIFFFaxEncoder_11_</v>
      </c>
      <c r="D295">
        <v>7</v>
      </c>
      <c r="E295" s="4">
        <v>0.99130434782608701</v>
      </c>
      <c r="F295" s="4">
        <v>0.75129079396005849</v>
      </c>
      <c r="G295" s="4" t="str">
        <f t="shared" si="40"/>
        <v/>
      </c>
      <c r="H295" s="4" t="str">
        <f t="shared" si="41"/>
        <v/>
      </c>
      <c r="I295" s="4" t="str">
        <f t="shared" si="42"/>
        <v/>
      </c>
      <c r="J295" s="4">
        <f t="shared" si="43"/>
        <v>0.99130434782608701</v>
      </c>
      <c r="K295" s="4" t="str">
        <f t="shared" si="44"/>
        <v/>
      </c>
      <c r="L295" s="4" t="str">
        <f t="shared" si="45"/>
        <v/>
      </c>
      <c r="M295" s="4"/>
      <c r="N295" s="4"/>
      <c r="O295" s="4"/>
      <c r="P295" s="4"/>
      <c r="Q295" s="4"/>
      <c r="R295" s="4"/>
      <c r="S295" s="4"/>
      <c r="T295" s="4"/>
      <c r="U295" s="4"/>
    </row>
    <row r="296" spans="1:21">
      <c r="A296" t="s">
        <v>598</v>
      </c>
      <c r="B296">
        <v>11</v>
      </c>
      <c r="C296" t="str">
        <f t="shared" si="39"/>
        <v>test.TIFFFaxEncoder_11_</v>
      </c>
      <c r="D296">
        <v>8</v>
      </c>
      <c r="E296" s="4">
        <v>0.99130434782608701</v>
      </c>
      <c r="F296" s="4">
        <v>0.75450560155869462</v>
      </c>
      <c r="G296" s="4" t="str">
        <f t="shared" si="40"/>
        <v/>
      </c>
      <c r="H296" s="4" t="str">
        <f t="shared" si="41"/>
        <v/>
      </c>
      <c r="I296" s="4" t="str">
        <f t="shared" si="42"/>
        <v/>
      </c>
      <c r="J296" s="4">
        <f t="shared" si="43"/>
        <v>0.99130434782608701</v>
      </c>
      <c r="K296" s="4" t="str">
        <f t="shared" si="44"/>
        <v/>
      </c>
      <c r="L296" s="4" t="str">
        <f t="shared" si="45"/>
        <v/>
      </c>
      <c r="M296" s="4"/>
      <c r="N296" s="4"/>
      <c r="O296" s="4"/>
      <c r="P296" s="4"/>
      <c r="Q296" s="4"/>
      <c r="R296" s="4"/>
      <c r="S296" s="4"/>
      <c r="T296" s="4"/>
      <c r="U296" s="4"/>
    </row>
    <row r="297" spans="1:21">
      <c r="A297" t="s">
        <v>598</v>
      </c>
      <c r="B297">
        <v>11</v>
      </c>
      <c r="C297" t="str">
        <f t="shared" si="39"/>
        <v>test.TIFFFaxEncoder_11_</v>
      </c>
      <c r="D297">
        <v>9</v>
      </c>
      <c r="E297" s="4">
        <v>1</v>
      </c>
      <c r="F297" s="4">
        <v>0.76863127131027764</v>
      </c>
      <c r="G297" s="4" t="str">
        <f t="shared" si="40"/>
        <v/>
      </c>
      <c r="H297" s="4" t="str">
        <f t="shared" si="41"/>
        <v/>
      </c>
      <c r="I297" s="4" t="str">
        <f t="shared" si="42"/>
        <v/>
      </c>
      <c r="J297" s="4">
        <f t="shared" si="43"/>
        <v>1</v>
      </c>
      <c r="K297" s="4" t="str">
        <f t="shared" si="44"/>
        <v/>
      </c>
      <c r="L297" s="4" t="str">
        <f t="shared" si="45"/>
        <v/>
      </c>
      <c r="M297" s="4"/>
      <c r="N297" s="4"/>
      <c r="O297" s="4"/>
      <c r="P297" s="4"/>
      <c r="Q297" s="4"/>
      <c r="R297" s="4"/>
      <c r="S297" s="4"/>
      <c r="T297" s="4"/>
      <c r="U297" s="4"/>
    </row>
    <row r="298" spans="1:21">
      <c r="A298" t="s">
        <v>598</v>
      </c>
      <c r="B298">
        <v>11</v>
      </c>
      <c r="C298" t="str">
        <f t="shared" si="39"/>
        <v>test.TIFFFaxEncoder_11_</v>
      </c>
      <c r="D298">
        <v>10</v>
      </c>
      <c r="E298" s="4">
        <v>1</v>
      </c>
      <c r="F298" s="4">
        <v>0.77963955187530443</v>
      </c>
      <c r="G298" s="4" t="str">
        <f t="shared" si="40"/>
        <v/>
      </c>
      <c r="H298" s="4" t="str">
        <f t="shared" si="41"/>
        <v/>
      </c>
      <c r="I298" s="4" t="str">
        <f t="shared" si="42"/>
        <v/>
      </c>
      <c r="J298" s="4">
        <f t="shared" si="43"/>
        <v>1</v>
      </c>
      <c r="K298" s="4" t="str">
        <f t="shared" si="44"/>
        <v/>
      </c>
      <c r="L298" s="4" t="str">
        <f t="shared" si="45"/>
        <v/>
      </c>
      <c r="M298" s="4"/>
      <c r="N298" s="4"/>
      <c r="O298" s="4"/>
      <c r="P298" s="4"/>
      <c r="Q298" s="4"/>
      <c r="R298" s="4"/>
      <c r="S298" s="4"/>
      <c r="T298" s="4"/>
      <c r="U298" s="4"/>
    </row>
    <row r="299" spans="1:21">
      <c r="A299" t="s">
        <v>598</v>
      </c>
      <c r="B299">
        <v>11</v>
      </c>
      <c r="C299" t="str">
        <f t="shared" si="39"/>
        <v>test.TIFFFaxEncoder_11_</v>
      </c>
      <c r="D299">
        <v>11</v>
      </c>
      <c r="E299" s="4">
        <v>1</v>
      </c>
      <c r="F299" s="4">
        <v>0.78967364831953235</v>
      </c>
      <c r="G299" s="4" t="str">
        <f t="shared" si="40"/>
        <v/>
      </c>
      <c r="H299" s="4" t="str">
        <f t="shared" si="41"/>
        <v/>
      </c>
      <c r="I299" s="4" t="str">
        <f t="shared" si="42"/>
        <v/>
      </c>
      <c r="J299" s="4">
        <f t="shared" si="43"/>
        <v>1</v>
      </c>
      <c r="K299" s="4" t="str">
        <f t="shared" si="44"/>
        <v/>
      </c>
      <c r="L299" s="4" t="str">
        <f t="shared" si="45"/>
        <v/>
      </c>
      <c r="M299" s="4"/>
      <c r="N299" s="4"/>
      <c r="O299" s="4"/>
      <c r="P299" s="4"/>
      <c r="Q299" s="4"/>
      <c r="R299" s="4"/>
      <c r="S299" s="4"/>
      <c r="T299" s="4"/>
      <c r="U299" s="4"/>
    </row>
    <row r="300" spans="1:21">
      <c r="A300" t="s">
        <v>598</v>
      </c>
      <c r="B300">
        <v>11</v>
      </c>
      <c r="C300" t="str">
        <f t="shared" si="39"/>
        <v>test.TIFFFaxEncoder_11_</v>
      </c>
      <c r="D300">
        <v>12</v>
      </c>
      <c r="E300" s="4">
        <v>1</v>
      </c>
      <c r="F300" s="4">
        <v>0.79766195811008278</v>
      </c>
      <c r="G300" s="4" t="str">
        <f t="shared" si="40"/>
        <v/>
      </c>
      <c r="H300" s="4" t="str">
        <f t="shared" si="41"/>
        <v/>
      </c>
      <c r="I300" s="4" t="str">
        <f t="shared" si="42"/>
        <v/>
      </c>
      <c r="J300" s="4">
        <f t="shared" si="43"/>
        <v>1</v>
      </c>
      <c r="K300" s="4" t="str">
        <f>IF(AND($F300 &gt; 0.8, $F300 &lt;=1.1),$E300,"")</f>
        <v/>
      </c>
      <c r="L300" s="4" t="str">
        <f t="shared" si="45"/>
        <v/>
      </c>
      <c r="M300" s="4"/>
      <c r="N300" s="4"/>
      <c r="O300" s="4"/>
      <c r="P300" s="4"/>
      <c r="Q300" s="4"/>
      <c r="R300" s="4"/>
      <c r="S300" s="4"/>
      <c r="T300" s="4"/>
      <c r="U300" s="4"/>
    </row>
    <row r="301" spans="1:21">
      <c r="A301" t="s">
        <v>598</v>
      </c>
      <c r="B301">
        <v>11</v>
      </c>
      <c r="C301" t="str">
        <f t="shared" si="39"/>
        <v>test.TIFFFaxEncoder_11_</v>
      </c>
      <c r="D301">
        <v>13</v>
      </c>
      <c r="E301" s="4">
        <v>1</v>
      </c>
      <c r="F301" s="4">
        <v>0.81139795421334637</v>
      </c>
      <c r="G301" s="4" t="str">
        <f t="shared" si="40"/>
        <v/>
      </c>
      <c r="H301" s="4" t="str">
        <f t="shared" si="41"/>
        <v/>
      </c>
      <c r="I301" s="4" t="str">
        <f t="shared" si="42"/>
        <v/>
      </c>
      <c r="J301" s="4" t="str">
        <f t="shared" si="43"/>
        <v/>
      </c>
      <c r="K301" s="4">
        <f t="shared" si="44"/>
        <v>1</v>
      </c>
      <c r="L301" s="4" t="str">
        <f t="shared" si="45"/>
        <v/>
      </c>
      <c r="M301" s="4"/>
      <c r="N301" s="4"/>
      <c r="O301" s="4"/>
      <c r="P301" s="4"/>
      <c r="Q301" s="4"/>
      <c r="R301" s="4"/>
      <c r="S301" s="4"/>
      <c r="T301" s="4"/>
      <c r="U301" s="4"/>
    </row>
    <row r="302" spans="1:21">
      <c r="A302" t="s">
        <v>598</v>
      </c>
      <c r="B302">
        <v>11</v>
      </c>
      <c r="C302" t="str">
        <f t="shared" si="39"/>
        <v>test.TIFFFaxEncoder_11_</v>
      </c>
      <c r="D302">
        <v>14</v>
      </c>
      <c r="E302" s="4">
        <v>1</v>
      </c>
      <c r="F302" s="4">
        <v>0.81480759863614227</v>
      </c>
      <c r="G302" s="4" t="str">
        <f t="shared" si="40"/>
        <v/>
      </c>
      <c r="H302" s="4" t="str">
        <f t="shared" si="41"/>
        <v/>
      </c>
      <c r="I302" s="4" t="str">
        <f t="shared" si="42"/>
        <v/>
      </c>
      <c r="J302" s="4" t="str">
        <f t="shared" si="43"/>
        <v/>
      </c>
      <c r="K302" s="4">
        <f t="shared" si="44"/>
        <v>1</v>
      </c>
      <c r="L302" s="4" t="str">
        <f t="shared" si="45"/>
        <v/>
      </c>
      <c r="M302" s="4"/>
      <c r="N302" s="4"/>
      <c r="O302" s="4"/>
      <c r="P302" s="4"/>
      <c r="Q302" s="4"/>
      <c r="R302" s="4"/>
      <c r="S302" s="4"/>
      <c r="T302" s="4"/>
      <c r="U302" s="4"/>
    </row>
    <row r="303" spans="1:21">
      <c r="A303" t="s">
        <v>598</v>
      </c>
      <c r="B303">
        <v>11</v>
      </c>
      <c r="C303" t="str">
        <f t="shared" si="39"/>
        <v>test.TIFFFaxEncoder_11_</v>
      </c>
      <c r="D303">
        <v>15</v>
      </c>
      <c r="E303" s="4">
        <v>1</v>
      </c>
      <c r="F303" s="4">
        <v>0.81948368241597658</v>
      </c>
      <c r="G303" s="4" t="str">
        <f t="shared" si="40"/>
        <v/>
      </c>
      <c r="H303" s="4" t="str">
        <f t="shared" si="41"/>
        <v/>
      </c>
      <c r="I303" s="4" t="str">
        <f t="shared" si="42"/>
        <v/>
      </c>
      <c r="J303" s="4" t="str">
        <f t="shared" si="43"/>
        <v/>
      </c>
      <c r="K303" s="4">
        <f t="shared" si="44"/>
        <v>1</v>
      </c>
      <c r="L303" s="4" t="str">
        <f t="shared" si="45"/>
        <v/>
      </c>
      <c r="M303" s="4"/>
      <c r="N303" s="4"/>
      <c r="O303" s="4"/>
      <c r="P303" s="4"/>
      <c r="Q303" s="4"/>
      <c r="R303" s="4"/>
      <c r="S303" s="4"/>
      <c r="T303" s="4"/>
      <c r="U303" s="4"/>
    </row>
    <row r="304" spans="1:21">
      <c r="A304" t="s">
        <v>598</v>
      </c>
      <c r="B304">
        <v>11</v>
      </c>
      <c r="C304" t="str">
        <f t="shared" si="39"/>
        <v>test.TIFFFaxEncoder_11_</v>
      </c>
      <c r="D304">
        <v>16</v>
      </c>
      <c r="E304" s="4">
        <v>1</v>
      </c>
      <c r="F304" s="4">
        <v>0.82834875791524598</v>
      </c>
      <c r="G304" s="4" t="str">
        <f t="shared" si="40"/>
        <v/>
      </c>
      <c r="H304" s="4" t="str">
        <f t="shared" si="41"/>
        <v/>
      </c>
      <c r="I304" s="4" t="str">
        <f t="shared" si="42"/>
        <v/>
      </c>
      <c r="J304" s="4" t="str">
        <f t="shared" si="43"/>
        <v/>
      </c>
      <c r="K304" s="4">
        <f t="shared" si="44"/>
        <v>1</v>
      </c>
      <c r="L304" s="4" t="str">
        <f t="shared" si="45"/>
        <v/>
      </c>
      <c r="M304" s="4"/>
      <c r="N304" s="4"/>
      <c r="O304" s="4"/>
      <c r="P304" s="4"/>
      <c r="Q304" s="4"/>
      <c r="R304" s="4"/>
      <c r="S304" s="4"/>
      <c r="T304" s="4"/>
      <c r="U304" s="4"/>
    </row>
    <row r="305" spans="1:21">
      <c r="A305" t="s">
        <v>598</v>
      </c>
      <c r="B305">
        <v>11</v>
      </c>
      <c r="C305" t="str">
        <f t="shared" si="39"/>
        <v>test.TIFFFaxEncoder_11_</v>
      </c>
      <c r="D305">
        <v>17</v>
      </c>
      <c r="E305" s="4">
        <v>1</v>
      </c>
      <c r="F305" s="4">
        <v>0.84315635655138821</v>
      </c>
      <c r="G305" s="4" t="str">
        <f t="shared" si="40"/>
        <v/>
      </c>
      <c r="H305" s="4" t="str">
        <f t="shared" si="41"/>
        <v/>
      </c>
      <c r="I305" s="4" t="str">
        <f t="shared" si="42"/>
        <v/>
      </c>
      <c r="J305" s="4" t="str">
        <f t="shared" si="43"/>
        <v/>
      </c>
      <c r="K305" s="4">
        <f t="shared" si="44"/>
        <v>1</v>
      </c>
      <c r="L305" s="4" t="str">
        <f t="shared" si="45"/>
        <v/>
      </c>
      <c r="M305" s="4"/>
      <c r="N305" s="4"/>
      <c r="O305" s="4"/>
      <c r="P305" s="4"/>
      <c r="Q305" s="4"/>
      <c r="R305" s="4"/>
      <c r="S305" s="4"/>
      <c r="T305" s="4"/>
      <c r="U305" s="4"/>
    </row>
    <row r="306" spans="1:21">
      <c r="A306" t="s">
        <v>598</v>
      </c>
      <c r="B306">
        <v>11</v>
      </c>
      <c r="C306" t="str">
        <f t="shared" si="39"/>
        <v>test.TIFFFaxEncoder_11_</v>
      </c>
      <c r="D306">
        <v>18</v>
      </c>
      <c r="E306" s="4">
        <v>1</v>
      </c>
      <c r="F306" s="4">
        <v>0.85396980029225522</v>
      </c>
      <c r="G306" s="4" t="str">
        <f t="shared" si="40"/>
        <v/>
      </c>
      <c r="H306" s="4" t="str">
        <f t="shared" si="41"/>
        <v/>
      </c>
      <c r="I306" s="4" t="str">
        <f t="shared" si="42"/>
        <v/>
      </c>
      <c r="J306" s="4" t="str">
        <f t="shared" si="43"/>
        <v/>
      </c>
      <c r="K306" s="4">
        <f t="shared" si="44"/>
        <v>1</v>
      </c>
      <c r="L306" s="4" t="str">
        <f t="shared" si="45"/>
        <v/>
      </c>
      <c r="M306" s="4"/>
      <c r="N306" s="4"/>
      <c r="O306" s="4"/>
      <c r="P306" s="4"/>
      <c r="Q306" s="4"/>
      <c r="R306" s="4"/>
      <c r="S306" s="4"/>
      <c r="T306" s="4"/>
      <c r="U306" s="4"/>
    </row>
    <row r="307" spans="1:21">
      <c r="A307" t="s">
        <v>598</v>
      </c>
      <c r="B307">
        <v>11</v>
      </c>
      <c r="C307" t="str">
        <f t="shared" si="39"/>
        <v>test.TIFFFaxEncoder_11_</v>
      </c>
      <c r="D307">
        <v>19</v>
      </c>
      <c r="E307" s="4">
        <v>1</v>
      </c>
      <c r="F307" s="4">
        <v>0.85533365806137363</v>
      </c>
      <c r="G307" s="4" t="str">
        <f t="shared" si="40"/>
        <v/>
      </c>
      <c r="H307" s="4" t="str">
        <f t="shared" si="41"/>
        <v/>
      </c>
      <c r="I307" s="4" t="str">
        <f t="shared" si="42"/>
        <v/>
      </c>
      <c r="J307" s="4" t="str">
        <f t="shared" si="43"/>
        <v/>
      </c>
      <c r="K307" s="4">
        <f t="shared" si="44"/>
        <v>1</v>
      </c>
      <c r="L307" s="4" t="str">
        <f t="shared" si="45"/>
        <v/>
      </c>
      <c r="M307" s="4"/>
      <c r="N307" s="4"/>
      <c r="O307" s="4"/>
      <c r="P307" s="4"/>
      <c r="Q307" s="4"/>
      <c r="R307" s="4"/>
      <c r="S307" s="4"/>
      <c r="T307" s="4"/>
      <c r="U307" s="4"/>
    </row>
    <row r="308" spans="1:21">
      <c r="A308" t="s">
        <v>598</v>
      </c>
      <c r="B308">
        <v>11</v>
      </c>
      <c r="C308" t="str">
        <f t="shared" si="39"/>
        <v>test.TIFFFaxEncoder_11_</v>
      </c>
      <c r="D308">
        <v>20</v>
      </c>
      <c r="E308" s="4">
        <v>1</v>
      </c>
      <c r="F308" s="4">
        <v>0.86400389673648315</v>
      </c>
      <c r="G308" s="4" t="str">
        <f t="shared" si="40"/>
        <v/>
      </c>
      <c r="H308" s="4" t="str">
        <f t="shared" si="41"/>
        <v/>
      </c>
      <c r="I308" s="4" t="str">
        <f t="shared" si="42"/>
        <v/>
      </c>
      <c r="J308" s="4" t="str">
        <f t="shared" si="43"/>
        <v/>
      </c>
      <c r="K308" s="4">
        <f t="shared" si="44"/>
        <v>1</v>
      </c>
      <c r="L308" s="4" t="str">
        <f t="shared" si="45"/>
        <v/>
      </c>
      <c r="M308" s="4"/>
      <c r="N308" s="4"/>
      <c r="O308" s="4"/>
      <c r="P308" s="4"/>
      <c r="Q308" s="4"/>
      <c r="R308" s="4"/>
      <c r="S308" s="4"/>
      <c r="T308" s="4"/>
      <c r="U308" s="4"/>
    </row>
    <row r="309" spans="1:21">
      <c r="A309" t="s">
        <v>598</v>
      </c>
      <c r="B309">
        <v>11</v>
      </c>
      <c r="C309" t="str">
        <f t="shared" si="39"/>
        <v>test.TIFFFaxEncoder_11_</v>
      </c>
      <c r="D309">
        <v>21</v>
      </c>
      <c r="E309" s="4">
        <v>1</v>
      </c>
      <c r="F309" s="4">
        <v>0.87939600584510469</v>
      </c>
      <c r="G309" s="4" t="str">
        <f t="shared" si="40"/>
        <v/>
      </c>
      <c r="H309" s="4" t="str">
        <f t="shared" si="41"/>
        <v/>
      </c>
      <c r="I309" s="4" t="str">
        <f t="shared" si="42"/>
        <v/>
      </c>
      <c r="J309" s="4" t="str">
        <f t="shared" si="43"/>
        <v/>
      </c>
      <c r="K309" s="4">
        <f t="shared" si="44"/>
        <v>1</v>
      </c>
      <c r="L309" s="4" t="str">
        <f t="shared" si="45"/>
        <v/>
      </c>
      <c r="M309" s="4"/>
      <c r="N309" s="4"/>
      <c r="O309" s="4"/>
      <c r="P309" s="4"/>
      <c r="Q309" s="4"/>
      <c r="R309" s="4"/>
      <c r="S309" s="4"/>
      <c r="T309" s="4"/>
      <c r="U309" s="4"/>
    </row>
    <row r="310" spans="1:21">
      <c r="A310" t="s">
        <v>598</v>
      </c>
      <c r="B310">
        <v>11</v>
      </c>
      <c r="C310" t="str">
        <f t="shared" si="39"/>
        <v>test.TIFFFaxEncoder_11_</v>
      </c>
      <c r="D310">
        <v>22</v>
      </c>
      <c r="E310" s="4">
        <v>1</v>
      </c>
      <c r="F310" s="4">
        <v>0.89215781782756942</v>
      </c>
      <c r="G310" s="4" t="str">
        <f t="shared" si="40"/>
        <v/>
      </c>
      <c r="H310" s="4" t="str">
        <f t="shared" si="41"/>
        <v/>
      </c>
      <c r="I310" s="4" t="str">
        <f t="shared" si="42"/>
        <v/>
      </c>
      <c r="J310" s="4" t="str">
        <f t="shared" si="43"/>
        <v/>
      </c>
      <c r="K310" s="4">
        <f t="shared" si="44"/>
        <v>1</v>
      </c>
      <c r="L310" s="4" t="str">
        <f t="shared" si="45"/>
        <v/>
      </c>
      <c r="M310" s="4"/>
      <c r="N310" s="4"/>
      <c r="O310" s="4"/>
      <c r="P310" s="4"/>
      <c r="Q310" s="4"/>
      <c r="R310" s="4"/>
      <c r="S310" s="4"/>
      <c r="T310" s="4"/>
      <c r="U310" s="4"/>
    </row>
    <row r="311" spans="1:21">
      <c r="A311" t="s">
        <v>598</v>
      </c>
      <c r="B311">
        <v>11</v>
      </c>
      <c r="C311" t="str">
        <f t="shared" si="39"/>
        <v>test.TIFFFaxEncoder_11_</v>
      </c>
      <c r="D311">
        <v>23</v>
      </c>
      <c r="E311" s="4">
        <v>1</v>
      </c>
      <c r="F311" s="4">
        <v>0.90345835362883586</v>
      </c>
      <c r="G311" s="4" t="str">
        <f t="shared" si="40"/>
        <v/>
      </c>
      <c r="H311" s="4" t="str">
        <f t="shared" si="41"/>
        <v/>
      </c>
      <c r="I311" s="4" t="str">
        <f t="shared" si="42"/>
        <v/>
      </c>
      <c r="J311" s="4" t="str">
        <f t="shared" si="43"/>
        <v/>
      </c>
      <c r="K311" s="4">
        <f t="shared" si="44"/>
        <v>1</v>
      </c>
      <c r="L311" s="4" t="str">
        <f t="shared" si="45"/>
        <v/>
      </c>
      <c r="M311" s="4"/>
      <c r="N311" s="4"/>
      <c r="O311" s="4"/>
      <c r="P311" s="4"/>
      <c r="Q311" s="4"/>
      <c r="R311" s="4"/>
      <c r="S311" s="4"/>
      <c r="T311" s="4"/>
      <c r="U311" s="4"/>
    </row>
    <row r="312" spans="1:21">
      <c r="A312" t="s">
        <v>598</v>
      </c>
      <c r="B312">
        <v>11</v>
      </c>
      <c r="C312" t="str">
        <f t="shared" si="39"/>
        <v>test.TIFFFaxEncoder_11_</v>
      </c>
      <c r="D312">
        <v>24</v>
      </c>
      <c r="E312" s="4">
        <v>1</v>
      </c>
      <c r="F312" s="4">
        <v>0.92294203604481251</v>
      </c>
      <c r="G312" s="4" t="str">
        <f t="shared" si="40"/>
        <v/>
      </c>
      <c r="H312" s="4" t="str">
        <f t="shared" si="41"/>
        <v/>
      </c>
      <c r="I312" s="4" t="str">
        <f t="shared" si="42"/>
        <v/>
      </c>
      <c r="J312" s="4" t="str">
        <f t="shared" si="43"/>
        <v/>
      </c>
      <c r="K312" s="4">
        <f t="shared" si="44"/>
        <v>1</v>
      </c>
      <c r="L312" s="4" t="str">
        <f t="shared" si="45"/>
        <v/>
      </c>
      <c r="M312" s="4"/>
      <c r="N312" s="4"/>
      <c r="O312" s="4"/>
      <c r="P312" s="4"/>
      <c r="Q312" s="4"/>
      <c r="R312" s="4"/>
      <c r="S312" s="4"/>
      <c r="T312" s="4"/>
      <c r="U312" s="4"/>
    </row>
    <row r="313" spans="1:21">
      <c r="E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>
      <c r="E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>
      <c r="E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>
      <c r="E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>
      <c r="E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>
      <c r="E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>
      <c r="E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>
      <c r="E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5:21">
      <c r="E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5:21">
      <c r="E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5:21">
      <c r="E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5:21">
      <c r="E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5:21">
      <c r="E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5:21">
      <c r="E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5:21">
      <c r="E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5:21">
      <c r="E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5:21">
      <c r="E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5:21">
      <c r="E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5:21">
      <c r="E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5:21">
      <c r="E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5:21">
      <c r="E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5:21">
      <c r="E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5:21">
      <c r="E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5:21">
      <c r="E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5:21">
      <c r="E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5:21">
      <c r="E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5:21">
      <c r="E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5:21">
      <c r="E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5:21">
      <c r="E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5:21">
      <c r="E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5:21">
      <c r="E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5:21">
      <c r="E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5:21">
      <c r="E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5:21">
      <c r="E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5:21">
      <c r="E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5:21">
      <c r="E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5:21">
      <c r="E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5:21">
      <c r="E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5:21">
      <c r="E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5:21">
      <c r="E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5:21">
      <c r="E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5:21">
      <c r="E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5:21">
      <c r="E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5:21">
      <c r="E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5:21">
      <c r="E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5:21">
      <c r="E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5:21">
      <c r="E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5:21">
      <c r="E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5:21">
      <c r="E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5:21">
      <c r="E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5:21">
      <c r="E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5:21">
      <c r="E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5:21">
      <c r="E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5:21">
      <c r="E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5:21">
      <c r="E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5:21">
      <c r="E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5:21">
      <c r="E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5:21">
      <c r="E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5:21">
      <c r="E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5:21">
      <c r="E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5:21">
      <c r="E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5:21">
      <c r="E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5:21">
      <c r="E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5:21">
      <c r="E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5:21">
      <c r="E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5:21">
      <c r="E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5:21">
      <c r="E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5:21">
      <c r="E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5:21">
      <c r="E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5:21">
      <c r="E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5:21">
      <c r="E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5:21">
      <c r="E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5:21">
      <c r="E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5:21">
      <c r="E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5:21">
      <c r="E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5:21">
      <c r="E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5:21">
      <c r="E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5:21">
      <c r="E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5:21">
      <c r="E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5:21">
      <c r="E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5:21">
      <c r="E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5:21">
      <c r="E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5:21">
      <c r="E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5:21">
      <c r="E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5:21">
      <c r="E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5:21">
      <c r="E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5:21">
      <c r="E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5:21">
      <c r="E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5:21">
      <c r="E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5:21">
      <c r="E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5:21">
      <c r="E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5:21">
      <c r="E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5:21">
      <c r="E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5:21">
      <c r="E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5:21">
      <c r="E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5:21">
      <c r="E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5:21">
      <c r="E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5:21">
      <c r="E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5:21">
      <c r="E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5:21">
      <c r="E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5:21">
      <c r="E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5:21">
      <c r="E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5:21">
      <c r="E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5:21">
      <c r="E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5:21">
      <c r="E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5:21">
      <c r="E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5:21">
      <c r="E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5:21">
      <c r="E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5:21">
      <c r="E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5:21">
      <c r="E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5:21">
      <c r="E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5:21">
      <c r="E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5:21">
      <c r="E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5:21">
      <c r="E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5:21">
      <c r="E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5:21">
      <c r="E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5:21">
      <c r="E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5:21">
      <c r="E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5:21">
      <c r="E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5:21">
      <c r="E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5:21">
      <c r="E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5:21">
      <c r="E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5:21">
      <c r="E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5:21">
      <c r="E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5:21">
      <c r="E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5:21">
      <c r="E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5:21">
      <c r="E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5:21">
      <c r="E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5:21">
      <c r="E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5:21">
      <c r="E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5:21">
      <c r="E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5:21">
      <c r="E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5:21">
      <c r="E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5:21">
      <c r="E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5:21">
      <c r="E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5:21">
      <c r="E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5:21">
      <c r="E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5:21">
      <c r="E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5:21">
      <c r="E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5:21">
      <c r="E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5:21">
      <c r="E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5:21">
      <c r="E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5:21">
      <c r="E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5:21">
      <c r="E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5:21">
      <c r="E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5:21">
      <c r="E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5:21">
      <c r="E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5:21">
      <c r="E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5:21">
      <c r="E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5:21">
      <c r="E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5:21">
      <c r="E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5:21">
      <c r="E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5:21">
      <c r="E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5:21">
      <c r="E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5:21">
      <c r="E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5:21">
      <c r="E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5:21">
      <c r="E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5:21">
      <c r="E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5:21">
      <c r="E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5:21">
      <c r="E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5:21">
      <c r="E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5:21">
      <c r="E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5:21">
      <c r="E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5:21">
      <c r="E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5:21">
      <c r="E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5:21">
      <c r="E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5:21">
      <c r="E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5:21">
      <c r="E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5:21">
      <c r="E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5:21">
      <c r="E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5:21">
      <c r="E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5:21">
      <c r="E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5:21">
      <c r="E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5:21">
      <c r="E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5:21">
      <c r="E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5:21">
      <c r="E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5:21">
      <c r="E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5:21">
      <c r="E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5:21">
      <c r="E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5:21">
      <c r="E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5:21">
      <c r="E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5:21">
      <c r="E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5:21">
      <c r="E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5:21">
      <c r="E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5:21">
      <c r="E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5:21">
      <c r="E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5:21">
      <c r="E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5:21">
      <c r="E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5:21">
      <c r="E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5:21">
      <c r="E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5:21">
      <c r="E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5:21">
      <c r="E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5:21">
      <c r="E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5:21">
      <c r="E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5:21">
      <c r="E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5:21">
      <c r="E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5:21">
      <c r="E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5:21">
      <c r="E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5:21">
      <c r="E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5:21">
      <c r="E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5:21">
      <c r="E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5:21">
      <c r="E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5:21">
      <c r="E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5:21">
      <c r="E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5:21">
      <c r="E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5:21">
      <c r="E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5:21">
      <c r="E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5:21">
      <c r="E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5:21">
      <c r="E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4"/>
  <sheetViews>
    <sheetView workbookViewId="0">
      <selection activeCell="D151" sqref="D151"/>
    </sheetView>
  </sheetViews>
  <sheetFormatPr baseColWidth="10" defaultRowHeight="15" x14ac:dyDescent="0"/>
  <cols>
    <col min="1" max="1" width="25.33203125" bestFit="1" customWidth="1"/>
    <col min="8" max="8" width="10.83203125" style="9"/>
    <col min="10" max="10" width="16" customWidth="1"/>
  </cols>
  <sheetData>
    <row r="1" spans="1:17">
      <c r="A1" t="s">
        <v>216</v>
      </c>
      <c r="B1" t="s">
        <v>217</v>
      </c>
      <c r="C1" t="s">
        <v>218</v>
      </c>
      <c r="D1" s="2" t="s">
        <v>181</v>
      </c>
      <c r="E1" s="2" t="s">
        <v>183</v>
      </c>
      <c r="F1" s="2" t="s">
        <v>182</v>
      </c>
      <c r="G1" s="2" t="s">
        <v>184</v>
      </c>
      <c r="H1" s="10" t="s">
        <v>10</v>
      </c>
      <c r="I1" s="2" t="s">
        <v>232</v>
      </c>
      <c r="K1" t="s">
        <v>3</v>
      </c>
      <c r="L1" t="s">
        <v>5</v>
      </c>
      <c r="M1" t="s">
        <v>7</v>
      </c>
      <c r="N1" t="s">
        <v>186</v>
      </c>
      <c r="O1" t="s">
        <v>8</v>
      </c>
      <c r="P1" t="s">
        <v>187</v>
      </c>
      <c r="Q1" s="2" t="s">
        <v>940</v>
      </c>
    </row>
    <row r="2" spans="1:17">
      <c r="A2" t="s">
        <v>188</v>
      </c>
      <c r="B2">
        <v>1</v>
      </c>
      <c r="C2">
        <v>1</v>
      </c>
      <c r="D2">
        <v>26</v>
      </c>
      <c r="E2">
        <v>0</v>
      </c>
      <c r="F2">
        <v>15</v>
      </c>
      <c r="G2">
        <v>0</v>
      </c>
      <c r="H2" s="9">
        <v>51</v>
      </c>
      <c r="I2" s="4">
        <f>D2/H2</f>
        <v>0.50980392156862742</v>
      </c>
      <c r="K2" t="s">
        <v>188</v>
      </c>
      <c r="L2">
        <v>1</v>
      </c>
      <c r="M2" t="s">
        <v>207</v>
      </c>
      <c r="N2">
        <v>1</v>
      </c>
      <c r="O2">
        <v>6097</v>
      </c>
      <c r="P2">
        <v>1117</v>
      </c>
      <c r="Q2" s="4">
        <f>P2/O2</f>
        <v>0.18320485484664589</v>
      </c>
    </row>
    <row r="3" spans="1:17">
      <c r="A3" t="s">
        <v>188</v>
      </c>
      <c r="B3">
        <v>1</v>
      </c>
      <c r="C3">
        <v>2</v>
      </c>
      <c r="D3">
        <v>26</v>
      </c>
      <c r="E3">
        <v>0</v>
      </c>
      <c r="F3">
        <v>20</v>
      </c>
      <c r="G3">
        <v>0</v>
      </c>
      <c r="H3" s="9">
        <v>51</v>
      </c>
      <c r="I3" s="4">
        <f t="shared" ref="I3:I66" si="0">D3/H3</f>
        <v>0.50980392156862742</v>
      </c>
      <c r="K3" t="s">
        <v>188</v>
      </c>
      <c r="L3">
        <v>1</v>
      </c>
      <c r="M3" t="s">
        <v>775</v>
      </c>
      <c r="N3">
        <v>2</v>
      </c>
      <c r="O3">
        <v>6097</v>
      </c>
      <c r="P3">
        <v>1127</v>
      </c>
      <c r="Q3" s="4">
        <f t="shared" ref="Q3:Q66" si="1">P3/O3</f>
        <v>0.18484500574052812</v>
      </c>
    </row>
    <row r="4" spans="1:17">
      <c r="A4" t="s">
        <v>188</v>
      </c>
      <c r="B4">
        <v>1</v>
      </c>
      <c r="C4">
        <v>3</v>
      </c>
      <c r="D4">
        <v>28</v>
      </c>
      <c r="E4">
        <v>0</v>
      </c>
      <c r="F4">
        <v>18</v>
      </c>
      <c r="G4">
        <v>0</v>
      </c>
      <c r="H4" s="9">
        <v>51</v>
      </c>
      <c r="I4" s="4">
        <f t="shared" si="0"/>
        <v>0.5490196078431373</v>
      </c>
      <c r="K4" t="s">
        <v>188</v>
      </c>
      <c r="L4">
        <v>1</v>
      </c>
      <c r="M4" t="s">
        <v>773</v>
      </c>
      <c r="N4">
        <v>3</v>
      </c>
      <c r="O4">
        <v>6097</v>
      </c>
      <c r="P4">
        <v>1129</v>
      </c>
      <c r="Q4" s="4">
        <f t="shared" si="1"/>
        <v>0.18517303591930456</v>
      </c>
    </row>
    <row r="5" spans="1:17">
      <c r="A5" t="s">
        <v>188</v>
      </c>
      <c r="B5">
        <v>1</v>
      </c>
      <c r="C5">
        <v>4</v>
      </c>
      <c r="D5">
        <v>31</v>
      </c>
      <c r="E5">
        <v>0</v>
      </c>
      <c r="F5">
        <v>15</v>
      </c>
      <c r="G5">
        <v>0</v>
      </c>
      <c r="H5" s="9">
        <v>51</v>
      </c>
      <c r="I5" s="4">
        <f t="shared" si="0"/>
        <v>0.60784313725490191</v>
      </c>
      <c r="K5" t="s">
        <v>188</v>
      </c>
      <c r="L5">
        <v>1</v>
      </c>
      <c r="M5" t="s">
        <v>774</v>
      </c>
      <c r="N5">
        <v>4</v>
      </c>
      <c r="O5">
        <v>6097</v>
      </c>
      <c r="P5">
        <v>1137</v>
      </c>
      <c r="Q5" s="4">
        <f t="shared" si="1"/>
        <v>0.18648515663441037</v>
      </c>
    </row>
    <row r="6" spans="1:17">
      <c r="A6" t="s">
        <v>188</v>
      </c>
      <c r="B6">
        <v>1</v>
      </c>
      <c r="C6">
        <v>5</v>
      </c>
      <c r="D6">
        <v>31</v>
      </c>
      <c r="E6">
        <v>0</v>
      </c>
      <c r="F6">
        <v>15</v>
      </c>
      <c r="G6">
        <v>0</v>
      </c>
      <c r="H6" s="9">
        <v>51</v>
      </c>
      <c r="I6" s="4">
        <f t="shared" si="0"/>
        <v>0.60784313725490191</v>
      </c>
      <c r="K6" t="s">
        <v>188</v>
      </c>
      <c r="L6">
        <v>1</v>
      </c>
      <c r="M6" t="s">
        <v>772</v>
      </c>
      <c r="N6">
        <v>5</v>
      </c>
      <c r="O6">
        <v>6097</v>
      </c>
      <c r="P6">
        <v>1139</v>
      </c>
      <c r="Q6" s="4">
        <f t="shared" si="1"/>
        <v>0.18681318681318682</v>
      </c>
    </row>
    <row r="7" spans="1:17">
      <c r="A7" t="s">
        <v>188</v>
      </c>
      <c r="B7">
        <v>1</v>
      </c>
      <c r="C7">
        <v>6</v>
      </c>
      <c r="D7">
        <v>31</v>
      </c>
      <c r="E7">
        <v>0</v>
      </c>
      <c r="F7">
        <v>15</v>
      </c>
      <c r="G7">
        <v>0</v>
      </c>
      <c r="H7" s="9">
        <v>51</v>
      </c>
      <c r="I7" s="4">
        <f t="shared" si="0"/>
        <v>0.60784313725490191</v>
      </c>
      <c r="K7" t="s">
        <v>188</v>
      </c>
      <c r="L7">
        <v>1</v>
      </c>
      <c r="M7" t="s">
        <v>461</v>
      </c>
      <c r="N7">
        <v>6</v>
      </c>
      <c r="O7">
        <v>6097</v>
      </c>
      <c r="P7">
        <v>1140</v>
      </c>
      <c r="Q7" s="4">
        <f t="shared" si="1"/>
        <v>0.18697720190257502</v>
      </c>
    </row>
    <row r="8" spans="1:17">
      <c r="A8" t="s">
        <v>188</v>
      </c>
      <c r="B8">
        <v>1</v>
      </c>
      <c r="C8">
        <v>7</v>
      </c>
      <c r="D8">
        <v>31</v>
      </c>
      <c r="E8">
        <v>0</v>
      </c>
      <c r="F8">
        <v>15</v>
      </c>
      <c r="G8">
        <v>0</v>
      </c>
      <c r="H8" s="9">
        <v>51</v>
      </c>
      <c r="I8" s="4">
        <f t="shared" si="0"/>
        <v>0.60784313725490191</v>
      </c>
      <c r="K8" t="s">
        <v>188</v>
      </c>
      <c r="L8">
        <v>1</v>
      </c>
      <c r="M8" t="s">
        <v>771</v>
      </c>
      <c r="N8">
        <v>7</v>
      </c>
      <c r="O8">
        <v>6097</v>
      </c>
      <c r="P8">
        <v>1141</v>
      </c>
      <c r="Q8" s="4">
        <f t="shared" si="1"/>
        <v>0.18714121699196326</v>
      </c>
    </row>
    <row r="9" spans="1:17">
      <c r="A9" t="s">
        <v>188</v>
      </c>
      <c r="B9">
        <v>1</v>
      </c>
      <c r="C9">
        <v>8</v>
      </c>
      <c r="D9">
        <v>31</v>
      </c>
      <c r="E9">
        <v>0</v>
      </c>
      <c r="F9">
        <v>15</v>
      </c>
      <c r="G9">
        <v>0</v>
      </c>
      <c r="H9" s="9">
        <v>51</v>
      </c>
      <c r="I9" s="4">
        <f t="shared" si="0"/>
        <v>0.60784313725490191</v>
      </c>
      <c r="K9" t="s">
        <v>188</v>
      </c>
      <c r="L9">
        <v>1</v>
      </c>
      <c r="M9" t="s">
        <v>770</v>
      </c>
      <c r="N9">
        <v>8</v>
      </c>
      <c r="O9">
        <v>6097</v>
      </c>
      <c r="P9">
        <v>1151</v>
      </c>
      <c r="Q9" s="4">
        <f t="shared" si="1"/>
        <v>0.18878136788584549</v>
      </c>
    </row>
    <row r="10" spans="1:17">
      <c r="A10" t="s">
        <v>188</v>
      </c>
      <c r="B10">
        <v>1</v>
      </c>
      <c r="C10">
        <v>9</v>
      </c>
      <c r="D10">
        <v>32</v>
      </c>
      <c r="E10">
        <v>0</v>
      </c>
      <c r="F10">
        <v>16</v>
      </c>
      <c r="G10">
        <v>1</v>
      </c>
      <c r="H10" s="9">
        <v>51</v>
      </c>
      <c r="I10" s="4">
        <f t="shared" si="0"/>
        <v>0.62745098039215685</v>
      </c>
      <c r="K10" t="s">
        <v>188</v>
      </c>
      <c r="L10">
        <v>1</v>
      </c>
      <c r="M10" t="s">
        <v>777</v>
      </c>
      <c r="N10">
        <v>9</v>
      </c>
      <c r="O10">
        <v>6097</v>
      </c>
      <c r="P10">
        <v>1220</v>
      </c>
      <c r="Q10" s="4">
        <f t="shared" si="1"/>
        <v>0.20009840905363294</v>
      </c>
    </row>
    <row r="11" spans="1:17">
      <c r="A11" t="s">
        <v>188</v>
      </c>
      <c r="B11">
        <v>1</v>
      </c>
      <c r="C11">
        <v>10</v>
      </c>
      <c r="D11">
        <v>32</v>
      </c>
      <c r="E11">
        <v>0</v>
      </c>
      <c r="F11">
        <v>16</v>
      </c>
      <c r="G11">
        <v>1</v>
      </c>
      <c r="H11" s="9">
        <v>51</v>
      </c>
      <c r="I11" s="4">
        <f t="shared" si="0"/>
        <v>0.62745098039215685</v>
      </c>
      <c r="K11" t="s">
        <v>188</v>
      </c>
      <c r="L11">
        <v>1</v>
      </c>
      <c r="M11" t="s">
        <v>779</v>
      </c>
      <c r="N11">
        <v>10</v>
      </c>
      <c r="O11">
        <v>6097</v>
      </c>
      <c r="P11">
        <v>1223</v>
      </c>
      <c r="Q11" s="4">
        <f t="shared" si="1"/>
        <v>0.20059045432179762</v>
      </c>
    </row>
    <row r="12" spans="1:17">
      <c r="A12" t="s">
        <v>188</v>
      </c>
      <c r="B12">
        <v>1</v>
      </c>
      <c r="C12">
        <v>11</v>
      </c>
      <c r="D12">
        <v>32</v>
      </c>
      <c r="E12">
        <v>0</v>
      </c>
      <c r="F12">
        <v>16</v>
      </c>
      <c r="G12">
        <v>1</v>
      </c>
      <c r="H12" s="9">
        <v>51</v>
      </c>
      <c r="I12" s="4">
        <f t="shared" si="0"/>
        <v>0.62745098039215685</v>
      </c>
      <c r="K12" t="s">
        <v>188</v>
      </c>
      <c r="L12">
        <v>1</v>
      </c>
      <c r="M12" t="s">
        <v>778</v>
      </c>
      <c r="N12">
        <v>11</v>
      </c>
      <c r="O12">
        <v>6097</v>
      </c>
      <c r="P12">
        <v>1225</v>
      </c>
      <c r="Q12" s="4">
        <f t="shared" si="1"/>
        <v>0.20091848450057406</v>
      </c>
    </row>
    <row r="13" spans="1:17">
      <c r="A13" t="s">
        <v>188</v>
      </c>
      <c r="B13">
        <v>1</v>
      </c>
      <c r="C13">
        <v>12</v>
      </c>
      <c r="D13">
        <v>32</v>
      </c>
      <c r="E13">
        <v>0</v>
      </c>
      <c r="F13">
        <v>16</v>
      </c>
      <c r="G13">
        <v>1</v>
      </c>
      <c r="H13" s="9">
        <v>51</v>
      </c>
      <c r="I13" s="4">
        <f t="shared" si="0"/>
        <v>0.62745098039215685</v>
      </c>
      <c r="K13" t="s">
        <v>188</v>
      </c>
      <c r="L13">
        <v>1</v>
      </c>
      <c r="M13" t="s">
        <v>776</v>
      </c>
      <c r="N13">
        <v>12</v>
      </c>
      <c r="O13">
        <v>6097</v>
      </c>
      <c r="P13">
        <v>1245</v>
      </c>
      <c r="Q13" s="4">
        <f t="shared" si="1"/>
        <v>0.20419878628833854</v>
      </c>
    </row>
    <row r="14" spans="1:17">
      <c r="A14" t="s">
        <v>188</v>
      </c>
      <c r="B14">
        <v>1</v>
      </c>
      <c r="C14">
        <v>13</v>
      </c>
      <c r="D14">
        <v>41</v>
      </c>
      <c r="E14">
        <v>0</v>
      </c>
      <c r="F14">
        <v>9</v>
      </c>
      <c r="G14">
        <v>1</v>
      </c>
      <c r="H14" s="9">
        <v>51</v>
      </c>
      <c r="I14" s="4">
        <f t="shared" si="0"/>
        <v>0.80392156862745101</v>
      </c>
      <c r="K14" t="s">
        <v>188</v>
      </c>
      <c r="L14">
        <v>1</v>
      </c>
      <c r="M14" t="s">
        <v>780</v>
      </c>
      <c r="N14">
        <v>13</v>
      </c>
      <c r="O14">
        <v>6097</v>
      </c>
      <c r="P14">
        <v>3775</v>
      </c>
      <c r="Q14" s="4">
        <f t="shared" si="1"/>
        <v>0.61915696244054452</v>
      </c>
    </row>
    <row r="15" spans="1:17">
      <c r="A15" t="s">
        <v>188</v>
      </c>
      <c r="B15">
        <v>1</v>
      </c>
      <c r="C15">
        <v>14</v>
      </c>
      <c r="D15">
        <v>41</v>
      </c>
      <c r="E15">
        <v>0</v>
      </c>
      <c r="F15">
        <v>9</v>
      </c>
      <c r="G15">
        <v>1</v>
      </c>
      <c r="H15" s="9">
        <v>51</v>
      </c>
      <c r="I15" s="4">
        <f t="shared" si="0"/>
        <v>0.80392156862745101</v>
      </c>
      <c r="K15" t="s">
        <v>188</v>
      </c>
      <c r="L15">
        <v>1</v>
      </c>
      <c r="M15" t="s">
        <v>233</v>
      </c>
      <c r="N15">
        <v>14</v>
      </c>
      <c r="O15">
        <v>6097</v>
      </c>
      <c r="P15">
        <v>3781</v>
      </c>
      <c r="Q15" s="4">
        <f t="shared" si="1"/>
        <v>0.62014105297687383</v>
      </c>
    </row>
    <row r="16" spans="1:17">
      <c r="A16" t="s">
        <v>188</v>
      </c>
      <c r="B16">
        <v>1</v>
      </c>
      <c r="C16">
        <v>15</v>
      </c>
      <c r="D16">
        <v>41</v>
      </c>
      <c r="E16">
        <v>0</v>
      </c>
      <c r="F16">
        <v>9</v>
      </c>
      <c r="G16">
        <v>1</v>
      </c>
      <c r="H16" s="9">
        <v>51</v>
      </c>
      <c r="I16" s="4">
        <f t="shared" si="0"/>
        <v>0.80392156862745101</v>
      </c>
      <c r="K16" t="s">
        <v>188</v>
      </c>
      <c r="L16">
        <v>1</v>
      </c>
      <c r="M16" t="s">
        <v>541</v>
      </c>
      <c r="N16">
        <v>15</v>
      </c>
      <c r="O16">
        <v>6097</v>
      </c>
      <c r="P16">
        <v>3794</v>
      </c>
      <c r="Q16" s="4">
        <f t="shared" si="1"/>
        <v>0.62227324913892079</v>
      </c>
    </row>
    <row r="17" spans="1:17">
      <c r="A17" t="s">
        <v>188</v>
      </c>
      <c r="B17">
        <v>1</v>
      </c>
      <c r="C17">
        <v>16</v>
      </c>
      <c r="D17">
        <v>41</v>
      </c>
      <c r="E17">
        <v>0</v>
      </c>
      <c r="F17">
        <v>9</v>
      </c>
      <c r="G17">
        <v>1</v>
      </c>
      <c r="H17" s="9">
        <v>51</v>
      </c>
      <c r="I17" s="4">
        <f t="shared" si="0"/>
        <v>0.80392156862745101</v>
      </c>
      <c r="K17" t="s">
        <v>188</v>
      </c>
      <c r="L17">
        <v>1</v>
      </c>
      <c r="M17" t="s">
        <v>209</v>
      </c>
      <c r="N17">
        <v>16</v>
      </c>
      <c r="O17">
        <v>6097</v>
      </c>
      <c r="P17">
        <v>3799</v>
      </c>
      <c r="Q17" s="4">
        <f t="shared" si="1"/>
        <v>0.62309332458586186</v>
      </c>
    </row>
    <row r="18" spans="1:17">
      <c r="A18" t="s">
        <v>188</v>
      </c>
      <c r="B18">
        <v>7</v>
      </c>
      <c r="C18">
        <v>1</v>
      </c>
      <c r="D18">
        <v>32</v>
      </c>
      <c r="E18">
        <v>0</v>
      </c>
      <c r="F18">
        <v>4</v>
      </c>
      <c r="G18">
        <v>0</v>
      </c>
      <c r="H18" s="9">
        <v>132</v>
      </c>
      <c r="I18" s="4">
        <f t="shared" si="0"/>
        <v>0.24242424242424243</v>
      </c>
      <c r="K18" t="s">
        <v>188</v>
      </c>
      <c r="L18">
        <v>7</v>
      </c>
      <c r="M18" t="s">
        <v>786</v>
      </c>
      <c r="N18">
        <v>1</v>
      </c>
      <c r="O18">
        <v>3698</v>
      </c>
      <c r="P18">
        <v>1087</v>
      </c>
      <c r="Q18" s="4">
        <f t="shared" si="1"/>
        <v>0.29394267171444022</v>
      </c>
    </row>
    <row r="19" spans="1:17">
      <c r="A19" t="s">
        <v>188</v>
      </c>
      <c r="B19">
        <v>7</v>
      </c>
      <c r="C19">
        <v>2</v>
      </c>
      <c r="D19">
        <v>32</v>
      </c>
      <c r="E19">
        <v>0</v>
      </c>
      <c r="F19">
        <v>4</v>
      </c>
      <c r="G19">
        <v>0</v>
      </c>
      <c r="H19" s="9">
        <v>132</v>
      </c>
      <c r="I19" s="4">
        <f t="shared" si="0"/>
        <v>0.24242424242424243</v>
      </c>
      <c r="K19" t="s">
        <v>188</v>
      </c>
      <c r="L19">
        <v>7</v>
      </c>
      <c r="M19" t="s">
        <v>784</v>
      </c>
      <c r="N19">
        <v>2</v>
      </c>
      <c r="O19">
        <v>3698</v>
      </c>
      <c r="P19">
        <v>1099</v>
      </c>
      <c r="Q19" s="4">
        <f t="shared" si="1"/>
        <v>0.29718766901027582</v>
      </c>
    </row>
    <row r="20" spans="1:17">
      <c r="A20" t="s">
        <v>188</v>
      </c>
      <c r="B20">
        <v>7</v>
      </c>
      <c r="C20">
        <v>3</v>
      </c>
      <c r="D20">
        <v>32</v>
      </c>
      <c r="E20">
        <v>0</v>
      </c>
      <c r="F20">
        <v>4</v>
      </c>
      <c r="G20">
        <v>0</v>
      </c>
      <c r="H20" s="9">
        <v>132</v>
      </c>
      <c r="I20" s="4">
        <f t="shared" si="0"/>
        <v>0.24242424242424243</v>
      </c>
      <c r="K20" t="s">
        <v>188</v>
      </c>
      <c r="L20">
        <v>7</v>
      </c>
      <c r="M20" t="s">
        <v>782</v>
      </c>
      <c r="N20">
        <v>3</v>
      </c>
      <c r="O20">
        <v>3698</v>
      </c>
      <c r="P20">
        <v>1103</v>
      </c>
      <c r="Q20" s="4">
        <f t="shared" si="1"/>
        <v>0.29826933477555434</v>
      </c>
    </row>
    <row r="21" spans="1:17">
      <c r="A21" t="s">
        <v>188</v>
      </c>
      <c r="B21">
        <v>7</v>
      </c>
      <c r="C21">
        <v>4</v>
      </c>
      <c r="D21">
        <v>32</v>
      </c>
      <c r="E21">
        <v>0</v>
      </c>
      <c r="F21">
        <v>4</v>
      </c>
      <c r="G21">
        <v>0</v>
      </c>
      <c r="H21" s="9">
        <v>132</v>
      </c>
      <c r="I21" s="4">
        <f t="shared" si="0"/>
        <v>0.24242424242424243</v>
      </c>
      <c r="K21" t="s">
        <v>188</v>
      </c>
      <c r="L21">
        <v>7</v>
      </c>
      <c r="M21" t="s">
        <v>788</v>
      </c>
      <c r="N21">
        <v>4</v>
      </c>
      <c r="O21">
        <v>3698</v>
      </c>
      <c r="P21">
        <v>1104</v>
      </c>
      <c r="Q21" s="4">
        <f t="shared" si="1"/>
        <v>0.29853975121687398</v>
      </c>
    </row>
    <row r="22" spans="1:17">
      <c r="A22" t="s">
        <v>188</v>
      </c>
      <c r="B22">
        <v>7</v>
      </c>
      <c r="C22">
        <v>5</v>
      </c>
      <c r="D22">
        <v>32</v>
      </c>
      <c r="E22">
        <v>0</v>
      </c>
      <c r="F22">
        <v>4</v>
      </c>
      <c r="G22">
        <v>0</v>
      </c>
      <c r="H22" s="9">
        <v>132</v>
      </c>
      <c r="I22" s="4">
        <f t="shared" si="0"/>
        <v>0.24242424242424243</v>
      </c>
      <c r="K22" t="s">
        <v>188</v>
      </c>
      <c r="L22">
        <v>7</v>
      </c>
      <c r="M22" t="s">
        <v>787</v>
      </c>
      <c r="N22">
        <v>5</v>
      </c>
      <c r="O22">
        <v>3698</v>
      </c>
      <c r="P22">
        <v>1105</v>
      </c>
      <c r="Q22" s="4">
        <f t="shared" si="1"/>
        <v>0.29881016765819363</v>
      </c>
    </row>
    <row r="23" spans="1:17">
      <c r="A23" t="s">
        <v>188</v>
      </c>
      <c r="B23">
        <v>7</v>
      </c>
      <c r="C23">
        <v>6</v>
      </c>
      <c r="D23">
        <v>32</v>
      </c>
      <c r="E23">
        <v>0</v>
      </c>
      <c r="F23">
        <v>4</v>
      </c>
      <c r="G23">
        <v>0</v>
      </c>
      <c r="H23" s="9">
        <v>132</v>
      </c>
      <c r="I23" s="4">
        <f t="shared" si="0"/>
        <v>0.24242424242424243</v>
      </c>
      <c r="K23" t="s">
        <v>188</v>
      </c>
      <c r="L23">
        <v>7</v>
      </c>
      <c r="M23" t="s">
        <v>783</v>
      </c>
      <c r="N23">
        <v>6</v>
      </c>
      <c r="O23">
        <v>3698</v>
      </c>
      <c r="P23">
        <v>1107</v>
      </c>
      <c r="Q23" s="4">
        <f t="shared" si="1"/>
        <v>0.29935100054083286</v>
      </c>
    </row>
    <row r="24" spans="1:17">
      <c r="A24" t="s">
        <v>188</v>
      </c>
      <c r="B24">
        <v>7</v>
      </c>
      <c r="C24">
        <v>7</v>
      </c>
      <c r="D24">
        <v>32</v>
      </c>
      <c r="E24">
        <v>0</v>
      </c>
      <c r="F24">
        <v>4</v>
      </c>
      <c r="G24">
        <v>0</v>
      </c>
      <c r="H24" s="9">
        <v>132</v>
      </c>
      <c r="I24" s="4">
        <f t="shared" si="0"/>
        <v>0.24242424242424243</v>
      </c>
      <c r="K24" t="s">
        <v>188</v>
      </c>
      <c r="L24">
        <v>7</v>
      </c>
      <c r="M24" t="s">
        <v>785</v>
      </c>
      <c r="N24">
        <v>7</v>
      </c>
      <c r="O24">
        <v>3698</v>
      </c>
      <c r="P24">
        <v>1109</v>
      </c>
      <c r="Q24" s="4">
        <f t="shared" si="1"/>
        <v>0.29989183342347214</v>
      </c>
    </row>
    <row r="25" spans="1:17">
      <c r="A25" t="s">
        <v>188</v>
      </c>
      <c r="B25">
        <v>7</v>
      </c>
      <c r="C25">
        <v>8</v>
      </c>
      <c r="D25">
        <v>32</v>
      </c>
      <c r="E25">
        <v>0</v>
      </c>
      <c r="F25">
        <v>4</v>
      </c>
      <c r="G25">
        <v>0</v>
      </c>
      <c r="H25" s="9">
        <v>132</v>
      </c>
      <c r="I25" s="4">
        <f t="shared" si="0"/>
        <v>0.24242424242424243</v>
      </c>
      <c r="K25" t="s">
        <v>188</v>
      </c>
      <c r="L25">
        <v>7</v>
      </c>
      <c r="M25" t="s">
        <v>781</v>
      </c>
      <c r="N25">
        <v>8</v>
      </c>
      <c r="O25">
        <v>3698</v>
      </c>
      <c r="P25">
        <v>1113</v>
      </c>
      <c r="Q25" s="4">
        <f t="shared" si="1"/>
        <v>0.30097349918875066</v>
      </c>
    </row>
    <row r="26" spans="1:17">
      <c r="A26" t="s">
        <v>188</v>
      </c>
      <c r="B26">
        <v>7</v>
      </c>
      <c r="C26">
        <v>9</v>
      </c>
      <c r="D26">
        <v>64</v>
      </c>
      <c r="E26">
        <v>0</v>
      </c>
      <c r="F26">
        <v>4</v>
      </c>
      <c r="G26">
        <v>0</v>
      </c>
      <c r="H26" s="9">
        <v>132</v>
      </c>
      <c r="I26" s="4">
        <f t="shared" si="0"/>
        <v>0.48484848484848486</v>
      </c>
      <c r="K26" t="s">
        <v>188</v>
      </c>
      <c r="L26">
        <v>7</v>
      </c>
      <c r="M26" t="s">
        <v>789</v>
      </c>
      <c r="N26">
        <v>9</v>
      </c>
      <c r="O26">
        <v>3698</v>
      </c>
      <c r="P26">
        <v>1763</v>
      </c>
      <c r="Q26" s="4">
        <f t="shared" si="1"/>
        <v>0.47674418604651164</v>
      </c>
    </row>
    <row r="27" spans="1:17">
      <c r="A27" t="s">
        <v>188</v>
      </c>
      <c r="B27">
        <v>7</v>
      </c>
      <c r="C27">
        <v>10</v>
      </c>
      <c r="D27">
        <v>64</v>
      </c>
      <c r="E27">
        <v>0</v>
      </c>
      <c r="F27">
        <v>4</v>
      </c>
      <c r="G27">
        <v>0</v>
      </c>
      <c r="H27" s="9">
        <v>132</v>
      </c>
      <c r="I27" s="4">
        <f t="shared" si="0"/>
        <v>0.48484848484848486</v>
      </c>
      <c r="K27" t="s">
        <v>188</v>
      </c>
      <c r="L27">
        <v>7</v>
      </c>
      <c r="M27" t="s">
        <v>790</v>
      </c>
      <c r="N27">
        <v>10</v>
      </c>
      <c r="O27">
        <v>3698</v>
      </c>
      <c r="P27">
        <v>1765</v>
      </c>
      <c r="Q27" s="4">
        <f t="shared" si="1"/>
        <v>0.47728501892915087</v>
      </c>
    </row>
    <row r="28" spans="1:17">
      <c r="A28" t="s">
        <v>188</v>
      </c>
      <c r="B28">
        <v>7</v>
      </c>
      <c r="C28">
        <v>11</v>
      </c>
      <c r="D28">
        <v>64</v>
      </c>
      <c r="E28">
        <v>0</v>
      </c>
      <c r="F28">
        <v>4</v>
      </c>
      <c r="G28">
        <v>0</v>
      </c>
      <c r="H28" s="9">
        <v>132</v>
      </c>
      <c r="I28" s="4">
        <f t="shared" si="0"/>
        <v>0.48484848484848486</v>
      </c>
      <c r="K28" t="s">
        <v>188</v>
      </c>
      <c r="L28">
        <v>7</v>
      </c>
      <c r="M28" t="s">
        <v>792</v>
      </c>
      <c r="N28">
        <v>11</v>
      </c>
      <c r="O28">
        <v>3698</v>
      </c>
      <c r="P28">
        <v>1773</v>
      </c>
      <c r="Q28" s="4">
        <f t="shared" si="1"/>
        <v>0.47944835045970796</v>
      </c>
    </row>
    <row r="29" spans="1:17">
      <c r="A29" t="s">
        <v>188</v>
      </c>
      <c r="B29">
        <v>7</v>
      </c>
      <c r="C29">
        <v>12</v>
      </c>
      <c r="D29">
        <v>64</v>
      </c>
      <c r="E29">
        <v>0</v>
      </c>
      <c r="F29">
        <v>4</v>
      </c>
      <c r="G29">
        <v>0</v>
      </c>
      <c r="H29" s="9">
        <v>132</v>
      </c>
      <c r="I29" s="4">
        <f t="shared" si="0"/>
        <v>0.48484848484848486</v>
      </c>
      <c r="K29" t="s">
        <v>188</v>
      </c>
      <c r="L29">
        <v>7</v>
      </c>
      <c r="M29" t="s">
        <v>791</v>
      </c>
      <c r="N29">
        <v>12</v>
      </c>
      <c r="O29">
        <v>3698</v>
      </c>
      <c r="P29">
        <v>1786</v>
      </c>
      <c r="Q29" s="4">
        <f t="shared" si="1"/>
        <v>0.48296376419686315</v>
      </c>
    </row>
    <row r="30" spans="1:17">
      <c r="A30" t="s">
        <v>188</v>
      </c>
      <c r="B30">
        <v>7</v>
      </c>
      <c r="C30">
        <v>13</v>
      </c>
      <c r="D30">
        <v>93</v>
      </c>
      <c r="E30">
        <v>0</v>
      </c>
      <c r="F30">
        <v>4</v>
      </c>
      <c r="G30">
        <v>0</v>
      </c>
      <c r="H30" s="9">
        <v>132</v>
      </c>
      <c r="I30" s="4">
        <f t="shared" si="0"/>
        <v>0.70454545454545459</v>
      </c>
      <c r="K30" t="s">
        <v>188</v>
      </c>
      <c r="L30">
        <v>7</v>
      </c>
      <c r="M30" t="s">
        <v>793</v>
      </c>
      <c r="N30">
        <v>13</v>
      </c>
      <c r="O30">
        <v>3698</v>
      </c>
      <c r="P30">
        <v>2372</v>
      </c>
      <c r="Q30" s="4">
        <f t="shared" si="1"/>
        <v>0.64142779881016765</v>
      </c>
    </row>
    <row r="31" spans="1:17">
      <c r="A31" t="s">
        <v>188</v>
      </c>
      <c r="B31">
        <v>7</v>
      </c>
      <c r="C31">
        <v>14</v>
      </c>
      <c r="D31">
        <v>93</v>
      </c>
      <c r="E31">
        <v>0</v>
      </c>
      <c r="F31">
        <v>4</v>
      </c>
      <c r="G31">
        <v>0</v>
      </c>
      <c r="H31" s="9">
        <v>132</v>
      </c>
      <c r="I31" s="4">
        <f t="shared" si="0"/>
        <v>0.70454545454545459</v>
      </c>
      <c r="K31" t="s">
        <v>188</v>
      </c>
      <c r="L31">
        <v>7</v>
      </c>
      <c r="M31" t="s">
        <v>794</v>
      </c>
      <c r="N31">
        <v>14</v>
      </c>
      <c r="O31">
        <v>3698</v>
      </c>
      <c r="P31">
        <v>2415</v>
      </c>
      <c r="Q31" s="4">
        <f t="shared" si="1"/>
        <v>0.65305570578691186</v>
      </c>
    </row>
    <row r="32" spans="1:17">
      <c r="A32" t="s">
        <v>188</v>
      </c>
      <c r="B32">
        <v>7</v>
      </c>
      <c r="C32">
        <v>15</v>
      </c>
      <c r="D32">
        <v>125</v>
      </c>
      <c r="E32">
        <v>0</v>
      </c>
      <c r="F32">
        <v>3</v>
      </c>
      <c r="G32">
        <v>0</v>
      </c>
      <c r="H32" s="9">
        <v>132</v>
      </c>
      <c r="I32" s="4">
        <f t="shared" si="0"/>
        <v>0.94696969696969702</v>
      </c>
      <c r="K32" t="s">
        <v>188</v>
      </c>
      <c r="L32">
        <v>7</v>
      </c>
      <c r="M32" t="s">
        <v>795</v>
      </c>
      <c r="N32">
        <v>15</v>
      </c>
      <c r="O32">
        <v>3698</v>
      </c>
      <c r="P32">
        <v>2876</v>
      </c>
      <c r="Q32" s="4">
        <f t="shared" si="1"/>
        <v>0.7777176852352623</v>
      </c>
    </row>
    <row r="33" spans="1:17">
      <c r="A33" t="s">
        <v>188</v>
      </c>
      <c r="B33">
        <v>7</v>
      </c>
      <c r="C33">
        <v>16</v>
      </c>
      <c r="D33">
        <v>132</v>
      </c>
      <c r="E33">
        <v>0</v>
      </c>
      <c r="F33">
        <v>0</v>
      </c>
      <c r="G33">
        <v>0</v>
      </c>
      <c r="H33" s="9">
        <v>132</v>
      </c>
      <c r="I33" s="4">
        <f t="shared" si="0"/>
        <v>1</v>
      </c>
      <c r="K33" t="s">
        <v>188</v>
      </c>
      <c r="L33">
        <v>7</v>
      </c>
      <c r="M33" t="s">
        <v>796</v>
      </c>
      <c r="N33">
        <v>16</v>
      </c>
      <c r="O33">
        <v>3698</v>
      </c>
      <c r="P33">
        <v>3020</v>
      </c>
      <c r="Q33" s="4">
        <f t="shared" si="1"/>
        <v>0.81665765278528935</v>
      </c>
    </row>
    <row r="34" spans="1:17">
      <c r="A34" t="s">
        <v>219</v>
      </c>
      <c r="B34">
        <v>18</v>
      </c>
      <c r="C34">
        <v>1</v>
      </c>
      <c r="D34">
        <v>3</v>
      </c>
      <c r="E34">
        <v>0</v>
      </c>
      <c r="F34">
        <v>1</v>
      </c>
      <c r="G34">
        <v>0</v>
      </c>
      <c r="H34" s="9">
        <v>141</v>
      </c>
      <c r="I34" s="4">
        <f t="shared" si="0"/>
        <v>2.1276595744680851E-2</v>
      </c>
      <c r="K34" t="s">
        <v>219</v>
      </c>
      <c r="L34">
        <v>18</v>
      </c>
      <c r="M34" t="s">
        <v>2</v>
      </c>
      <c r="N34">
        <v>1</v>
      </c>
      <c r="O34">
        <v>8969</v>
      </c>
      <c r="P34">
        <v>151</v>
      </c>
      <c r="Q34" s="4">
        <f t="shared" si="1"/>
        <v>1.6835767644107481E-2</v>
      </c>
    </row>
    <row r="35" spans="1:17">
      <c r="A35" t="s">
        <v>219</v>
      </c>
      <c r="B35">
        <v>18</v>
      </c>
      <c r="C35">
        <v>2</v>
      </c>
      <c r="D35">
        <v>6</v>
      </c>
      <c r="E35">
        <v>0</v>
      </c>
      <c r="F35">
        <v>1</v>
      </c>
      <c r="G35">
        <v>0</v>
      </c>
      <c r="H35" s="9">
        <v>141</v>
      </c>
      <c r="I35" s="4">
        <f t="shared" si="0"/>
        <v>4.2553191489361701E-2</v>
      </c>
      <c r="K35" t="s">
        <v>219</v>
      </c>
      <c r="L35">
        <v>18</v>
      </c>
      <c r="M35" t="s">
        <v>1</v>
      </c>
      <c r="N35">
        <v>2</v>
      </c>
      <c r="O35">
        <v>8969</v>
      </c>
      <c r="P35">
        <v>257</v>
      </c>
      <c r="Q35" s="4">
        <f t="shared" si="1"/>
        <v>2.865425353997101E-2</v>
      </c>
    </row>
    <row r="36" spans="1:17">
      <c r="A36" t="s">
        <v>219</v>
      </c>
      <c r="B36">
        <v>18</v>
      </c>
      <c r="C36">
        <v>3</v>
      </c>
      <c r="D36">
        <v>17</v>
      </c>
      <c r="E36">
        <v>0</v>
      </c>
      <c r="F36">
        <v>1</v>
      </c>
      <c r="G36">
        <v>0</v>
      </c>
      <c r="H36" s="9">
        <v>141</v>
      </c>
      <c r="I36" s="4">
        <f t="shared" si="0"/>
        <v>0.12056737588652482</v>
      </c>
      <c r="K36" t="s">
        <v>219</v>
      </c>
      <c r="L36">
        <v>18</v>
      </c>
      <c r="M36" t="s">
        <v>239</v>
      </c>
      <c r="N36">
        <v>3</v>
      </c>
      <c r="O36">
        <v>8969</v>
      </c>
      <c r="P36">
        <v>571</v>
      </c>
      <c r="Q36" s="4">
        <f t="shared" si="1"/>
        <v>6.3663730627717699E-2</v>
      </c>
    </row>
    <row r="37" spans="1:17">
      <c r="A37" t="s">
        <v>219</v>
      </c>
      <c r="B37">
        <v>18</v>
      </c>
      <c r="C37">
        <v>4</v>
      </c>
      <c r="D37">
        <v>23</v>
      </c>
      <c r="E37">
        <v>0</v>
      </c>
      <c r="F37">
        <v>1</v>
      </c>
      <c r="G37">
        <v>0</v>
      </c>
      <c r="H37" s="9">
        <v>141</v>
      </c>
      <c r="I37" s="4">
        <f t="shared" si="0"/>
        <v>0.16312056737588654</v>
      </c>
      <c r="K37" t="s">
        <v>219</v>
      </c>
      <c r="L37">
        <v>18</v>
      </c>
      <c r="M37" t="s">
        <v>240</v>
      </c>
      <c r="N37">
        <v>4</v>
      </c>
      <c r="O37">
        <v>8969</v>
      </c>
      <c r="P37">
        <v>718</v>
      </c>
      <c r="Q37" s="4">
        <f t="shared" si="1"/>
        <v>8.0053517671981267E-2</v>
      </c>
    </row>
    <row r="38" spans="1:17">
      <c r="A38" t="s">
        <v>219</v>
      </c>
      <c r="B38">
        <v>18</v>
      </c>
      <c r="C38">
        <v>5</v>
      </c>
      <c r="D38">
        <v>35</v>
      </c>
      <c r="E38">
        <v>0</v>
      </c>
      <c r="F38">
        <v>5</v>
      </c>
      <c r="G38">
        <v>0</v>
      </c>
      <c r="H38" s="9">
        <v>141</v>
      </c>
      <c r="I38" s="4">
        <f t="shared" si="0"/>
        <v>0.24822695035460993</v>
      </c>
      <c r="K38" t="s">
        <v>219</v>
      </c>
      <c r="L38">
        <v>18</v>
      </c>
      <c r="M38" t="s">
        <v>241</v>
      </c>
      <c r="N38">
        <v>5</v>
      </c>
      <c r="O38">
        <v>8969</v>
      </c>
      <c r="P38">
        <v>941</v>
      </c>
      <c r="Q38" s="4">
        <f t="shared" si="1"/>
        <v>0.10491693611327907</v>
      </c>
    </row>
    <row r="39" spans="1:17">
      <c r="A39" t="s">
        <v>219</v>
      </c>
      <c r="B39">
        <v>18</v>
      </c>
      <c r="C39">
        <v>6</v>
      </c>
      <c r="D39">
        <v>38</v>
      </c>
      <c r="E39">
        <v>0</v>
      </c>
      <c r="F39">
        <v>5</v>
      </c>
      <c r="G39">
        <v>0</v>
      </c>
      <c r="H39" s="9">
        <v>141</v>
      </c>
      <c r="I39" s="4">
        <f t="shared" si="0"/>
        <v>0.26950354609929078</v>
      </c>
      <c r="K39" t="s">
        <v>219</v>
      </c>
      <c r="L39">
        <v>18</v>
      </c>
      <c r="M39" t="s">
        <v>243</v>
      </c>
      <c r="N39">
        <v>6</v>
      </c>
      <c r="O39">
        <v>8969</v>
      </c>
      <c r="P39">
        <v>1006</v>
      </c>
      <c r="Q39" s="4">
        <f t="shared" si="1"/>
        <v>0.11216412086074255</v>
      </c>
    </row>
    <row r="40" spans="1:17">
      <c r="A40" t="s">
        <v>219</v>
      </c>
      <c r="B40">
        <v>18</v>
      </c>
      <c r="C40">
        <v>7</v>
      </c>
      <c r="D40">
        <v>41</v>
      </c>
      <c r="E40">
        <v>0</v>
      </c>
      <c r="F40">
        <v>4</v>
      </c>
      <c r="G40">
        <v>0</v>
      </c>
      <c r="H40" s="9">
        <v>141</v>
      </c>
      <c r="I40" s="4">
        <f t="shared" si="0"/>
        <v>0.29078014184397161</v>
      </c>
      <c r="K40" t="s">
        <v>219</v>
      </c>
      <c r="L40">
        <v>18</v>
      </c>
      <c r="M40" t="s">
        <v>245</v>
      </c>
      <c r="N40">
        <v>7</v>
      </c>
      <c r="O40">
        <v>8969</v>
      </c>
      <c r="P40">
        <v>1056</v>
      </c>
      <c r="Q40" s="4">
        <f t="shared" si="1"/>
        <v>0.11773887835879139</v>
      </c>
    </row>
    <row r="41" spans="1:17">
      <c r="A41" t="s">
        <v>219</v>
      </c>
      <c r="B41">
        <v>18</v>
      </c>
      <c r="C41">
        <v>8</v>
      </c>
      <c r="D41">
        <v>41</v>
      </c>
      <c r="E41">
        <v>0</v>
      </c>
      <c r="F41">
        <v>4</v>
      </c>
      <c r="G41">
        <v>0</v>
      </c>
      <c r="H41" s="9">
        <v>141</v>
      </c>
      <c r="I41" s="4">
        <f t="shared" si="0"/>
        <v>0.29078014184397161</v>
      </c>
      <c r="K41" t="s">
        <v>219</v>
      </c>
      <c r="L41">
        <v>18</v>
      </c>
      <c r="M41" t="s">
        <v>246</v>
      </c>
      <c r="N41">
        <v>8</v>
      </c>
      <c r="O41">
        <v>8969</v>
      </c>
      <c r="P41">
        <v>1070</v>
      </c>
      <c r="Q41" s="4">
        <f t="shared" si="1"/>
        <v>0.11929981045824507</v>
      </c>
    </row>
    <row r="42" spans="1:17">
      <c r="A42" t="s">
        <v>219</v>
      </c>
      <c r="B42">
        <v>18</v>
      </c>
      <c r="C42">
        <v>9</v>
      </c>
      <c r="D42">
        <v>58</v>
      </c>
      <c r="E42">
        <v>0</v>
      </c>
      <c r="F42">
        <v>9</v>
      </c>
      <c r="G42">
        <v>0</v>
      </c>
      <c r="H42" s="9">
        <v>141</v>
      </c>
      <c r="I42" s="4">
        <f t="shared" si="0"/>
        <v>0.41134751773049644</v>
      </c>
      <c r="K42" t="s">
        <v>219</v>
      </c>
      <c r="L42">
        <v>18</v>
      </c>
      <c r="M42" t="s">
        <v>805</v>
      </c>
      <c r="N42">
        <v>9</v>
      </c>
      <c r="O42">
        <v>8969</v>
      </c>
      <c r="P42">
        <v>1471</v>
      </c>
      <c r="Q42" s="4">
        <f t="shared" si="1"/>
        <v>0.16400936559259671</v>
      </c>
    </row>
    <row r="43" spans="1:17">
      <c r="A43" t="s">
        <v>219</v>
      </c>
      <c r="B43">
        <v>18</v>
      </c>
      <c r="C43">
        <v>10</v>
      </c>
      <c r="D43">
        <v>77</v>
      </c>
      <c r="E43">
        <v>0</v>
      </c>
      <c r="F43">
        <v>8</v>
      </c>
      <c r="G43">
        <v>0</v>
      </c>
      <c r="H43" s="9">
        <v>141</v>
      </c>
      <c r="I43" s="4">
        <f t="shared" si="0"/>
        <v>0.54609929078014185</v>
      </c>
      <c r="K43" t="s">
        <v>219</v>
      </c>
      <c r="L43">
        <v>18</v>
      </c>
      <c r="M43" t="s">
        <v>256</v>
      </c>
      <c r="N43">
        <v>10</v>
      </c>
      <c r="O43">
        <v>8969</v>
      </c>
      <c r="P43">
        <v>1544</v>
      </c>
      <c r="Q43" s="4">
        <f t="shared" si="1"/>
        <v>0.17214851153974803</v>
      </c>
    </row>
    <row r="44" spans="1:17">
      <c r="A44" t="s">
        <v>219</v>
      </c>
      <c r="B44">
        <v>18</v>
      </c>
      <c r="C44">
        <v>11</v>
      </c>
      <c r="D44">
        <v>77</v>
      </c>
      <c r="E44">
        <v>0</v>
      </c>
      <c r="F44">
        <v>8</v>
      </c>
      <c r="G44">
        <v>0</v>
      </c>
      <c r="H44" s="9">
        <v>141</v>
      </c>
      <c r="I44" s="4">
        <f t="shared" si="0"/>
        <v>0.54609929078014185</v>
      </c>
      <c r="K44" t="s">
        <v>219</v>
      </c>
      <c r="L44">
        <v>18</v>
      </c>
      <c r="M44" t="s">
        <v>797</v>
      </c>
      <c r="N44">
        <v>11</v>
      </c>
      <c r="O44">
        <v>8969</v>
      </c>
      <c r="P44">
        <v>1555</v>
      </c>
      <c r="Q44" s="4">
        <f t="shared" si="1"/>
        <v>0.17337495818931875</v>
      </c>
    </row>
    <row r="45" spans="1:17">
      <c r="A45" t="s">
        <v>219</v>
      </c>
      <c r="B45">
        <v>18</v>
      </c>
      <c r="C45">
        <v>12</v>
      </c>
      <c r="D45">
        <v>82</v>
      </c>
      <c r="E45">
        <v>0</v>
      </c>
      <c r="F45">
        <v>9</v>
      </c>
      <c r="G45">
        <v>0</v>
      </c>
      <c r="H45" s="9">
        <v>141</v>
      </c>
      <c r="I45" s="4">
        <f t="shared" si="0"/>
        <v>0.58156028368794321</v>
      </c>
      <c r="K45" t="s">
        <v>219</v>
      </c>
      <c r="L45">
        <v>18</v>
      </c>
      <c r="M45" t="s">
        <v>798</v>
      </c>
      <c r="N45">
        <v>12</v>
      </c>
      <c r="O45">
        <v>8969</v>
      </c>
      <c r="P45">
        <v>1627</v>
      </c>
      <c r="Q45" s="4">
        <f t="shared" si="1"/>
        <v>0.18140260898650909</v>
      </c>
    </row>
    <row r="46" spans="1:17">
      <c r="A46" t="s">
        <v>219</v>
      </c>
      <c r="B46">
        <v>18</v>
      </c>
      <c r="C46">
        <v>13</v>
      </c>
      <c r="D46">
        <v>82</v>
      </c>
      <c r="E46">
        <v>0</v>
      </c>
      <c r="F46">
        <v>9</v>
      </c>
      <c r="G46">
        <v>0</v>
      </c>
      <c r="H46" s="9">
        <v>141</v>
      </c>
      <c r="I46" s="4">
        <f t="shared" si="0"/>
        <v>0.58156028368794321</v>
      </c>
      <c r="K46" t="s">
        <v>219</v>
      </c>
      <c r="L46">
        <v>18</v>
      </c>
      <c r="M46" t="s">
        <v>261</v>
      </c>
      <c r="N46">
        <v>13</v>
      </c>
      <c r="O46">
        <v>8969</v>
      </c>
      <c r="P46">
        <v>1662</v>
      </c>
      <c r="Q46" s="4">
        <f t="shared" si="1"/>
        <v>0.18530493923514327</v>
      </c>
    </row>
    <row r="47" spans="1:17">
      <c r="A47" t="s">
        <v>219</v>
      </c>
      <c r="B47">
        <v>18</v>
      </c>
      <c r="C47">
        <v>14</v>
      </c>
      <c r="D47">
        <v>82</v>
      </c>
      <c r="E47">
        <v>0</v>
      </c>
      <c r="F47">
        <v>9</v>
      </c>
      <c r="G47">
        <v>0</v>
      </c>
      <c r="H47" s="9">
        <v>141</v>
      </c>
      <c r="I47" s="4">
        <f t="shared" si="0"/>
        <v>0.58156028368794321</v>
      </c>
      <c r="K47" t="s">
        <v>219</v>
      </c>
      <c r="L47">
        <v>18</v>
      </c>
      <c r="M47" t="s">
        <v>799</v>
      </c>
      <c r="N47">
        <v>14</v>
      </c>
      <c r="O47">
        <v>8969</v>
      </c>
      <c r="P47">
        <v>1698</v>
      </c>
      <c r="Q47" s="4">
        <f t="shared" si="1"/>
        <v>0.18931876463373842</v>
      </c>
    </row>
    <row r="48" spans="1:17">
      <c r="A48" t="s">
        <v>219</v>
      </c>
      <c r="B48">
        <v>18</v>
      </c>
      <c r="C48">
        <v>15</v>
      </c>
      <c r="D48">
        <v>87</v>
      </c>
      <c r="E48">
        <v>0</v>
      </c>
      <c r="F48">
        <v>10</v>
      </c>
      <c r="G48">
        <v>0</v>
      </c>
      <c r="H48" s="9">
        <v>141</v>
      </c>
      <c r="I48" s="4">
        <f t="shared" si="0"/>
        <v>0.61702127659574468</v>
      </c>
      <c r="K48" t="s">
        <v>219</v>
      </c>
      <c r="L48">
        <v>18</v>
      </c>
      <c r="M48" t="s">
        <v>800</v>
      </c>
      <c r="N48">
        <v>15</v>
      </c>
      <c r="O48">
        <v>8969</v>
      </c>
      <c r="P48">
        <v>1735</v>
      </c>
      <c r="Q48" s="4">
        <f t="shared" si="1"/>
        <v>0.19344408518229458</v>
      </c>
    </row>
    <row r="49" spans="1:17">
      <c r="A49" t="s">
        <v>219</v>
      </c>
      <c r="B49">
        <v>18</v>
      </c>
      <c r="C49">
        <v>16</v>
      </c>
      <c r="D49">
        <v>87</v>
      </c>
      <c r="E49">
        <v>0</v>
      </c>
      <c r="F49">
        <v>10</v>
      </c>
      <c r="G49">
        <v>0</v>
      </c>
      <c r="H49" s="9">
        <v>141</v>
      </c>
      <c r="I49" s="4">
        <f t="shared" si="0"/>
        <v>0.61702127659574468</v>
      </c>
      <c r="K49" t="s">
        <v>219</v>
      </c>
      <c r="L49">
        <v>18</v>
      </c>
      <c r="M49" t="s">
        <v>263</v>
      </c>
      <c r="N49">
        <v>16</v>
      </c>
      <c r="O49">
        <v>8969</v>
      </c>
      <c r="P49">
        <v>1803</v>
      </c>
      <c r="Q49" s="4">
        <f t="shared" si="1"/>
        <v>0.20102575537964099</v>
      </c>
    </row>
    <row r="50" spans="1:17">
      <c r="A50" t="s">
        <v>219</v>
      </c>
      <c r="B50">
        <v>18</v>
      </c>
      <c r="C50">
        <v>17</v>
      </c>
      <c r="D50">
        <v>87</v>
      </c>
      <c r="E50">
        <v>0</v>
      </c>
      <c r="F50">
        <v>10</v>
      </c>
      <c r="G50">
        <v>0</v>
      </c>
      <c r="H50" s="9">
        <v>141</v>
      </c>
      <c r="I50" s="4">
        <f t="shared" si="0"/>
        <v>0.61702127659574468</v>
      </c>
      <c r="K50" t="s">
        <v>219</v>
      </c>
      <c r="L50">
        <v>18</v>
      </c>
      <c r="M50" t="s">
        <v>801</v>
      </c>
      <c r="N50">
        <v>17</v>
      </c>
      <c r="O50">
        <v>8969</v>
      </c>
      <c r="P50">
        <v>1811</v>
      </c>
      <c r="Q50" s="4">
        <f t="shared" si="1"/>
        <v>0.2019177165793288</v>
      </c>
    </row>
    <row r="51" spans="1:17">
      <c r="A51" t="s">
        <v>219</v>
      </c>
      <c r="B51">
        <v>18</v>
      </c>
      <c r="C51">
        <v>18</v>
      </c>
      <c r="D51">
        <v>92</v>
      </c>
      <c r="E51">
        <v>0</v>
      </c>
      <c r="F51">
        <v>11</v>
      </c>
      <c r="G51">
        <v>0</v>
      </c>
      <c r="H51" s="9">
        <v>141</v>
      </c>
      <c r="I51" s="4">
        <f t="shared" si="0"/>
        <v>0.65248226950354615</v>
      </c>
      <c r="K51" t="s">
        <v>219</v>
      </c>
      <c r="L51">
        <v>18</v>
      </c>
      <c r="M51" t="s">
        <v>802</v>
      </c>
      <c r="N51">
        <v>18</v>
      </c>
      <c r="O51">
        <v>8969</v>
      </c>
      <c r="P51">
        <v>1884</v>
      </c>
      <c r="Q51" s="4">
        <f t="shared" si="1"/>
        <v>0.21005686252648009</v>
      </c>
    </row>
    <row r="52" spans="1:17">
      <c r="A52" t="s">
        <v>219</v>
      </c>
      <c r="B52">
        <v>18</v>
      </c>
      <c r="C52">
        <v>19</v>
      </c>
      <c r="D52">
        <v>92</v>
      </c>
      <c r="E52">
        <v>0</v>
      </c>
      <c r="F52">
        <v>11</v>
      </c>
      <c r="G52">
        <v>0</v>
      </c>
      <c r="H52" s="9">
        <v>141</v>
      </c>
      <c r="I52" s="4">
        <f t="shared" si="0"/>
        <v>0.65248226950354615</v>
      </c>
      <c r="K52" t="s">
        <v>219</v>
      </c>
      <c r="L52">
        <v>18</v>
      </c>
      <c r="M52" t="s">
        <v>804</v>
      </c>
      <c r="N52">
        <v>19</v>
      </c>
      <c r="O52">
        <v>8969</v>
      </c>
      <c r="P52">
        <v>1930</v>
      </c>
      <c r="Q52" s="4">
        <f t="shared" si="1"/>
        <v>0.21518563942468502</v>
      </c>
    </row>
    <row r="53" spans="1:17">
      <c r="A53" t="s">
        <v>219</v>
      </c>
      <c r="B53">
        <v>18</v>
      </c>
      <c r="C53">
        <v>20</v>
      </c>
      <c r="D53">
        <v>92</v>
      </c>
      <c r="E53">
        <v>0</v>
      </c>
      <c r="F53">
        <v>11</v>
      </c>
      <c r="G53">
        <v>0</v>
      </c>
      <c r="H53" s="9">
        <v>141</v>
      </c>
      <c r="I53" s="4">
        <f t="shared" si="0"/>
        <v>0.65248226950354615</v>
      </c>
      <c r="K53" t="s">
        <v>219</v>
      </c>
      <c r="L53">
        <v>18</v>
      </c>
      <c r="M53" t="s">
        <v>803</v>
      </c>
      <c r="N53">
        <v>20</v>
      </c>
      <c r="O53">
        <v>8969</v>
      </c>
      <c r="P53">
        <v>1953</v>
      </c>
      <c r="Q53" s="4">
        <f t="shared" si="1"/>
        <v>0.2177500278737875</v>
      </c>
    </row>
    <row r="54" spans="1:17">
      <c r="A54" t="s">
        <v>219</v>
      </c>
      <c r="B54">
        <v>18</v>
      </c>
      <c r="C54">
        <v>21</v>
      </c>
      <c r="D54">
        <v>121</v>
      </c>
      <c r="E54">
        <v>0</v>
      </c>
      <c r="F54">
        <v>2</v>
      </c>
      <c r="G54">
        <v>0</v>
      </c>
      <c r="H54" s="9">
        <v>141</v>
      </c>
      <c r="I54" s="4">
        <f t="shared" si="0"/>
        <v>0.85815602836879434</v>
      </c>
      <c r="K54" t="s">
        <v>219</v>
      </c>
      <c r="L54">
        <v>18</v>
      </c>
      <c r="M54" t="s">
        <v>806</v>
      </c>
      <c r="N54">
        <v>21</v>
      </c>
      <c r="O54">
        <v>8969</v>
      </c>
      <c r="P54">
        <v>8256</v>
      </c>
      <c r="Q54" s="4">
        <f t="shared" si="1"/>
        <v>0.92050395807782359</v>
      </c>
    </row>
    <row r="55" spans="1:17">
      <c r="A55" t="s">
        <v>219</v>
      </c>
      <c r="B55">
        <v>18</v>
      </c>
      <c r="C55">
        <v>22</v>
      </c>
      <c r="D55">
        <v>121</v>
      </c>
      <c r="E55">
        <v>0</v>
      </c>
      <c r="F55">
        <v>2</v>
      </c>
      <c r="G55">
        <v>0</v>
      </c>
      <c r="H55" s="9">
        <v>141</v>
      </c>
      <c r="I55" s="4">
        <f t="shared" si="0"/>
        <v>0.85815602836879434</v>
      </c>
      <c r="K55" t="s">
        <v>219</v>
      </c>
      <c r="L55">
        <v>18</v>
      </c>
      <c r="M55" t="s">
        <v>807</v>
      </c>
      <c r="N55">
        <v>22</v>
      </c>
      <c r="O55">
        <v>8969</v>
      </c>
      <c r="P55">
        <v>8269</v>
      </c>
      <c r="Q55" s="4">
        <f t="shared" si="1"/>
        <v>0.92195339502731632</v>
      </c>
    </row>
    <row r="56" spans="1:17">
      <c r="A56" t="s">
        <v>219</v>
      </c>
      <c r="B56">
        <v>18</v>
      </c>
      <c r="C56">
        <v>23</v>
      </c>
      <c r="D56">
        <v>141</v>
      </c>
      <c r="E56">
        <v>0</v>
      </c>
      <c r="F56">
        <v>0</v>
      </c>
      <c r="G56">
        <v>0</v>
      </c>
      <c r="H56" s="9">
        <v>141</v>
      </c>
      <c r="I56" s="4">
        <f t="shared" si="0"/>
        <v>1</v>
      </c>
      <c r="K56" t="s">
        <v>219</v>
      </c>
      <c r="L56">
        <v>18</v>
      </c>
      <c r="M56" t="s">
        <v>810</v>
      </c>
      <c r="N56">
        <v>23</v>
      </c>
      <c r="O56">
        <v>8969</v>
      </c>
      <c r="P56">
        <v>8445</v>
      </c>
      <c r="Q56" s="4">
        <f t="shared" si="1"/>
        <v>0.94157654142044822</v>
      </c>
    </row>
    <row r="57" spans="1:17">
      <c r="A57" t="s">
        <v>219</v>
      </c>
      <c r="B57">
        <v>18</v>
      </c>
      <c r="C57">
        <v>24</v>
      </c>
      <c r="D57">
        <v>141</v>
      </c>
      <c r="E57">
        <v>0</v>
      </c>
      <c r="F57">
        <v>0</v>
      </c>
      <c r="G57">
        <v>0</v>
      </c>
      <c r="H57" s="9">
        <v>141</v>
      </c>
      <c r="I57" s="4">
        <f t="shared" si="0"/>
        <v>1</v>
      </c>
      <c r="K57" t="s">
        <v>219</v>
      </c>
      <c r="L57">
        <v>18</v>
      </c>
      <c r="M57" t="s">
        <v>811</v>
      </c>
      <c r="N57">
        <v>24</v>
      </c>
      <c r="O57">
        <v>8969</v>
      </c>
      <c r="P57">
        <v>8448</v>
      </c>
      <c r="Q57" s="4">
        <f t="shared" si="1"/>
        <v>0.94191102687033113</v>
      </c>
    </row>
    <row r="58" spans="1:17">
      <c r="A58" t="s">
        <v>219</v>
      </c>
      <c r="B58">
        <v>18</v>
      </c>
      <c r="C58">
        <v>25</v>
      </c>
      <c r="D58">
        <v>141</v>
      </c>
      <c r="E58">
        <v>0</v>
      </c>
      <c r="F58">
        <v>0</v>
      </c>
      <c r="G58">
        <v>0</v>
      </c>
      <c r="H58" s="9">
        <v>141</v>
      </c>
      <c r="I58" s="4">
        <f t="shared" si="0"/>
        <v>1</v>
      </c>
      <c r="K58" t="s">
        <v>219</v>
      </c>
      <c r="L58">
        <v>18</v>
      </c>
      <c r="M58" t="s">
        <v>809</v>
      </c>
      <c r="N58">
        <v>25</v>
      </c>
      <c r="O58">
        <v>8969</v>
      </c>
      <c r="P58">
        <v>8470</v>
      </c>
      <c r="Q58" s="4">
        <f t="shared" si="1"/>
        <v>0.94436392016947268</v>
      </c>
    </row>
    <row r="59" spans="1:17">
      <c r="A59" t="s">
        <v>219</v>
      </c>
      <c r="B59">
        <v>18</v>
      </c>
      <c r="C59">
        <v>26</v>
      </c>
      <c r="D59">
        <v>141</v>
      </c>
      <c r="E59">
        <v>0</v>
      </c>
      <c r="F59">
        <v>0</v>
      </c>
      <c r="G59">
        <v>0</v>
      </c>
      <c r="H59" s="9">
        <v>141</v>
      </c>
      <c r="I59" s="4">
        <f t="shared" si="0"/>
        <v>1</v>
      </c>
      <c r="K59" t="s">
        <v>219</v>
      </c>
      <c r="L59">
        <v>18</v>
      </c>
      <c r="M59" t="s">
        <v>808</v>
      </c>
      <c r="N59">
        <v>26</v>
      </c>
      <c r="O59">
        <v>8969</v>
      </c>
      <c r="P59">
        <v>8528</v>
      </c>
      <c r="Q59" s="4">
        <f t="shared" si="1"/>
        <v>0.95083063886720931</v>
      </c>
    </row>
    <row r="60" spans="1:17">
      <c r="A60" t="s">
        <v>219</v>
      </c>
      <c r="B60">
        <v>18</v>
      </c>
      <c r="C60">
        <v>27</v>
      </c>
      <c r="D60">
        <v>141</v>
      </c>
      <c r="E60">
        <v>0</v>
      </c>
      <c r="F60">
        <v>0</v>
      </c>
      <c r="G60">
        <v>0</v>
      </c>
      <c r="H60" s="9">
        <v>141</v>
      </c>
      <c r="I60" s="4">
        <f t="shared" si="0"/>
        <v>1</v>
      </c>
      <c r="K60" t="s">
        <v>219</v>
      </c>
      <c r="L60">
        <v>18</v>
      </c>
      <c r="M60" t="s">
        <v>812</v>
      </c>
      <c r="N60">
        <v>27</v>
      </c>
      <c r="O60">
        <v>8969</v>
      </c>
      <c r="P60">
        <v>8562</v>
      </c>
      <c r="Q60" s="4">
        <f t="shared" si="1"/>
        <v>0.95462147396588248</v>
      </c>
    </row>
    <row r="61" spans="1:17">
      <c r="A61" t="s">
        <v>219</v>
      </c>
      <c r="B61">
        <v>19</v>
      </c>
      <c r="C61">
        <v>1</v>
      </c>
      <c r="D61">
        <v>3</v>
      </c>
      <c r="E61">
        <v>0</v>
      </c>
      <c r="F61">
        <v>1</v>
      </c>
      <c r="G61">
        <v>0</v>
      </c>
      <c r="H61" s="9">
        <v>127</v>
      </c>
      <c r="I61" s="4">
        <f t="shared" si="0"/>
        <v>2.3622047244094488E-2</v>
      </c>
      <c r="K61" t="s">
        <v>219</v>
      </c>
      <c r="L61">
        <v>19</v>
      </c>
      <c r="M61" t="s">
        <v>2</v>
      </c>
      <c r="N61">
        <v>1</v>
      </c>
      <c r="O61">
        <v>9591</v>
      </c>
      <c r="P61">
        <v>142</v>
      </c>
      <c r="Q61" s="4">
        <f t="shared" si="1"/>
        <v>1.4805546866854343E-2</v>
      </c>
    </row>
    <row r="62" spans="1:17">
      <c r="A62" t="s">
        <v>219</v>
      </c>
      <c r="B62">
        <v>19</v>
      </c>
      <c r="C62">
        <v>2</v>
      </c>
      <c r="D62">
        <v>6</v>
      </c>
      <c r="E62">
        <v>0</v>
      </c>
      <c r="F62">
        <v>1</v>
      </c>
      <c r="G62">
        <v>0</v>
      </c>
      <c r="H62" s="9">
        <v>127</v>
      </c>
      <c r="I62" s="4">
        <f t="shared" si="0"/>
        <v>4.7244094488188976E-2</v>
      </c>
      <c r="K62" t="s">
        <v>219</v>
      </c>
      <c r="L62">
        <v>19</v>
      </c>
      <c r="M62" t="s">
        <v>1</v>
      </c>
      <c r="N62">
        <v>2</v>
      </c>
      <c r="O62">
        <v>9591</v>
      </c>
      <c r="P62">
        <v>259</v>
      </c>
      <c r="Q62" s="4">
        <f t="shared" si="1"/>
        <v>2.7004483369825878E-2</v>
      </c>
    </row>
    <row r="63" spans="1:17">
      <c r="A63" t="s">
        <v>219</v>
      </c>
      <c r="B63">
        <v>19</v>
      </c>
      <c r="C63">
        <v>3</v>
      </c>
      <c r="D63">
        <v>83</v>
      </c>
      <c r="E63">
        <v>0</v>
      </c>
      <c r="F63">
        <v>9</v>
      </c>
      <c r="G63">
        <v>0</v>
      </c>
      <c r="H63" s="9">
        <v>127</v>
      </c>
      <c r="I63" s="4">
        <f t="shared" si="0"/>
        <v>0.65354330708661412</v>
      </c>
      <c r="K63" t="s">
        <v>219</v>
      </c>
      <c r="L63">
        <v>19</v>
      </c>
      <c r="M63" t="s">
        <v>239</v>
      </c>
      <c r="N63">
        <v>3</v>
      </c>
      <c r="O63">
        <v>9591</v>
      </c>
      <c r="P63">
        <v>1846</v>
      </c>
      <c r="Q63" s="4">
        <f t="shared" si="1"/>
        <v>0.19247210926910646</v>
      </c>
    </row>
    <row r="64" spans="1:17">
      <c r="A64" t="s">
        <v>219</v>
      </c>
      <c r="B64">
        <v>19</v>
      </c>
      <c r="C64">
        <v>4</v>
      </c>
      <c r="D64">
        <v>88</v>
      </c>
      <c r="E64">
        <v>0</v>
      </c>
      <c r="F64">
        <v>10</v>
      </c>
      <c r="G64">
        <v>0</v>
      </c>
      <c r="H64" s="9">
        <v>127</v>
      </c>
      <c r="I64" s="4">
        <f t="shared" si="0"/>
        <v>0.69291338582677164</v>
      </c>
      <c r="K64" t="s">
        <v>219</v>
      </c>
      <c r="L64">
        <v>19</v>
      </c>
      <c r="M64" t="s">
        <v>283</v>
      </c>
      <c r="N64">
        <v>4</v>
      </c>
      <c r="O64">
        <v>9591</v>
      </c>
      <c r="P64">
        <v>1963</v>
      </c>
      <c r="Q64" s="4">
        <f t="shared" si="1"/>
        <v>0.20467104577207798</v>
      </c>
    </row>
    <row r="65" spans="1:17">
      <c r="A65" t="s">
        <v>219</v>
      </c>
      <c r="B65">
        <v>19</v>
      </c>
      <c r="C65">
        <v>5</v>
      </c>
      <c r="D65">
        <v>93</v>
      </c>
      <c r="E65">
        <v>0</v>
      </c>
      <c r="F65">
        <v>11</v>
      </c>
      <c r="G65">
        <v>0</v>
      </c>
      <c r="H65" s="9">
        <v>127</v>
      </c>
      <c r="I65" s="4">
        <f t="shared" si="0"/>
        <v>0.73228346456692917</v>
      </c>
      <c r="K65" t="s">
        <v>219</v>
      </c>
      <c r="L65">
        <v>19</v>
      </c>
      <c r="M65" t="s">
        <v>284</v>
      </c>
      <c r="N65">
        <v>5</v>
      </c>
      <c r="O65">
        <v>9591</v>
      </c>
      <c r="P65">
        <v>2114</v>
      </c>
      <c r="Q65" s="4">
        <f t="shared" si="1"/>
        <v>0.22041497236993016</v>
      </c>
    </row>
    <row r="66" spans="1:17">
      <c r="A66" t="s">
        <v>219</v>
      </c>
      <c r="B66">
        <v>19</v>
      </c>
      <c r="C66">
        <v>6</v>
      </c>
      <c r="D66">
        <v>98</v>
      </c>
      <c r="E66">
        <v>0</v>
      </c>
      <c r="F66">
        <v>12</v>
      </c>
      <c r="G66">
        <v>0</v>
      </c>
      <c r="H66" s="9">
        <v>127</v>
      </c>
      <c r="I66" s="4">
        <f t="shared" si="0"/>
        <v>0.77165354330708658</v>
      </c>
      <c r="K66" t="s">
        <v>219</v>
      </c>
      <c r="L66">
        <v>19</v>
      </c>
      <c r="M66" t="s">
        <v>813</v>
      </c>
      <c r="N66">
        <v>6</v>
      </c>
      <c r="O66">
        <v>9591</v>
      </c>
      <c r="P66">
        <v>2314</v>
      </c>
      <c r="Q66" s="4">
        <f t="shared" si="1"/>
        <v>0.24126785528099259</v>
      </c>
    </row>
    <row r="67" spans="1:17">
      <c r="A67" t="s">
        <v>219</v>
      </c>
      <c r="B67">
        <v>19</v>
      </c>
      <c r="C67">
        <v>7</v>
      </c>
      <c r="D67">
        <v>125</v>
      </c>
      <c r="E67">
        <v>0</v>
      </c>
      <c r="F67">
        <v>2</v>
      </c>
      <c r="G67">
        <v>0</v>
      </c>
      <c r="H67" s="9">
        <v>127</v>
      </c>
      <c r="I67" s="4">
        <f t="shared" ref="I67:I130" si="2">D67/H67</f>
        <v>0.98425196850393704</v>
      </c>
      <c r="K67" t="s">
        <v>219</v>
      </c>
      <c r="L67">
        <v>19</v>
      </c>
      <c r="M67" t="s">
        <v>814</v>
      </c>
      <c r="N67">
        <v>7</v>
      </c>
      <c r="O67">
        <v>9591</v>
      </c>
      <c r="P67">
        <v>6734</v>
      </c>
      <c r="Q67" s="4">
        <f t="shared" ref="Q67:Q130" si="3">P67/O67</f>
        <v>0.70211656761547281</v>
      </c>
    </row>
    <row r="68" spans="1:17">
      <c r="A68" t="s">
        <v>219</v>
      </c>
      <c r="B68">
        <v>19</v>
      </c>
      <c r="C68">
        <v>8</v>
      </c>
      <c r="D68">
        <v>126</v>
      </c>
      <c r="E68">
        <v>0</v>
      </c>
      <c r="F68">
        <v>1</v>
      </c>
      <c r="G68">
        <v>0</v>
      </c>
      <c r="H68" s="9">
        <v>127</v>
      </c>
      <c r="I68" s="4">
        <f t="shared" si="2"/>
        <v>0.99212598425196852</v>
      </c>
      <c r="K68" t="s">
        <v>219</v>
      </c>
      <c r="L68">
        <v>19</v>
      </c>
      <c r="M68" t="s">
        <v>815</v>
      </c>
      <c r="N68">
        <v>8</v>
      </c>
      <c r="O68">
        <v>9591</v>
      </c>
      <c r="P68">
        <v>6926</v>
      </c>
      <c r="Q68" s="4">
        <f t="shared" si="3"/>
        <v>0.72213533521009277</v>
      </c>
    </row>
    <row r="69" spans="1:17">
      <c r="A69" t="s">
        <v>219</v>
      </c>
      <c r="B69">
        <v>19</v>
      </c>
      <c r="C69">
        <v>9</v>
      </c>
      <c r="D69">
        <v>127</v>
      </c>
      <c r="E69">
        <v>0</v>
      </c>
      <c r="F69">
        <v>0</v>
      </c>
      <c r="G69">
        <v>0</v>
      </c>
      <c r="H69" s="9">
        <v>127</v>
      </c>
      <c r="I69" s="4">
        <f t="shared" si="2"/>
        <v>1</v>
      </c>
      <c r="K69" t="s">
        <v>219</v>
      </c>
      <c r="L69">
        <v>19</v>
      </c>
      <c r="M69" t="s">
        <v>820</v>
      </c>
      <c r="N69">
        <v>9</v>
      </c>
      <c r="O69">
        <v>9591</v>
      </c>
      <c r="P69">
        <v>7155</v>
      </c>
      <c r="Q69" s="4">
        <f t="shared" si="3"/>
        <v>0.74601188614325931</v>
      </c>
    </row>
    <row r="70" spans="1:17">
      <c r="A70" t="s">
        <v>219</v>
      </c>
      <c r="B70">
        <v>19</v>
      </c>
      <c r="C70">
        <v>10</v>
      </c>
      <c r="D70">
        <v>127</v>
      </c>
      <c r="E70">
        <v>0</v>
      </c>
      <c r="F70">
        <v>0</v>
      </c>
      <c r="G70">
        <v>0</v>
      </c>
      <c r="H70" s="9">
        <v>127</v>
      </c>
      <c r="I70" s="4">
        <f t="shared" si="2"/>
        <v>1</v>
      </c>
      <c r="K70" t="s">
        <v>219</v>
      </c>
      <c r="L70">
        <v>19</v>
      </c>
      <c r="M70" t="s">
        <v>816</v>
      </c>
      <c r="N70">
        <v>10</v>
      </c>
      <c r="O70">
        <v>9591</v>
      </c>
      <c r="P70">
        <v>7179</v>
      </c>
      <c r="Q70" s="4">
        <f t="shared" si="3"/>
        <v>0.74851423209258683</v>
      </c>
    </row>
    <row r="71" spans="1:17">
      <c r="A71" t="s">
        <v>219</v>
      </c>
      <c r="B71">
        <v>19</v>
      </c>
      <c r="C71">
        <v>11</v>
      </c>
      <c r="D71">
        <v>127</v>
      </c>
      <c r="E71">
        <v>0</v>
      </c>
      <c r="F71">
        <v>0</v>
      </c>
      <c r="G71">
        <v>0</v>
      </c>
      <c r="H71" s="9">
        <v>127</v>
      </c>
      <c r="I71" s="4">
        <f t="shared" si="2"/>
        <v>1</v>
      </c>
      <c r="K71" t="s">
        <v>219</v>
      </c>
      <c r="L71">
        <v>19</v>
      </c>
      <c r="M71" t="s">
        <v>818</v>
      </c>
      <c r="N71">
        <v>11</v>
      </c>
      <c r="O71">
        <v>9591</v>
      </c>
      <c r="P71">
        <v>7207</v>
      </c>
      <c r="Q71" s="4">
        <f t="shared" si="3"/>
        <v>0.75143363570013555</v>
      </c>
    </row>
    <row r="72" spans="1:17">
      <c r="A72" t="s">
        <v>219</v>
      </c>
      <c r="B72">
        <v>19</v>
      </c>
      <c r="C72">
        <v>12</v>
      </c>
      <c r="D72">
        <v>127</v>
      </c>
      <c r="E72">
        <v>0</v>
      </c>
      <c r="F72">
        <v>0</v>
      </c>
      <c r="G72">
        <v>0</v>
      </c>
      <c r="H72" s="9">
        <v>127</v>
      </c>
      <c r="I72" s="4">
        <f t="shared" si="2"/>
        <v>1</v>
      </c>
      <c r="K72" t="s">
        <v>219</v>
      </c>
      <c r="L72">
        <v>19</v>
      </c>
      <c r="M72" t="s">
        <v>819</v>
      </c>
      <c r="N72">
        <v>12</v>
      </c>
      <c r="O72">
        <v>9591</v>
      </c>
      <c r="P72">
        <v>7217</v>
      </c>
      <c r="Q72" s="4">
        <f t="shared" si="3"/>
        <v>0.75247627984568866</v>
      </c>
    </row>
    <row r="73" spans="1:17">
      <c r="A73" t="s">
        <v>219</v>
      </c>
      <c r="B73">
        <v>19</v>
      </c>
      <c r="C73">
        <v>13</v>
      </c>
      <c r="D73">
        <v>127</v>
      </c>
      <c r="E73">
        <v>0</v>
      </c>
      <c r="F73">
        <v>0</v>
      </c>
      <c r="G73">
        <v>0</v>
      </c>
      <c r="H73" s="9">
        <v>127</v>
      </c>
      <c r="I73" s="4">
        <f t="shared" si="2"/>
        <v>1</v>
      </c>
      <c r="K73" t="s">
        <v>219</v>
      </c>
      <c r="L73">
        <v>19</v>
      </c>
      <c r="M73" t="s">
        <v>817</v>
      </c>
      <c r="N73">
        <v>13</v>
      </c>
      <c r="O73">
        <v>9591</v>
      </c>
      <c r="P73">
        <v>7230</v>
      </c>
      <c r="Q73" s="4">
        <f t="shared" si="3"/>
        <v>0.75383171723490772</v>
      </c>
    </row>
    <row r="74" spans="1:17">
      <c r="A74" t="s">
        <v>219</v>
      </c>
      <c r="B74">
        <v>19</v>
      </c>
      <c r="C74">
        <v>14</v>
      </c>
      <c r="D74">
        <v>127</v>
      </c>
      <c r="E74">
        <v>0</v>
      </c>
      <c r="F74">
        <v>0</v>
      </c>
      <c r="G74">
        <v>0</v>
      </c>
      <c r="H74" s="9">
        <v>127</v>
      </c>
      <c r="I74" s="4">
        <f t="shared" si="2"/>
        <v>1</v>
      </c>
      <c r="K74" t="s">
        <v>219</v>
      </c>
      <c r="L74">
        <v>19</v>
      </c>
      <c r="M74" t="s">
        <v>824</v>
      </c>
      <c r="N74">
        <v>14</v>
      </c>
      <c r="O74">
        <v>9591</v>
      </c>
      <c r="P74">
        <v>7244</v>
      </c>
      <c r="Q74" s="4">
        <f t="shared" si="3"/>
        <v>0.75529141903868213</v>
      </c>
    </row>
    <row r="75" spans="1:17">
      <c r="A75" t="s">
        <v>219</v>
      </c>
      <c r="B75">
        <v>19</v>
      </c>
      <c r="C75">
        <v>15</v>
      </c>
      <c r="D75">
        <v>127</v>
      </c>
      <c r="E75">
        <v>0</v>
      </c>
      <c r="F75">
        <v>0</v>
      </c>
      <c r="G75">
        <v>0</v>
      </c>
      <c r="H75" s="9">
        <v>127</v>
      </c>
      <c r="I75" s="4">
        <f t="shared" si="2"/>
        <v>1</v>
      </c>
      <c r="K75" t="s">
        <v>219</v>
      </c>
      <c r="L75">
        <v>19</v>
      </c>
      <c r="M75" t="s">
        <v>822</v>
      </c>
      <c r="N75">
        <v>15</v>
      </c>
      <c r="O75">
        <v>9591</v>
      </c>
      <c r="P75">
        <v>7280</v>
      </c>
      <c r="Q75" s="4">
        <f t="shared" si="3"/>
        <v>0.75904493796267336</v>
      </c>
    </row>
    <row r="76" spans="1:17">
      <c r="A76" t="s">
        <v>219</v>
      </c>
      <c r="B76">
        <v>19</v>
      </c>
      <c r="C76">
        <v>16</v>
      </c>
      <c r="D76">
        <v>127</v>
      </c>
      <c r="E76">
        <v>0</v>
      </c>
      <c r="F76">
        <v>0</v>
      </c>
      <c r="G76">
        <v>0</v>
      </c>
      <c r="H76" s="9">
        <v>127</v>
      </c>
      <c r="I76" s="4">
        <f t="shared" si="2"/>
        <v>1</v>
      </c>
      <c r="K76" t="s">
        <v>219</v>
      </c>
      <c r="L76">
        <v>19</v>
      </c>
      <c r="M76" t="s">
        <v>823</v>
      </c>
      <c r="N76">
        <v>16</v>
      </c>
      <c r="O76">
        <v>9591</v>
      </c>
      <c r="P76">
        <v>7284</v>
      </c>
      <c r="Q76" s="4">
        <f t="shared" si="3"/>
        <v>0.75946199562089456</v>
      </c>
    </row>
    <row r="77" spans="1:17">
      <c r="A77" t="s">
        <v>219</v>
      </c>
      <c r="B77">
        <v>19</v>
      </c>
      <c r="C77">
        <v>17</v>
      </c>
      <c r="D77">
        <v>127</v>
      </c>
      <c r="E77">
        <v>0</v>
      </c>
      <c r="F77">
        <v>0</v>
      </c>
      <c r="G77">
        <v>0</v>
      </c>
      <c r="H77" s="9">
        <v>127</v>
      </c>
      <c r="I77" s="4">
        <f t="shared" si="2"/>
        <v>1</v>
      </c>
      <c r="K77" t="s">
        <v>219</v>
      </c>
      <c r="L77">
        <v>19</v>
      </c>
      <c r="M77" t="s">
        <v>830</v>
      </c>
      <c r="N77">
        <v>17</v>
      </c>
      <c r="O77">
        <v>9591</v>
      </c>
      <c r="P77">
        <v>7293</v>
      </c>
      <c r="Q77" s="4">
        <f t="shared" si="3"/>
        <v>0.76040037535189242</v>
      </c>
    </row>
    <row r="78" spans="1:17">
      <c r="A78" t="s">
        <v>219</v>
      </c>
      <c r="B78">
        <v>19</v>
      </c>
      <c r="C78">
        <v>18</v>
      </c>
      <c r="D78">
        <v>127</v>
      </c>
      <c r="E78">
        <v>0</v>
      </c>
      <c r="F78">
        <v>0</v>
      </c>
      <c r="G78">
        <v>0</v>
      </c>
      <c r="H78" s="9">
        <v>127</v>
      </c>
      <c r="I78" s="4">
        <f t="shared" si="2"/>
        <v>1</v>
      </c>
      <c r="K78" t="s">
        <v>219</v>
      </c>
      <c r="L78">
        <v>19</v>
      </c>
      <c r="M78" t="s">
        <v>826</v>
      </c>
      <c r="N78">
        <v>18</v>
      </c>
      <c r="O78">
        <v>9591</v>
      </c>
      <c r="P78">
        <v>7294</v>
      </c>
      <c r="Q78" s="4">
        <f t="shared" si="3"/>
        <v>0.76050463976644767</v>
      </c>
    </row>
    <row r="79" spans="1:17">
      <c r="A79" t="s">
        <v>219</v>
      </c>
      <c r="B79">
        <v>19</v>
      </c>
      <c r="C79">
        <v>19</v>
      </c>
      <c r="D79">
        <v>127</v>
      </c>
      <c r="E79">
        <v>0</v>
      </c>
      <c r="F79">
        <v>0</v>
      </c>
      <c r="G79">
        <v>0</v>
      </c>
      <c r="H79" s="9">
        <v>127</v>
      </c>
      <c r="I79" s="4">
        <f t="shared" si="2"/>
        <v>1</v>
      </c>
      <c r="K79" t="s">
        <v>219</v>
      </c>
      <c r="L79">
        <v>19</v>
      </c>
      <c r="M79" t="s">
        <v>836</v>
      </c>
      <c r="N79">
        <v>19</v>
      </c>
      <c r="O79">
        <v>9591</v>
      </c>
      <c r="P79">
        <v>7302</v>
      </c>
      <c r="Q79" s="4">
        <f t="shared" si="3"/>
        <v>0.76133875508289017</v>
      </c>
    </row>
    <row r="80" spans="1:17">
      <c r="A80" t="s">
        <v>219</v>
      </c>
      <c r="B80">
        <v>19</v>
      </c>
      <c r="C80">
        <v>20</v>
      </c>
      <c r="D80">
        <v>127</v>
      </c>
      <c r="E80">
        <v>0</v>
      </c>
      <c r="F80">
        <v>0</v>
      </c>
      <c r="G80">
        <v>0</v>
      </c>
      <c r="H80" s="9">
        <v>127</v>
      </c>
      <c r="I80" s="4">
        <f t="shared" si="2"/>
        <v>1</v>
      </c>
      <c r="K80" t="s">
        <v>219</v>
      </c>
      <c r="L80">
        <v>19</v>
      </c>
      <c r="M80" t="s">
        <v>825</v>
      </c>
      <c r="N80">
        <v>20</v>
      </c>
      <c r="O80">
        <v>9591</v>
      </c>
      <c r="P80">
        <v>7323</v>
      </c>
      <c r="Q80" s="4">
        <f t="shared" si="3"/>
        <v>0.76352830778855174</v>
      </c>
    </row>
    <row r="81" spans="1:17">
      <c r="A81" t="s">
        <v>219</v>
      </c>
      <c r="B81">
        <v>19</v>
      </c>
      <c r="C81">
        <v>21</v>
      </c>
      <c r="D81">
        <v>127</v>
      </c>
      <c r="E81">
        <v>0</v>
      </c>
      <c r="F81">
        <v>0</v>
      </c>
      <c r="G81">
        <v>0</v>
      </c>
      <c r="H81" s="9">
        <v>127</v>
      </c>
      <c r="I81" s="4">
        <f t="shared" si="2"/>
        <v>1</v>
      </c>
      <c r="K81" t="s">
        <v>219</v>
      </c>
      <c r="L81">
        <v>19</v>
      </c>
      <c r="M81" t="s">
        <v>827</v>
      </c>
      <c r="N81">
        <v>21</v>
      </c>
      <c r="O81">
        <v>9591</v>
      </c>
      <c r="P81">
        <v>7327</v>
      </c>
      <c r="Q81" s="4">
        <f t="shared" si="3"/>
        <v>0.76394536544677305</v>
      </c>
    </row>
    <row r="82" spans="1:17">
      <c r="A82" t="s">
        <v>219</v>
      </c>
      <c r="B82">
        <v>19</v>
      </c>
      <c r="C82">
        <v>22</v>
      </c>
      <c r="D82">
        <v>127</v>
      </c>
      <c r="E82">
        <v>0</v>
      </c>
      <c r="F82">
        <v>0</v>
      </c>
      <c r="G82">
        <v>0</v>
      </c>
      <c r="H82" s="9">
        <v>127</v>
      </c>
      <c r="I82" s="4">
        <f t="shared" si="2"/>
        <v>1</v>
      </c>
      <c r="K82" t="s">
        <v>219</v>
      </c>
      <c r="L82">
        <v>19</v>
      </c>
      <c r="M82" t="s">
        <v>821</v>
      </c>
      <c r="N82">
        <v>22</v>
      </c>
      <c r="O82">
        <v>9591</v>
      </c>
      <c r="P82">
        <v>7337</v>
      </c>
      <c r="Q82" s="4">
        <f t="shared" si="3"/>
        <v>0.76498800959232616</v>
      </c>
    </row>
    <row r="83" spans="1:17">
      <c r="A83" t="s">
        <v>219</v>
      </c>
      <c r="B83">
        <v>19</v>
      </c>
      <c r="C83">
        <v>23</v>
      </c>
      <c r="D83">
        <v>127</v>
      </c>
      <c r="E83">
        <v>0</v>
      </c>
      <c r="F83">
        <v>0</v>
      </c>
      <c r="G83">
        <v>0</v>
      </c>
      <c r="H83" s="9">
        <v>127</v>
      </c>
      <c r="I83" s="4">
        <f t="shared" si="2"/>
        <v>1</v>
      </c>
      <c r="K83" t="s">
        <v>219</v>
      </c>
      <c r="L83">
        <v>19</v>
      </c>
      <c r="M83" t="s">
        <v>831</v>
      </c>
      <c r="N83">
        <v>23</v>
      </c>
      <c r="O83">
        <v>9591</v>
      </c>
      <c r="P83">
        <v>7396</v>
      </c>
      <c r="Q83" s="4">
        <f t="shared" si="3"/>
        <v>0.77113961005108955</v>
      </c>
    </row>
    <row r="84" spans="1:17">
      <c r="A84" t="s">
        <v>219</v>
      </c>
      <c r="B84">
        <v>19</v>
      </c>
      <c r="C84">
        <v>24</v>
      </c>
      <c r="D84">
        <v>127</v>
      </c>
      <c r="E84">
        <v>0</v>
      </c>
      <c r="F84">
        <v>0</v>
      </c>
      <c r="G84">
        <v>0</v>
      </c>
      <c r="H84" s="9">
        <v>127</v>
      </c>
      <c r="I84" s="4">
        <f t="shared" si="2"/>
        <v>1</v>
      </c>
      <c r="K84" t="s">
        <v>219</v>
      </c>
      <c r="L84">
        <v>19</v>
      </c>
      <c r="M84" t="s">
        <v>832</v>
      </c>
      <c r="N84">
        <v>24</v>
      </c>
      <c r="O84">
        <v>9591</v>
      </c>
      <c r="P84">
        <v>7397</v>
      </c>
      <c r="Q84" s="4">
        <f t="shared" si="3"/>
        <v>0.77124387446564491</v>
      </c>
    </row>
    <row r="85" spans="1:17">
      <c r="A85" t="s">
        <v>219</v>
      </c>
      <c r="B85">
        <v>19</v>
      </c>
      <c r="C85">
        <v>25</v>
      </c>
      <c r="D85">
        <v>127</v>
      </c>
      <c r="E85">
        <v>0</v>
      </c>
      <c r="F85">
        <v>0</v>
      </c>
      <c r="G85">
        <v>0</v>
      </c>
      <c r="H85" s="9">
        <v>127</v>
      </c>
      <c r="I85" s="4">
        <f t="shared" si="2"/>
        <v>1</v>
      </c>
      <c r="K85" t="s">
        <v>219</v>
      </c>
      <c r="L85">
        <v>19</v>
      </c>
      <c r="M85" t="s">
        <v>829</v>
      </c>
      <c r="N85">
        <v>25</v>
      </c>
      <c r="O85">
        <v>9591</v>
      </c>
      <c r="P85">
        <v>7430</v>
      </c>
      <c r="Q85" s="4">
        <f t="shared" si="3"/>
        <v>0.77468460014597018</v>
      </c>
    </row>
    <row r="86" spans="1:17">
      <c r="A86" t="s">
        <v>219</v>
      </c>
      <c r="B86">
        <v>19</v>
      </c>
      <c r="C86">
        <v>26</v>
      </c>
      <c r="D86">
        <v>127</v>
      </c>
      <c r="E86">
        <v>0</v>
      </c>
      <c r="F86">
        <v>0</v>
      </c>
      <c r="G86">
        <v>0</v>
      </c>
      <c r="H86" s="9">
        <v>127</v>
      </c>
      <c r="I86" s="4">
        <f t="shared" si="2"/>
        <v>1</v>
      </c>
      <c r="K86" t="s">
        <v>219</v>
      </c>
      <c r="L86">
        <v>19</v>
      </c>
      <c r="M86" t="s">
        <v>835</v>
      </c>
      <c r="N86">
        <v>26</v>
      </c>
      <c r="O86">
        <v>9591</v>
      </c>
      <c r="P86">
        <v>7445</v>
      </c>
      <c r="Q86" s="4">
        <f t="shared" si="3"/>
        <v>0.77624856636429984</v>
      </c>
    </row>
    <row r="87" spans="1:17">
      <c r="A87" t="s">
        <v>219</v>
      </c>
      <c r="B87">
        <v>19</v>
      </c>
      <c r="C87">
        <v>27</v>
      </c>
      <c r="D87">
        <v>127</v>
      </c>
      <c r="E87">
        <v>0</v>
      </c>
      <c r="F87">
        <v>0</v>
      </c>
      <c r="G87">
        <v>0</v>
      </c>
      <c r="H87" s="9">
        <v>127</v>
      </c>
      <c r="I87" s="4">
        <f t="shared" si="2"/>
        <v>1</v>
      </c>
      <c r="K87" t="s">
        <v>219</v>
      </c>
      <c r="L87">
        <v>19</v>
      </c>
      <c r="M87" t="s">
        <v>828</v>
      </c>
      <c r="N87">
        <v>27</v>
      </c>
      <c r="O87">
        <v>9591</v>
      </c>
      <c r="P87">
        <v>7473</v>
      </c>
      <c r="Q87" s="4">
        <f t="shared" si="3"/>
        <v>0.77916796997184856</v>
      </c>
    </row>
    <row r="88" spans="1:17">
      <c r="A88" t="s">
        <v>219</v>
      </c>
      <c r="B88">
        <v>19</v>
      </c>
      <c r="C88">
        <v>28</v>
      </c>
      <c r="D88">
        <v>127</v>
      </c>
      <c r="E88">
        <v>0</v>
      </c>
      <c r="F88">
        <v>0</v>
      </c>
      <c r="G88">
        <v>0</v>
      </c>
      <c r="H88" s="9">
        <v>127</v>
      </c>
      <c r="I88" s="4">
        <f t="shared" si="2"/>
        <v>1</v>
      </c>
      <c r="K88" t="s">
        <v>219</v>
      </c>
      <c r="L88">
        <v>19</v>
      </c>
      <c r="M88" t="s">
        <v>834</v>
      </c>
      <c r="N88">
        <v>28</v>
      </c>
      <c r="O88">
        <v>9591</v>
      </c>
      <c r="P88">
        <v>7606</v>
      </c>
      <c r="Q88" s="4">
        <f t="shared" si="3"/>
        <v>0.79303513710770512</v>
      </c>
    </row>
    <row r="89" spans="1:17">
      <c r="A89" t="s">
        <v>219</v>
      </c>
      <c r="B89">
        <v>19</v>
      </c>
      <c r="C89">
        <v>29</v>
      </c>
      <c r="D89">
        <v>127</v>
      </c>
      <c r="E89">
        <v>0</v>
      </c>
      <c r="F89">
        <v>0</v>
      </c>
      <c r="G89">
        <v>0</v>
      </c>
      <c r="H89" s="9">
        <v>127</v>
      </c>
      <c r="I89" s="4">
        <f t="shared" si="2"/>
        <v>1</v>
      </c>
      <c r="K89" t="s">
        <v>219</v>
      </c>
      <c r="L89">
        <v>19</v>
      </c>
      <c r="M89" t="s">
        <v>833</v>
      </c>
      <c r="N89">
        <v>29</v>
      </c>
      <c r="O89">
        <v>9591</v>
      </c>
      <c r="P89">
        <v>7613</v>
      </c>
      <c r="Q89" s="4">
        <f t="shared" si="3"/>
        <v>0.79376498800959228</v>
      </c>
    </row>
    <row r="90" spans="1:17">
      <c r="A90" t="s">
        <v>219</v>
      </c>
      <c r="B90">
        <v>20</v>
      </c>
      <c r="C90">
        <v>1</v>
      </c>
      <c r="D90">
        <v>20</v>
      </c>
      <c r="E90">
        <v>0</v>
      </c>
      <c r="F90">
        <v>7</v>
      </c>
      <c r="G90">
        <v>0</v>
      </c>
      <c r="H90" s="9">
        <v>101</v>
      </c>
      <c r="I90" s="4">
        <f t="shared" si="2"/>
        <v>0.19801980198019803</v>
      </c>
      <c r="K90" t="s">
        <v>219</v>
      </c>
      <c r="L90">
        <v>20</v>
      </c>
      <c r="M90" t="s">
        <v>308</v>
      </c>
      <c r="N90">
        <v>1</v>
      </c>
      <c r="O90">
        <v>5170</v>
      </c>
      <c r="P90">
        <v>460</v>
      </c>
      <c r="Q90" s="4">
        <f t="shared" si="3"/>
        <v>8.8974854932301742E-2</v>
      </c>
    </row>
    <row r="91" spans="1:17">
      <c r="A91" t="s">
        <v>219</v>
      </c>
      <c r="B91">
        <v>20</v>
      </c>
      <c r="C91">
        <v>2</v>
      </c>
      <c r="D91">
        <v>23</v>
      </c>
      <c r="E91">
        <v>0</v>
      </c>
      <c r="F91">
        <v>7</v>
      </c>
      <c r="G91">
        <v>0</v>
      </c>
      <c r="H91" s="9">
        <v>101</v>
      </c>
      <c r="I91" s="4">
        <f t="shared" si="2"/>
        <v>0.22772277227722773</v>
      </c>
      <c r="K91" t="s">
        <v>219</v>
      </c>
      <c r="L91">
        <v>20</v>
      </c>
      <c r="M91" t="s">
        <v>309</v>
      </c>
      <c r="N91">
        <v>2</v>
      </c>
      <c r="O91">
        <v>5170</v>
      </c>
      <c r="P91">
        <v>533</v>
      </c>
      <c r="Q91" s="4">
        <f t="shared" si="3"/>
        <v>0.10309477756286267</v>
      </c>
    </row>
    <row r="92" spans="1:17">
      <c r="A92" t="s">
        <v>219</v>
      </c>
      <c r="B92">
        <v>20</v>
      </c>
      <c r="C92">
        <v>3</v>
      </c>
      <c r="D92">
        <v>26</v>
      </c>
      <c r="E92">
        <v>0</v>
      </c>
      <c r="F92">
        <v>6</v>
      </c>
      <c r="G92">
        <v>0</v>
      </c>
      <c r="H92" s="9">
        <v>101</v>
      </c>
      <c r="I92" s="4">
        <f t="shared" si="2"/>
        <v>0.25742574257425743</v>
      </c>
      <c r="K92" t="s">
        <v>219</v>
      </c>
      <c r="L92">
        <v>20</v>
      </c>
      <c r="M92" t="s">
        <v>310</v>
      </c>
      <c r="N92">
        <v>3</v>
      </c>
      <c r="O92">
        <v>5170</v>
      </c>
      <c r="P92">
        <v>535</v>
      </c>
      <c r="Q92" s="4">
        <f t="shared" si="3"/>
        <v>0.10348162475822051</v>
      </c>
    </row>
    <row r="93" spans="1:17">
      <c r="A93" t="s">
        <v>219</v>
      </c>
      <c r="B93">
        <v>20</v>
      </c>
      <c r="C93">
        <v>4</v>
      </c>
      <c r="D93">
        <v>29</v>
      </c>
      <c r="E93">
        <v>0</v>
      </c>
      <c r="F93">
        <v>9</v>
      </c>
      <c r="G93">
        <v>0</v>
      </c>
      <c r="H93" s="9">
        <v>101</v>
      </c>
      <c r="I93" s="4">
        <f t="shared" si="2"/>
        <v>0.28712871287128711</v>
      </c>
      <c r="K93" t="s">
        <v>219</v>
      </c>
      <c r="L93">
        <v>20</v>
      </c>
      <c r="M93" t="s">
        <v>311</v>
      </c>
      <c r="N93">
        <v>4</v>
      </c>
      <c r="O93">
        <v>5170</v>
      </c>
      <c r="P93">
        <v>562</v>
      </c>
      <c r="Q93" s="4">
        <f t="shared" si="3"/>
        <v>0.10870406189555126</v>
      </c>
    </row>
    <row r="94" spans="1:17">
      <c r="A94" t="s">
        <v>219</v>
      </c>
      <c r="B94">
        <v>20</v>
      </c>
      <c r="C94">
        <v>5</v>
      </c>
      <c r="D94">
        <v>45</v>
      </c>
      <c r="E94">
        <v>0</v>
      </c>
      <c r="F94">
        <v>9</v>
      </c>
      <c r="G94">
        <v>0</v>
      </c>
      <c r="H94" s="9">
        <v>101</v>
      </c>
      <c r="I94" s="4">
        <f t="shared" si="2"/>
        <v>0.44554455445544555</v>
      </c>
      <c r="K94" t="s">
        <v>219</v>
      </c>
      <c r="L94">
        <v>20</v>
      </c>
      <c r="M94" t="s">
        <v>312</v>
      </c>
      <c r="N94">
        <v>5</v>
      </c>
      <c r="O94">
        <v>5170</v>
      </c>
      <c r="P94">
        <v>599</v>
      </c>
      <c r="Q94" s="4">
        <f t="shared" si="3"/>
        <v>0.11586073500967117</v>
      </c>
    </row>
    <row r="95" spans="1:17">
      <c r="A95" t="s">
        <v>219</v>
      </c>
      <c r="B95">
        <v>20</v>
      </c>
      <c r="C95">
        <v>6</v>
      </c>
      <c r="D95">
        <v>45</v>
      </c>
      <c r="E95">
        <v>0</v>
      </c>
      <c r="F95">
        <v>9</v>
      </c>
      <c r="G95">
        <v>0</v>
      </c>
      <c r="H95" s="9">
        <v>101</v>
      </c>
      <c r="I95" s="4">
        <f t="shared" si="2"/>
        <v>0.44554455445544555</v>
      </c>
      <c r="K95" t="s">
        <v>219</v>
      </c>
      <c r="L95">
        <v>20</v>
      </c>
      <c r="M95" t="s">
        <v>313</v>
      </c>
      <c r="N95">
        <v>6</v>
      </c>
      <c r="O95">
        <v>5170</v>
      </c>
      <c r="P95">
        <v>613</v>
      </c>
      <c r="Q95" s="4">
        <f t="shared" si="3"/>
        <v>0.11856866537717602</v>
      </c>
    </row>
    <row r="96" spans="1:17">
      <c r="A96" t="s">
        <v>219</v>
      </c>
      <c r="B96">
        <v>20</v>
      </c>
      <c r="C96">
        <v>7</v>
      </c>
      <c r="D96">
        <v>53</v>
      </c>
      <c r="E96">
        <v>0</v>
      </c>
      <c r="F96">
        <v>7</v>
      </c>
      <c r="G96">
        <v>0</v>
      </c>
      <c r="H96" s="9">
        <v>101</v>
      </c>
      <c r="I96" s="4">
        <f t="shared" si="2"/>
        <v>0.52475247524752477</v>
      </c>
      <c r="K96" t="s">
        <v>219</v>
      </c>
      <c r="L96">
        <v>20</v>
      </c>
      <c r="M96" t="s">
        <v>314</v>
      </c>
      <c r="N96">
        <v>7</v>
      </c>
      <c r="O96">
        <v>5170</v>
      </c>
      <c r="P96">
        <v>614</v>
      </c>
      <c r="Q96" s="4">
        <f t="shared" si="3"/>
        <v>0.11876208897485493</v>
      </c>
    </row>
    <row r="97" spans="1:17">
      <c r="A97" t="s">
        <v>219</v>
      </c>
      <c r="B97">
        <v>20</v>
      </c>
      <c r="C97">
        <v>8</v>
      </c>
      <c r="D97">
        <v>53</v>
      </c>
      <c r="E97">
        <v>0</v>
      </c>
      <c r="F97">
        <v>7</v>
      </c>
      <c r="G97">
        <v>0</v>
      </c>
      <c r="H97" s="9">
        <v>101</v>
      </c>
      <c r="I97" s="4">
        <f t="shared" si="2"/>
        <v>0.52475247524752477</v>
      </c>
      <c r="K97" t="s">
        <v>219</v>
      </c>
      <c r="L97">
        <v>20</v>
      </c>
      <c r="M97" t="s">
        <v>316</v>
      </c>
      <c r="N97">
        <v>8</v>
      </c>
      <c r="O97">
        <v>5170</v>
      </c>
      <c r="P97">
        <v>633</v>
      </c>
      <c r="Q97" s="4">
        <f t="shared" si="3"/>
        <v>0.12243713733075436</v>
      </c>
    </row>
    <row r="98" spans="1:17">
      <c r="A98" t="s">
        <v>219</v>
      </c>
      <c r="B98">
        <v>20</v>
      </c>
      <c r="C98">
        <v>9</v>
      </c>
      <c r="D98">
        <v>53</v>
      </c>
      <c r="E98">
        <v>0</v>
      </c>
      <c r="F98">
        <v>7</v>
      </c>
      <c r="G98">
        <v>0</v>
      </c>
      <c r="H98" s="9">
        <v>101</v>
      </c>
      <c r="I98" s="4">
        <f t="shared" si="2"/>
        <v>0.52475247524752477</v>
      </c>
      <c r="K98" t="s">
        <v>219</v>
      </c>
      <c r="L98">
        <v>20</v>
      </c>
      <c r="M98" t="s">
        <v>315</v>
      </c>
      <c r="N98">
        <v>9</v>
      </c>
      <c r="O98">
        <v>5170</v>
      </c>
      <c r="P98">
        <v>645</v>
      </c>
      <c r="Q98" s="4">
        <f t="shared" si="3"/>
        <v>0.12475822050290135</v>
      </c>
    </row>
    <row r="99" spans="1:17">
      <c r="A99" t="s">
        <v>219</v>
      </c>
      <c r="B99">
        <v>20</v>
      </c>
      <c r="C99">
        <v>10</v>
      </c>
      <c r="D99">
        <v>53</v>
      </c>
      <c r="E99">
        <v>0</v>
      </c>
      <c r="F99">
        <v>7</v>
      </c>
      <c r="G99">
        <v>0</v>
      </c>
      <c r="H99" s="9">
        <v>101</v>
      </c>
      <c r="I99" s="4">
        <f t="shared" si="2"/>
        <v>0.52475247524752477</v>
      </c>
      <c r="K99" t="s">
        <v>219</v>
      </c>
      <c r="L99">
        <v>20</v>
      </c>
      <c r="M99" t="s">
        <v>317</v>
      </c>
      <c r="N99">
        <v>10</v>
      </c>
      <c r="O99">
        <v>5170</v>
      </c>
      <c r="P99">
        <v>682</v>
      </c>
      <c r="Q99" s="4">
        <f t="shared" si="3"/>
        <v>0.13191489361702127</v>
      </c>
    </row>
    <row r="100" spans="1:17">
      <c r="A100" t="s">
        <v>219</v>
      </c>
      <c r="B100">
        <v>20</v>
      </c>
      <c r="C100">
        <v>11</v>
      </c>
      <c r="D100">
        <v>56</v>
      </c>
      <c r="E100">
        <v>0</v>
      </c>
      <c r="F100">
        <v>12</v>
      </c>
      <c r="G100">
        <v>0</v>
      </c>
      <c r="H100" s="9">
        <v>101</v>
      </c>
      <c r="I100" s="4">
        <f t="shared" si="2"/>
        <v>0.5544554455445545</v>
      </c>
      <c r="K100" t="s">
        <v>219</v>
      </c>
      <c r="L100">
        <v>20</v>
      </c>
      <c r="M100" t="s">
        <v>845</v>
      </c>
      <c r="N100">
        <v>11</v>
      </c>
      <c r="O100">
        <v>5170</v>
      </c>
      <c r="P100">
        <v>683</v>
      </c>
      <c r="Q100" s="4">
        <f t="shared" si="3"/>
        <v>0.1321083172147002</v>
      </c>
    </row>
    <row r="101" spans="1:17">
      <c r="A101" t="s">
        <v>219</v>
      </c>
      <c r="B101">
        <v>20</v>
      </c>
      <c r="C101">
        <v>12</v>
      </c>
      <c r="D101">
        <v>56</v>
      </c>
      <c r="E101">
        <v>0</v>
      </c>
      <c r="F101">
        <v>12</v>
      </c>
      <c r="G101">
        <v>0</v>
      </c>
      <c r="H101" s="9">
        <v>101</v>
      </c>
      <c r="I101" s="4">
        <f t="shared" si="2"/>
        <v>0.5544554455445545</v>
      </c>
      <c r="K101" t="s">
        <v>219</v>
      </c>
      <c r="L101">
        <v>20</v>
      </c>
      <c r="M101" t="s">
        <v>319</v>
      </c>
      <c r="N101">
        <v>12</v>
      </c>
      <c r="O101">
        <v>5170</v>
      </c>
      <c r="P101">
        <v>696</v>
      </c>
      <c r="Q101" s="4">
        <f t="shared" si="3"/>
        <v>0.1346228239845261</v>
      </c>
    </row>
    <row r="102" spans="1:17">
      <c r="A102" t="s">
        <v>219</v>
      </c>
      <c r="B102">
        <v>20</v>
      </c>
      <c r="C102">
        <v>13</v>
      </c>
      <c r="D102">
        <v>56</v>
      </c>
      <c r="E102">
        <v>0</v>
      </c>
      <c r="F102">
        <v>12</v>
      </c>
      <c r="G102">
        <v>0</v>
      </c>
      <c r="H102" s="9">
        <v>101</v>
      </c>
      <c r="I102" s="4">
        <f t="shared" si="2"/>
        <v>0.5544554455445545</v>
      </c>
      <c r="K102" t="s">
        <v>219</v>
      </c>
      <c r="L102">
        <v>20</v>
      </c>
      <c r="M102" t="s">
        <v>318</v>
      </c>
      <c r="N102">
        <v>13</v>
      </c>
      <c r="O102">
        <v>5170</v>
      </c>
      <c r="P102">
        <v>711</v>
      </c>
      <c r="Q102" s="4">
        <f t="shared" si="3"/>
        <v>0.13752417794970986</v>
      </c>
    </row>
    <row r="103" spans="1:17">
      <c r="A103" t="s">
        <v>219</v>
      </c>
      <c r="B103">
        <v>20</v>
      </c>
      <c r="C103">
        <v>14</v>
      </c>
      <c r="D103">
        <v>56</v>
      </c>
      <c r="E103">
        <v>0</v>
      </c>
      <c r="F103">
        <v>12</v>
      </c>
      <c r="G103">
        <v>0</v>
      </c>
      <c r="H103" s="9">
        <v>101</v>
      </c>
      <c r="I103" s="4">
        <f t="shared" si="2"/>
        <v>0.5544554455445545</v>
      </c>
      <c r="K103" t="s">
        <v>219</v>
      </c>
      <c r="L103">
        <v>20</v>
      </c>
      <c r="M103" t="s">
        <v>320</v>
      </c>
      <c r="N103">
        <v>14</v>
      </c>
      <c r="O103">
        <v>5170</v>
      </c>
      <c r="P103">
        <v>724</v>
      </c>
      <c r="Q103" s="4">
        <f t="shared" si="3"/>
        <v>0.14003868471953579</v>
      </c>
    </row>
    <row r="104" spans="1:17">
      <c r="A104" t="s">
        <v>219</v>
      </c>
      <c r="B104">
        <v>20</v>
      </c>
      <c r="C104">
        <v>15</v>
      </c>
      <c r="D104">
        <v>56</v>
      </c>
      <c r="E104">
        <v>0</v>
      </c>
      <c r="F104">
        <v>12</v>
      </c>
      <c r="G104">
        <v>0</v>
      </c>
      <c r="H104" s="9">
        <v>101</v>
      </c>
      <c r="I104" s="4">
        <f t="shared" si="2"/>
        <v>0.5544554455445545</v>
      </c>
      <c r="K104" t="s">
        <v>219</v>
      </c>
      <c r="L104">
        <v>20</v>
      </c>
      <c r="M104" t="s">
        <v>837</v>
      </c>
      <c r="N104">
        <v>15</v>
      </c>
      <c r="O104">
        <v>5170</v>
      </c>
      <c r="P104">
        <v>735</v>
      </c>
      <c r="Q104" s="4">
        <f t="shared" si="3"/>
        <v>0.14216634429400388</v>
      </c>
    </row>
    <row r="105" spans="1:17">
      <c r="A105" t="s">
        <v>219</v>
      </c>
      <c r="B105">
        <v>20</v>
      </c>
      <c r="C105">
        <v>16</v>
      </c>
      <c r="D105">
        <v>56</v>
      </c>
      <c r="E105">
        <v>0</v>
      </c>
      <c r="F105">
        <v>12</v>
      </c>
      <c r="G105">
        <v>0</v>
      </c>
      <c r="H105" s="9">
        <v>101</v>
      </c>
      <c r="I105" s="4">
        <f t="shared" si="2"/>
        <v>0.5544554455445545</v>
      </c>
      <c r="K105" t="s">
        <v>219</v>
      </c>
      <c r="L105">
        <v>20</v>
      </c>
      <c r="M105" t="s">
        <v>846</v>
      </c>
      <c r="N105">
        <v>16</v>
      </c>
      <c r="O105">
        <v>5170</v>
      </c>
      <c r="P105">
        <v>736</v>
      </c>
      <c r="Q105" s="4">
        <f t="shared" si="3"/>
        <v>0.14235976789168278</v>
      </c>
    </row>
    <row r="106" spans="1:17">
      <c r="A106" t="s">
        <v>219</v>
      </c>
      <c r="B106">
        <v>20</v>
      </c>
      <c r="C106">
        <v>17</v>
      </c>
      <c r="D106">
        <v>74</v>
      </c>
      <c r="E106">
        <v>0</v>
      </c>
      <c r="F106">
        <v>10</v>
      </c>
      <c r="G106">
        <v>0</v>
      </c>
      <c r="H106" s="9">
        <v>101</v>
      </c>
      <c r="I106" s="4">
        <f t="shared" si="2"/>
        <v>0.73267326732673266</v>
      </c>
      <c r="K106" t="s">
        <v>219</v>
      </c>
      <c r="L106">
        <v>20</v>
      </c>
      <c r="M106" t="s">
        <v>321</v>
      </c>
      <c r="N106">
        <v>17</v>
      </c>
      <c r="O106">
        <v>5170</v>
      </c>
      <c r="P106">
        <v>764</v>
      </c>
      <c r="Q106" s="4">
        <f t="shared" si="3"/>
        <v>0.14777562862669247</v>
      </c>
    </row>
    <row r="107" spans="1:17">
      <c r="A107" t="s">
        <v>219</v>
      </c>
      <c r="B107">
        <v>20</v>
      </c>
      <c r="C107">
        <v>18</v>
      </c>
      <c r="D107">
        <v>74</v>
      </c>
      <c r="E107">
        <v>0</v>
      </c>
      <c r="F107">
        <v>10</v>
      </c>
      <c r="G107">
        <v>0</v>
      </c>
      <c r="H107" s="9">
        <v>101</v>
      </c>
      <c r="I107" s="4">
        <f t="shared" si="2"/>
        <v>0.73267326732673266</v>
      </c>
      <c r="K107" t="s">
        <v>219</v>
      </c>
      <c r="L107">
        <v>20</v>
      </c>
      <c r="M107" t="s">
        <v>838</v>
      </c>
      <c r="N107">
        <v>18</v>
      </c>
      <c r="O107">
        <v>5170</v>
      </c>
      <c r="P107">
        <v>804</v>
      </c>
      <c r="Q107" s="4">
        <f t="shared" si="3"/>
        <v>0.15551257253384912</v>
      </c>
    </row>
    <row r="108" spans="1:17">
      <c r="A108" t="s">
        <v>219</v>
      </c>
      <c r="B108">
        <v>20</v>
      </c>
      <c r="C108">
        <v>19</v>
      </c>
      <c r="D108">
        <v>74</v>
      </c>
      <c r="E108">
        <v>0</v>
      </c>
      <c r="F108">
        <v>10</v>
      </c>
      <c r="G108">
        <v>0</v>
      </c>
      <c r="H108" s="9">
        <v>101</v>
      </c>
      <c r="I108" s="4">
        <f t="shared" si="2"/>
        <v>0.73267326732673266</v>
      </c>
      <c r="K108" t="s">
        <v>219</v>
      </c>
      <c r="L108">
        <v>20</v>
      </c>
      <c r="M108" t="s">
        <v>322</v>
      </c>
      <c r="N108">
        <v>19</v>
      </c>
      <c r="O108">
        <v>5170</v>
      </c>
      <c r="P108">
        <v>807</v>
      </c>
      <c r="Q108" s="4">
        <f t="shared" si="3"/>
        <v>0.15609284332688589</v>
      </c>
    </row>
    <row r="109" spans="1:17">
      <c r="A109" t="s">
        <v>219</v>
      </c>
      <c r="B109">
        <v>20</v>
      </c>
      <c r="C109">
        <v>20</v>
      </c>
      <c r="D109">
        <v>74</v>
      </c>
      <c r="E109">
        <v>0</v>
      </c>
      <c r="F109">
        <v>10</v>
      </c>
      <c r="G109">
        <v>0</v>
      </c>
      <c r="H109" s="9">
        <v>101</v>
      </c>
      <c r="I109" s="4">
        <f t="shared" si="2"/>
        <v>0.73267326732673266</v>
      </c>
      <c r="K109" t="s">
        <v>219</v>
      </c>
      <c r="L109">
        <v>20</v>
      </c>
      <c r="M109" t="s">
        <v>839</v>
      </c>
      <c r="N109">
        <v>20</v>
      </c>
      <c r="O109">
        <v>5170</v>
      </c>
      <c r="P109">
        <v>813</v>
      </c>
      <c r="Q109" s="4">
        <f t="shared" si="3"/>
        <v>0.15725338491295937</v>
      </c>
    </row>
    <row r="110" spans="1:17">
      <c r="A110" t="s">
        <v>219</v>
      </c>
      <c r="B110">
        <v>20</v>
      </c>
      <c r="C110">
        <v>21</v>
      </c>
      <c r="D110">
        <v>74</v>
      </c>
      <c r="E110">
        <v>0</v>
      </c>
      <c r="F110">
        <v>10</v>
      </c>
      <c r="G110">
        <v>0</v>
      </c>
      <c r="H110" s="9">
        <v>101</v>
      </c>
      <c r="I110" s="4">
        <f t="shared" si="2"/>
        <v>0.73267326732673266</v>
      </c>
      <c r="K110" t="s">
        <v>219</v>
      </c>
      <c r="L110">
        <v>20</v>
      </c>
      <c r="M110" t="s">
        <v>323</v>
      </c>
      <c r="N110">
        <v>21</v>
      </c>
      <c r="O110">
        <v>5170</v>
      </c>
      <c r="P110">
        <v>823</v>
      </c>
      <c r="Q110" s="4">
        <f t="shared" si="3"/>
        <v>0.15918762088974855</v>
      </c>
    </row>
    <row r="111" spans="1:17">
      <c r="A111" t="s">
        <v>219</v>
      </c>
      <c r="B111">
        <v>20</v>
      </c>
      <c r="C111">
        <v>22</v>
      </c>
      <c r="D111">
        <v>74</v>
      </c>
      <c r="E111">
        <v>0</v>
      </c>
      <c r="F111">
        <v>10</v>
      </c>
      <c r="G111">
        <v>0</v>
      </c>
      <c r="H111" s="9">
        <v>101</v>
      </c>
      <c r="I111" s="4">
        <f t="shared" si="2"/>
        <v>0.73267326732673266</v>
      </c>
      <c r="K111" t="s">
        <v>219</v>
      </c>
      <c r="L111">
        <v>20</v>
      </c>
      <c r="M111" t="s">
        <v>840</v>
      </c>
      <c r="N111">
        <v>22</v>
      </c>
      <c r="O111">
        <v>5170</v>
      </c>
      <c r="P111">
        <v>837</v>
      </c>
      <c r="Q111" s="4">
        <f t="shared" si="3"/>
        <v>0.16189555125725338</v>
      </c>
    </row>
    <row r="112" spans="1:17">
      <c r="A112" t="s">
        <v>219</v>
      </c>
      <c r="B112">
        <v>20</v>
      </c>
      <c r="C112">
        <v>23</v>
      </c>
      <c r="D112">
        <v>74</v>
      </c>
      <c r="E112">
        <v>0</v>
      </c>
      <c r="F112">
        <v>10</v>
      </c>
      <c r="G112">
        <v>0</v>
      </c>
      <c r="H112" s="9">
        <v>101</v>
      </c>
      <c r="I112" s="4">
        <f t="shared" si="2"/>
        <v>0.73267326732673266</v>
      </c>
      <c r="K112" t="s">
        <v>219</v>
      </c>
      <c r="L112">
        <v>20</v>
      </c>
      <c r="M112" t="s">
        <v>324</v>
      </c>
      <c r="N112">
        <v>23</v>
      </c>
      <c r="O112">
        <v>5170</v>
      </c>
      <c r="P112">
        <v>840</v>
      </c>
      <c r="Q112" s="4">
        <f t="shared" si="3"/>
        <v>0.16247582205029013</v>
      </c>
    </row>
    <row r="113" spans="1:17">
      <c r="A113" t="s">
        <v>219</v>
      </c>
      <c r="B113">
        <v>20</v>
      </c>
      <c r="C113">
        <v>24</v>
      </c>
      <c r="D113">
        <v>74</v>
      </c>
      <c r="E113">
        <v>0</v>
      </c>
      <c r="F113">
        <v>10</v>
      </c>
      <c r="G113">
        <v>0</v>
      </c>
      <c r="H113" s="9">
        <v>101</v>
      </c>
      <c r="I113" s="4">
        <f t="shared" si="2"/>
        <v>0.73267326732673266</v>
      </c>
      <c r="K113" t="s">
        <v>219</v>
      </c>
      <c r="L113">
        <v>20</v>
      </c>
      <c r="M113" t="s">
        <v>325</v>
      </c>
      <c r="N113">
        <v>24</v>
      </c>
      <c r="O113">
        <v>5170</v>
      </c>
      <c r="P113">
        <v>880</v>
      </c>
      <c r="Q113" s="4">
        <f t="shared" si="3"/>
        <v>0.1702127659574468</v>
      </c>
    </row>
    <row r="114" spans="1:17">
      <c r="A114" t="s">
        <v>219</v>
      </c>
      <c r="B114">
        <v>20</v>
      </c>
      <c r="C114">
        <v>25</v>
      </c>
      <c r="D114">
        <v>74</v>
      </c>
      <c r="E114">
        <v>0</v>
      </c>
      <c r="F114">
        <v>10</v>
      </c>
      <c r="G114">
        <v>0</v>
      </c>
      <c r="H114" s="9">
        <v>101</v>
      </c>
      <c r="I114" s="4">
        <f t="shared" si="2"/>
        <v>0.73267326732673266</v>
      </c>
      <c r="K114" t="s">
        <v>219</v>
      </c>
      <c r="L114">
        <v>20</v>
      </c>
      <c r="M114" t="s">
        <v>841</v>
      </c>
      <c r="N114">
        <v>25</v>
      </c>
      <c r="O114">
        <v>5170</v>
      </c>
      <c r="P114">
        <v>896</v>
      </c>
      <c r="Q114" s="4">
        <f t="shared" si="3"/>
        <v>0.17330754352030947</v>
      </c>
    </row>
    <row r="115" spans="1:17">
      <c r="A115" t="s">
        <v>219</v>
      </c>
      <c r="B115">
        <v>20</v>
      </c>
      <c r="C115">
        <v>26</v>
      </c>
      <c r="D115">
        <v>74</v>
      </c>
      <c r="E115">
        <v>0</v>
      </c>
      <c r="F115">
        <v>10</v>
      </c>
      <c r="G115">
        <v>0</v>
      </c>
      <c r="H115" s="9">
        <v>101</v>
      </c>
      <c r="I115" s="4">
        <f t="shared" si="2"/>
        <v>0.73267326732673266</v>
      </c>
      <c r="K115" t="s">
        <v>219</v>
      </c>
      <c r="L115">
        <v>20</v>
      </c>
      <c r="M115" t="s">
        <v>326</v>
      </c>
      <c r="N115">
        <v>26</v>
      </c>
      <c r="O115">
        <v>5170</v>
      </c>
      <c r="P115">
        <v>897</v>
      </c>
      <c r="Q115" s="4">
        <f t="shared" si="3"/>
        <v>0.1735009671179884</v>
      </c>
    </row>
    <row r="116" spans="1:17">
      <c r="A116" t="s">
        <v>219</v>
      </c>
      <c r="B116">
        <v>20</v>
      </c>
      <c r="C116">
        <v>27</v>
      </c>
      <c r="D116">
        <v>74</v>
      </c>
      <c r="E116">
        <v>0</v>
      </c>
      <c r="F116">
        <v>10</v>
      </c>
      <c r="G116">
        <v>0</v>
      </c>
      <c r="H116" s="9">
        <v>101</v>
      </c>
      <c r="I116" s="4">
        <f t="shared" si="2"/>
        <v>0.73267326732673266</v>
      </c>
      <c r="K116" t="s">
        <v>219</v>
      </c>
      <c r="L116">
        <v>20</v>
      </c>
      <c r="M116" t="s">
        <v>328</v>
      </c>
      <c r="N116">
        <v>27</v>
      </c>
      <c r="O116">
        <v>5170</v>
      </c>
      <c r="P116">
        <v>942</v>
      </c>
      <c r="Q116" s="4">
        <f t="shared" si="3"/>
        <v>0.18220502901353966</v>
      </c>
    </row>
    <row r="117" spans="1:17">
      <c r="A117" t="s">
        <v>219</v>
      </c>
      <c r="B117">
        <v>20</v>
      </c>
      <c r="C117">
        <v>28</v>
      </c>
      <c r="D117">
        <v>74</v>
      </c>
      <c r="E117">
        <v>0</v>
      </c>
      <c r="F117">
        <v>10</v>
      </c>
      <c r="G117">
        <v>0</v>
      </c>
      <c r="H117" s="9">
        <v>101</v>
      </c>
      <c r="I117" s="4">
        <f t="shared" si="2"/>
        <v>0.73267326732673266</v>
      </c>
      <c r="K117" t="s">
        <v>219</v>
      </c>
      <c r="L117">
        <v>20</v>
      </c>
      <c r="M117" t="s">
        <v>327</v>
      </c>
      <c r="N117">
        <v>28</v>
      </c>
      <c r="O117">
        <v>5170</v>
      </c>
      <c r="P117">
        <v>948</v>
      </c>
      <c r="Q117" s="4">
        <f t="shared" si="3"/>
        <v>0.18336557059961314</v>
      </c>
    </row>
    <row r="118" spans="1:17">
      <c r="A118" t="s">
        <v>219</v>
      </c>
      <c r="B118">
        <v>20</v>
      </c>
      <c r="C118">
        <v>29</v>
      </c>
      <c r="D118">
        <v>74</v>
      </c>
      <c r="E118">
        <v>0</v>
      </c>
      <c r="F118">
        <v>10</v>
      </c>
      <c r="G118">
        <v>0</v>
      </c>
      <c r="H118" s="9">
        <v>101</v>
      </c>
      <c r="I118" s="4">
        <f t="shared" si="2"/>
        <v>0.73267326732673266</v>
      </c>
      <c r="K118" t="s">
        <v>219</v>
      </c>
      <c r="L118">
        <v>20</v>
      </c>
      <c r="M118" t="s">
        <v>842</v>
      </c>
      <c r="N118">
        <v>29</v>
      </c>
      <c r="O118">
        <v>5170</v>
      </c>
      <c r="P118">
        <v>984</v>
      </c>
      <c r="Q118" s="4">
        <f t="shared" si="3"/>
        <v>0.19032882011605415</v>
      </c>
    </row>
    <row r="119" spans="1:17">
      <c r="A119" t="s">
        <v>219</v>
      </c>
      <c r="B119">
        <v>20</v>
      </c>
      <c r="C119">
        <v>30</v>
      </c>
      <c r="D119">
        <v>74</v>
      </c>
      <c r="E119">
        <v>0</v>
      </c>
      <c r="F119">
        <v>10</v>
      </c>
      <c r="G119">
        <v>0</v>
      </c>
      <c r="H119" s="9">
        <v>101</v>
      </c>
      <c r="I119" s="4">
        <f t="shared" si="2"/>
        <v>0.73267326732673266</v>
      </c>
      <c r="K119" t="s">
        <v>219</v>
      </c>
      <c r="L119">
        <v>20</v>
      </c>
      <c r="M119" t="s">
        <v>329</v>
      </c>
      <c r="N119">
        <v>30</v>
      </c>
      <c r="O119">
        <v>5170</v>
      </c>
      <c r="P119">
        <v>994</v>
      </c>
      <c r="Q119" s="4">
        <f t="shared" si="3"/>
        <v>0.19226305609284333</v>
      </c>
    </row>
    <row r="120" spans="1:17">
      <c r="A120" t="s">
        <v>219</v>
      </c>
      <c r="B120">
        <v>20</v>
      </c>
      <c r="C120">
        <v>31</v>
      </c>
      <c r="D120">
        <v>74</v>
      </c>
      <c r="E120">
        <v>0</v>
      </c>
      <c r="F120">
        <v>10</v>
      </c>
      <c r="G120">
        <v>0</v>
      </c>
      <c r="H120" s="9">
        <v>101</v>
      </c>
      <c r="I120" s="4">
        <f t="shared" si="2"/>
        <v>0.73267326732673266</v>
      </c>
      <c r="K120" t="s">
        <v>219</v>
      </c>
      <c r="L120">
        <v>20</v>
      </c>
      <c r="M120" t="s">
        <v>844</v>
      </c>
      <c r="N120">
        <v>31</v>
      </c>
      <c r="O120">
        <v>5170</v>
      </c>
      <c r="P120">
        <v>1045</v>
      </c>
      <c r="Q120" s="4">
        <f t="shared" si="3"/>
        <v>0.20212765957446807</v>
      </c>
    </row>
    <row r="121" spans="1:17">
      <c r="A121" t="s">
        <v>219</v>
      </c>
      <c r="B121">
        <v>20</v>
      </c>
      <c r="C121">
        <v>32</v>
      </c>
      <c r="D121">
        <v>74</v>
      </c>
      <c r="E121">
        <v>0</v>
      </c>
      <c r="F121">
        <v>10</v>
      </c>
      <c r="G121">
        <v>0</v>
      </c>
      <c r="H121" s="9">
        <v>101</v>
      </c>
      <c r="I121" s="4">
        <f t="shared" si="2"/>
        <v>0.73267326732673266</v>
      </c>
      <c r="K121" t="s">
        <v>219</v>
      </c>
      <c r="L121">
        <v>20</v>
      </c>
      <c r="M121" t="s">
        <v>851</v>
      </c>
      <c r="N121">
        <v>32</v>
      </c>
      <c r="O121">
        <v>5170</v>
      </c>
      <c r="P121">
        <v>1112</v>
      </c>
      <c r="Q121" s="4">
        <f t="shared" si="3"/>
        <v>0.21508704061895551</v>
      </c>
    </row>
    <row r="122" spans="1:17">
      <c r="A122" t="s">
        <v>219</v>
      </c>
      <c r="B122">
        <v>20</v>
      </c>
      <c r="C122">
        <v>33</v>
      </c>
      <c r="D122">
        <v>74</v>
      </c>
      <c r="E122">
        <v>0</v>
      </c>
      <c r="F122">
        <v>10</v>
      </c>
      <c r="G122">
        <v>0</v>
      </c>
      <c r="H122" s="9">
        <v>101</v>
      </c>
      <c r="I122" s="4">
        <f t="shared" si="2"/>
        <v>0.73267326732673266</v>
      </c>
      <c r="K122" t="s">
        <v>219</v>
      </c>
      <c r="L122">
        <v>20</v>
      </c>
      <c r="M122" t="s">
        <v>843</v>
      </c>
      <c r="N122">
        <v>33</v>
      </c>
      <c r="O122">
        <v>5170</v>
      </c>
      <c r="P122">
        <v>2701</v>
      </c>
      <c r="Q122" s="4">
        <f t="shared" si="3"/>
        <v>0.52243713733075436</v>
      </c>
    </row>
    <row r="123" spans="1:17">
      <c r="A123" t="s">
        <v>219</v>
      </c>
      <c r="B123">
        <v>20</v>
      </c>
      <c r="C123">
        <v>34</v>
      </c>
      <c r="D123">
        <v>77</v>
      </c>
      <c r="E123">
        <v>0</v>
      </c>
      <c r="F123">
        <v>7</v>
      </c>
      <c r="G123">
        <v>0</v>
      </c>
      <c r="H123" s="9">
        <v>101</v>
      </c>
      <c r="I123" s="4">
        <f t="shared" si="2"/>
        <v>0.76237623762376239</v>
      </c>
      <c r="K123" t="s">
        <v>219</v>
      </c>
      <c r="L123">
        <v>20</v>
      </c>
      <c r="M123" t="s">
        <v>847</v>
      </c>
      <c r="N123">
        <v>34</v>
      </c>
      <c r="O123">
        <v>5170</v>
      </c>
      <c r="P123">
        <v>3042</v>
      </c>
      <c r="Q123" s="4">
        <f t="shared" si="3"/>
        <v>0.58839458413926504</v>
      </c>
    </row>
    <row r="124" spans="1:17">
      <c r="A124" t="s">
        <v>219</v>
      </c>
      <c r="B124">
        <v>20</v>
      </c>
      <c r="C124">
        <v>35</v>
      </c>
      <c r="D124">
        <v>77</v>
      </c>
      <c r="E124">
        <v>0</v>
      </c>
      <c r="F124">
        <v>7</v>
      </c>
      <c r="G124">
        <v>0</v>
      </c>
      <c r="H124" s="9">
        <v>101</v>
      </c>
      <c r="I124" s="4">
        <f t="shared" si="2"/>
        <v>0.76237623762376239</v>
      </c>
      <c r="K124" t="s">
        <v>219</v>
      </c>
      <c r="L124">
        <v>20</v>
      </c>
      <c r="M124" t="s">
        <v>849</v>
      </c>
      <c r="N124">
        <v>35</v>
      </c>
      <c r="O124">
        <v>5170</v>
      </c>
      <c r="P124">
        <v>3123</v>
      </c>
      <c r="Q124" s="4">
        <f t="shared" si="3"/>
        <v>0.60406189555125722</v>
      </c>
    </row>
    <row r="125" spans="1:17">
      <c r="A125" t="s">
        <v>219</v>
      </c>
      <c r="B125">
        <v>20</v>
      </c>
      <c r="C125">
        <v>36</v>
      </c>
      <c r="D125">
        <v>77</v>
      </c>
      <c r="E125">
        <v>0</v>
      </c>
      <c r="F125">
        <v>7</v>
      </c>
      <c r="G125">
        <v>0</v>
      </c>
      <c r="H125" s="9">
        <v>101</v>
      </c>
      <c r="I125" s="4">
        <f t="shared" si="2"/>
        <v>0.76237623762376239</v>
      </c>
      <c r="K125" t="s">
        <v>219</v>
      </c>
      <c r="L125">
        <v>20</v>
      </c>
      <c r="M125" t="s">
        <v>848</v>
      </c>
      <c r="N125">
        <v>36</v>
      </c>
      <c r="O125">
        <v>5170</v>
      </c>
      <c r="P125">
        <v>3148</v>
      </c>
      <c r="Q125" s="4">
        <f t="shared" si="3"/>
        <v>0.60889748549323019</v>
      </c>
    </row>
    <row r="126" spans="1:17">
      <c r="A126" t="s">
        <v>219</v>
      </c>
      <c r="B126">
        <v>20</v>
      </c>
      <c r="C126">
        <v>37</v>
      </c>
      <c r="D126">
        <v>77</v>
      </c>
      <c r="E126">
        <v>0</v>
      </c>
      <c r="F126">
        <v>7</v>
      </c>
      <c r="G126">
        <v>0</v>
      </c>
      <c r="H126" s="9">
        <v>101</v>
      </c>
      <c r="I126" s="4">
        <f t="shared" si="2"/>
        <v>0.76237623762376239</v>
      </c>
      <c r="K126" t="s">
        <v>219</v>
      </c>
      <c r="L126">
        <v>20</v>
      </c>
      <c r="M126" t="s">
        <v>850</v>
      </c>
      <c r="N126">
        <v>37</v>
      </c>
      <c r="O126">
        <v>5170</v>
      </c>
      <c r="P126">
        <v>3192</v>
      </c>
      <c r="Q126" s="4">
        <f t="shared" si="3"/>
        <v>0.61740812379110255</v>
      </c>
    </row>
    <row r="127" spans="1:17">
      <c r="A127" t="s">
        <v>219</v>
      </c>
      <c r="B127">
        <v>20</v>
      </c>
      <c r="C127">
        <v>38</v>
      </c>
      <c r="D127">
        <v>77</v>
      </c>
      <c r="E127">
        <v>0</v>
      </c>
      <c r="F127">
        <v>7</v>
      </c>
      <c r="G127">
        <v>0</v>
      </c>
      <c r="H127" s="9">
        <v>101</v>
      </c>
      <c r="I127" s="4">
        <f t="shared" si="2"/>
        <v>0.76237623762376239</v>
      </c>
      <c r="K127" t="s">
        <v>219</v>
      </c>
      <c r="L127">
        <v>20</v>
      </c>
      <c r="M127" t="s">
        <v>852</v>
      </c>
      <c r="N127">
        <v>38</v>
      </c>
      <c r="O127">
        <v>5170</v>
      </c>
      <c r="P127">
        <v>3214</v>
      </c>
      <c r="Q127" s="4">
        <f t="shared" si="3"/>
        <v>0.62166344294003872</v>
      </c>
    </row>
    <row r="128" spans="1:17">
      <c r="A128" t="s">
        <v>219</v>
      </c>
      <c r="B128">
        <v>20</v>
      </c>
      <c r="C128">
        <v>39</v>
      </c>
      <c r="D128">
        <v>77</v>
      </c>
      <c r="E128">
        <v>0</v>
      </c>
      <c r="F128">
        <v>7</v>
      </c>
      <c r="G128">
        <v>0</v>
      </c>
      <c r="H128" s="9">
        <v>101</v>
      </c>
      <c r="I128" s="4">
        <f t="shared" si="2"/>
        <v>0.76237623762376239</v>
      </c>
      <c r="K128" t="s">
        <v>219</v>
      </c>
      <c r="L128">
        <v>20</v>
      </c>
      <c r="M128" t="s">
        <v>853</v>
      </c>
      <c r="N128">
        <v>39</v>
      </c>
      <c r="O128">
        <v>5170</v>
      </c>
      <c r="P128">
        <v>3252</v>
      </c>
      <c r="Q128" s="4">
        <f t="shared" si="3"/>
        <v>0.62901353965183748</v>
      </c>
    </row>
    <row r="129" spans="1:17">
      <c r="A129" t="s">
        <v>219</v>
      </c>
      <c r="B129">
        <v>20</v>
      </c>
      <c r="C129">
        <v>40</v>
      </c>
      <c r="D129">
        <v>77</v>
      </c>
      <c r="E129">
        <v>0</v>
      </c>
      <c r="F129">
        <v>7</v>
      </c>
      <c r="G129">
        <v>0</v>
      </c>
      <c r="H129" s="9">
        <v>101</v>
      </c>
      <c r="I129" s="4">
        <f t="shared" si="2"/>
        <v>0.76237623762376239</v>
      </c>
      <c r="K129" t="s">
        <v>219</v>
      </c>
      <c r="L129">
        <v>20</v>
      </c>
      <c r="M129" t="s">
        <v>854</v>
      </c>
      <c r="N129">
        <v>40</v>
      </c>
      <c r="O129">
        <v>5170</v>
      </c>
      <c r="P129">
        <v>3315</v>
      </c>
      <c r="Q129" s="4">
        <f t="shared" si="3"/>
        <v>0.64119922630560933</v>
      </c>
    </row>
    <row r="130" spans="1:17">
      <c r="A130" t="s">
        <v>219</v>
      </c>
      <c r="B130">
        <v>20</v>
      </c>
      <c r="C130">
        <v>41</v>
      </c>
      <c r="D130">
        <v>77</v>
      </c>
      <c r="E130">
        <v>0</v>
      </c>
      <c r="F130">
        <v>7</v>
      </c>
      <c r="G130">
        <v>0</v>
      </c>
      <c r="H130" s="9">
        <v>101</v>
      </c>
      <c r="I130" s="4">
        <f t="shared" si="2"/>
        <v>0.76237623762376239</v>
      </c>
      <c r="K130" t="s">
        <v>219</v>
      </c>
      <c r="L130">
        <v>20</v>
      </c>
      <c r="M130" t="s">
        <v>858</v>
      </c>
      <c r="N130">
        <v>41</v>
      </c>
      <c r="O130">
        <v>5170</v>
      </c>
      <c r="P130">
        <v>3366</v>
      </c>
      <c r="Q130" s="4">
        <f t="shared" si="3"/>
        <v>0.65106382978723409</v>
      </c>
    </row>
    <row r="131" spans="1:17">
      <c r="A131" t="s">
        <v>219</v>
      </c>
      <c r="B131">
        <v>20</v>
      </c>
      <c r="C131">
        <v>42</v>
      </c>
      <c r="D131">
        <v>77</v>
      </c>
      <c r="E131">
        <v>0</v>
      </c>
      <c r="F131">
        <v>7</v>
      </c>
      <c r="G131">
        <v>0</v>
      </c>
      <c r="H131" s="9">
        <v>101</v>
      </c>
      <c r="I131" s="4">
        <f t="shared" ref="I131:I194" si="4">D131/H131</f>
        <v>0.76237623762376239</v>
      </c>
      <c r="K131" t="s">
        <v>219</v>
      </c>
      <c r="L131">
        <v>20</v>
      </c>
      <c r="M131" t="s">
        <v>856</v>
      </c>
      <c r="N131">
        <v>42</v>
      </c>
      <c r="O131">
        <v>5170</v>
      </c>
      <c r="P131">
        <v>3415</v>
      </c>
      <c r="Q131" s="4">
        <f t="shared" ref="Q131:Q194" si="5">P131/O131</f>
        <v>0.660541586073501</v>
      </c>
    </row>
    <row r="132" spans="1:17">
      <c r="A132" t="s">
        <v>219</v>
      </c>
      <c r="B132">
        <v>20</v>
      </c>
      <c r="C132">
        <v>43</v>
      </c>
      <c r="D132">
        <v>77</v>
      </c>
      <c r="E132">
        <v>0</v>
      </c>
      <c r="F132">
        <v>7</v>
      </c>
      <c r="G132">
        <v>0</v>
      </c>
      <c r="H132" s="9">
        <v>101</v>
      </c>
      <c r="I132" s="4">
        <f t="shared" si="4"/>
        <v>0.76237623762376239</v>
      </c>
      <c r="K132" t="s">
        <v>219</v>
      </c>
      <c r="L132">
        <v>20</v>
      </c>
      <c r="M132" t="s">
        <v>855</v>
      </c>
      <c r="N132">
        <v>43</v>
      </c>
      <c r="O132">
        <v>5170</v>
      </c>
      <c r="P132">
        <v>3419</v>
      </c>
      <c r="Q132" s="4">
        <f t="shared" si="5"/>
        <v>0.66131528046421661</v>
      </c>
    </row>
    <row r="133" spans="1:17">
      <c r="A133" t="s">
        <v>219</v>
      </c>
      <c r="B133">
        <v>20</v>
      </c>
      <c r="C133">
        <v>44</v>
      </c>
      <c r="D133">
        <v>77</v>
      </c>
      <c r="E133">
        <v>0</v>
      </c>
      <c r="F133">
        <v>7</v>
      </c>
      <c r="G133">
        <v>0</v>
      </c>
      <c r="H133" s="9">
        <v>101</v>
      </c>
      <c r="I133" s="4">
        <f t="shared" si="4"/>
        <v>0.76237623762376239</v>
      </c>
      <c r="K133" t="s">
        <v>219</v>
      </c>
      <c r="L133">
        <v>20</v>
      </c>
      <c r="M133" t="s">
        <v>857</v>
      </c>
      <c r="N133">
        <v>44</v>
      </c>
      <c r="O133">
        <v>5170</v>
      </c>
      <c r="P133">
        <v>3493</v>
      </c>
      <c r="Q133" s="4">
        <f t="shared" si="5"/>
        <v>0.67562862669245649</v>
      </c>
    </row>
    <row r="134" spans="1:17">
      <c r="A134" t="s">
        <v>219</v>
      </c>
      <c r="B134">
        <v>20</v>
      </c>
      <c r="C134">
        <v>45</v>
      </c>
      <c r="D134">
        <v>78</v>
      </c>
      <c r="E134">
        <v>0</v>
      </c>
      <c r="F134">
        <v>6</v>
      </c>
      <c r="G134">
        <v>0</v>
      </c>
      <c r="H134" s="9">
        <v>101</v>
      </c>
      <c r="I134" s="4">
        <f t="shared" si="4"/>
        <v>0.7722772277227723</v>
      </c>
      <c r="K134" t="s">
        <v>219</v>
      </c>
      <c r="L134">
        <v>20</v>
      </c>
      <c r="M134" t="s">
        <v>386</v>
      </c>
      <c r="N134">
        <v>45</v>
      </c>
      <c r="O134">
        <v>5170</v>
      </c>
      <c r="P134">
        <v>4711</v>
      </c>
      <c r="Q134" s="4">
        <f t="shared" si="5"/>
        <v>0.9112185686653772</v>
      </c>
    </row>
    <row r="135" spans="1:17">
      <c r="A135" t="s">
        <v>220</v>
      </c>
      <c r="B135">
        <v>1</v>
      </c>
      <c r="C135">
        <v>1</v>
      </c>
      <c r="D135">
        <v>11</v>
      </c>
      <c r="E135">
        <v>0</v>
      </c>
      <c r="F135">
        <v>7</v>
      </c>
      <c r="G135">
        <v>0</v>
      </c>
      <c r="H135" s="9">
        <v>19</v>
      </c>
      <c r="I135" s="4">
        <f t="shared" si="4"/>
        <v>0.57894736842105265</v>
      </c>
      <c r="K135" t="s">
        <v>220</v>
      </c>
      <c r="L135">
        <v>1</v>
      </c>
      <c r="M135" t="s">
        <v>215</v>
      </c>
      <c r="N135">
        <v>1</v>
      </c>
      <c r="O135">
        <v>5373</v>
      </c>
      <c r="P135">
        <v>1993</v>
      </c>
      <c r="Q135" s="4">
        <f t="shared" si="5"/>
        <v>0.370928717662386</v>
      </c>
    </row>
    <row r="136" spans="1:17">
      <c r="A136" t="s">
        <v>220</v>
      </c>
      <c r="B136">
        <v>1</v>
      </c>
      <c r="C136">
        <v>2</v>
      </c>
      <c r="D136">
        <v>11</v>
      </c>
      <c r="E136">
        <v>0</v>
      </c>
      <c r="F136">
        <v>7</v>
      </c>
      <c r="G136">
        <v>0</v>
      </c>
      <c r="H136" s="9">
        <v>19</v>
      </c>
      <c r="I136" s="4">
        <f t="shared" si="4"/>
        <v>0.57894736842105265</v>
      </c>
      <c r="K136" t="s">
        <v>220</v>
      </c>
      <c r="L136">
        <v>1</v>
      </c>
      <c r="M136" t="s">
        <v>205</v>
      </c>
      <c r="N136">
        <v>2</v>
      </c>
      <c r="O136">
        <v>5373</v>
      </c>
      <c r="P136">
        <v>1995</v>
      </c>
      <c r="Q136" s="4">
        <f t="shared" si="5"/>
        <v>0.37130094919039641</v>
      </c>
    </row>
    <row r="137" spans="1:17">
      <c r="A137" t="s">
        <v>220</v>
      </c>
      <c r="B137">
        <v>1</v>
      </c>
      <c r="C137">
        <v>3</v>
      </c>
      <c r="D137">
        <v>11</v>
      </c>
      <c r="E137">
        <v>0</v>
      </c>
      <c r="F137">
        <v>7</v>
      </c>
      <c r="G137">
        <v>0</v>
      </c>
      <c r="H137" s="9">
        <v>19</v>
      </c>
      <c r="I137" s="4">
        <f t="shared" si="4"/>
        <v>0.57894736842105265</v>
      </c>
      <c r="K137" t="s">
        <v>220</v>
      </c>
      <c r="L137">
        <v>1</v>
      </c>
      <c r="M137" t="s">
        <v>204</v>
      </c>
      <c r="N137">
        <v>3</v>
      </c>
      <c r="O137">
        <v>5373</v>
      </c>
      <c r="P137">
        <v>2003</v>
      </c>
      <c r="Q137" s="4">
        <f t="shared" si="5"/>
        <v>0.37278987530243812</v>
      </c>
    </row>
    <row r="138" spans="1:17">
      <c r="A138" t="s">
        <v>220</v>
      </c>
      <c r="B138">
        <v>1</v>
      </c>
      <c r="C138">
        <v>4</v>
      </c>
      <c r="D138">
        <v>12</v>
      </c>
      <c r="E138">
        <v>0</v>
      </c>
      <c r="F138">
        <v>7</v>
      </c>
      <c r="G138">
        <v>0</v>
      </c>
      <c r="H138" s="9">
        <v>19</v>
      </c>
      <c r="I138" s="4">
        <f t="shared" si="4"/>
        <v>0.63157894736842102</v>
      </c>
      <c r="K138" t="s">
        <v>220</v>
      </c>
      <c r="L138">
        <v>1</v>
      </c>
      <c r="M138" t="s">
        <v>179</v>
      </c>
      <c r="N138">
        <v>4</v>
      </c>
      <c r="O138">
        <v>5373</v>
      </c>
      <c r="P138">
        <v>2453</v>
      </c>
      <c r="Q138" s="4">
        <f t="shared" si="5"/>
        <v>0.45654196910478317</v>
      </c>
    </row>
    <row r="139" spans="1:17">
      <c r="A139" t="s">
        <v>220</v>
      </c>
      <c r="B139">
        <v>1</v>
      </c>
      <c r="C139">
        <v>5</v>
      </c>
      <c r="D139">
        <v>17</v>
      </c>
      <c r="E139">
        <v>0</v>
      </c>
      <c r="F139">
        <v>2</v>
      </c>
      <c r="G139">
        <v>0</v>
      </c>
      <c r="H139" s="9">
        <v>19</v>
      </c>
      <c r="I139" s="4">
        <f t="shared" si="4"/>
        <v>0.89473684210526316</v>
      </c>
      <c r="K139" t="s">
        <v>220</v>
      </c>
      <c r="L139">
        <v>1</v>
      </c>
      <c r="M139" t="s">
        <v>203</v>
      </c>
      <c r="N139">
        <v>5</v>
      </c>
      <c r="O139">
        <v>5373</v>
      </c>
      <c r="P139">
        <v>3417</v>
      </c>
      <c r="Q139" s="4">
        <f t="shared" si="5"/>
        <v>0.63595756560580685</v>
      </c>
    </row>
    <row r="140" spans="1:17">
      <c r="A140" t="s">
        <v>220</v>
      </c>
      <c r="B140">
        <v>6</v>
      </c>
      <c r="C140">
        <v>1</v>
      </c>
      <c r="D140">
        <v>5</v>
      </c>
      <c r="E140">
        <v>0</v>
      </c>
      <c r="F140">
        <v>1</v>
      </c>
      <c r="G140">
        <v>0</v>
      </c>
      <c r="H140" s="9">
        <v>112</v>
      </c>
      <c r="I140" s="4">
        <f t="shared" si="4"/>
        <v>4.4642857142857144E-2</v>
      </c>
      <c r="K140" t="s">
        <v>220</v>
      </c>
      <c r="L140">
        <v>6</v>
      </c>
      <c r="M140" t="s">
        <v>2</v>
      </c>
      <c r="N140">
        <v>1</v>
      </c>
      <c r="O140">
        <v>3804</v>
      </c>
      <c r="P140">
        <v>204</v>
      </c>
      <c r="Q140" s="4">
        <f t="shared" si="5"/>
        <v>5.362776025236593E-2</v>
      </c>
    </row>
    <row r="141" spans="1:17">
      <c r="A141" t="s">
        <v>220</v>
      </c>
      <c r="B141">
        <v>6</v>
      </c>
      <c r="C141">
        <v>2</v>
      </c>
      <c r="D141">
        <v>56</v>
      </c>
      <c r="E141">
        <v>0</v>
      </c>
      <c r="F141">
        <v>12</v>
      </c>
      <c r="G141">
        <v>0</v>
      </c>
      <c r="H141" s="9">
        <v>112</v>
      </c>
      <c r="I141" s="4">
        <f t="shared" si="4"/>
        <v>0.5</v>
      </c>
      <c r="K141" t="s">
        <v>220</v>
      </c>
      <c r="L141">
        <v>6</v>
      </c>
      <c r="M141" t="s">
        <v>444</v>
      </c>
      <c r="N141">
        <v>2</v>
      </c>
      <c r="O141">
        <v>3804</v>
      </c>
      <c r="P141">
        <v>1944</v>
      </c>
      <c r="Q141" s="4">
        <f t="shared" si="5"/>
        <v>0.51104100946372244</v>
      </c>
    </row>
    <row r="142" spans="1:17">
      <c r="A142" t="s">
        <v>220</v>
      </c>
      <c r="B142">
        <v>6</v>
      </c>
      <c r="C142">
        <v>3</v>
      </c>
      <c r="D142">
        <v>112</v>
      </c>
      <c r="E142">
        <v>0</v>
      </c>
      <c r="F142">
        <v>0</v>
      </c>
      <c r="G142">
        <v>0</v>
      </c>
      <c r="H142" s="9">
        <v>112</v>
      </c>
      <c r="I142" s="4">
        <f t="shared" si="4"/>
        <v>1</v>
      </c>
      <c r="K142" t="s">
        <v>220</v>
      </c>
      <c r="L142">
        <v>6</v>
      </c>
      <c r="M142" t="s">
        <v>445</v>
      </c>
      <c r="N142">
        <v>3</v>
      </c>
      <c r="O142">
        <v>3804</v>
      </c>
      <c r="P142">
        <v>3785</v>
      </c>
      <c r="Q142" s="4">
        <f t="shared" si="5"/>
        <v>0.99500525762355418</v>
      </c>
    </row>
    <row r="143" spans="1:17">
      <c r="A143" t="s">
        <v>225</v>
      </c>
      <c r="B143">
        <v>3</v>
      </c>
      <c r="C143">
        <v>1</v>
      </c>
      <c r="D143">
        <v>19</v>
      </c>
      <c r="E143">
        <v>0</v>
      </c>
      <c r="F143">
        <v>1</v>
      </c>
      <c r="G143">
        <v>0</v>
      </c>
      <c r="H143" s="9">
        <v>175</v>
      </c>
      <c r="I143" s="4">
        <f t="shared" si="4"/>
        <v>0.10857142857142857</v>
      </c>
      <c r="K143" t="s">
        <v>225</v>
      </c>
      <c r="L143">
        <v>3</v>
      </c>
      <c r="M143" t="s">
        <v>439</v>
      </c>
      <c r="N143">
        <v>1</v>
      </c>
      <c r="O143">
        <v>9193</v>
      </c>
      <c r="P143">
        <v>634</v>
      </c>
      <c r="Q143" s="4">
        <f t="shared" si="5"/>
        <v>6.8965517241379309E-2</v>
      </c>
    </row>
    <row r="144" spans="1:17">
      <c r="A144" t="s">
        <v>225</v>
      </c>
      <c r="B144">
        <v>3</v>
      </c>
      <c r="C144">
        <v>2</v>
      </c>
      <c r="D144">
        <v>28</v>
      </c>
      <c r="E144">
        <v>0</v>
      </c>
      <c r="F144">
        <v>7</v>
      </c>
      <c r="G144">
        <v>0</v>
      </c>
      <c r="H144" s="9">
        <v>175</v>
      </c>
      <c r="I144" s="4">
        <f t="shared" si="4"/>
        <v>0.16</v>
      </c>
      <c r="K144" t="s">
        <v>225</v>
      </c>
      <c r="L144">
        <v>3</v>
      </c>
      <c r="M144" t="s">
        <v>503</v>
      </c>
      <c r="N144">
        <v>2</v>
      </c>
      <c r="O144">
        <v>9193</v>
      </c>
      <c r="P144">
        <v>1038</v>
      </c>
      <c r="Q144" s="4">
        <f t="shared" si="5"/>
        <v>0.1129119982595453</v>
      </c>
    </row>
    <row r="145" spans="1:17">
      <c r="A145" t="s">
        <v>225</v>
      </c>
      <c r="B145">
        <v>3</v>
      </c>
      <c r="C145">
        <v>3</v>
      </c>
      <c r="D145">
        <v>54</v>
      </c>
      <c r="E145">
        <v>0</v>
      </c>
      <c r="F145">
        <v>8</v>
      </c>
      <c r="G145">
        <v>0</v>
      </c>
      <c r="H145" s="9">
        <v>175</v>
      </c>
      <c r="I145" s="4">
        <f t="shared" si="4"/>
        <v>0.30857142857142855</v>
      </c>
      <c r="K145" t="s">
        <v>225</v>
      </c>
      <c r="L145">
        <v>3</v>
      </c>
      <c r="M145" t="s">
        <v>860</v>
      </c>
      <c r="N145">
        <v>3</v>
      </c>
      <c r="O145">
        <v>9193</v>
      </c>
      <c r="P145">
        <v>1842</v>
      </c>
      <c r="Q145" s="4">
        <f t="shared" si="5"/>
        <v>0.2003698466224301</v>
      </c>
    </row>
    <row r="146" spans="1:17">
      <c r="A146" t="s">
        <v>225</v>
      </c>
      <c r="B146">
        <v>3</v>
      </c>
      <c r="C146">
        <v>4</v>
      </c>
      <c r="D146">
        <v>80</v>
      </c>
      <c r="E146">
        <v>0</v>
      </c>
      <c r="F146">
        <v>9</v>
      </c>
      <c r="G146">
        <v>0</v>
      </c>
      <c r="H146" s="9">
        <v>175</v>
      </c>
      <c r="I146" s="4">
        <f t="shared" si="4"/>
        <v>0.45714285714285713</v>
      </c>
      <c r="K146" t="s">
        <v>225</v>
      </c>
      <c r="L146">
        <v>3</v>
      </c>
      <c r="M146" t="s">
        <v>859</v>
      </c>
      <c r="N146">
        <v>4</v>
      </c>
      <c r="O146">
        <v>9193</v>
      </c>
      <c r="P146">
        <v>1887</v>
      </c>
      <c r="Q146" s="4">
        <f t="shared" si="5"/>
        <v>0.20526487544871097</v>
      </c>
    </row>
    <row r="147" spans="1:17">
      <c r="A147" t="s">
        <v>225</v>
      </c>
      <c r="B147">
        <v>3</v>
      </c>
      <c r="C147">
        <v>5</v>
      </c>
      <c r="D147">
        <v>89</v>
      </c>
      <c r="E147">
        <v>0</v>
      </c>
      <c r="F147">
        <v>6</v>
      </c>
      <c r="G147">
        <v>0</v>
      </c>
      <c r="H147" s="9">
        <v>175</v>
      </c>
      <c r="I147" s="4">
        <f t="shared" si="4"/>
        <v>0.50857142857142856</v>
      </c>
      <c r="K147" t="s">
        <v>225</v>
      </c>
      <c r="L147">
        <v>3</v>
      </c>
      <c r="M147" t="s">
        <v>861</v>
      </c>
      <c r="N147">
        <v>5</v>
      </c>
      <c r="O147">
        <v>9193</v>
      </c>
      <c r="P147">
        <v>1899</v>
      </c>
      <c r="Q147" s="4">
        <f t="shared" si="5"/>
        <v>0.20657021646905255</v>
      </c>
    </row>
    <row r="148" spans="1:17">
      <c r="A148" t="s">
        <v>225</v>
      </c>
      <c r="B148">
        <v>3</v>
      </c>
      <c r="C148">
        <v>6</v>
      </c>
      <c r="D148">
        <v>98</v>
      </c>
      <c r="E148">
        <v>0</v>
      </c>
      <c r="F148">
        <v>3</v>
      </c>
      <c r="G148">
        <v>0</v>
      </c>
      <c r="H148" s="9">
        <v>175</v>
      </c>
      <c r="I148" s="4">
        <f t="shared" si="4"/>
        <v>0.56000000000000005</v>
      </c>
      <c r="K148" t="s">
        <v>225</v>
      </c>
      <c r="L148">
        <v>3</v>
      </c>
      <c r="M148" t="s">
        <v>862</v>
      </c>
      <c r="N148">
        <v>6</v>
      </c>
      <c r="O148">
        <v>9193</v>
      </c>
      <c r="P148">
        <v>1959</v>
      </c>
      <c r="Q148" s="4">
        <f t="shared" si="5"/>
        <v>0.21309692157076035</v>
      </c>
    </row>
    <row r="149" spans="1:17">
      <c r="A149" t="s">
        <v>225</v>
      </c>
      <c r="B149">
        <v>3</v>
      </c>
      <c r="C149">
        <v>7</v>
      </c>
      <c r="D149">
        <v>140</v>
      </c>
      <c r="E149">
        <v>0</v>
      </c>
      <c r="F149">
        <v>4</v>
      </c>
      <c r="G149">
        <v>0</v>
      </c>
      <c r="H149" s="9">
        <v>175</v>
      </c>
      <c r="I149" s="4">
        <f t="shared" si="4"/>
        <v>0.8</v>
      </c>
      <c r="K149" t="s">
        <v>225</v>
      </c>
      <c r="L149">
        <v>3</v>
      </c>
      <c r="M149" t="s">
        <v>863</v>
      </c>
      <c r="N149">
        <v>7</v>
      </c>
      <c r="O149">
        <v>9193</v>
      </c>
      <c r="P149">
        <v>2470</v>
      </c>
      <c r="Q149" s="4">
        <f t="shared" si="5"/>
        <v>0.26868269335363865</v>
      </c>
    </row>
    <row r="150" spans="1:17">
      <c r="A150" t="s">
        <v>225</v>
      </c>
      <c r="B150">
        <v>3</v>
      </c>
      <c r="C150">
        <v>8</v>
      </c>
      <c r="D150">
        <v>155</v>
      </c>
      <c r="E150">
        <v>0</v>
      </c>
      <c r="F150">
        <v>1</v>
      </c>
      <c r="G150">
        <v>0</v>
      </c>
      <c r="H150" s="9">
        <v>175</v>
      </c>
      <c r="I150" s="4">
        <f t="shared" si="4"/>
        <v>0.88571428571428568</v>
      </c>
      <c r="K150" t="s">
        <v>225</v>
      </c>
      <c r="L150">
        <v>3</v>
      </c>
      <c r="M150" t="s">
        <v>864</v>
      </c>
      <c r="N150">
        <v>8</v>
      </c>
      <c r="O150">
        <v>9193</v>
      </c>
      <c r="P150">
        <v>2713</v>
      </c>
      <c r="Q150" s="4">
        <f t="shared" si="5"/>
        <v>0.29511584901555532</v>
      </c>
    </row>
    <row r="151" spans="1:17">
      <c r="A151" t="s">
        <v>225</v>
      </c>
      <c r="B151">
        <v>3</v>
      </c>
      <c r="C151">
        <v>9</v>
      </c>
      <c r="D151">
        <v>175</v>
      </c>
      <c r="E151">
        <v>0</v>
      </c>
      <c r="F151">
        <v>0</v>
      </c>
      <c r="G151">
        <v>0</v>
      </c>
      <c r="H151" s="9">
        <v>175</v>
      </c>
      <c r="I151" s="4">
        <f t="shared" si="4"/>
        <v>1</v>
      </c>
      <c r="K151" t="s">
        <v>225</v>
      </c>
      <c r="L151">
        <v>3</v>
      </c>
      <c r="M151" t="s">
        <v>507</v>
      </c>
      <c r="N151">
        <v>9</v>
      </c>
      <c r="O151">
        <v>9193</v>
      </c>
      <c r="P151">
        <v>4956</v>
      </c>
      <c r="Q151" s="4">
        <f t="shared" si="5"/>
        <v>0.53910584140106599</v>
      </c>
    </row>
    <row r="152" spans="1:17">
      <c r="A152" t="s">
        <v>225</v>
      </c>
      <c r="B152">
        <v>4</v>
      </c>
      <c r="C152">
        <v>1</v>
      </c>
      <c r="D152">
        <v>19</v>
      </c>
      <c r="E152">
        <v>0</v>
      </c>
      <c r="F152">
        <v>1</v>
      </c>
      <c r="G152">
        <v>0</v>
      </c>
      <c r="H152" s="9">
        <v>272</v>
      </c>
      <c r="I152" s="4">
        <f t="shared" si="4"/>
        <v>6.985294117647059E-2</v>
      </c>
      <c r="K152" t="s">
        <v>225</v>
      </c>
      <c r="L152">
        <v>4</v>
      </c>
      <c r="M152" t="s">
        <v>439</v>
      </c>
      <c r="N152">
        <v>1</v>
      </c>
      <c r="O152">
        <v>26380</v>
      </c>
      <c r="P152">
        <v>675</v>
      </c>
      <c r="Q152" s="4">
        <f t="shared" si="5"/>
        <v>2.558756633813495E-2</v>
      </c>
    </row>
    <row r="153" spans="1:17">
      <c r="A153" t="s">
        <v>225</v>
      </c>
      <c r="B153">
        <v>4</v>
      </c>
      <c r="C153">
        <v>2</v>
      </c>
      <c r="D153">
        <v>31</v>
      </c>
      <c r="E153">
        <v>0</v>
      </c>
      <c r="F153">
        <v>13</v>
      </c>
      <c r="G153">
        <v>0</v>
      </c>
      <c r="H153" s="9">
        <v>272</v>
      </c>
      <c r="I153" s="4">
        <f t="shared" si="4"/>
        <v>0.11397058823529412</v>
      </c>
      <c r="K153" t="s">
        <v>225</v>
      </c>
      <c r="L153">
        <v>4</v>
      </c>
      <c r="M153" t="s">
        <v>508</v>
      </c>
      <c r="N153">
        <v>2</v>
      </c>
      <c r="O153">
        <v>26380</v>
      </c>
      <c r="P153">
        <v>1235</v>
      </c>
      <c r="Q153" s="4">
        <f t="shared" si="5"/>
        <v>4.6815769522365429E-2</v>
      </c>
    </row>
    <row r="154" spans="1:17">
      <c r="A154" t="s">
        <v>225</v>
      </c>
      <c r="B154">
        <v>4</v>
      </c>
      <c r="C154">
        <v>3</v>
      </c>
      <c r="D154">
        <v>66</v>
      </c>
      <c r="E154">
        <v>0</v>
      </c>
      <c r="F154">
        <v>11</v>
      </c>
      <c r="G154">
        <v>0</v>
      </c>
      <c r="H154" s="9">
        <v>272</v>
      </c>
      <c r="I154" s="4">
        <f t="shared" si="4"/>
        <v>0.24264705882352941</v>
      </c>
      <c r="K154" t="s">
        <v>225</v>
      </c>
      <c r="L154">
        <v>4</v>
      </c>
      <c r="M154" t="s">
        <v>505</v>
      </c>
      <c r="N154">
        <v>3</v>
      </c>
      <c r="O154">
        <v>26380</v>
      </c>
      <c r="P154">
        <v>2074</v>
      </c>
      <c r="Q154" s="4">
        <f t="shared" si="5"/>
        <v>7.8620166793025026E-2</v>
      </c>
    </row>
    <row r="155" spans="1:17">
      <c r="A155" t="s">
        <v>225</v>
      </c>
      <c r="B155">
        <v>4</v>
      </c>
      <c r="C155">
        <v>4</v>
      </c>
      <c r="D155">
        <v>101</v>
      </c>
      <c r="E155">
        <v>0</v>
      </c>
      <c r="F155">
        <v>9</v>
      </c>
      <c r="G155">
        <v>0</v>
      </c>
      <c r="H155" s="9">
        <v>272</v>
      </c>
      <c r="I155" s="4">
        <f t="shared" si="4"/>
        <v>0.37132352941176472</v>
      </c>
      <c r="K155" t="s">
        <v>225</v>
      </c>
      <c r="L155">
        <v>4</v>
      </c>
      <c r="M155" t="s">
        <v>504</v>
      </c>
      <c r="N155">
        <v>4</v>
      </c>
      <c r="O155">
        <v>26380</v>
      </c>
      <c r="P155">
        <v>2077</v>
      </c>
      <c r="Q155" s="4">
        <f t="shared" si="5"/>
        <v>7.8733889310083391E-2</v>
      </c>
    </row>
    <row r="156" spans="1:17">
      <c r="A156" t="s">
        <v>225</v>
      </c>
      <c r="B156">
        <v>4</v>
      </c>
      <c r="C156">
        <v>5</v>
      </c>
      <c r="D156">
        <v>140</v>
      </c>
      <c r="E156">
        <v>0</v>
      </c>
      <c r="F156">
        <v>10</v>
      </c>
      <c r="G156">
        <v>0</v>
      </c>
      <c r="H156" s="9">
        <v>272</v>
      </c>
      <c r="I156" s="4">
        <f t="shared" si="4"/>
        <v>0.51470588235294112</v>
      </c>
      <c r="K156" t="s">
        <v>225</v>
      </c>
      <c r="L156">
        <v>4</v>
      </c>
      <c r="M156" t="s">
        <v>863</v>
      </c>
      <c r="N156">
        <v>5</v>
      </c>
      <c r="O156">
        <v>26380</v>
      </c>
      <c r="P156">
        <v>2464</v>
      </c>
      <c r="Q156" s="4">
        <f t="shared" si="5"/>
        <v>9.34040940106141E-2</v>
      </c>
    </row>
    <row r="157" spans="1:17">
      <c r="A157" t="s">
        <v>225</v>
      </c>
      <c r="B157">
        <v>4</v>
      </c>
      <c r="C157">
        <v>6</v>
      </c>
      <c r="D157">
        <v>154</v>
      </c>
      <c r="E157">
        <v>0</v>
      </c>
      <c r="F157">
        <v>7</v>
      </c>
      <c r="G157">
        <v>0</v>
      </c>
      <c r="H157" s="9">
        <v>272</v>
      </c>
      <c r="I157" s="4">
        <f t="shared" si="4"/>
        <v>0.56617647058823528</v>
      </c>
      <c r="K157" t="s">
        <v>225</v>
      </c>
      <c r="L157">
        <v>4</v>
      </c>
      <c r="M157" t="s">
        <v>864</v>
      </c>
      <c r="N157">
        <v>6</v>
      </c>
      <c r="O157">
        <v>26380</v>
      </c>
      <c r="P157">
        <v>2808</v>
      </c>
      <c r="Q157" s="4">
        <f t="shared" si="5"/>
        <v>0.1064442759666414</v>
      </c>
    </row>
    <row r="158" spans="1:17">
      <c r="A158" t="s">
        <v>225</v>
      </c>
      <c r="B158">
        <v>4</v>
      </c>
      <c r="C158">
        <v>7</v>
      </c>
      <c r="D158">
        <v>175</v>
      </c>
      <c r="E158">
        <v>0</v>
      </c>
      <c r="F158">
        <v>5</v>
      </c>
      <c r="G158">
        <v>0</v>
      </c>
      <c r="H158" s="9">
        <v>272</v>
      </c>
      <c r="I158" s="4">
        <f t="shared" si="4"/>
        <v>0.64338235294117652</v>
      </c>
      <c r="K158" t="s">
        <v>225</v>
      </c>
      <c r="L158">
        <v>4</v>
      </c>
      <c r="M158" t="s">
        <v>507</v>
      </c>
      <c r="N158">
        <v>7</v>
      </c>
      <c r="O158">
        <v>26380</v>
      </c>
      <c r="P158">
        <v>5001</v>
      </c>
      <c r="Q158" s="4">
        <f t="shared" si="5"/>
        <v>0.1895754359363154</v>
      </c>
    </row>
    <row r="159" spans="1:17">
      <c r="A159" s="9" t="s">
        <v>225</v>
      </c>
      <c r="B159" s="9">
        <v>4</v>
      </c>
      <c r="C159" s="9">
        <v>8</v>
      </c>
      <c r="D159" s="9">
        <v>202</v>
      </c>
      <c r="E159" s="9">
        <v>0</v>
      </c>
      <c r="F159" s="9">
        <v>3</v>
      </c>
      <c r="G159" s="9">
        <v>0</v>
      </c>
      <c r="H159" s="9">
        <v>272</v>
      </c>
      <c r="I159" s="4">
        <f t="shared" si="4"/>
        <v>0.74264705882352944</v>
      </c>
      <c r="K159" t="s">
        <v>225</v>
      </c>
      <c r="L159">
        <v>4</v>
      </c>
      <c r="M159" t="s">
        <v>509</v>
      </c>
      <c r="N159">
        <v>8</v>
      </c>
      <c r="O159">
        <v>26380</v>
      </c>
      <c r="P159">
        <v>5860</v>
      </c>
      <c r="Q159" s="4">
        <f t="shared" si="5"/>
        <v>0.22213798332069751</v>
      </c>
    </row>
    <row r="160" spans="1:17">
      <c r="A160" t="s">
        <v>225</v>
      </c>
      <c r="B160">
        <v>4</v>
      </c>
      <c r="C160">
        <v>9</v>
      </c>
      <c r="D160">
        <v>234</v>
      </c>
      <c r="E160">
        <v>0</v>
      </c>
      <c r="F160">
        <v>1</v>
      </c>
      <c r="G160">
        <v>0</v>
      </c>
      <c r="H160" s="9">
        <v>272</v>
      </c>
      <c r="I160" s="4">
        <f t="shared" si="4"/>
        <v>0.86029411764705888</v>
      </c>
      <c r="K160" t="s">
        <v>225</v>
      </c>
      <c r="L160">
        <v>4</v>
      </c>
      <c r="M160" t="s">
        <v>510</v>
      </c>
      <c r="N160">
        <v>9</v>
      </c>
      <c r="O160">
        <v>26380</v>
      </c>
      <c r="P160">
        <v>6122</v>
      </c>
      <c r="Q160" s="4">
        <f t="shared" si="5"/>
        <v>0.23206974981046247</v>
      </c>
    </row>
    <row r="161" spans="1:17">
      <c r="A161" t="s">
        <v>225</v>
      </c>
      <c r="B161">
        <v>4</v>
      </c>
      <c r="C161">
        <v>10</v>
      </c>
      <c r="D161">
        <v>272</v>
      </c>
      <c r="E161">
        <v>0</v>
      </c>
      <c r="F161">
        <v>0</v>
      </c>
      <c r="G161">
        <v>0</v>
      </c>
      <c r="H161" s="9">
        <v>272</v>
      </c>
      <c r="I161" s="4">
        <f t="shared" si="4"/>
        <v>1</v>
      </c>
      <c r="K161" t="s">
        <v>225</v>
      </c>
      <c r="L161">
        <v>4</v>
      </c>
      <c r="M161" t="s">
        <v>511</v>
      </c>
      <c r="N161">
        <v>10</v>
      </c>
      <c r="O161">
        <v>26380</v>
      </c>
      <c r="P161">
        <v>6731</v>
      </c>
      <c r="Q161" s="4">
        <f t="shared" si="5"/>
        <v>0.2551554207733131</v>
      </c>
    </row>
    <row r="162" spans="1:17">
      <c r="A162" t="s">
        <v>225</v>
      </c>
      <c r="B162">
        <v>8</v>
      </c>
      <c r="C162">
        <v>1</v>
      </c>
      <c r="D162">
        <v>19</v>
      </c>
      <c r="E162">
        <v>0</v>
      </c>
      <c r="F162">
        <v>1</v>
      </c>
      <c r="G162">
        <v>0</v>
      </c>
      <c r="H162" s="9">
        <v>162</v>
      </c>
      <c r="I162" s="4">
        <f t="shared" si="4"/>
        <v>0.11728395061728394</v>
      </c>
      <c r="K162" t="s">
        <v>225</v>
      </c>
      <c r="L162">
        <v>8</v>
      </c>
      <c r="M162" t="s">
        <v>439</v>
      </c>
      <c r="N162">
        <v>1</v>
      </c>
      <c r="O162">
        <v>8984</v>
      </c>
      <c r="P162">
        <v>648</v>
      </c>
      <c r="Q162" s="4">
        <f t="shared" si="5"/>
        <v>7.2128227960819233E-2</v>
      </c>
    </row>
    <row r="163" spans="1:17">
      <c r="A163" t="s">
        <v>225</v>
      </c>
      <c r="B163">
        <v>8</v>
      </c>
      <c r="C163">
        <v>2</v>
      </c>
      <c r="D163">
        <v>28</v>
      </c>
      <c r="E163">
        <v>0</v>
      </c>
      <c r="F163">
        <v>7</v>
      </c>
      <c r="G163">
        <v>0</v>
      </c>
      <c r="H163" s="9">
        <v>162</v>
      </c>
      <c r="I163" s="4">
        <f t="shared" si="4"/>
        <v>0.1728395061728395</v>
      </c>
      <c r="K163" t="s">
        <v>225</v>
      </c>
      <c r="L163">
        <v>8</v>
      </c>
      <c r="M163" t="s">
        <v>533</v>
      </c>
      <c r="N163">
        <v>2</v>
      </c>
      <c r="O163">
        <v>8984</v>
      </c>
      <c r="P163">
        <v>1009</v>
      </c>
      <c r="Q163" s="4">
        <f t="shared" si="5"/>
        <v>0.11231077471059661</v>
      </c>
    </row>
    <row r="164" spans="1:17">
      <c r="A164" t="s">
        <v>225</v>
      </c>
      <c r="B164">
        <v>8</v>
      </c>
      <c r="C164">
        <v>3</v>
      </c>
      <c r="D164">
        <v>56</v>
      </c>
      <c r="E164">
        <v>0</v>
      </c>
      <c r="F164">
        <v>15</v>
      </c>
      <c r="G164">
        <v>0</v>
      </c>
      <c r="H164" s="9">
        <v>162</v>
      </c>
      <c r="I164" s="4">
        <f t="shared" si="4"/>
        <v>0.34567901234567899</v>
      </c>
      <c r="K164" t="s">
        <v>225</v>
      </c>
      <c r="L164">
        <v>8</v>
      </c>
      <c r="M164" t="s">
        <v>866</v>
      </c>
      <c r="N164">
        <v>3</v>
      </c>
      <c r="O164">
        <v>8984</v>
      </c>
      <c r="P164">
        <v>1864</v>
      </c>
      <c r="Q164" s="4">
        <f t="shared" si="5"/>
        <v>0.20747996438112198</v>
      </c>
    </row>
    <row r="165" spans="1:17">
      <c r="A165" t="s">
        <v>225</v>
      </c>
      <c r="B165">
        <v>8</v>
      </c>
      <c r="C165">
        <v>4</v>
      </c>
      <c r="D165">
        <v>86</v>
      </c>
      <c r="E165">
        <v>0</v>
      </c>
      <c r="F165">
        <v>15</v>
      </c>
      <c r="G165">
        <v>0</v>
      </c>
      <c r="H165" s="9">
        <v>162</v>
      </c>
      <c r="I165" s="4">
        <f t="shared" si="4"/>
        <v>0.53086419753086422</v>
      </c>
      <c r="K165" t="s">
        <v>225</v>
      </c>
      <c r="L165">
        <v>8</v>
      </c>
      <c r="M165" t="s">
        <v>868</v>
      </c>
      <c r="N165">
        <v>4</v>
      </c>
      <c r="O165">
        <v>8984</v>
      </c>
      <c r="P165">
        <v>1871</v>
      </c>
      <c r="Q165" s="4">
        <f t="shared" si="5"/>
        <v>0.20825912733748886</v>
      </c>
    </row>
    <row r="166" spans="1:17">
      <c r="A166" t="s">
        <v>225</v>
      </c>
      <c r="B166">
        <v>8</v>
      </c>
      <c r="C166">
        <v>5</v>
      </c>
      <c r="D166">
        <v>91</v>
      </c>
      <c r="E166">
        <v>0</v>
      </c>
      <c r="F166">
        <v>13</v>
      </c>
      <c r="G166">
        <v>0</v>
      </c>
      <c r="H166" s="9">
        <v>162</v>
      </c>
      <c r="I166" s="4">
        <f t="shared" si="4"/>
        <v>0.56172839506172845</v>
      </c>
      <c r="K166" t="s">
        <v>225</v>
      </c>
      <c r="L166">
        <v>8</v>
      </c>
      <c r="M166" t="s">
        <v>867</v>
      </c>
      <c r="N166">
        <v>5</v>
      </c>
      <c r="O166">
        <v>8984</v>
      </c>
      <c r="P166">
        <v>1874</v>
      </c>
      <c r="Q166" s="4">
        <f t="shared" si="5"/>
        <v>0.20859305431878897</v>
      </c>
    </row>
    <row r="167" spans="1:17">
      <c r="A167" t="s">
        <v>225</v>
      </c>
      <c r="B167">
        <v>8</v>
      </c>
      <c r="C167">
        <v>6</v>
      </c>
      <c r="D167">
        <v>101</v>
      </c>
      <c r="E167">
        <v>0</v>
      </c>
      <c r="F167">
        <v>6</v>
      </c>
      <c r="G167">
        <v>0</v>
      </c>
      <c r="H167" s="9">
        <v>162</v>
      </c>
      <c r="I167" s="4">
        <f t="shared" si="4"/>
        <v>0.62345679012345678</v>
      </c>
      <c r="K167" t="s">
        <v>225</v>
      </c>
      <c r="L167">
        <v>8</v>
      </c>
      <c r="M167" t="s">
        <v>865</v>
      </c>
      <c r="N167">
        <v>6</v>
      </c>
      <c r="O167">
        <v>8984</v>
      </c>
      <c r="P167">
        <v>1885</v>
      </c>
      <c r="Q167" s="4">
        <f t="shared" si="5"/>
        <v>0.20981745325022261</v>
      </c>
    </row>
    <row r="168" spans="1:17">
      <c r="A168" t="s">
        <v>225</v>
      </c>
      <c r="B168">
        <v>8</v>
      </c>
      <c r="C168">
        <v>7</v>
      </c>
      <c r="D168">
        <v>107</v>
      </c>
      <c r="E168">
        <v>0</v>
      </c>
      <c r="F168">
        <v>3</v>
      </c>
      <c r="G168">
        <v>0</v>
      </c>
      <c r="H168" s="9">
        <v>162</v>
      </c>
      <c r="I168" s="4">
        <f t="shared" si="4"/>
        <v>0.66049382716049387</v>
      </c>
      <c r="K168" t="s">
        <v>225</v>
      </c>
      <c r="L168">
        <v>8</v>
      </c>
      <c r="M168" t="s">
        <v>869</v>
      </c>
      <c r="N168">
        <v>7</v>
      </c>
      <c r="O168">
        <v>8984</v>
      </c>
      <c r="P168">
        <v>1950</v>
      </c>
      <c r="Q168" s="4">
        <f t="shared" si="5"/>
        <v>0.21705253784505787</v>
      </c>
    </row>
    <row r="169" spans="1:17">
      <c r="A169" t="s">
        <v>225</v>
      </c>
      <c r="B169">
        <v>8</v>
      </c>
      <c r="C169">
        <v>8</v>
      </c>
      <c r="D169">
        <v>107</v>
      </c>
      <c r="E169">
        <v>0</v>
      </c>
      <c r="F169">
        <v>3</v>
      </c>
      <c r="G169">
        <v>0</v>
      </c>
      <c r="H169" s="9">
        <v>162</v>
      </c>
      <c r="I169" s="4">
        <f t="shared" si="4"/>
        <v>0.66049382716049387</v>
      </c>
      <c r="K169" t="s">
        <v>225</v>
      </c>
      <c r="L169">
        <v>8</v>
      </c>
      <c r="M169" t="s">
        <v>870</v>
      </c>
      <c r="N169">
        <v>8</v>
      </c>
      <c r="O169">
        <v>8984</v>
      </c>
      <c r="P169">
        <v>1968</v>
      </c>
      <c r="Q169" s="4">
        <f t="shared" si="5"/>
        <v>0.21905609973285842</v>
      </c>
    </row>
    <row r="170" spans="1:17">
      <c r="A170" t="s">
        <v>225</v>
      </c>
      <c r="B170">
        <v>8</v>
      </c>
      <c r="C170">
        <v>9</v>
      </c>
      <c r="D170">
        <v>140</v>
      </c>
      <c r="E170">
        <v>0</v>
      </c>
      <c r="F170">
        <v>1</v>
      </c>
      <c r="G170">
        <v>0</v>
      </c>
      <c r="H170" s="9">
        <v>162</v>
      </c>
      <c r="I170" s="4">
        <f t="shared" si="4"/>
        <v>0.86419753086419748</v>
      </c>
      <c r="K170" t="s">
        <v>225</v>
      </c>
      <c r="L170">
        <v>8</v>
      </c>
      <c r="M170" t="s">
        <v>535</v>
      </c>
      <c r="N170">
        <v>9</v>
      </c>
      <c r="O170">
        <v>8984</v>
      </c>
      <c r="P170">
        <v>2795</v>
      </c>
      <c r="Q170" s="4">
        <f t="shared" si="5"/>
        <v>0.31110863757791629</v>
      </c>
    </row>
    <row r="171" spans="1:17">
      <c r="A171" t="s">
        <v>225</v>
      </c>
      <c r="B171">
        <v>8</v>
      </c>
      <c r="C171">
        <v>10</v>
      </c>
      <c r="D171">
        <v>162</v>
      </c>
      <c r="E171">
        <v>0</v>
      </c>
      <c r="F171">
        <v>0</v>
      </c>
      <c r="G171">
        <v>0</v>
      </c>
      <c r="H171" s="9">
        <v>162</v>
      </c>
      <c r="I171" s="4">
        <f t="shared" si="4"/>
        <v>1</v>
      </c>
      <c r="K171" t="s">
        <v>225</v>
      </c>
      <c r="L171">
        <v>8</v>
      </c>
      <c r="M171" t="s">
        <v>536</v>
      </c>
      <c r="N171">
        <v>10</v>
      </c>
      <c r="O171">
        <v>8984</v>
      </c>
      <c r="P171">
        <v>4937</v>
      </c>
      <c r="Q171" s="4">
        <f t="shared" si="5"/>
        <v>0.54953250222617989</v>
      </c>
    </row>
    <row r="172" spans="1:17">
      <c r="A172" t="s">
        <v>225</v>
      </c>
      <c r="B172">
        <v>9</v>
      </c>
      <c r="C172">
        <v>1</v>
      </c>
      <c r="D172">
        <v>19</v>
      </c>
      <c r="E172">
        <v>0</v>
      </c>
      <c r="F172">
        <v>1</v>
      </c>
      <c r="G172">
        <v>0</v>
      </c>
      <c r="H172" s="9">
        <v>258</v>
      </c>
      <c r="I172" s="4">
        <f t="shared" si="4"/>
        <v>7.3643410852713184E-2</v>
      </c>
      <c r="K172" t="s">
        <v>225</v>
      </c>
      <c r="L172">
        <v>9</v>
      </c>
      <c r="M172" t="s">
        <v>439</v>
      </c>
      <c r="N172">
        <v>1</v>
      </c>
      <c r="O172">
        <v>27574</v>
      </c>
      <c r="P172">
        <v>673</v>
      </c>
      <c r="Q172" s="4">
        <f t="shared" si="5"/>
        <v>2.4407050119677958E-2</v>
      </c>
    </row>
    <row r="173" spans="1:17">
      <c r="A173" t="s">
        <v>225</v>
      </c>
      <c r="B173">
        <v>9</v>
      </c>
      <c r="C173">
        <v>2</v>
      </c>
      <c r="D173">
        <v>31</v>
      </c>
      <c r="E173">
        <v>0</v>
      </c>
      <c r="F173">
        <v>13</v>
      </c>
      <c r="G173">
        <v>0</v>
      </c>
      <c r="H173" s="9">
        <v>258</v>
      </c>
      <c r="I173" s="4">
        <f t="shared" si="4"/>
        <v>0.12015503875968993</v>
      </c>
      <c r="K173" t="s">
        <v>225</v>
      </c>
      <c r="L173">
        <v>9</v>
      </c>
      <c r="M173" t="s">
        <v>537</v>
      </c>
      <c r="N173">
        <v>2</v>
      </c>
      <c r="O173">
        <v>27574</v>
      </c>
      <c r="P173">
        <v>1227</v>
      </c>
      <c r="Q173" s="4">
        <f t="shared" si="5"/>
        <v>4.4498440559947776E-2</v>
      </c>
    </row>
    <row r="174" spans="1:17">
      <c r="A174" t="s">
        <v>225</v>
      </c>
      <c r="B174">
        <v>9</v>
      </c>
      <c r="C174">
        <v>3</v>
      </c>
      <c r="D174">
        <v>66</v>
      </c>
      <c r="E174">
        <v>0</v>
      </c>
      <c r="F174">
        <v>11</v>
      </c>
      <c r="G174">
        <v>0</v>
      </c>
      <c r="H174" s="9">
        <v>258</v>
      </c>
      <c r="I174" s="4">
        <f t="shared" si="4"/>
        <v>0.2558139534883721</v>
      </c>
      <c r="K174" t="s">
        <v>225</v>
      </c>
      <c r="L174">
        <v>9</v>
      </c>
      <c r="M174" t="s">
        <v>505</v>
      </c>
      <c r="N174">
        <v>3</v>
      </c>
      <c r="O174">
        <v>27574</v>
      </c>
      <c r="P174">
        <v>1932</v>
      </c>
      <c r="Q174" s="4">
        <f t="shared" si="5"/>
        <v>7.0066004206861543E-2</v>
      </c>
    </row>
    <row r="175" spans="1:17">
      <c r="A175" t="s">
        <v>225</v>
      </c>
      <c r="B175">
        <v>9</v>
      </c>
      <c r="C175">
        <v>4</v>
      </c>
      <c r="D175">
        <v>100</v>
      </c>
      <c r="E175">
        <v>0</v>
      </c>
      <c r="F175">
        <v>14</v>
      </c>
      <c r="G175">
        <v>1</v>
      </c>
      <c r="H175" s="9">
        <v>258</v>
      </c>
      <c r="I175" s="4">
        <f t="shared" si="4"/>
        <v>0.38759689922480622</v>
      </c>
      <c r="K175" t="s">
        <v>225</v>
      </c>
      <c r="L175">
        <v>9</v>
      </c>
      <c r="M175" t="s">
        <v>871</v>
      </c>
      <c r="N175">
        <v>4</v>
      </c>
      <c r="O175">
        <v>27574</v>
      </c>
      <c r="P175">
        <v>2075</v>
      </c>
      <c r="Q175" s="4">
        <f t="shared" si="5"/>
        <v>7.5252049031696522E-2</v>
      </c>
    </row>
    <row r="176" spans="1:17">
      <c r="A176" t="s">
        <v>225</v>
      </c>
      <c r="B176">
        <v>9</v>
      </c>
      <c r="C176">
        <v>5</v>
      </c>
      <c r="D176">
        <v>110</v>
      </c>
      <c r="E176">
        <v>0</v>
      </c>
      <c r="F176">
        <v>9</v>
      </c>
      <c r="G176">
        <v>0</v>
      </c>
      <c r="H176" s="9">
        <v>258</v>
      </c>
      <c r="I176" s="4">
        <f t="shared" si="4"/>
        <v>0.4263565891472868</v>
      </c>
      <c r="K176" t="s">
        <v>225</v>
      </c>
      <c r="L176">
        <v>9</v>
      </c>
      <c r="M176" t="s">
        <v>872</v>
      </c>
      <c r="N176">
        <v>5</v>
      </c>
      <c r="O176">
        <v>27574</v>
      </c>
      <c r="P176">
        <v>2082</v>
      </c>
      <c r="Q176" s="4">
        <f t="shared" si="5"/>
        <v>7.550591136577936E-2</v>
      </c>
    </row>
    <row r="177" spans="1:17">
      <c r="A177" t="s">
        <v>225</v>
      </c>
      <c r="B177">
        <v>9</v>
      </c>
      <c r="C177">
        <v>6</v>
      </c>
      <c r="D177">
        <v>143</v>
      </c>
      <c r="E177">
        <v>0</v>
      </c>
      <c r="F177">
        <v>7</v>
      </c>
      <c r="G177">
        <v>0</v>
      </c>
      <c r="H177" s="9">
        <v>258</v>
      </c>
      <c r="I177" s="4">
        <f t="shared" si="4"/>
        <v>0.55426356589147285</v>
      </c>
      <c r="K177" t="s">
        <v>225</v>
      </c>
      <c r="L177">
        <v>9</v>
      </c>
      <c r="M177" t="s">
        <v>535</v>
      </c>
      <c r="N177">
        <v>6</v>
      </c>
      <c r="O177">
        <v>27574</v>
      </c>
      <c r="P177">
        <v>2826</v>
      </c>
      <c r="Q177" s="4">
        <f t="shared" si="5"/>
        <v>0.10248785087401174</v>
      </c>
    </row>
    <row r="178" spans="1:17">
      <c r="A178" t="s">
        <v>225</v>
      </c>
      <c r="B178">
        <v>9</v>
      </c>
      <c r="C178">
        <v>7</v>
      </c>
      <c r="D178">
        <v>165</v>
      </c>
      <c r="E178">
        <v>0</v>
      </c>
      <c r="F178">
        <v>5</v>
      </c>
      <c r="G178">
        <v>0</v>
      </c>
      <c r="H178" s="9">
        <v>258</v>
      </c>
      <c r="I178" s="4">
        <f t="shared" si="4"/>
        <v>0.63953488372093026</v>
      </c>
      <c r="K178" t="s">
        <v>225</v>
      </c>
      <c r="L178">
        <v>9</v>
      </c>
      <c r="M178" t="s">
        <v>536</v>
      </c>
      <c r="N178">
        <v>7</v>
      </c>
      <c r="O178">
        <v>27574</v>
      </c>
      <c r="P178">
        <v>5010</v>
      </c>
      <c r="Q178" s="4">
        <f t="shared" si="5"/>
        <v>0.18169289910785522</v>
      </c>
    </row>
    <row r="179" spans="1:17">
      <c r="A179" t="s">
        <v>225</v>
      </c>
      <c r="B179">
        <v>9</v>
      </c>
      <c r="C179">
        <v>8</v>
      </c>
      <c r="D179">
        <v>192</v>
      </c>
      <c r="E179">
        <v>0</v>
      </c>
      <c r="F179">
        <v>3</v>
      </c>
      <c r="G179">
        <v>0</v>
      </c>
      <c r="H179" s="9">
        <v>258</v>
      </c>
      <c r="I179" s="4">
        <f t="shared" si="4"/>
        <v>0.7441860465116279</v>
      </c>
      <c r="K179" t="s">
        <v>225</v>
      </c>
      <c r="L179">
        <v>9</v>
      </c>
      <c r="M179" t="s">
        <v>538</v>
      </c>
      <c r="N179">
        <v>8</v>
      </c>
      <c r="O179">
        <v>27574</v>
      </c>
      <c r="P179">
        <v>5655</v>
      </c>
      <c r="Q179" s="4">
        <f t="shared" si="5"/>
        <v>0.20508449989120187</v>
      </c>
    </row>
    <row r="180" spans="1:17">
      <c r="A180" t="s">
        <v>225</v>
      </c>
      <c r="B180">
        <v>9</v>
      </c>
      <c r="C180">
        <v>9</v>
      </c>
      <c r="D180">
        <v>223</v>
      </c>
      <c r="E180">
        <v>0</v>
      </c>
      <c r="F180">
        <v>1</v>
      </c>
      <c r="G180">
        <v>0</v>
      </c>
      <c r="H180" s="9">
        <v>258</v>
      </c>
      <c r="I180" s="4">
        <f t="shared" si="4"/>
        <v>0.86434108527131781</v>
      </c>
      <c r="K180" t="s">
        <v>225</v>
      </c>
      <c r="L180">
        <v>9</v>
      </c>
      <c r="M180" t="s">
        <v>539</v>
      </c>
      <c r="N180">
        <v>9</v>
      </c>
      <c r="O180">
        <v>27574</v>
      </c>
      <c r="P180">
        <v>6276</v>
      </c>
      <c r="Q180" s="4">
        <f t="shared" si="5"/>
        <v>0.22760571552912165</v>
      </c>
    </row>
    <row r="181" spans="1:17">
      <c r="A181" t="s">
        <v>225</v>
      </c>
      <c r="B181">
        <v>9</v>
      </c>
      <c r="C181">
        <v>10</v>
      </c>
      <c r="D181">
        <v>258</v>
      </c>
      <c r="E181">
        <v>0</v>
      </c>
      <c r="F181">
        <v>0</v>
      </c>
      <c r="G181">
        <v>0</v>
      </c>
      <c r="H181" s="9">
        <v>258</v>
      </c>
      <c r="I181" s="4">
        <f t="shared" si="4"/>
        <v>1</v>
      </c>
      <c r="K181" t="s">
        <v>225</v>
      </c>
      <c r="L181">
        <v>9</v>
      </c>
      <c r="M181" t="s">
        <v>540</v>
      </c>
      <c r="N181">
        <v>10</v>
      </c>
      <c r="O181">
        <v>27574</v>
      </c>
      <c r="P181">
        <v>6846</v>
      </c>
      <c r="Q181" s="4">
        <f t="shared" si="5"/>
        <v>0.24827736273300935</v>
      </c>
    </row>
    <row r="182" spans="1:17">
      <c r="A182" t="s">
        <v>225</v>
      </c>
      <c r="B182">
        <v>10</v>
      </c>
      <c r="C182">
        <v>1</v>
      </c>
      <c r="D182">
        <v>5</v>
      </c>
      <c r="E182">
        <v>0</v>
      </c>
      <c r="F182">
        <v>5</v>
      </c>
      <c r="G182">
        <v>0</v>
      </c>
      <c r="H182" s="9">
        <v>10</v>
      </c>
      <c r="I182" s="4">
        <f t="shared" si="4"/>
        <v>0.5</v>
      </c>
      <c r="K182" t="s">
        <v>225</v>
      </c>
      <c r="L182">
        <v>10</v>
      </c>
      <c r="M182" t="s">
        <v>2</v>
      </c>
      <c r="N182">
        <v>1</v>
      </c>
      <c r="O182">
        <v>897</v>
      </c>
      <c r="P182">
        <v>184</v>
      </c>
      <c r="Q182" s="4">
        <f t="shared" si="5"/>
        <v>0.20512820512820512</v>
      </c>
    </row>
    <row r="183" spans="1:17">
      <c r="A183" t="s">
        <v>225</v>
      </c>
      <c r="B183">
        <v>10</v>
      </c>
      <c r="C183">
        <v>2</v>
      </c>
      <c r="D183">
        <v>9</v>
      </c>
      <c r="E183">
        <v>0</v>
      </c>
      <c r="F183">
        <v>1</v>
      </c>
      <c r="G183">
        <v>0</v>
      </c>
      <c r="H183" s="9">
        <v>10</v>
      </c>
      <c r="I183" s="4">
        <f t="shared" si="4"/>
        <v>0.9</v>
      </c>
      <c r="K183" t="s">
        <v>225</v>
      </c>
      <c r="L183">
        <v>10</v>
      </c>
      <c r="M183" t="s">
        <v>203</v>
      </c>
      <c r="N183">
        <v>2</v>
      </c>
      <c r="O183">
        <v>897</v>
      </c>
      <c r="P183">
        <v>865</v>
      </c>
      <c r="Q183" s="4">
        <f t="shared" si="5"/>
        <v>0.96432552954292083</v>
      </c>
    </row>
    <row r="184" spans="1:17">
      <c r="A184" t="s">
        <v>225</v>
      </c>
      <c r="B184">
        <v>11</v>
      </c>
      <c r="C184">
        <v>1</v>
      </c>
      <c r="D184">
        <v>18</v>
      </c>
      <c r="E184">
        <v>0</v>
      </c>
      <c r="F184">
        <v>1</v>
      </c>
      <c r="G184">
        <v>0</v>
      </c>
      <c r="H184" s="9">
        <v>53</v>
      </c>
      <c r="I184" s="4">
        <f t="shared" si="4"/>
        <v>0.33962264150943394</v>
      </c>
      <c r="K184" t="s">
        <v>225</v>
      </c>
      <c r="L184">
        <v>11</v>
      </c>
      <c r="M184" t="s">
        <v>2</v>
      </c>
      <c r="N184">
        <v>1</v>
      </c>
      <c r="O184">
        <v>6402</v>
      </c>
      <c r="P184">
        <v>304</v>
      </c>
      <c r="Q184" s="4">
        <f t="shared" si="5"/>
        <v>4.7485160887222745E-2</v>
      </c>
    </row>
    <row r="185" spans="1:17">
      <c r="A185" t="s">
        <v>225</v>
      </c>
      <c r="B185">
        <v>11</v>
      </c>
      <c r="C185">
        <v>2</v>
      </c>
      <c r="D185">
        <v>45</v>
      </c>
      <c r="E185">
        <v>0</v>
      </c>
      <c r="F185">
        <v>5</v>
      </c>
      <c r="G185">
        <v>0</v>
      </c>
      <c r="H185" s="9">
        <v>53</v>
      </c>
      <c r="I185" s="4">
        <f t="shared" si="4"/>
        <v>0.84905660377358494</v>
      </c>
      <c r="K185" t="s">
        <v>225</v>
      </c>
      <c r="L185">
        <v>11</v>
      </c>
      <c r="M185" t="s">
        <v>0</v>
      </c>
      <c r="N185">
        <v>2</v>
      </c>
      <c r="O185">
        <v>6402</v>
      </c>
      <c r="P185">
        <v>4473</v>
      </c>
      <c r="Q185" s="4">
        <f t="shared" si="5"/>
        <v>0.69868791002811625</v>
      </c>
    </row>
    <row r="186" spans="1:17">
      <c r="A186" t="s">
        <v>225</v>
      </c>
      <c r="B186">
        <v>11</v>
      </c>
      <c r="C186">
        <v>3</v>
      </c>
      <c r="D186">
        <v>51</v>
      </c>
      <c r="E186">
        <v>0</v>
      </c>
      <c r="F186">
        <v>2</v>
      </c>
      <c r="G186">
        <v>0</v>
      </c>
      <c r="H186" s="9">
        <v>53</v>
      </c>
      <c r="I186" s="4">
        <f t="shared" si="4"/>
        <v>0.96226415094339623</v>
      </c>
      <c r="K186" t="s">
        <v>225</v>
      </c>
      <c r="L186">
        <v>11</v>
      </c>
      <c r="M186" t="s">
        <v>1</v>
      </c>
      <c r="N186">
        <v>3</v>
      </c>
      <c r="O186">
        <v>6402</v>
      </c>
      <c r="P186">
        <v>6172</v>
      </c>
      <c r="Q186" s="4">
        <f t="shared" si="5"/>
        <v>0.96407372696032489</v>
      </c>
    </row>
    <row r="187" spans="1:17">
      <c r="A187" t="s">
        <v>225</v>
      </c>
      <c r="B187">
        <v>14</v>
      </c>
      <c r="C187">
        <v>1</v>
      </c>
      <c r="D187">
        <v>1</v>
      </c>
      <c r="E187">
        <v>0</v>
      </c>
      <c r="F187">
        <v>1</v>
      </c>
      <c r="G187">
        <v>0</v>
      </c>
      <c r="H187" s="9">
        <v>958</v>
      </c>
      <c r="I187" s="4">
        <f t="shared" si="4"/>
        <v>1.0438413361169101E-3</v>
      </c>
      <c r="K187" t="s">
        <v>225</v>
      </c>
      <c r="L187">
        <v>14</v>
      </c>
      <c r="M187" t="s">
        <v>203</v>
      </c>
      <c r="N187">
        <v>1</v>
      </c>
      <c r="O187">
        <v>56287</v>
      </c>
      <c r="P187">
        <v>2194</v>
      </c>
      <c r="Q187" s="4">
        <f t="shared" si="5"/>
        <v>3.8978805052676459E-2</v>
      </c>
    </row>
    <row r="188" spans="1:17">
      <c r="A188" t="s">
        <v>225</v>
      </c>
      <c r="B188">
        <v>14</v>
      </c>
      <c r="C188">
        <v>2</v>
      </c>
      <c r="D188">
        <v>3</v>
      </c>
      <c r="E188">
        <v>0</v>
      </c>
      <c r="F188">
        <v>1</v>
      </c>
      <c r="G188">
        <v>0</v>
      </c>
      <c r="H188" s="9">
        <v>958</v>
      </c>
      <c r="I188" s="4">
        <f t="shared" si="4"/>
        <v>3.1315240083507308E-3</v>
      </c>
      <c r="K188" t="s">
        <v>225</v>
      </c>
      <c r="L188">
        <v>14</v>
      </c>
      <c r="M188" t="s">
        <v>179</v>
      </c>
      <c r="N188">
        <v>2</v>
      </c>
      <c r="O188">
        <v>56287</v>
      </c>
      <c r="P188">
        <v>2242</v>
      </c>
      <c r="Q188" s="4">
        <f t="shared" si="5"/>
        <v>3.9831577451276495E-2</v>
      </c>
    </row>
    <row r="189" spans="1:17">
      <c r="A189" t="s">
        <v>225</v>
      </c>
      <c r="B189">
        <v>14</v>
      </c>
      <c r="C189">
        <v>3</v>
      </c>
      <c r="D189">
        <v>5</v>
      </c>
      <c r="E189">
        <v>0</v>
      </c>
      <c r="F189">
        <v>1</v>
      </c>
      <c r="G189">
        <v>0</v>
      </c>
      <c r="H189" s="9">
        <v>958</v>
      </c>
      <c r="I189" s="4">
        <f t="shared" si="4"/>
        <v>5.2192066805845511E-3</v>
      </c>
      <c r="K189" t="s">
        <v>225</v>
      </c>
      <c r="L189">
        <v>14</v>
      </c>
      <c r="M189" t="s">
        <v>541</v>
      </c>
      <c r="N189">
        <v>3</v>
      </c>
      <c r="O189">
        <v>56287</v>
      </c>
      <c r="P189">
        <v>2315</v>
      </c>
      <c r="Q189" s="4">
        <f t="shared" si="5"/>
        <v>4.1128502140814045E-2</v>
      </c>
    </row>
    <row r="190" spans="1:17">
      <c r="A190" t="s">
        <v>225</v>
      </c>
      <c r="B190">
        <v>14</v>
      </c>
      <c r="C190">
        <v>4</v>
      </c>
      <c r="D190">
        <v>382</v>
      </c>
      <c r="E190">
        <v>0</v>
      </c>
      <c r="F190">
        <v>5</v>
      </c>
      <c r="G190">
        <v>0</v>
      </c>
      <c r="H190" s="9">
        <v>958</v>
      </c>
      <c r="I190" s="4">
        <f t="shared" si="4"/>
        <v>0.39874739039665968</v>
      </c>
      <c r="K190" t="s">
        <v>225</v>
      </c>
      <c r="L190">
        <v>14</v>
      </c>
      <c r="M190" t="s">
        <v>688</v>
      </c>
      <c r="N190">
        <v>4</v>
      </c>
      <c r="O190">
        <v>56287</v>
      </c>
      <c r="P190">
        <v>26195</v>
      </c>
      <c r="Q190" s="4">
        <f t="shared" si="5"/>
        <v>0.46538277044432996</v>
      </c>
    </row>
    <row r="191" spans="1:17">
      <c r="A191" t="s">
        <v>225</v>
      </c>
      <c r="B191">
        <v>14</v>
      </c>
      <c r="C191">
        <v>5</v>
      </c>
      <c r="D191">
        <v>563</v>
      </c>
      <c r="E191">
        <v>0</v>
      </c>
      <c r="F191">
        <v>2</v>
      </c>
      <c r="G191">
        <v>0</v>
      </c>
      <c r="H191" s="9">
        <v>958</v>
      </c>
      <c r="I191" s="4">
        <f t="shared" si="4"/>
        <v>0.58768267223382042</v>
      </c>
      <c r="K191" t="s">
        <v>225</v>
      </c>
      <c r="L191">
        <v>14</v>
      </c>
      <c r="M191" t="s">
        <v>686</v>
      </c>
      <c r="N191">
        <v>5</v>
      </c>
      <c r="O191">
        <v>56287</v>
      </c>
      <c r="P191">
        <v>26603</v>
      </c>
      <c r="Q191" s="4">
        <f t="shared" si="5"/>
        <v>0.47263133583243022</v>
      </c>
    </row>
    <row r="192" spans="1:17">
      <c r="A192" t="s">
        <v>225</v>
      </c>
      <c r="B192">
        <v>14</v>
      </c>
      <c r="C192">
        <v>6</v>
      </c>
      <c r="D192">
        <v>564</v>
      </c>
      <c r="E192">
        <v>0</v>
      </c>
      <c r="F192">
        <v>1</v>
      </c>
      <c r="G192">
        <v>0</v>
      </c>
      <c r="H192" s="9">
        <v>958</v>
      </c>
      <c r="I192" s="4">
        <f t="shared" si="4"/>
        <v>0.58872651356993733</v>
      </c>
      <c r="K192" t="s">
        <v>225</v>
      </c>
      <c r="L192">
        <v>14</v>
      </c>
      <c r="M192" t="s">
        <v>687</v>
      </c>
      <c r="N192">
        <v>6</v>
      </c>
      <c r="O192">
        <v>56287</v>
      </c>
      <c r="P192">
        <v>26897</v>
      </c>
      <c r="Q192" s="4">
        <f t="shared" si="5"/>
        <v>0.4778545667738554</v>
      </c>
    </row>
    <row r="193" spans="1:17">
      <c r="A193" t="s">
        <v>225</v>
      </c>
      <c r="B193">
        <v>14</v>
      </c>
      <c r="C193">
        <v>7</v>
      </c>
      <c r="D193">
        <v>564</v>
      </c>
      <c r="E193">
        <v>0</v>
      </c>
      <c r="F193">
        <v>1</v>
      </c>
      <c r="G193">
        <v>0</v>
      </c>
      <c r="H193" s="9">
        <v>958</v>
      </c>
      <c r="I193" s="4">
        <f t="shared" si="4"/>
        <v>0.58872651356993733</v>
      </c>
      <c r="K193" t="s">
        <v>225</v>
      </c>
      <c r="L193">
        <v>14</v>
      </c>
      <c r="M193" t="s">
        <v>689</v>
      </c>
      <c r="N193">
        <v>7</v>
      </c>
      <c r="O193">
        <v>56287</v>
      </c>
      <c r="P193">
        <v>27049</v>
      </c>
      <c r="Q193" s="4">
        <f t="shared" si="5"/>
        <v>0.48055501270275552</v>
      </c>
    </row>
    <row r="194" spans="1:17">
      <c r="A194" t="s">
        <v>225</v>
      </c>
      <c r="B194">
        <v>14</v>
      </c>
      <c r="C194">
        <v>8</v>
      </c>
      <c r="D194">
        <v>726</v>
      </c>
      <c r="E194">
        <v>0</v>
      </c>
      <c r="F194">
        <v>4</v>
      </c>
      <c r="G194">
        <v>0</v>
      </c>
      <c r="H194" s="9">
        <v>958</v>
      </c>
      <c r="I194" s="4">
        <f t="shared" si="4"/>
        <v>0.75782881002087688</v>
      </c>
      <c r="K194" t="s">
        <v>225</v>
      </c>
      <c r="L194">
        <v>14</v>
      </c>
      <c r="M194" t="s">
        <v>874</v>
      </c>
      <c r="N194">
        <v>8</v>
      </c>
      <c r="O194">
        <v>56287</v>
      </c>
      <c r="P194">
        <v>27702</v>
      </c>
      <c r="Q194" s="4">
        <f t="shared" si="5"/>
        <v>0.49215627054204347</v>
      </c>
    </row>
    <row r="195" spans="1:17">
      <c r="A195" t="s">
        <v>225</v>
      </c>
      <c r="B195">
        <v>14</v>
      </c>
      <c r="C195">
        <v>9</v>
      </c>
      <c r="D195">
        <v>727</v>
      </c>
      <c r="E195">
        <v>0</v>
      </c>
      <c r="F195">
        <v>3</v>
      </c>
      <c r="G195">
        <v>0</v>
      </c>
      <c r="H195" s="9">
        <v>958</v>
      </c>
      <c r="I195" s="4">
        <f t="shared" ref="I195:I258" si="6">D195/H195</f>
        <v>0.75887265135699378</v>
      </c>
      <c r="K195" t="s">
        <v>225</v>
      </c>
      <c r="L195">
        <v>14</v>
      </c>
      <c r="M195" t="s">
        <v>873</v>
      </c>
      <c r="N195">
        <v>9</v>
      </c>
      <c r="O195">
        <v>56287</v>
      </c>
      <c r="P195">
        <v>27717</v>
      </c>
      <c r="Q195" s="4">
        <f t="shared" ref="Q195:Q258" si="7">P195/O195</f>
        <v>0.49242276191660594</v>
      </c>
    </row>
    <row r="196" spans="1:17">
      <c r="A196" t="s">
        <v>225</v>
      </c>
      <c r="B196">
        <v>14</v>
      </c>
      <c r="C196">
        <v>10</v>
      </c>
      <c r="D196">
        <v>727</v>
      </c>
      <c r="E196">
        <v>0</v>
      </c>
      <c r="F196">
        <v>3</v>
      </c>
      <c r="G196">
        <v>0</v>
      </c>
      <c r="H196" s="9">
        <v>958</v>
      </c>
      <c r="I196" s="4">
        <f t="shared" si="6"/>
        <v>0.75887265135699378</v>
      </c>
      <c r="K196" t="s">
        <v>225</v>
      </c>
      <c r="L196">
        <v>14</v>
      </c>
      <c r="M196" t="s">
        <v>685</v>
      </c>
      <c r="N196">
        <v>10</v>
      </c>
      <c r="O196">
        <v>56287</v>
      </c>
      <c r="P196">
        <v>27821</v>
      </c>
      <c r="Q196" s="4">
        <f t="shared" si="7"/>
        <v>0.49427043544690602</v>
      </c>
    </row>
    <row r="197" spans="1:17">
      <c r="A197" t="s">
        <v>225</v>
      </c>
      <c r="B197">
        <v>14</v>
      </c>
      <c r="C197">
        <v>11</v>
      </c>
      <c r="D197">
        <v>727</v>
      </c>
      <c r="E197">
        <v>0</v>
      </c>
      <c r="F197">
        <v>3</v>
      </c>
      <c r="G197">
        <v>0</v>
      </c>
      <c r="H197" s="9">
        <v>958</v>
      </c>
      <c r="I197" s="4">
        <f t="shared" si="6"/>
        <v>0.75887265135699378</v>
      </c>
      <c r="K197" t="s">
        <v>225</v>
      </c>
      <c r="L197">
        <v>14</v>
      </c>
      <c r="M197" t="s">
        <v>690</v>
      </c>
      <c r="N197">
        <v>11</v>
      </c>
      <c r="O197">
        <v>56287</v>
      </c>
      <c r="P197">
        <v>28421</v>
      </c>
      <c r="Q197" s="4">
        <f t="shared" si="7"/>
        <v>0.5049300904294064</v>
      </c>
    </row>
    <row r="198" spans="1:17">
      <c r="A198" t="s">
        <v>225</v>
      </c>
      <c r="B198">
        <v>14</v>
      </c>
      <c r="C198">
        <v>12</v>
      </c>
      <c r="D198">
        <v>909</v>
      </c>
      <c r="E198">
        <v>0</v>
      </c>
      <c r="F198">
        <v>2</v>
      </c>
      <c r="G198">
        <v>0</v>
      </c>
      <c r="H198" s="9">
        <v>958</v>
      </c>
      <c r="I198" s="4">
        <f t="shared" si="6"/>
        <v>0.94885177453027136</v>
      </c>
      <c r="K198" t="s">
        <v>225</v>
      </c>
      <c r="L198">
        <v>14</v>
      </c>
      <c r="M198" t="s">
        <v>876</v>
      </c>
      <c r="N198">
        <v>12</v>
      </c>
      <c r="O198">
        <v>56287</v>
      </c>
      <c r="P198">
        <v>43132</v>
      </c>
      <c r="Q198" s="4">
        <f t="shared" si="7"/>
        <v>0.76628706450867878</v>
      </c>
    </row>
    <row r="199" spans="1:17">
      <c r="A199" t="s">
        <v>225</v>
      </c>
      <c r="B199">
        <v>14</v>
      </c>
      <c r="C199">
        <v>13</v>
      </c>
      <c r="D199">
        <v>909</v>
      </c>
      <c r="E199">
        <v>0</v>
      </c>
      <c r="F199">
        <v>2</v>
      </c>
      <c r="G199">
        <v>0</v>
      </c>
      <c r="H199" s="9">
        <v>958</v>
      </c>
      <c r="I199" s="4">
        <f t="shared" si="6"/>
        <v>0.94885177453027136</v>
      </c>
      <c r="K199" t="s">
        <v>225</v>
      </c>
      <c r="L199">
        <v>14</v>
      </c>
      <c r="M199" t="s">
        <v>875</v>
      </c>
      <c r="N199">
        <v>13</v>
      </c>
      <c r="O199">
        <v>56287</v>
      </c>
      <c r="P199">
        <v>43448</v>
      </c>
      <c r="Q199" s="4">
        <f t="shared" si="7"/>
        <v>0.77190114946612898</v>
      </c>
    </row>
    <row r="200" spans="1:17">
      <c r="A200" t="s">
        <v>225</v>
      </c>
      <c r="B200">
        <v>14</v>
      </c>
      <c r="C200">
        <v>14</v>
      </c>
      <c r="D200">
        <v>958</v>
      </c>
      <c r="E200">
        <v>0</v>
      </c>
      <c r="F200">
        <v>0</v>
      </c>
      <c r="G200">
        <v>0</v>
      </c>
      <c r="H200" s="9">
        <v>958</v>
      </c>
      <c r="I200" s="4">
        <f t="shared" si="6"/>
        <v>1</v>
      </c>
      <c r="K200" t="s">
        <v>225</v>
      </c>
      <c r="L200">
        <v>14</v>
      </c>
      <c r="M200" t="s">
        <v>877</v>
      </c>
      <c r="N200">
        <v>14</v>
      </c>
      <c r="O200">
        <v>56287</v>
      </c>
      <c r="P200">
        <v>45074</v>
      </c>
      <c r="Q200" s="4">
        <f t="shared" si="7"/>
        <v>0.80078881446870498</v>
      </c>
    </row>
    <row r="201" spans="1:17">
      <c r="A201" t="s">
        <v>225</v>
      </c>
      <c r="B201">
        <v>14</v>
      </c>
      <c r="C201">
        <v>15</v>
      </c>
      <c r="D201">
        <v>958</v>
      </c>
      <c r="E201">
        <v>0</v>
      </c>
      <c r="F201">
        <v>0</v>
      </c>
      <c r="G201">
        <v>0</v>
      </c>
      <c r="H201" s="9">
        <v>958</v>
      </c>
      <c r="I201" s="4">
        <f t="shared" si="6"/>
        <v>1</v>
      </c>
      <c r="K201" t="s">
        <v>225</v>
      </c>
      <c r="L201">
        <v>14</v>
      </c>
      <c r="M201" t="s">
        <v>878</v>
      </c>
      <c r="N201">
        <v>15</v>
      </c>
      <c r="O201">
        <v>56287</v>
      </c>
      <c r="P201">
        <v>45948</v>
      </c>
      <c r="Q201" s="4">
        <f t="shared" si="7"/>
        <v>0.8163163785598806</v>
      </c>
    </row>
    <row r="202" spans="1:17">
      <c r="A202" t="s">
        <v>225</v>
      </c>
      <c r="B202">
        <v>21</v>
      </c>
      <c r="C202">
        <v>1</v>
      </c>
      <c r="D202">
        <v>27</v>
      </c>
      <c r="E202">
        <v>0</v>
      </c>
      <c r="F202">
        <v>3</v>
      </c>
      <c r="G202">
        <v>0</v>
      </c>
      <c r="H202" s="9">
        <v>57</v>
      </c>
      <c r="I202" s="4">
        <f t="shared" si="6"/>
        <v>0.47368421052631576</v>
      </c>
      <c r="K202" t="s">
        <v>225</v>
      </c>
      <c r="L202">
        <v>21</v>
      </c>
      <c r="M202" t="s">
        <v>180</v>
      </c>
      <c r="N202">
        <v>1</v>
      </c>
      <c r="O202">
        <v>13361</v>
      </c>
      <c r="P202">
        <v>6783</v>
      </c>
      <c r="Q202" s="4">
        <f t="shared" si="7"/>
        <v>0.50767158146845293</v>
      </c>
    </row>
    <row r="203" spans="1:17">
      <c r="A203" t="s">
        <v>225</v>
      </c>
      <c r="B203">
        <v>21</v>
      </c>
      <c r="C203">
        <v>2</v>
      </c>
      <c r="D203">
        <v>49</v>
      </c>
      <c r="E203">
        <v>0</v>
      </c>
      <c r="F203">
        <v>4</v>
      </c>
      <c r="G203">
        <v>0</v>
      </c>
      <c r="H203" s="9">
        <v>57</v>
      </c>
      <c r="I203" s="4">
        <f t="shared" si="6"/>
        <v>0.85964912280701755</v>
      </c>
      <c r="K203" t="s">
        <v>225</v>
      </c>
      <c r="L203">
        <v>21</v>
      </c>
      <c r="M203" t="s">
        <v>211</v>
      </c>
      <c r="N203">
        <v>2</v>
      </c>
      <c r="O203">
        <v>13361</v>
      </c>
      <c r="P203">
        <v>6808</v>
      </c>
      <c r="Q203" s="4">
        <f t="shared" si="7"/>
        <v>0.50954269889978299</v>
      </c>
    </row>
    <row r="204" spans="1:17">
      <c r="A204" t="s">
        <v>225</v>
      </c>
      <c r="B204">
        <v>21</v>
      </c>
      <c r="C204">
        <v>3</v>
      </c>
      <c r="D204">
        <v>53</v>
      </c>
      <c r="E204">
        <v>0</v>
      </c>
      <c r="F204">
        <v>2</v>
      </c>
      <c r="G204">
        <v>0</v>
      </c>
      <c r="H204" s="9">
        <v>57</v>
      </c>
      <c r="I204" s="4">
        <f t="shared" si="6"/>
        <v>0.92982456140350878</v>
      </c>
      <c r="K204" t="s">
        <v>225</v>
      </c>
      <c r="L204">
        <v>21</v>
      </c>
      <c r="M204" t="s">
        <v>879</v>
      </c>
      <c r="N204">
        <v>3</v>
      </c>
      <c r="O204">
        <v>13361</v>
      </c>
      <c r="P204">
        <v>6845</v>
      </c>
      <c r="Q204" s="4">
        <f t="shared" si="7"/>
        <v>0.51231195269815133</v>
      </c>
    </row>
    <row r="205" spans="1:17">
      <c r="A205" t="s">
        <v>225</v>
      </c>
      <c r="B205">
        <v>21</v>
      </c>
      <c r="C205">
        <v>4</v>
      </c>
      <c r="D205">
        <v>57</v>
      </c>
      <c r="E205">
        <v>0</v>
      </c>
      <c r="F205">
        <v>0</v>
      </c>
      <c r="G205">
        <v>0</v>
      </c>
      <c r="H205" s="9">
        <v>57</v>
      </c>
      <c r="I205" s="4">
        <f t="shared" si="6"/>
        <v>1</v>
      </c>
      <c r="K205" t="s">
        <v>225</v>
      </c>
      <c r="L205">
        <v>21</v>
      </c>
      <c r="M205" t="s">
        <v>179</v>
      </c>
      <c r="N205">
        <v>4</v>
      </c>
      <c r="O205">
        <v>13361</v>
      </c>
      <c r="P205">
        <v>6873</v>
      </c>
      <c r="Q205" s="4">
        <f t="shared" si="7"/>
        <v>0.51440760422124088</v>
      </c>
    </row>
    <row r="206" spans="1:17">
      <c r="A206" t="s">
        <v>226</v>
      </c>
      <c r="B206">
        <v>2</v>
      </c>
      <c r="C206">
        <v>1</v>
      </c>
      <c r="D206">
        <v>47</v>
      </c>
      <c r="E206">
        <v>0</v>
      </c>
      <c r="F206">
        <v>7</v>
      </c>
      <c r="G206">
        <v>0</v>
      </c>
      <c r="H206" s="9">
        <v>65</v>
      </c>
      <c r="I206" s="4">
        <f t="shared" si="6"/>
        <v>0.72307692307692306</v>
      </c>
      <c r="K206" t="s">
        <v>226</v>
      </c>
      <c r="L206">
        <v>2</v>
      </c>
      <c r="M206" t="s">
        <v>880</v>
      </c>
      <c r="N206">
        <v>1</v>
      </c>
      <c r="O206">
        <v>14351</v>
      </c>
      <c r="P206">
        <v>8530</v>
      </c>
      <c r="Q206" s="4">
        <f t="shared" si="7"/>
        <v>0.59438366664343945</v>
      </c>
    </row>
    <row r="207" spans="1:17">
      <c r="A207" t="s">
        <v>226</v>
      </c>
      <c r="B207">
        <v>2</v>
      </c>
      <c r="C207">
        <v>2</v>
      </c>
      <c r="D207">
        <v>63</v>
      </c>
      <c r="E207">
        <v>0</v>
      </c>
      <c r="F207">
        <v>2</v>
      </c>
      <c r="G207">
        <v>0</v>
      </c>
      <c r="H207" s="9">
        <v>65</v>
      </c>
      <c r="I207" s="4">
        <f t="shared" si="6"/>
        <v>0.96923076923076923</v>
      </c>
      <c r="K207" t="s">
        <v>226</v>
      </c>
      <c r="L207">
        <v>2</v>
      </c>
      <c r="M207" t="s">
        <v>881</v>
      </c>
      <c r="N207">
        <v>2</v>
      </c>
      <c r="O207">
        <v>14351</v>
      </c>
      <c r="P207">
        <v>14375</v>
      </c>
      <c r="Q207" s="4">
        <f t="shared" si="7"/>
        <v>1.0016723573270156</v>
      </c>
    </row>
    <row r="208" spans="1:17">
      <c r="A208" t="s">
        <v>226</v>
      </c>
      <c r="B208">
        <v>3</v>
      </c>
      <c r="C208">
        <v>1</v>
      </c>
      <c r="D208">
        <v>7</v>
      </c>
      <c r="E208">
        <v>0</v>
      </c>
      <c r="F208">
        <v>1</v>
      </c>
      <c r="G208">
        <v>0</v>
      </c>
      <c r="H208" s="9">
        <v>147</v>
      </c>
      <c r="I208" s="4">
        <f t="shared" si="6"/>
        <v>4.7619047619047616E-2</v>
      </c>
      <c r="K208" t="s">
        <v>226</v>
      </c>
      <c r="L208">
        <v>3</v>
      </c>
      <c r="M208" t="s">
        <v>2</v>
      </c>
      <c r="N208">
        <v>1</v>
      </c>
      <c r="O208">
        <v>32315</v>
      </c>
      <c r="P208">
        <v>1269</v>
      </c>
      <c r="Q208" s="4">
        <f t="shared" si="7"/>
        <v>3.9269688998916912E-2</v>
      </c>
    </row>
    <row r="209" spans="1:17">
      <c r="A209" t="s">
        <v>226</v>
      </c>
      <c r="B209">
        <v>3</v>
      </c>
      <c r="C209">
        <v>2</v>
      </c>
      <c r="D209">
        <v>30</v>
      </c>
      <c r="E209">
        <v>0</v>
      </c>
      <c r="F209">
        <v>3</v>
      </c>
      <c r="G209">
        <v>0</v>
      </c>
      <c r="H209" s="9">
        <v>147</v>
      </c>
      <c r="I209" s="4">
        <f t="shared" si="6"/>
        <v>0.20408163265306123</v>
      </c>
      <c r="K209" t="s">
        <v>226</v>
      </c>
      <c r="L209">
        <v>3</v>
      </c>
      <c r="M209" t="s">
        <v>542</v>
      </c>
      <c r="N209">
        <v>2</v>
      </c>
      <c r="O209">
        <v>32315</v>
      </c>
      <c r="P209">
        <v>4739</v>
      </c>
      <c r="Q209" s="4">
        <f t="shared" si="7"/>
        <v>0.14665016246325235</v>
      </c>
    </row>
    <row r="210" spans="1:17">
      <c r="A210" t="s">
        <v>226</v>
      </c>
      <c r="B210">
        <v>3</v>
      </c>
      <c r="C210">
        <v>3</v>
      </c>
      <c r="D210">
        <v>45</v>
      </c>
      <c r="E210">
        <v>0</v>
      </c>
      <c r="F210">
        <v>6</v>
      </c>
      <c r="G210">
        <v>0</v>
      </c>
      <c r="H210" s="9">
        <v>147</v>
      </c>
      <c r="I210" s="4">
        <f t="shared" si="6"/>
        <v>0.30612244897959184</v>
      </c>
      <c r="K210" t="s">
        <v>226</v>
      </c>
      <c r="L210">
        <v>3</v>
      </c>
      <c r="M210" t="s">
        <v>882</v>
      </c>
      <c r="N210">
        <v>3</v>
      </c>
      <c r="O210">
        <v>32315</v>
      </c>
      <c r="P210">
        <v>6761</v>
      </c>
      <c r="Q210" s="4">
        <f t="shared" si="7"/>
        <v>0.20922172365774408</v>
      </c>
    </row>
    <row r="211" spans="1:17">
      <c r="A211" t="s">
        <v>226</v>
      </c>
      <c r="B211">
        <v>3</v>
      </c>
      <c r="C211">
        <v>4</v>
      </c>
      <c r="D211">
        <v>51</v>
      </c>
      <c r="E211">
        <v>0</v>
      </c>
      <c r="F211">
        <v>3</v>
      </c>
      <c r="G211">
        <v>0</v>
      </c>
      <c r="H211" s="9">
        <v>147</v>
      </c>
      <c r="I211" s="4">
        <f t="shared" si="6"/>
        <v>0.34693877551020408</v>
      </c>
      <c r="K211" t="s">
        <v>226</v>
      </c>
      <c r="L211">
        <v>3</v>
      </c>
      <c r="M211" t="s">
        <v>543</v>
      </c>
      <c r="N211">
        <v>4</v>
      </c>
      <c r="O211">
        <v>32315</v>
      </c>
      <c r="P211">
        <v>8672</v>
      </c>
      <c r="Q211" s="4">
        <f t="shared" si="7"/>
        <v>0.26835834751663312</v>
      </c>
    </row>
    <row r="212" spans="1:17">
      <c r="A212" t="s">
        <v>226</v>
      </c>
      <c r="B212">
        <v>3</v>
      </c>
      <c r="C212">
        <v>5</v>
      </c>
      <c r="D212">
        <v>147</v>
      </c>
      <c r="E212">
        <v>0</v>
      </c>
      <c r="F212">
        <v>0</v>
      </c>
      <c r="G212">
        <v>0</v>
      </c>
      <c r="H212" s="9">
        <v>147</v>
      </c>
      <c r="I212" s="4">
        <f t="shared" si="6"/>
        <v>1</v>
      </c>
      <c r="K212" t="s">
        <v>226</v>
      </c>
      <c r="L212">
        <v>3</v>
      </c>
      <c r="M212" t="s">
        <v>883</v>
      </c>
      <c r="N212">
        <v>5</v>
      </c>
      <c r="O212">
        <v>32315</v>
      </c>
      <c r="P212">
        <v>29075</v>
      </c>
      <c r="Q212" s="4">
        <f t="shared" si="7"/>
        <v>0.89973696425808447</v>
      </c>
    </row>
    <row r="213" spans="1:17">
      <c r="A213" t="s">
        <v>226</v>
      </c>
      <c r="B213">
        <v>3</v>
      </c>
      <c r="C213">
        <v>6</v>
      </c>
      <c r="D213">
        <v>147</v>
      </c>
      <c r="E213">
        <v>0</v>
      </c>
      <c r="F213">
        <v>0</v>
      </c>
      <c r="G213">
        <v>0</v>
      </c>
      <c r="H213" s="9">
        <v>147</v>
      </c>
      <c r="I213" s="4">
        <f t="shared" si="6"/>
        <v>1</v>
      </c>
      <c r="K213" t="s">
        <v>226</v>
      </c>
      <c r="L213">
        <v>3</v>
      </c>
      <c r="M213" t="s">
        <v>884</v>
      </c>
      <c r="N213">
        <v>6</v>
      </c>
      <c r="O213">
        <v>32315</v>
      </c>
      <c r="P213">
        <v>30818</v>
      </c>
      <c r="Q213" s="4">
        <f t="shared" si="7"/>
        <v>0.95367476404146678</v>
      </c>
    </row>
    <row r="214" spans="1:17">
      <c r="A214" t="s">
        <v>229</v>
      </c>
      <c r="B214">
        <v>3</v>
      </c>
      <c r="C214">
        <v>1</v>
      </c>
      <c r="D214">
        <v>629</v>
      </c>
      <c r="E214">
        <v>0</v>
      </c>
      <c r="F214">
        <v>2</v>
      </c>
      <c r="G214">
        <v>0</v>
      </c>
      <c r="H214" s="9">
        <v>654</v>
      </c>
      <c r="I214" s="4">
        <f t="shared" si="6"/>
        <v>0.96177370030581044</v>
      </c>
      <c r="K214" t="s">
        <v>229</v>
      </c>
      <c r="L214">
        <v>3</v>
      </c>
      <c r="M214" t="s">
        <v>203</v>
      </c>
      <c r="N214">
        <v>1</v>
      </c>
      <c r="O214">
        <v>52193</v>
      </c>
      <c r="P214">
        <v>46711</v>
      </c>
      <c r="Q214" s="4">
        <f t="shared" si="7"/>
        <v>0.89496675799436709</v>
      </c>
    </row>
    <row r="215" spans="1:17">
      <c r="A215" t="s">
        <v>229</v>
      </c>
      <c r="B215">
        <v>3</v>
      </c>
      <c r="C215">
        <v>2</v>
      </c>
      <c r="D215">
        <v>654</v>
      </c>
      <c r="E215">
        <v>0</v>
      </c>
      <c r="F215">
        <v>0</v>
      </c>
      <c r="G215">
        <v>0</v>
      </c>
      <c r="H215" s="9">
        <v>654</v>
      </c>
      <c r="I215" s="4">
        <f t="shared" si="6"/>
        <v>1</v>
      </c>
      <c r="K215" t="s">
        <v>229</v>
      </c>
      <c r="L215">
        <v>3</v>
      </c>
      <c r="M215" t="s">
        <v>2</v>
      </c>
      <c r="N215">
        <v>2</v>
      </c>
      <c r="O215">
        <v>52193</v>
      </c>
      <c r="P215">
        <v>46751</v>
      </c>
      <c r="Q215" s="4">
        <f t="shared" si="7"/>
        <v>0.89573314429138007</v>
      </c>
    </row>
    <row r="216" spans="1:17">
      <c r="A216" t="s">
        <v>230</v>
      </c>
      <c r="B216">
        <v>1</v>
      </c>
      <c r="C216">
        <v>1</v>
      </c>
      <c r="D216">
        <v>7</v>
      </c>
      <c r="E216">
        <v>0</v>
      </c>
      <c r="F216">
        <v>3</v>
      </c>
      <c r="G216">
        <v>0</v>
      </c>
      <c r="H216" s="9">
        <v>169</v>
      </c>
      <c r="I216" s="4">
        <f t="shared" si="6"/>
        <v>4.142011834319527E-2</v>
      </c>
      <c r="K216" t="s">
        <v>230</v>
      </c>
      <c r="L216">
        <v>1</v>
      </c>
      <c r="M216" t="s">
        <v>179</v>
      </c>
      <c r="N216">
        <v>1</v>
      </c>
      <c r="O216">
        <v>28187</v>
      </c>
      <c r="P216">
        <v>1781</v>
      </c>
      <c r="Q216" s="4">
        <f t="shared" si="7"/>
        <v>6.3185156277716675E-2</v>
      </c>
    </row>
    <row r="217" spans="1:17">
      <c r="A217" t="s">
        <v>230</v>
      </c>
      <c r="B217">
        <v>1</v>
      </c>
      <c r="C217">
        <v>2</v>
      </c>
      <c r="D217">
        <v>11</v>
      </c>
      <c r="E217">
        <v>0</v>
      </c>
      <c r="F217">
        <v>5</v>
      </c>
      <c r="G217">
        <v>0</v>
      </c>
      <c r="H217" s="9">
        <v>169</v>
      </c>
      <c r="I217" s="4">
        <f t="shared" si="6"/>
        <v>6.5088757396449703E-2</v>
      </c>
      <c r="K217" t="s">
        <v>230</v>
      </c>
      <c r="L217">
        <v>1</v>
      </c>
      <c r="M217" t="s">
        <v>885</v>
      </c>
      <c r="N217">
        <v>2</v>
      </c>
      <c r="O217">
        <v>28187</v>
      </c>
      <c r="P217">
        <v>2217</v>
      </c>
      <c r="Q217" s="4">
        <f t="shared" si="7"/>
        <v>7.8653279880796109E-2</v>
      </c>
    </row>
    <row r="218" spans="1:17">
      <c r="A218" t="s">
        <v>230</v>
      </c>
      <c r="B218">
        <v>1</v>
      </c>
      <c r="C218">
        <v>3</v>
      </c>
      <c r="D218">
        <v>15</v>
      </c>
      <c r="E218">
        <v>0</v>
      </c>
      <c r="F218">
        <v>7</v>
      </c>
      <c r="G218">
        <v>0</v>
      </c>
      <c r="H218" s="9">
        <v>169</v>
      </c>
      <c r="I218" s="4">
        <f t="shared" si="6"/>
        <v>8.8757396449704137E-2</v>
      </c>
      <c r="K218" t="s">
        <v>230</v>
      </c>
      <c r="L218">
        <v>1</v>
      </c>
      <c r="M218" t="s">
        <v>886</v>
      </c>
      <c r="N218">
        <v>3</v>
      </c>
      <c r="O218">
        <v>28187</v>
      </c>
      <c r="P218">
        <v>2605</v>
      </c>
      <c r="Q218" s="4">
        <f t="shared" si="7"/>
        <v>9.2418490793628266E-2</v>
      </c>
    </row>
    <row r="219" spans="1:17">
      <c r="A219" t="s">
        <v>230</v>
      </c>
      <c r="B219">
        <v>1</v>
      </c>
      <c r="C219">
        <v>4</v>
      </c>
      <c r="D219">
        <v>18</v>
      </c>
      <c r="E219">
        <v>0</v>
      </c>
      <c r="F219">
        <v>10</v>
      </c>
      <c r="G219">
        <v>0</v>
      </c>
      <c r="H219" s="9">
        <v>169</v>
      </c>
      <c r="I219" s="4">
        <f t="shared" si="6"/>
        <v>0.10650887573964497</v>
      </c>
      <c r="K219" t="s">
        <v>230</v>
      </c>
      <c r="L219">
        <v>1</v>
      </c>
      <c r="M219" t="s">
        <v>887</v>
      </c>
      <c r="N219">
        <v>4</v>
      </c>
      <c r="O219">
        <v>28187</v>
      </c>
      <c r="P219">
        <v>2716</v>
      </c>
      <c r="Q219" s="4">
        <f t="shared" si="7"/>
        <v>9.6356476389825099E-2</v>
      </c>
    </row>
    <row r="220" spans="1:17">
      <c r="A220" t="s">
        <v>230</v>
      </c>
      <c r="B220">
        <v>1</v>
      </c>
      <c r="C220">
        <v>5</v>
      </c>
      <c r="D220">
        <v>21</v>
      </c>
      <c r="E220">
        <v>0</v>
      </c>
      <c r="F220">
        <v>10</v>
      </c>
      <c r="G220">
        <v>0</v>
      </c>
      <c r="H220" s="9">
        <v>169</v>
      </c>
      <c r="I220" s="4">
        <f t="shared" si="6"/>
        <v>0.1242603550295858</v>
      </c>
      <c r="K220" t="s">
        <v>230</v>
      </c>
      <c r="L220">
        <v>1</v>
      </c>
      <c r="M220" t="s">
        <v>888</v>
      </c>
      <c r="N220">
        <v>5</v>
      </c>
      <c r="O220">
        <v>28187</v>
      </c>
      <c r="P220">
        <v>2998</v>
      </c>
      <c r="Q220" s="4">
        <f t="shared" si="7"/>
        <v>0.10636108844502785</v>
      </c>
    </row>
    <row r="221" spans="1:17">
      <c r="A221" t="s">
        <v>230</v>
      </c>
      <c r="B221">
        <v>1</v>
      </c>
      <c r="C221">
        <v>6</v>
      </c>
      <c r="D221">
        <v>24</v>
      </c>
      <c r="E221">
        <v>0</v>
      </c>
      <c r="F221">
        <v>10</v>
      </c>
      <c r="G221">
        <v>0</v>
      </c>
      <c r="H221" s="9">
        <v>169</v>
      </c>
      <c r="I221" s="4">
        <f t="shared" si="6"/>
        <v>0.14201183431952663</v>
      </c>
      <c r="K221" t="s">
        <v>230</v>
      </c>
      <c r="L221">
        <v>1</v>
      </c>
      <c r="M221" t="s">
        <v>889</v>
      </c>
      <c r="N221">
        <v>6</v>
      </c>
      <c r="O221">
        <v>28187</v>
      </c>
      <c r="P221">
        <v>3394</v>
      </c>
      <c r="Q221" s="4">
        <f t="shared" si="7"/>
        <v>0.12041011813956788</v>
      </c>
    </row>
    <row r="222" spans="1:17">
      <c r="A222" t="s">
        <v>230</v>
      </c>
      <c r="B222">
        <v>1</v>
      </c>
      <c r="C222">
        <v>7</v>
      </c>
      <c r="D222">
        <v>39</v>
      </c>
      <c r="E222">
        <v>0</v>
      </c>
      <c r="F222">
        <v>11</v>
      </c>
      <c r="G222">
        <v>0</v>
      </c>
      <c r="H222" s="9">
        <v>169</v>
      </c>
      <c r="I222" s="4">
        <f t="shared" si="6"/>
        <v>0.23076923076923078</v>
      </c>
      <c r="K222" t="s">
        <v>230</v>
      </c>
      <c r="L222">
        <v>1</v>
      </c>
      <c r="M222" t="s">
        <v>204</v>
      </c>
      <c r="N222">
        <v>7</v>
      </c>
      <c r="O222">
        <v>28187</v>
      </c>
      <c r="P222">
        <v>5168</v>
      </c>
      <c r="Q222" s="4">
        <f t="shared" si="7"/>
        <v>0.18334693298329016</v>
      </c>
    </row>
    <row r="223" spans="1:17">
      <c r="A223" t="s">
        <v>230</v>
      </c>
      <c r="B223">
        <v>1</v>
      </c>
      <c r="C223">
        <v>8</v>
      </c>
      <c r="D223">
        <v>54</v>
      </c>
      <c r="E223">
        <v>0</v>
      </c>
      <c r="F223">
        <v>12</v>
      </c>
      <c r="G223">
        <v>0</v>
      </c>
      <c r="H223" s="9">
        <v>169</v>
      </c>
      <c r="I223" s="4">
        <f t="shared" si="6"/>
        <v>0.31952662721893493</v>
      </c>
      <c r="K223" t="s">
        <v>230</v>
      </c>
      <c r="L223">
        <v>1</v>
      </c>
      <c r="M223" t="s">
        <v>890</v>
      </c>
      <c r="N223">
        <v>8</v>
      </c>
      <c r="O223">
        <v>28187</v>
      </c>
      <c r="P223">
        <v>5682</v>
      </c>
      <c r="Q223" s="4">
        <f t="shared" si="7"/>
        <v>0.20158228970802142</v>
      </c>
    </row>
    <row r="224" spans="1:17">
      <c r="A224" t="s">
        <v>230</v>
      </c>
      <c r="B224">
        <v>1</v>
      </c>
      <c r="C224">
        <v>9</v>
      </c>
      <c r="D224">
        <v>68</v>
      </c>
      <c r="E224">
        <v>0</v>
      </c>
      <c r="F224">
        <v>9</v>
      </c>
      <c r="G224">
        <v>0</v>
      </c>
      <c r="H224" s="9">
        <v>169</v>
      </c>
      <c r="I224" s="4">
        <f t="shared" si="6"/>
        <v>0.40236686390532544</v>
      </c>
      <c r="K224" t="s">
        <v>230</v>
      </c>
      <c r="L224">
        <v>1</v>
      </c>
      <c r="M224" t="s">
        <v>541</v>
      </c>
      <c r="N224">
        <v>9</v>
      </c>
      <c r="O224">
        <v>28187</v>
      </c>
      <c r="P224">
        <v>6018</v>
      </c>
      <c r="Q224" s="4">
        <f t="shared" si="7"/>
        <v>0.21350267853975236</v>
      </c>
    </row>
    <row r="225" spans="1:17">
      <c r="A225" t="s">
        <v>230</v>
      </c>
      <c r="B225">
        <v>1</v>
      </c>
      <c r="C225">
        <v>10</v>
      </c>
      <c r="D225">
        <v>83</v>
      </c>
      <c r="E225">
        <v>0</v>
      </c>
      <c r="F225">
        <v>10</v>
      </c>
      <c r="G225">
        <v>0</v>
      </c>
      <c r="H225" s="9">
        <v>169</v>
      </c>
      <c r="I225" s="4">
        <f t="shared" si="6"/>
        <v>0.4911242603550296</v>
      </c>
      <c r="K225" t="s">
        <v>230</v>
      </c>
      <c r="L225">
        <v>1</v>
      </c>
      <c r="M225" t="s">
        <v>894</v>
      </c>
      <c r="N225">
        <v>10</v>
      </c>
      <c r="O225">
        <v>28187</v>
      </c>
      <c r="P225">
        <v>6026</v>
      </c>
      <c r="Q225" s="4">
        <f t="shared" si="7"/>
        <v>0.21378649732146024</v>
      </c>
    </row>
    <row r="226" spans="1:17">
      <c r="A226" t="s">
        <v>230</v>
      </c>
      <c r="B226">
        <v>1</v>
      </c>
      <c r="C226">
        <v>11</v>
      </c>
      <c r="D226">
        <v>98</v>
      </c>
      <c r="E226">
        <v>0</v>
      </c>
      <c r="F226">
        <v>11</v>
      </c>
      <c r="G226">
        <v>0</v>
      </c>
      <c r="H226" s="9">
        <v>169</v>
      </c>
      <c r="I226" s="4">
        <f t="shared" si="6"/>
        <v>0.57988165680473369</v>
      </c>
      <c r="K226" t="s">
        <v>230</v>
      </c>
      <c r="L226">
        <v>1</v>
      </c>
      <c r="M226" t="s">
        <v>896</v>
      </c>
      <c r="N226">
        <v>11</v>
      </c>
      <c r="O226">
        <v>28187</v>
      </c>
      <c r="P226">
        <v>6422</v>
      </c>
      <c r="Q226" s="4">
        <f t="shared" si="7"/>
        <v>0.22783552701600029</v>
      </c>
    </row>
    <row r="227" spans="1:17">
      <c r="A227" t="s">
        <v>230</v>
      </c>
      <c r="B227">
        <v>1</v>
      </c>
      <c r="C227">
        <v>12</v>
      </c>
      <c r="D227">
        <v>112</v>
      </c>
      <c r="E227">
        <v>0</v>
      </c>
      <c r="F227">
        <v>8</v>
      </c>
      <c r="G227">
        <v>0</v>
      </c>
      <c r="H227" s="9">
        <v>169</v>
      </c>
      <c r="I227" s="4">
        <f t="shared" si="6"/>
        <v>0.66272189349112431</v>
      </c>
      <c r="K227" t="s">
        <v>230</v>
      </c>
      <c r="L227">
        <v>1</v>
      </c>
      <c r="M227" t="s">
        <v>892</v>
      </c>
      <c r="N227">
        <v>12</v>
      </c>
      <c r="O227">
        <v>28187</v>
      </c>
      <c r="P227">
        <v>6804</v>
      </c>
      <c r="Q227" s="4">
        <f t="shared" si="7"/>
        <v>0.24138787384255153</v>
      </c>
    </row>
    <row r="228" spans="1:17">
      <c r="A228" t="s">
        <v>230</v>
      </c>
      <c r="B228">
        <v>1</v>
      </c>
      <c r="C228">
        <v>13</v>
      </c>
      <c r="D228">
        <v>127</v>
      </c>
      <c r="E228">
        <v>0</v>
      </c>
      <c r="F228">
        <v>9</v>
      </c>
      <c r="G228">
        <v>0</v>
      </c>
      <c r="H228" s="9">
        <v>169</v>
      </c>
      <c r="I228" s="4">
        <f t="shared" si="6"/>
        <v>0.75147928994082835</v>
      </c>
      <c r="K228" t="s">
        <v>230</v>
      </c>
      <c r="L228">
        <v>1</v>
      </c>
      <c r="M228" t="s">
        <v>893</v>
      </c>
      <c r="N228">
        <v>13</v>
      </c>
      <c r="O228">
        <v>28187</v>
      </c>
      <c r="P228">
        <v>6823</v>
      </c>
      <c r="Q228" s="4">
        <f t="shared" si="7"/>
        <v>0.24206194344910775</v>
      </c>
    </row>
    <row r="229" spans="1:17">
      <c r="A229" t="s">
        <v>230</v>
      </c>
      <c r="B229">
        <v>1</v>
      </c>
      <c r="C229">
        <v>14</v>
      </c>
      <c r="D229">
        <v>141</v>
      </c>
      <c r="E229">
        <v>0</v>
      </c>
      <c r="F229">
        <v>6</v>
      </c>
      <c r="G229">
        <v>0</v>
      </c>
      <c r="H229" s="9">
        <v>169</v>
      </c>
      <c r="I229" s="4">
        <f t="shared" si="6"/>
        <v>0.83431952662721898</v>
      </c>
      <c r="K229" t="s">
        <v>230</v>
      </c>
      <c r="L229">
        <v>1</v>
      </c>
      <c r="M229" t="s">
        <v>895</v>
      </c>
      <c r="N229">
        <v>14</v>
      </c>
      <c r="O229">
        <v>28187</v>
      </c>
      <c r="P229">
        <v>7203</v>
      </c>
      <c r="Q229" s="4">
        <f t="shared" si="7"/>
        <v>0.25554333558023201</v>
      </c>
    </row>
    <row r="230" spans="1:17">
      <c r="A230" t="s">
        <v>230</v>
      </c>
      <c r="B230">
        <v>1</v>
      </c>
      <c r="C230">
        <v>15</v>
      </c>
      <c r="D230">
        <v>155</v>
      </c>
      <c r="E230">
        <v>0</v>
      </c>
      <c r="F230">
        <v>3</v>
      </c>
      <c r="G230">
        <v>0</v>
      </c>
      <c r="H230" s="9">
        <v>169</v>
      </c>
      <c r="I230" s="4">
        <f t="shared" si="6"/>
        <v>0.91715976331360949</v>
      </c>
      <c r="K230" t="s">
        <v>230</v>
      </c>
      <c r="L230">
        <v>1</v>
      </c>
      <c r="M230" t="s">
        <v>897</v>
      </c>
      <c r="N230">
        <v>15</v>
      </c>
      <c r="O230">
        <v>28187</v>
      </c>
      <c r="P230">
        <v>7582</v>
      </c>
      <c r="Q230" s="4">
        <f t="shared" si="7"/>
        <v>0.2689892503636428</v>
      </c>
    </row>
    <row r="231" spans="1:17">
      <c r="A231" t="s">
        <v>230</v>
      </c>
      <c r="B231">
        <v>1</v>
      </c>
      <c r="C231">
        <v>16</v>
      </c>
      <c r="D231">
        <v>169</v>
      </c>
      <c r="E231">
        <v>0</v>
      </c>
      <c r="F231">
        <v>0</v>
      </c>
      <c r="G231">
        <v>0</v>
      </c>
      <c r="H231" s="9">
        <v>169</v>
      </c>
      <c r="I231" s="4">
        <f t="shared" si="6"/>
        <v>1</v>
      </c>
      <c r="K231" t="s">
        <v>230</v>
      </c>
      <c r="L231">
        <v>1</v>
      </c>
      <c r="M231" t="s">
        <v>891</v>
      </c>
      <c r="N231">
        <v>16</v>
      </c>
      <c r="O231">
        <v>28187</v>
      </c>
      <c r="P231">
        <v>7760</v>
      </c>
      <c r="Q231" s="4">
        <f t="shared" si="7"/>
        <v>0.27530421825664314</v>
      </c>
    </row>
    <row r="232" spans="1:17">
      <c r="A232" t="s">
        <v>231</v>
      </c>
      <c r="B232">
        <v>4</v>
      </c>
      <c r="C232">
        <v>1</v>
      </c>
      <c r="D232">
        <v>8</v>
      </c>
      <c r="E232">
        <v>0</v>
      </c>
      <c r="F232">
        <v>1</v>
      </c>
      <c r="G232">
        <v>0</v>
      </c>
      <c r="H232" s="9">
        <v>77</v>
      </c>
      <c r="I232" s="4">
        <f t="shared" si="6"/>
        <v>0.1038961038961039</v>
      </c>
      <c r="K232" t="s">
        <v>231</v>
      </c>
      <c r="L232">
        <v>4</v>
      </c>
      <c r="M232" t="s">
        <v>2</v>
      </c>
      <c r="N232">
        <v>1</v>
      </c>
      <c r="O232">
        <v>14792</v>
      </c>
      <c r="P232">
        <v>179</v>
      </c>
      <c r="Q232" s="4">
        <f t="shared" si="7"/>
        <v>1.2101135749053542E-2</v>
      </c>
    </row>
    <row r="233" spans="1:17">
      <c r="A233" t="s">
        <v>231</v>
      </c>
      <c r="B233">
        <v>4</v>
      </c>
      <c r="C233">
        <v>2</v>
      </c>
      <c r="D233">
        <v>20</v>
      </c>
      <c r="E233">
        <v>0</v>
      </c>
      <c r="F233">
        <v>2</v>
      </c>
      <c r="G233">
        <v>0</v>
      </c>
      <c r="H233" s="9">
        <v>77</v>
      </c>
      <c r="I233" s="4">
        <f t="shared" si="6"/>
        <v>0.25974025974025972</v>
      </c>
      <c r="K233" t="s">
        <v>231</v>
      </c>
      <c r="L233">
        <v>4</v>
      </c>
      <c r="M233" t="s">
        <v>0</v>
      </c>
      <c r="N233">
        <v>2</v>
      </c>
      <c r="O233">
        <v>14792</v>
      </c>
      <c r="P233">
        <v>1742</v>
      </c>
      <c r="Q233" s="4">
        <f t="shared" si="7"/>
        <v>0.11776636019469984</v>
      </c>
    </row>
    <row r="234" spans="1:17">
      <c r="A234" t="s">
        <v>231</v>
      </c>
      <c r="B234">
        <v>4</v>
      </c>
      <c r="C234">
        <v>3</v>
      </c>
      <c r="D234">
        <v>41</v>
      </c>
      <c r="E234">
        <v>0</v>
      </c>
      <c r="F234">
        <v>7</v>
      </c>
      <c r="G234">
        <v>0</v>
      </c>
      <c r="H234" s="9">
        <v>77</v>
      </c>
      <c r="I234" s="4">
        <f t="shared" si="6"/>
        <v>0.53246753246753242</v>
      </c>
      <c r="K234" t="s">
        <v>231</v>
      </c>
      <c r="L234">
        <v>4</v>
      </c>
      <c r="M234" t="s">
        <v>898</v>
      </c>
      <c r="N234">
        <v>3</v>
      </c>
      <c r="O234">
        <v>14792</v>
      </c>
      <c r="P234">
        <v>4631</v>
      </c>
      <c r="Q234" s="4">
        <f t="shared" si="7"/>
        <v>0.31307463493780424</v>
      </c>
    </row>
    <row r="235" spans="1:17">
      <c r="A235" t="s">
        <v>231</v>
      </c>
      <c r="B235">
        <v>4</v>
      </c>
      <c r="C235">
        <v>4</v>
      </c>
      <c r="D235">
        <v>43</v>
      </c>
      <c r="E235">
        <v>0</v>
      </c>
      <c r="F235">
        <v>8</v>
      </c>
      <c r="G235">
        <v>0</v>
      </c>
      <c r="H235" s="9">
        <v>77</v>
      </c>
      <c r="I235" s="4">
        <f t="shared" si="6"/>
        <v>0.55844155844155841</v>
      </c>
      <c r="K235" t="s">
        <v>231</v>
      </c>
      <c r="L235">
        <v>4</v>
      </c>
      <c r="M235" t="s">
        <v>899</v>
      </c>
      <c r="N235">
        <v>4</v>
      </c>
      <c r="O235">
        <v>14792</v>
      </c>
      <c r="P235">
        <v>4676</v>
      </c>
      <c r="Q235" s="4">
        <f t="shared" si="7"/>
        <v>0.31611681990265006</v>
      </c>
    </row>
    <row r="236" spans="1:17">
      <c r="A236" t="s">
        <v>231</v>
      </c>
      <c r="B236">
        <v>4</v>
      </c>
      <c r="C236">
        <v>5</v>
      </c>
      <c r="D236">
        <v>48</v>
      </c>
      <c r="E236">
        <v>0</v>
      </c>
      <c r="F236">
        <v>8</v>
      </c>
      <c r="G236">
        <v>0</v>
      </c>
      <c r="H236" s="9">
        <v>77</v>
      </c>
      <c r="I236" s="4">
        <f t="shared" si="6"/>
        <v>0.62337662337662336</v>
      </c>
      <c r="K236" t="s">
        <v>231</v>
      </c>
      <c r="L236">
        <v>4</v>
      </c>
      <c r="M236" t="s">
        <v>233</v>
      </c>
      <c r="N236">
        <v>5</v>
      </c>
      <c r="O236">
        <v>14792</v>
      </c>
      <c r="P236">
        <v>4984</v>
      </c>
      <c r="Q236" s="4">
        <f t="shared" si="7"/>
        <v>0.33693888588426174</v>
      </c>
    </row>
    <row r="237" spans="1:17">
      <c r="A237" t="s">
        <v>231</v>
      </c>
      <c r="B237">
        <v>4</v>
      </c>
      <c r="C237">
        <v>6</v>
      </c>
      <c r="D237">
        <v>57</v>
      </c>
      <c r="E237">
        <v>0</v>
      </c>
      <c r="F237">
        <v>6</v>
      </c>
      <c r="G237">
        <v>0</v>
      </c>
      <c r="H237" s="9">
        <v>77</v>
      </c>
      <c r="I237" s="4">
        <f t="shared" si="6"/>
        <v>0.74025974025974028</v>
      </c>
      <c r="K237" t="s">
        <v>231</v>
      </c>
      <c r="L237">
        <v>4</v>
      </c>
      <c r="M237" t="s">
        <v>900</v>
      </c>
      <c r="N237">
        <v>6</v>
      </c>
      <c r="O237">
        <v>14792</v>
      </c>
      <c r="P237">
        <v>7328</v>
      </c>
      <c r="Q237" s="4">
        <f t="shared" si="7"/>
        <v>0.49540292049756623</v>
      </c>
    </row>
    <row r="238" spans="1:17">
      <c r="A238" t="s">
        <v>231</v>
      </c>
      <c r="B238">
        <v>4</v>
      </c>
      <c r="C238">
        <v>7</v>
      </c>
      <c r="D238">
        <v>73</v>
      </c>
      <c r="E238">
        <v>0</v>
      </c>
      <c r="F238">
        <v>4</v>
      </c>
      <c r="G238">
        <v>0</v>
      </c>
      <c r="H238" s="9">
        <v>77</v>
      </c>
      <c r="I238" s="4">
        <f t="shared" si="6"/>
        <v>0.94805194805194803</v>
      </c>
      <c r="K238" t="s">
        <v>231</v>
      </c>
      <c r="L238">
        <v>4</v>
      </c>
      <c r="M238" t="s">
        <v>901</v>
      </c>
      <c r="N238">
        <v>7</v>
      </c>
      <c r="O238">
        <v>14792</v>
      </c>
      <c r="P238">
        <v>11692</v>
      </c>
      <c r="Q238" s="4">
        <f t="shared" si="7"/>
        <v>0.79042725797728497</v>
      </c>
    </row>
    <row r="239" spans="1:17">
      <c r="A239" t="s">
        <v>231</v>
      </c>
      <c r="B239">
        <v>5</v>
      </c>
      <c r="C239">
        <v>1</v>
      </c>
      <c r="D239">
        <v>38</v>
      </c>
      <c r="E239">
        <v>0</v>
      </c>
      <c r="F239">
        <v>7</v>
      </c>
      <c r="G239">
        <v>0</v>
      </c>
      <c r="H239" s="9">
        <v>127</v>
      </c>
      <c r="I239" s="4">
        <f t="shared" si="6"/>
        <v>0.29921259842519687</v>
      </c>
      <c r="K239" t="s">
        <v>231</v>
      </c>
      <c r="L239">
        <v>5</v>
      </c>
      <c r="M239" t="s">
        <v>902</v>
      </c>
      <c r="N239">
        <v>1</v>
      </c>
      <c r="O239">
        <v>26049</v>
      </c>
      <c r="P239">
        <v>4913</v>
      </c>
      <c r="Q239" s="4">
        <f t="shared" si="7"/>
        <v>0.18860608852547123</v>
      </c>
    </row>
    <row r="240" spans="1:17">
      <c r="A240" t="s">
        <v>231</v>
      </c>
      <c r="B240">
        <v>5</v>
      </c>
      <c r="C240">
        <v>2</v>
      </c>
      <c r="D240">
        <v>41</v>
      </c>
      <c r="E240">
        <v>0</v>
      </c>
      <c r="F240">
        <v>10</v>
      </c>
      <c r="G240">
        <v>0</v>
      </c>
      <c r="H240" s="9">
        <v>127</v>
      </c>
      <c r="I240" s="4">
        <f t="shared" si="6"/>
        <v>0.32283464566929132</v>
      </c>
      <c r="K240" t="s">
        <v>231</v>
      </c>
      <c r="L240">
        <v>5</v>
      </c>
      <c r="M240" t="s">
        <v>554</v>
      </c>
      <c r="N240">
        <v>2</v>
      </c>
      <c r="O240">
        <v>26049</v>
      </c>
      <c r="P240">
        <v>5195</v>
      </c>
      <c r="Q240" s="4">
        <f t="shared" si="7"/>
        <v>0.19943183999385772</v>
      </c>
    </row>
    <row r="241" spans="1:17">
      <c r="A241" t="s">
        <v>231</v>
      </c>
      <c r="B241">
        <v>5</v>
      </c>
      <c r="C241">
        <v>3</v>
      </c>
      <c r="D241">
        <v>46</v>
      </c>
      <c r="E241">
        <v>0</v>
      </c>
      <c r="F241">
        <v>10</v>
      </c>
      <c r="G241">
        <v>0</v>
      </c>
      <c r="H241" s="9">
        <v>127</v>
      </c>
      <c r="I241" s="4">
        <f t="shared" si="6"/>
        <v>0.36220472440944884</v>
      </c>
      <c r="K241" t="s">
        <v>231</v>
      </c>
      <c r="L241">
        <v>5</v>
      </c>
      <c r="M241" t="s">
        <v>2</v>
      </c>
      <c r="N241">
        <v>3</v>
      </c>
      <c r="O241">
        <v>26049</v>
      </c>
      <c r="P241">
        <v>5309</v>
      </c>
      <c r="Q241" s="4">
        <f t="shared" si="7"/>
        <v>0.20380820760873739</v>
      </c>
    </row>
    <row r="242" spans="1:17">
      <c r="A242" t="s">
        <v>231</v>
      </c>
      <c r="B242">
        <v>5</v>
      </c>
      <c r="C242">
        <v>4</v>
      </c>
      <c r="D242">
        <v>49</v>
      </c>
      <c r="E242">
        <v>0</v>
      </c>
      <c r="F242">
        <v>10</v>
      </c>
      <c r="G242">
        <v>0</v>
      </c>
      <c r="H242" s="9">
        <v>127</v>
      </c>
      <c r="I242" s="4">
        <f t="shared" si="6"/>
        <v>0.38582677165354329</v>
      </c>
      <c r="K242" t="s">
        <v>231</v>
      </c>
      <c r="L242">
        <v>5</v>
      </c>
      <c r="M242" t="s">
        <v>903</v>
      </c>
      <c r="N242">
        <v>4</v>
      </c>
      <c r="O242">
        <v>26049</v>
      </c>
      <c r="P242">
        <v>5672</v>
      </c>
      <c r="Q242" s="4">
        <f t="shared" si="7"/>
        <v>0.21774348343506469</v>
      </c>
    </row>
    <row r="243" spans="1:17">
      <c r="A243" t="s">
        <v>231</v>
      </c>
      <c r="B243">
        <v>5</v>
      </c>
      <c r="C243">
        <v>5</v>
      </c>
      <c r="D243">
        <v>58</v>
      </c>
      <c r="E243">
        <v>0</v>
      </c>
      <c r="F243">
        <v>8</v>
      </c>
      <c r="G243">
        <v>0</v>
      </c>
      <c r="H243" s="9">
        <v>127</v>
      </c>
      <c r="I243" s="4">
        <f t="shared" si="6"/>
        <v>0.45669291338582679</v>
      </c>
      <c r="K243" t="s">
        <v>231</v>
      </c>
      <c r="L243">
        <v>5</v>
      </c>
      <c r="M243" t="s">
        <v>189</v>
      </c>
      <c r="N243">
        <v>5</v>
      </c>
      <c r="O243">
        <v>26049</v>
      </c>
      <c r="P243">
        <v>7774</v>
      </c>
      <c r="Q243" s="4">
        <f t="shared" si="7"/>
        <v>0.29843755998310878</v>
      </c>
    </row>
    <row r="244" spans="1:17">
      <c r="A244" t="s">
        <v>231</v>
      </c>
      <c r="B244">
        <v>5</v>
      </c>
      <c r="C244">
        <v>6</v>
      </c>
      <c r="D244">
        <v>74</v>
      </c>
      <c r="E244">
        <v>0</v>
      </c>
      <c r="F244">
        <v>6</v>
      </c>
      <c r="G244">
        <v>0</v>
      </c>
      <c r="H244" s="9">
        <v>127</v>
      </c>
      <c r="I244" s="4">
        <f t="shared" si="6"/>
        <v>0.58267716535433067</v>
      </c>
      <c r="K244" t="s">
        <v>231</v>
      </c>
      <c r="L244">
        <v>5</v>
      </c>
      <c r="M244" t="s">
        <v>555</v>
      </c>
      <c r="N244">
        <v>6</v>
      </c>
      <c r="O244">
        <v>26049</v>
      </c>
      <c r="P244">
        <v>12991</v>
      </c>
      <c r="Q244" s="4">
        <f t="shared" si="7"/>
        <v>0.49871396214825903</v>
      </c>
    </row>
    <row r="245" spans="1:17">
      <c r="A245" t="s">
        <v>231</v>
      </c>
      <c r="B245">
        <v>5</v>
      </c>
      <c r="C245">
        <v>7</v>
      </c>
      <c r="D245">
        <v>106</v>
      </c>
      <c r="E245">
        <v>0</v>
      </c>
      <c r="F245">
        <v>13</v>
      </c>
      <c r="G245">
        <v>0</v>
      </c>
      <c r="H245" s="9">
        <v>127</v>
      </c>
      <c r="I245" s="4">
        <f t="shared" si="6"/>
        <v>0.83464566929133854</v>
      </c>
      <c r="K245" t="s">
        <v>231</v>
      </c>
      <c r="L245">
        <v>5</v>
      </c>
      <c r="M245" t="s">
        <v>904</v>
      </c>
      <c r="N245">
        <v>7</v>
      </c>
      <c r="O245">
        <v>26049</v>
      </c>
      <c r="P245">
        <v>14863</v>
      </c>
      <c r="Q245" s="4">
        <f t="shared" si="7"/>
        <v>0.57057852508733542</v>
      </c>
    </row>
    <row r="246" spans="1:17">
      <c r="A246" t="s">
        <v>231</v>
      </c>
      <c r="B246">
        <v>5</v>
      </c>
      <c r="C246">
        <v>8</v>
      </c>
      <c r="D246">
        <v>123</v>
      </c>
      <c r="E246">
        <v>0</v>
      </c>
      <c r="F246">
        <v>4</v>
      </c>
      <c r="G246">
        <v>0</v>
      </c>
      <c r="H246" s="9">
        <v>127</v>
      </c>
      <c r="I246" s="4">
        <f t="shared" si="6"/>
        <v>0.96850393700787396</v>
      </c>
      <c r="K246" t="s">
        <v>231</v>
      </c>
      <c r="L246">
        <v>5</v>
      </c>
      <c r="M246" t="s">
        <v>905</v>
      </c>
      <c r="N246">
        <v>8</v>
      </c>
      <c r="O246">
        <v>26049</v>
      </c>
      <c r="P246">
        <v>16606</v>
      </c>
      <c r="Q246" s="4">
        <f t="shared" si="7"/>
        <v>0.637490882567469</v>
      </c>
    </row>
    <row r="247" spans="1:17">
      <c r="A247" t="s">
        <v>231</v>
      </c>
      <c r="B247">
        <v>7</v>
      </c>
      <c r="C247">
        <v>1</v>
      </c>
      <c r="D247">
        <v>10</v>
      </c>
      <c r="E247">
        <v>0</v>
      </c>
      <c r="F247">
        <v>5</v>
      </c>
      <c r="G247">
        <v>0</v>
      </c>
      <c r="H247" s="9">
        <v>33</v>
      </c>
      <c r="I247" s="4">
        <f t="shared" si="6"/>
        <v>0.30303030303030304</v>
      </c>
      <c r="K247" t="s">
        <v>231</v>
      </c>
      <c r="L247">
        <v>7</v>
      </c>
      <c r="M247" t="s">
        <v>1</v>
      </c>
      <c r="N247">
        <v>1</v>
      </c>
      <c r="O247">
        <v>838</v>
      </c>
      <c r="P247">
        <v>237</v>
      </c>
      <c r="Q247" s="4">
        <f t="shared" si="7"/>
        <v>0.28281622911694509</v>
      </c>
    </row>
    <row r="248" spans="1:17">
      <c r="A248" t="s">
        <v>231</v>
      </c>
      <c r="B248">
        <v>7</v>
      </c>
      <c r="C248">
        <v>2</v>
      </c>
      <c r="D248">
        <v>12</v>
      </c>
      <c r="E248">
        <v>0</v>
      </c>
      <c r="F248">
        <v>5</v>
      </c>
      <c r="G248">
        <v>0</v>
      </c>
      <c r="H248" s="9">
        <v>33</v>
      </c>
      <c r="I248" s="4">
        <f t="shared" si="6"/>
        <v>0.36363636363636365</v>
      </c>
      <c r="K248" t="s">
        <v>231</v>
      </c>
      <c r="L248">
        <v>7</v>
      </c>
      <c r="M248" t="s">
        <v>780</v>
      </c>
      <c r="N248">
        <v>2</v>
      </c>
      <c r="O248">
        <v>838</v>
      </c>
      <c r="P248">
        <v>296</v>
      </c>
      <c r="Q248" s="4">
        <f t="shared" si="7"/>
        <v>0.3532219570405728</v>
      </c>
    </row>
    <row r="249" spans="1:17">
      <c r="A249" t="s">
        <v>231</v>
      </c>
      <c r="B249">
        <v>7</v>
      </c>
      <c r="C249">
        <v>3</v>
      </c>
      <c r="D249">
        <v>24</v>
      </c>
      <c r="E249">
        <v>0</v>
      </c>
      <c r="F249">
        <v>3</v>
      </c>
      <c r="G249">
        <v>0</v>
      </c>
      <c r="H249" s="9">
        <v>33</v>
      </c>
      <c r="I249" s="4">
        <f t="shared" si="6"/>
        <v>0.72727272727272729</v>
      </c>
      <c r="K249" t="s">
        <v>231</v>
      </c>
      <c r="L249">
        <v>7</v>
      </c>
      <c r="M249" t="s">
        <v>2</v>
      </c>
      <c r="N249">
        <v>3</v>
      </c>
      <c r="O249">
        <v>838</v>
      </c>
      <c r="P249">
        <v>453</v>
      </c>
      <c r="Q249" s="4">
        <f t="shared" si="7"/>
        <v>0.54057279236276845</v>
      </c>
    </row>
    <row r="250" spans="1:17">
      <c r="A250" t="s">
        <v>231</v>
      </c>
      <c r="B250">
        <v>7</v>
      </c>
      <c r="C250">
        <v>4</v>
      </c>
      <c r="D250">
        <v>33</v>
      </c>
      <c r="E250">
        <v>0</v>
      </c>
      <c r="F250">
        <v>0</v>
      </c>
      <c r="G250">
        <v>0</v>
      </c>
      <c r="H250" s="9">
        <v>33</v>
      </c>
      <c r="I250" s="4">
        <f t="shared" si="6"/>
        <v>1</v>
      </c>
      <c r="K250" t="s">
        <v>231</v>
      </c>
      <c r="L250">
        <v>7</v>
      </c>
      <c r="M250" t="s">
        <v>239</v>
      </c>
      <c r="N250">
        <v>4</v>
      </c>
      <c r="O250">
        <v>838</v>
      </c>
      <c r="P250">
        <v>733</v>
      </c>
      <c r="Q250" s="4">
        <f t="shared" si="7"/>
        <v>0.87470167064439142</v>
      </c>
    </row>
    <row r="251" spans="1:17">
      <c r="A251" t="s">
        <v>231</v>
      </c>
      <c r="B251">
        <v>8</v>
      </c>
      <c r="C251">
        <v>1</v>
      </c>
      <c r="D251">
        <v>19</v>
      </c>
      <c r="E251">
        <v>0</v>
      </c>
      <c r="F251">
        <v>6</v>
      </c>
      <c r="G251">
        <v>0</v>
      </c>
      <c r="H251" s="9">
        <v>50</v>
      </c>
      <c r="I251" s="4">
        <f t="shared" si="6"/>
        <v>0.38</v>
      </c>
      <c r="K251" t="s">
        <v>231</v>
      </c>
      <c r="L251">
        <v>8</v>
      </c>
      <c r="M251" t="s">
        <v>209</v>
      </c>
      <c r="N251">
        <v>1</v>
      </c>
      <c r="O251">
        <v>1056</v>
      </c>
      <c r="P251">
        <v>317</v>
      </c>
      <c r="Q251" s="4">
        <f t="shared" si="7"/>
        <v>0.30018939393939392</v>
      </c>
    </row>
    <row r="252" spans="1:17">
      <c r="A252" t="s">
        <v>231</v>
      </c>
      <c r="B252">
        <v>8</v>
      </c>
      <c r="C252">
        <v>2</v>
      </c>
      <c r="D252">
        <v>28</v>
      </c>
      <c r="E252">
        <v>0</v>
      </c>
      <c r="F252">
        <v>4</v>
      </c>
      <c r="G252">
        <v>0</v>
      </c>
      <c r="H252" s="9">
        <v>50</v>
      </c>
      <c r="I252" s="4">
        <f t="shared" si="6"/>
        <v>0.56000000000000005</v>
      </c>
      <c r="K252" t="s">
        <v>231</v>
      </c>
      <c r="L252">
        <v>8</v>
      </c>
      <c r="M252" t="s">
        <v>180</v>
      </c>
      <c r="N252">
        <v>2</v>
      </c>
      <c r="O252">
        <v>1056</v>
      </c>
      <c r="P252">
        <v>546</v>
      </c>
      <c r="Q252" s="4">
        <f t="shared" si="7"/>
        <v>0.51704545454545459</v>
      </c>
    </row>
    <row r="253" spans="1:17">
      <c r="A253" t="s">
        <v>231</v>
      </c>
      <c r="B253">
        <v>8</v>
      </c>
      <c r="C253">
        <v>3</v>
      </c>
      <c r="D253">
        <v>41</v>
      </c>
      <c r="E253">
        <v>0</v>
      </c>
      <c r="F253">
        <v>3</v>
      </c>
      <c r="G253">
        <v>0</v>
      </c>
      <c r="H253" s="9">
        <v>50</v>
      </c>
      <c r="I253" s="4">
        <f t="shared" si="6"/>
        <v>0.82</v>
      </c>
      <c r="K253" t="s">
        <v>231</v>
      </c>
      <c r="L253">
        <v>8</v>
      </c>
      <c r="M253" t="s">
        <v>211</v>
      </c>
      <c r="N253">
        <v>3</v>
      </c>
      <c r="O253">
        <v>1056</v>
      </c>
      <c r="P253">
        <v>574</v>
      </c>
      <c r="Q253" s="4">
        <f t="shared" si="7"/>
        <v>0.54356060606060608</v>
      </c>
    </row>
    <row r="254" spans="1:17">
      <c r="A254" t="s">
        <v>231</v>
      </c>
      <c r="B254">
        <v>8</v>
      </c>
      <c r="C254">
        <v>4</v>
      </c>
      <c r="D254">
        <v>44</v>
      </c>
      <c r="E254">
        <v>0</v>
      </c>
      <c r="F254">
        <v>2</v>
      </c>
      <c r="G254">
        <v>0</v>
      </c>
      <c r="H254" s="9">
        <v>50</v>
      </c>
      <c r="I254" s="4">
        <f t="shared" si="6"/>
        <v>0.88</v>
      </c>
      <c r="K254" t="s">
        <v>231</v>
      </c>
      <c r="L254">
        <v>8</v>
      </c>
      <c r="M254" t="s">
        <v>879</v>
      </c>
      <c r="N254">
        <v>4</v>
      </c>
      <c r="O254">
        <v>1056</v>
      </c>
      <c r="P254">
        <v>579</v>
      </c>
      <c r="Q254" s="4">
        <f t="shared" si="7"/>
        <v>0.54829545454545459</v>
      </c>
    </row>
    <row r="255" spans="1:17">
      <c r="A255" t="s">
        <v>231</v>
      </c>
      <c r="B255">
        <v>8</v>
      </c>
      <c r="C255">
        <v>5</v>
      </c>
      <c r="D255">
        <v>50</v>
      </c>
      <c r="E255">
        <v>0</v>
      </c>
      <c r="F255">
        <v>0</v>
      </c>
      <c r="G255">
        <v>0</v>
      </c>
      <c r="H255" s="9">
        <v>50</v>
      </c>
      <c r="I255" s="4">
        <f t="shared" si="6"/>
        <v>1</v>
      </c>
      <c r="K255" t="s">
        <v>231</v>
      </c>
      <c r="L255">
        <v>8</v>
      </c>
      <c r="M255" t="s">
        <v>906</v>
      </c>
      <c r="N255">
        <v>5</v>
      </c>
      <c r="O255">
        <v>1056</v>
      </c>
      <c r="P255">
        <v>751</v>
      </c>
      <c r="Q255" s="4">
        <f t="shared" si="7"/>
        <v>0.71117424242424243</v>
      </c>
    </row>
    <row r="256" spans="1:17">
      <c r="A256" t="s">
        <v>231</v>
      </c>
      <c r="B256">
        <v>9</v>
      </c>
      <c r="C256">
        <v>1</v>
      </c>
      <c r="D256">
        <v>7</v>
      </c>
      <c r="E256">
        <v>0</v>
      </c>
      <c r="F256">
        <v>5</v>
      </c>
      <c r="G256">
        <v>0</v>
      </c>
      <c r="H256" s="9">
        <v>36</v>
      </c>
      <c r="I256" s="4">
        <f t="shared" si="6"/>
        <v>0.19444444444444445</v>
      </c>
      <c r="K256" t="s">
        <v>231</v>
      </c>
      <c r="L256">
        <v>9</v>
      </c>
      <c r="M256" t="s">
        <v>557</v>
      </c>
      <c r="N256">
        <v>1</v>
      </c>
      <c r="O256">
        <v>885</v>
      </c>
      <c r="P256">
        <v>221</v>
      </c>
      <c r="Q256" s="4">
        <f t="shared" si="7"/>
        <v>0.2497175141242938</v>
      </c>
    </row>
    <row r="257" spans="1:17">
      <c r="A257" t="s">
        <v>231</v>
      </c>
      <c r="B257">
        <v>9</v>
      </c>
      <c r="C257">
        <v>2</v>
      </c>
      <c r="D257">
        <v>11</v>
      </c>
      <c r="E257">
        <v>0</v>
      </c>
      <c r="F257">
        <v>6</v>
      </c>
      <c r="G257">
        <v>0</v>
      </c>
      <c r="H257" s="9">
        <v>36</v>
      </c>
      <c r="I257" s="4">
        <f t="shared" si="6"/>
        <v>0.30555555555555558</v>
      </c>
      <c r="K257" t="s">
        <v>231</v>
      </c>
      <c r="L257">
        <v>9</v>
      </c>
      <c r="M257" t="s">
        <v>558</v>
      </c>
      <c r="N257">
        <v>2</v>
      </c>
      <c r="O257">
        <v>885</v>
      </c>
      <c r="P257">
        <v>222</v>
      </c>
      <c r="Q257" s="4">
        <f t="shared" si="7"/>
        <v>0.25084745762711863</v>
      </c>
    </row>
    <row r="258" spans="1:17">
      <c r="A258" t="s">
        <v>231</v>
      </c>
      <c r="B258">
        <v>9</v>
      </c>
      <c r="C258">
        <v>3</v>
      </c>
      <c r="D258">
        <v>12</v>
      </c>
      <c r="E258">
        <v>0</v>
      </c>
      <c r="F258">
        <v>5</v>
      </c>
      <c r="G258">
        <v>0</v>
      </c>
      <c r="H258" s="9">
        <v>36</v>
      </c>
      <c r="I258" s="4">
        <f t="shared" si="6"/>
        <v>0.33333333333333331</v>
      </c>
      <c r="K258" t="s">
        <v>231</v>
      </c>
      <c r="L258">
        <v>9</v>
      </c>
      <c r="M258" t="s">
        <v>559</v>
      </c>
      <c r="N258">
        <v>3</v>
      </c>
      <c r="O258">
        <v>885</v>
      </c>
      <c r="P258">
        <v>237</v>
      </c>
      <c r="Q258" s="4">
        <f t="shared" si="7"/>
        <v>0.26779661016949152</v>
      </c>
    </row>
    <row r="259" spans="1:17">
      <c r="A259" t="s">
        <v>231</v>
      </c>
      <c r="B259">
        <v>9</v>
      </c>
      <c r="C259">
        <v>4</v>
      </c>
      <c r="D259">
        <v>17</v>
      </c>
      <c r="E259">
        <v>0</v>
      </c>
      <c r="F259">
        <v>5</v>
      </c>
      <c r="G259">
        <v>0</v>
      </c>
      <c r="H259" s="9">
        <v>36</v>
      </c>
      <c r="I259" s="4">
        <f t="shared" ref="I259:I312" si="8">D259/H259</f>
        <v>0.47222222222222221</v>
      </c>
      <c r="K259" t="s">
        <v>231</v>
      </c>
      <c r="L259">
        <v>9</v>
      </c>
      <c r="M259" t="s">
        <v>560</v>
      </c>
      <c r="N259">
        <v>4</v>
      </c>
      <c r="O259">
        <v>885</v>
      </c>
      <c r="P259">
        <v>256</v>
      </c>
      <c r="Q259" s="4">
        <f t="shared" ref="Q259:Q312" si="9">P259/O259</f>
        <v>0.28926553672316385</v>
      </c>
    </row>
    <row r="260" spans="1:17">
      <c r="A260" t="s">
        <v>231</v>
      </c>
      <c r="B260">
        <v>9</v>
      </c>
      <c r="C260">
        <v>5</v>
      </c>
      <c r="D260">
        <v>19</v>
      </c>
      <c r="E260">
        <v>0</v>
      </c>
      <c r="F260">
        <v>5</v>
      </c>
      <c r="G260">
        <v>0</v>
      </c>
      <c r="H260" s="9">
        <v>36</v>
      </c>
      <c r="I260" s="4">
        <f t="shared" si="8"/>
        <v>0.52777777777777779</v>
      </c>
      <c r="K260" t="s">
        <v>231</v>
      </c>
      <c r="L260">
        <v>9</v>
      </c>
      <c r="M260" t="s">
        <v>561</v>
      </c>
      <c r="N260">
        <v>5</v>
      </c>
      <c r="O260">
        <v>885</v>
      </c>
      <c r="P260">
        <v>276</v>
      </c>
      <c r="Q260" s="4">
        <f t="shared" si="9"/>
        <v>0.31186440677966104</v>
      </c>
    </row>
    <row r="261" spans="1:17">
      <c r="A261" t="s">
        <v>231</v>
      </c>
      <c r="B261">
        <v>9</v>
      </c>
      <c r="C261">
        <v>6</v>
      </c>
      <c r="D261">
        <v>22</v>
      </c>
      <c r="E261">
        <v>0</v>
      </c>
      <c r="F261">
        <v>4</v>
      </c>
      <c r="G261">
        <v>0</v>
      </c>
      <c r="H261" s="9">
        <v>36</v>
      </c>
      <c r="I261" s="4">
        <f t="shared" si="8"/>
        <v>0.61111111111111116</v>
      </c>
      <c r="K261" t="s">
        <v>231</v>
      </c>
      <c r="L261">
        <v>9</v>
      </c>
      <c r="M261" t="s">
        <v>205</v>
      </c>
      <c r="N261">
        <v>6</v>
      </c>
      <c r="O261">
        <v>885</v>
      </c>
      <c r="P261">
        <v>278</v>
      </c>
      <c r="Q261" s="4">
        <f t="shared" si="9"/>
        <v>0.31412429378531076</v>
      </c>
    </row>
    <row r="262" spans="1:17">
      <c r="A262" t="s">
        <v>231</v>
      </c>
      <c r="B262">
        <v>9</v>
      </c>
      <c r="C262">
        <v>7</v>
      </c>
      <c r="D262">
        <v>23</v>
      </c>
      <c r="E262">
        <v>0</v>
      </c>
      <c r="F262">
        <v>3</v>
      </c>
      <c r="G262">
        <v>0</v>
      </c>
      <c r="H262" s="9">
        <v>36</v>
      </c>
      <c r="I262" s="4">
        <f t="shared" si="8"/>
        <v>0.63888888888888884</v>
      </c>
      <c r="K262" t="s">
        <v>231</v>
      </c>
      <c r="L262">
        <v>9</v>
      </c>
      <c r="M262" t="s">
        <v>566</v>
      </c>
      <c r="N262">
        <v>7</v>
      </c>
      <c r="O262">
        <v>885</v>
      </c>
      <c r="P262">
        <v>292</v>
      </c>
      <c r="Q262" s="4">
        <f t="shared" si="9"/>
        <v>0.32994350282485874</v>
      </c>
    </row>
    <row r="263" spans="1:17">
      <c r="A263" t="s">
        <v>231</v>
      </c>
      <c r="B263">
        <v>9</v>
      </c>
      <c r="C263">
        <v>8</v>
      </c>
      <c r="D263">
        <v>23</v>
      </c>
      <c r="E263">
        <v>0</v>
      </c>
      <c r="F263">
        <v>3</v>
      </c>
      <c r="G263">
        <v>0</v>
      </c>
      <c r="H263" s="9">
        <v>36</v>
      </c>
      <c r="I263" s="4">
        <f t="shared" si="8"/>
        <v>0.63888888888888884</v>
      </c>
      <c r="K263" t="s">
        <v>231</v>
      </c>
      <c r="L263">
        <v>9</v>
      </c>
      <c r="M263" t="s">
        <v>564</v>
      </c>
      <c r="N263">
        <v>8</v>
      </c>
      <c r="O263">
        <v>885</v>
      </c>
      <c r="P263">
        <v>293</v>
      </c>
      <c r="Q263" s="4">
        <f t="shared" si="9"/>
        <v>0.3310734463276836</v>
      </c>
    </row>
    <row r="264" spans="1:17">
      <c r="A264" t="s">
        <v>231</v>
      </c>
      <c r="B264">
        <v>9</v>
      </c>
      <c r="C264">
        <v>9</v>
      </c>
      <c r="D264">
        <v>24</v>
      </c>
      <c r="E264">
        <v>0</v>
      </c>
      <c r="F264">
        <v>2</v>
      </c>
      <c r="G264">
        <v>0</v>
      </c>
      <c r="H264" s="9">
        <v>36</v>
      </c>
      <c r="I264" s="4">
        <f t="shared" si="8"/>
        <v>0.66666666666666663</v>
      </c>
      <c r="K264" t="s">
        <v>231</v>
      </c>
      <c r="L264">
        <v>9</v>
      </c>
      <c r="M264" t="s">
        <v>565</v>
      </c>
      <c r="N264">
        <v>9</v>
      </c>
      <c r="O264">
        <v>885</v>
      </c>
      <c r="P264">
        <v>294</v>
      </c>
      <c r="Q264" s="4">
        <f t="shared" si="9"/>
        <v>0.33220338983050846</v>
      </c>
    </row>
    <row r="265" spans="1:17">
      <c r="A265" t="s">
        <v>231</v>
      </c>
      <c r="B265">
        <v>9</v>
      </c>
      <c r="C265">
        <v>10</v>
      </c>
      <c r="D265">
        <v>24</v>
      </c>
      <c r="E265">
        <v>0</v>
      </c>
      <c r="F265">
        <v>2</v>
      </c>
      <c r="G265">
        <v>0</v>
      </c>
      <c r="H265" s="9">
        <v>36</v>
      </c>
      <c r="I265" s="4">
        <f t="shared" si="8"/>
        <v>0.66666666666666663</v>
      </c>
      <c r="K265" t="s">
        <v>231</v>
      </c>
      <c r="L265">
        <v>9</v>
      </c>
      <c r="M265" t="s">
        <v>563</v>
      </c>
      <c r="N265">
        <v>10</v>
      </c>
      <c r="O265">
        <v>885</v>
      </c>
      <c r="P265">
        <v>295</v>
      </c>
      <c r="Q265" s="4">
        <f t="shared" si="9"/>
        <v>0.33333333333333331</v>
      </c>
    </row>
    <row r="266" spans="1:17">
      <c r="A266" t="s">
        <v>231</v>
      </c>
      <c r="B266">
        <v>9</v>
      </c>
      <c r="C266">
        <v>11</v>
      </c>
      <c r="D266">
        <v>24</v>
      </c>
      <c r="E266">
        <v>0</v>
      </c>
      <c r="F266">
        <v>2</v>
      </c>
      <c r="G266">
        <v>0</v>
      </c>
      <c r="H266" s="9">
        <v>36</v>
      </c>
      <c r="I266" s="4">
        <f t="shared" si="8"/>
        <v>0.66666666666666663</v>
      </c>
      <c r="K266" t="s">
        <v>231</v>
      </c>
      <c r="L266">
        <v>9</v>
      </c>
      <c r="M266" t="s">
        <v>562</v>
      </c>
      <c r="N266">
        <v>11</v>
      </c>
      <c r="O266">
        <v>885</v>
      </c>
      <c r="P266">
        <v>297</v>
      </c>
      <c r="Q266" s="4">
        <f t="shared" si="9"/>
        <v>0.33559322033898303</v>
      </c>
    </row>
    <row r="267" spans="1:17">
      <c r="A267" t="s">
        <v>231</v>
      </c>
      <c r="B267">
        <v>9</v>
      </c>
      <c r="C267">
        <v>12</v>
      </c>
      <c r="D267">
        <v>24</v>
      </c>
      <c r="E267">
        <v>0</v>
      </c>
      <c r="F267">
        <v>2</v>
      </c>
      <c r="G267">
        <v>0</v>
      </c>
      <c r="H267" s="9">
        <v>36</v>
      </c>
      <c r="I267" s="4">
        <f t="shared" si="8"/>
        <v>0.66666666666666663</v>
      </c>
      <c r="K267" t="s">
        <v>231</v>
      </c>
      <c r="L267">
        <v>9</v>
      </c>
      <c r="M267" t="s">
        <v>567</v>
      </c>
      <c r="N267">
        <v>12</v>
      </c>
      <c r="O267">
        <v>885</v>
      </c>
      <c r="P267">
        <v>345</v>
      </c>
      <c r="Q267" s="4">
        <f t="shared" si="9"/>
        <v>0.38983050847457629</v>
      </c>
    </row>
    <row r="268" spans="1:17">
      <c r="A268" t="s">
        <v>231</v>
      </c>
      <c r="B268">
        <v>9</v>
      </c>
      <c r="C268">
        <v>13</v>
      </c>
      <c r="D268">
        <v>24</v>
      </c>
      <c r="E268">
        <v>0</v>
      </c>
      <c r="F268">
        <v>2</v>
      </c>
      <c r="G268">
        <v>0</v>
      </c>
      <c r="H268" s="9">
        <v>36</v>
      </c>
      <c r="I268" s="4">
        <f t="shared" si="8"/>
        <v>0.66666666666666663</v>
      </c>
      <c r="K268" t="s">
        <v>231</v>
      </c>
      <c r="L268">
        <v>9</v>
      </c>
      <c r="M268" t="s">
        <v>568</v>
      </c>
      <c r="N268">
        <v>13</v>
      </c>
      <c r="O268">
        <v>885</v>
      </c>
      <c r="P268">
        <v>346</v>
      </c>
      <c r="Q268" s="4">
        <f t="shared" si="9"/>
        <v>0.39096045197740115</v>
      </c>
    </row>
    <row r="269" spans="1:17">
      <c r="A269" t="s">
        <v>231</v>
      </c>
      <c r="B269">
        <v>9</v>
      </c>
      <c r="C269">
        <v>14</v>
      </c>
      <c r="D269">
        <v>28</v>
      </c>
      <c r="E269">
        <v>0</v>
      </c>
      <c r="F269">
        <v>3</v>
      </c>
      <c r="G269">
        <v>0</v>
      </c>
      <c r="H269" s="9">
        <v>36</v>
      </c>
      <c r="I269" s="4">
        <f t="shared" si="8"/>
        <v>0.77777777777777779</v>
      </c>
      <c r="K269" t="s">
        <v>231</v>
      </c>
      <c r="L269">
        <v>9</v>
      </c>
      <c r="M269" t="s">
        <v>569</v>
      </c>
      <c r="N269">
        <v>14</v>
      </c>
      <c r="O269">
        <v>885</v>
      </c>
      <c r="P269">
        <v>387</v>
      </c>
      <c r="Q269" s="4">
        <f t="shared" si="9"/>
        <v>0.43728813559322033</v>
      </c>
    </row>
    <row r="270" spans="1:17">
      <c r="A270" t="s">
        <v>231</v>
      </c>
      <c r="B270">
        <v>9</v>
      </c>
      <c r="C270">
        <v>15</v>
      </c>
      <c r="D270">
        <v>34</v>
      </c>
      <c r="E270">
        <v>0</v>
      </c>
      <c r="F270">
        <v>2</v>
      </c>
      <c r="G270">
        <v>0</v>
      </c>
      <c r="H270" s="9">
        <v>36</v>
      </c>
      <c r="I270" s="4">
        <f t="shared" si="8"/>
        <v>0.94444444444444442</v>
      </c>
      <c r="K270" t="s">
        <v>231</v>
      </c>
      <c r="L270">
        <v>9</v>
      </c>
      <c r="M270" t="s">
        <v>908</v>
      </c>
      <c r="N270">
        <v>15</v>
      </c>
      <c r="O270">
        <v>885</v>
      </c>
      <c r="P270">
        <v>559</v>
      </c>
      <c r="Q270" s="4">
        <f t="shared" si="9"/>
        <v>0.63163841807909604</v>
      </c>
    </row>
    <row r="271" spans="1:17">
      <c r="A271" t="s">
        <v>231</v>
      </c>
      <c r="B271">
        <v>9</v>
      </c>
      <c r="C271">
        <v>16</v>
      </c>
      <c r="D271">
        <v>35</v>
      </c>
      <c r="E271">
        <v>0</v>
      </c>
      <c r="F271">
        <v>1</v>
      </c>
      <c r="G271">
        <v>0</v>
      </c>
      <c r="H271" s="9">
        <v>36</v>
      </c>
      <c r="I271" s="4">
        <f t="shared" si="8"/>
        <v>0.97222222222222221</v>
      </c>
      <c r="K271" t="s">
        <v>231</v>
      </c>
      <c r="L271">
        <v>9</v>
      </c>
      <c r="M271" t="s">
        <v>909</v>
      </c>
      <c r="N271">
        <v>16</v>
      </c>
      <c r="O271">
        <v>885</v>
      </c>
      <c r="P271">
        <v>563</v>
      </c>
      <c r="Q271" s="4">
        <f t="shared" si="9"/>
        <v>0.63615819209039548</v>
      </c>
    </row>
    <row r="272" spans="1:17">
      <c r="A272" t="s">
        <v>231</v>
      </c>
      <c r="B272">
        <v>9</v>
      </c>
      <c r="C272">
        <v>17</v>
      </c>
      <c r="D272">
        <v>35</v>
      </c>
      <c r="E272">
        <v>0</v>
      </c>
      <c r="F272">
        <v>1</v>
      </c>
      <c r="G272">
        <v>0</v>
      </c>
      <c r="H272" s="9">
        <v>36</v>
      </c>
      <c r="I272" s="4">
        <f t="shared" si="8"/>
        <v>0.97222222222222221</v>
      </c>
      <c r="K272" t="s">
        <v>231</v>
      </c>
      <c r="L272">
        <v>9</v>
      </c>
      <c r="M272" t="s">
        <v>907</v>
      </c>
      <c r="N272">
        <v>17</v>
      </c>
      <c r="O272">
        <v>885</v>
      </c>
      <c r="P272">
        <v>573</v>
      </c>
      <c r="Q272" s="4">
        <f t="shared" si="9"/>
        <v>0.64745762711864407</v>
      </c>
    </row>
    <row r="273" spans="1:17">
      <c r="A273" t="s">
        <v>231</v>
      </c>
      <c r="B273">
        <v>9</v>
      </c>
      <c r="C273">
        <v>18</v>
      </c>
      <c r="D273">
        <v>36</v>
      </c>
      <c r="E273">
        <v>0</v>
      </c>
      <c r="F273">
        <v>0</v>
      </c>
      <c r="G273">
        <v>0</v>
      </c>
      <c r="H273" s="9">
        <v>36</v>
      </c>
      <c r="I273" s="4">
        <f t="shared" si="8"/>
        <v>1</v>
      </c>
      <c r="K273" t="s">
        <v>231</v>
      </c>
      <c r="L273">
        <v>9</v>
      </c>
      <c r="M273" t="s">
        <v>912</v>
      </c>
      <c r="N273">
        <v>18</v>
      </c>
      <c r="O273">
        <v>885</v>
      </c>
      <c r="P273">
        <v>634</v>
      </c>
      <c r="Q273" s="4">
        <f t="shared" si="9"/>
        <v>0.71638418079096045</v>
      </c>
    </row>
    <row r="274" spans="1:17">
      <c r="A274" t="s">
        <v>231</v>
      </c>
      <c r="B274">
        <v>9</v>
      </c>
      <c r="C274">
        <v>19</v>
      </c>
      <c r="D274">
        <v>36</v>
      </c>
      <c r="E274">
        <v>0</v>
      </c>
      <c r="F274">
        <v>0</v>
      </c>
      <c r="G274">
        <v>0</v>
      </c>
      <c r="H274" s="9">
        <v>36</v>
      </c>
      <c r="I274" s="4">
        <f t="shared" si="8"/>
        <v>1</v>
      </c>
      <c r="K274" t="s">
        <v>231</v>
      </c>
      <c r="L274">
        <v>9</v>
      </c>
      <c r="M274" t="s">
        <v>910</v>
      </c>
      <c r="N274">
        <v>19</v>
      </c>
      <c r="O274">
        <v>885</v>
      </c>
      <c r="P274">
        <v>643</v>
      </c>
      <c r="Q274" s="4">
        <f t="shared" si="9"/>
        <v>0.72655367231638424</v>
      </c>
    </row>
    <row r="275" spans="1:17">
      <c r="A275" t="s">
        <v>231</v>
      </c>
      <c r="B275">
        <v>9</v>
      </c>
      <c r="C275">
        <v>20</v>
      </c>
      <c r="D275">
        <v>36</v>
      </c>
      <c r="E275">
        <v>0</v>
      </c>
      <c r="F275">
        <v>0</v>
      </c>
      <c r="G275">
        <v>0</v>
      </c>
      <c r="H275" s="9">
        <v>36</v>
      </c>
      <c r="I275" s="4">
        <f t="shared" si="8"/>
        <v>1</v>
      </c>
      <c r="K275" t="s">
        <v>231</v>
      </c>
      <c r="L275">
        <v>9</v>
      </c>
      <c r="M275" t="s">
        <v>911</v>
      </c>
      <c r="N275">
        <v>20</v>
      </c>
      <c r="O275">
        <v>885</v>
      </c>
      <c r="P275">
        <v>652</v>
      </c>
      <c r="Q275" s="4">
        <f t="shared" si="9"/>
        <v>0.73672316384180792</v>
      </c>
    </row>
    <row r="276" spans="1:17">
      <c r="A276" t="s">
        <v>231</v>
      </c>
      <c r="B276">
        <v>10</v>
      </c>
      <c r="C276">
        <v>1</v>
      </c>
      <c r="D276">
        <v>22</v>
      </c>
      <c r="E276">
        <v>0</v>
      </c>
      <c r="F276">
        <v>7</v>
      </c>
      <c r="G276">
        <v>0</v>
      </c>
      <c r="H276" s="9">
        <v>30</v>
      </c>
      <c r="I276" s="4">
        <f t="shared" si="8"/>
        <v>0.73333333333333328</v>
      </c>
      <c r="K276" t="s">
        <v>231</v>
      </c>
      <c r="L276">
        <v>10</v>
      </c>
      <c r="M276" t="s">
        <v>233</v>
      </c>
      <c r="N276">
        <v>1</v>
      </c>
      <c r="O276">
        <v>1054</v>
      </c>
      <c r="P276">
        <v>956</v>
      </c>
      <c r="Q276" s="4">
        <f t="shared" si="9"/>
        <v>0.90702087286527511</v>
      </c>
    </row>
    <row r="277" spans="1:17">
      <c r="A277" s="9" t="s">
        <v>231</v>
      </c>
      <c r="B277" s="9">
        <v>10</v>
      </c>
      <c r="C277" s="9">
        <v>2</v>
      </c>
      <c r="D277" s="9">
        <v>26</v>
      </c>
      <c r="E277" s="9">
        <v>0</v>
      </c>
      <c r="F277" s="9">
        <v>4</v>
      </c>
      <c r="G277" s="9">
        <v>0</v>
      </c>
      <c r="H277" s="9">
        <v>30</v>
      </c>
      <c r="I277" s="4">
        <f t="shared" si="8"/>
        <v>0.8666666666666667</v>
      </c>
      <c r="K277" t="s">
        <v>231</v>
      </c>
      <c r="L277">
        <v>10</v>
      </c>
      <c r="M277" t="s">
        <v>541</v>
      </c>
      <c r="N277">
        <v>2</v>
      </c>
      <c r="O277">
        <v>1054</v>
      </c>
      <c r="P277">
        <v>964</v>
      </c>
      <c r="Q277" s="4">
        <f t="shared" si="9"/>
        <v>0.91461100569259957</v>
      </c>
    </row>
    <row r="278" spans="1:17">
      <c r="A278" t="s">
        <v>231</v>
      </c>
      <c r="B278">
        <v>10</v>
      </c>
      <c r="C278">
        <v>3</v>
      </c>
      <c r="D278">
        <v>28</v>
      </c>
      <c r="E278">
        <v>0</v>
      </c>
      <c r="F278">
        <v>2</v>
      </c>
      <c r="G278">
        <v>0</v>
      </c>
      <c r="H278" s="9">
        <v>30</v>
      </c>
      <c r="I278" s="4">
        <f t="shared" si="8"/>
        <v>0.93333333333333335</v>
      </c>
      <c r="K278" t="s">
        <v>231</v>
      </c>
      <c r="L278">
        <v>10</v>
      </c>
      <c r="M278" t="s">
        <v>780</v>
      </c>
      <c r="N278">
        <v>3</v>
      </c>
      <c r="O278">
        <v>1054</v>
      </c>
      <c r="P278">
        <v>966</v>
      </c>
      <c r="Q278" s="4">
        <f t="shared" si="9"/>
        <v>0.91650853889943074</v>
      </c>
    </row>
    <row r="279" spans="1:17">
      <c r="A279" t="s">
        <v>231</v>
      </c>
      <c r="B279">
        <v>10</v>
      </c>
      <c r="C279">
        <v>4</v>
      </c>
      <c r="D279">
        <v>28</v>
      </c>
      <c r="E279">
        <v>0</v>
      </c>
      <c r="F279">
        <v>2</v>
      </c>
      <c r="G279">
        <v>0</v>
      </c>
      <c r="H279" s="9">
        <v>30</v>
      </c>
      <c r="I279" s="4">
        <f t="shared" si="8"/>
        <v>0.93333333333333335</v>
      </c>
      <c r="K279" t="s">
        <v>231</v>
      </c>
      <c r="L279">
        <v>10</v>
      </c>
      <c r="M279" t="s">
        <v>209</v>
      </c>
      <c r="N279">
        <v>4</v>
      </c>
      <c r="O279">
        <v>1054</v>
      </c>
      <c r="P279">
        <v>967</v>
      </c>
      <c r="Q279" s="4">
        <f t="shared" si="9"/>
        <v>0.91745730550284632</v>
      </c>
    </row>
    <row r="280" spans="1:17">
      <c r="A280" t="s">
        <v>231</v>
      </c>
      <c r="B280">
        <v>10</v>
      </c>
      <c r="C280">
        <v>5</v>
      </c>
      <c r="D280">
        <v>30</v>
      </c>
      <c r="E280">
        <v>0</v>
      </c>
      <c r="F280">
        <v>0</v>
      </c>
      <c r="G280">
        <v>0</v>
      </c>
      <c r="H280" s="9">
        <v>30</v>
      </c>
      <c r="I280" s="4">
        <f t="shared" si="8"/>
        <v>1</v>
      </c>
      <c r="K280" t="s">
        <v>231</v>
      </c>
      <c r="L280">
        <v>10</v>
      </c>
      <c r="M280" t="s">
        <v>204</v>
      </c>
      <c r="N280">
        <v>5</v>
      </c>
      <c r="O280">
        <v>1054</v>
      </c>
      <c r="P280">
        <v>1009</v>
      </c>
      <c r="Q280" s="4">
        <f t="shared" si="9"/>
        <v>0.95730550284629978</v>
      </c>
    </row>
    <row r="281" spans="1:17">
      <c r="A281" t="s">
        <v>231</v>
      </c>
      <c r="B281">
        <v>10</v>
      </c>
      <c r="C281">
        <v>6</v>
      </c>
      <c r="D281">
        <v>30</v>
      </c>
      <c r="E281">
        <v>0</v>
      </c>
      <c r="F281">
        <v>0</v>
      </c>
      <c r="G281">
        <v>0</v>
      </c>
      <c r="H281" s="9">
        <v>30</v>
      </c>
      <c r="I281" s="4">
        <f t="shared" si="8"/>
        <v>1</v>
      </c>
      <c r="K281" t="s">
        <v>231</v>
      </c>
      <c r="L281">
        <v>10</v>
      </c>
      <c r="M281" t="s">
        <v>234</v>
      </c>
      <c r="N281">
        <v>6</v>
      </c>
      <c r="O281">
        <v>1054</v>
      </c>
      <c r="P281">
        <v>1011</v>
      </c>
      <c r="Q281" s="4">
        <f t="shared" si="9"/>
        <v>0.95920303605313095</v>
      </c>
    </row>
    <row r="282" spans="1:17">
      <c r="A282" t="s">
        <v>231</v>
      </c>
      <c r="B282">
        <v>10</v>
      </c>
      <c r="C282">
        <v>7</v>
      </c>
      <c r="D282">
        <v>30</v>
      </c>
      <c r="E282">
        <v>0</v>
      </c>
      <c r="F282">
        <v>0</v>
      </c>
      <c r="G282">
        <v>0</v>
      </c>
      <c r="H282" s="9">
        <v>30</v>
      </c>
      <c r="I282" s="4">
        <f t="shared" si="8"/>
        <v>1</v>
      </c>
      <c r="K282" t="s">
        <v>231</v>
      </c>
      <c r="L282">
        <v>10</v>
      </c>
      <c r="M282" t="s">
        <v>906</v>
      </c>
      <c r="N282">
        <v>7</v>
      </c>
      <c r="O282">
        <v>1054</v>
      </c>
      <c r="P282">
        <v>1016</v>
      </c>
      <c r="Q282" s="4">
        <f t="shared" si="9"/>
        <v>0.96394686907020877</v>
      </c>
    </row>
    <row r="283" spans="1:17">
      <c r="A283" t="s">
        <v>231</v>
      </c>
      <c r="B283">
        <v>10</v>
      </c>
      <c r="C283">
        <v>8</v>
      </c>
      <c r="D283">
        <v>30</v>
      </c>
      <c r="E283">
        <v>0</v>
      </c>
      <c r="F283">
        <v>0</v>
      </c>
      <c r="G283">
        <v>0</v>
      </c>
      <c r="H283" s="9">
        <v>30</v>
      </c>
      <c r="I283" s="4">
        <f t="shared" si="8"/>
        <v>1</v>
      </c>
      <c r="K283" t="s">
        <v>231</v>
      </c>
      <c r="L283">
        <v>10</v>
      </c>
      <c r="M283" t="s">
        <v>239</v>
      </c>
      <c r="N283">
        <v>8</v>
      </c>
      <c r="O283">
        <v>1054</v>
      </c>
      <c r="P283">
        <v>1663</v>
      </c>
      <c r="Q283" s="4">
        <f t="shared" si="9"/>
        <v>1.577798861480076</v>
      </c>
    </row>
    <row r="284" spans="1:17">
      <c r="A284" t="s">
        <v>598</v>
      </c>
      <c r="B284">
        <v>2</v>
      </c>
      <c r="C284">
        <v>1</v>
      </c>
      <c r="D284">
        <v>25</v>
      </c>
      <c r="E284">
        <v>0</v>
      </c>
      <c r="F284">
        <v>3</v>
      </c>
      <c r="G284">
        <v>0</v>
      </c>
      <c r="H284" s="9">
        <v>71</v>
      </c>
      <c r="I284" s="4">
        <f t="shared" si="8"/>
        <v>0.352112676056338</v>
      </c>
      <c r="K284" t="s">
        <v>598</v>
      </c>
      <c r="L284">
        <v>2</v>
      </c>
      <c r="M284" t="s">
        <v>693</v>
      </c>
      <c r="N284">
        <v>1</v>
      </c>
      <c r="O284">
        <v>2247</v>
      </c>
      <c r="P284">
        <v>698</v>
      </c>
      <c r="Q284" s="4">
        <f t="shared" si="9"/>
        <v>0.31063640409434801</v>
      </c>
    </row>
    <row r="285" spans="1:17">
      <c r="A285" t="s">
        <v>598</v>
      </c>
      <c r="B285">
        <v>2</v>
      </c>
      <c r="C285">
        <v>2</v>
      </c>
      <c r="D285">
        <v>45</v>
      </c>
      <c r="E285">
        <v>0</v>
      </c>
      <c r="F285">
        <v>4</v>
      </c>
      <c r="G285">
        <v>0</v>
      </c>
      <c r="H285" s="9">
        <v>71</v>
      </c>
      <c r="I285" s="4">
        <f t="shared" si="8"/>
        <v>0.63380281690140849</v>
      </c>
      <c r="K285" t="s">
        <v>598</v>
      </c>
      <c r="L285">
        <v>2</v>
      </c>
      <c r="M285" t="s">
        <v>599</v>
      </c>
      <c r="N285">
        <v>2</v>
      </c>
      <c r="O285">
        <v>2247</v>
      </c>
      <c r="P285">
        <v>989</v>
      </c>
      <c r="Q285" s="4">
        <f t="shared" si="9"/>
        <v>0.44014241210502891</v>
      </c>
    </row>
    <row r="286" spans="1:17">
      <c r="A286" t="s">
        <v>598</v>
      </c>
      <c r="B286">
        <v>2</v>
      </c>
      <c r="C286">
        <v>3</v>
      </c>
      <c r="D286">
        <v>50</v>
      </c>
      <c r="E286">
        <v>0</v>
      </c>
      <c r="F286">
        <v>2</v>
      </c>
      <c r="G286">
        <v>0</v>
      </c>
      <c r="H286" s="9">
        <v>71</v>
      </c>
      <c r="I286" s="4">
        <f t="shared" si="8"/>
        <v>0.70422535211267601</v>
      </c>
      <c r="K286" t="s">
        <v>598</v>
      </c>
      <c r="L286">
        <v>2</v>
      </c>
      <c r="M286" t="s">
        <v>913</v>
      </c>
      <c r="N286">
        <v>3</v>
      </c>
      <c r="O286">
        <v>2247</v>
      </c>
      <c r="P286">
        <v>1042</v>
      </c>
      <c r="Q286" s="4">
        <f t="shared" si="9"/>
        <v>0.46372941700044507</v>
      </c>
    </row>
    <row r="287" spans="1:17">
      <c r="A287" t="s">
        <v>598</v>
      </c>
      <c r="B287">
        <v>2</v>
      </c>
      <c r="C287">
        <v>4</v>
      </c>
      <c r="D287">
        <v>60</v>
      </c>
      <c r="E287">
        <v>0</v>
      </c>
      <c r="F287">
        <v>2</v>
      </c>
      <c r="G287">
        <v>0</v>
      </c>
      <c r="H287" s="9">
        <v>71</v>
      </c>
      <c r="I287" s="4">
        <f t="shared" si="8"/>
        <v>0.84507042253521125</v>
      </c>
      <c r="K287" t="s">
        <v>598</v>
      </c>
      <c r="L287">
        <v>2</v>
      </c>
      <c r="M287" t="s">
        <v>914</v>
      </c>
      <c r="N287">
        <v>4</v>
      </c>
      <c r="O287">
        <v>2247</v>
      </c>
      <c r="P287">
        <v>1153</v>
      </c>
      <c r="Q287" s="4">
        <f t="shared" si="9"/>
        <v>0.51312861593235426</v>
      </c>
    </row>
    <row r="288" spans="1:17">
      <c r="A288" t="s">
        <v>598</v>
      </c>
      <c r="B288">
        <v>2</v>
      </c>
      <c r="C288">
        <v>5</v>
      </c>
      <c r="D288">
        <v>71</v>
      </c>
      <c r="E288">
        <v>0</v>
      </c>
      <c r="F288">
        <v>0</v>
      </c>
      <c r="G288">
        <v>0</v>
      </c>
      <c r="H288" s="9">
        <v>71</v>
      </c>
      <c r="I288" s="4">
        <f t="shared" si="8"/>
        <v>1</v>
      </c>
      <c r="K288" t="s">
        <v>598</v>
      </c>
      <c r="L288">
        <v>2</v>
      </c>
      <c r="M288" t="s">
        <v>915</v>
      </c>
      <c r="N288">
        <v>5</v>
      </c>
      <c r="O288">
        <v>2247</v>
      </c>
      <c r="P288">
        <v>1503</v>
      </c>
      <c r="Q288" s="4">
        <f t="shared" si="9"/>
        <v>0.66889185580774368</v>
      </c>
    </row>
    <row r="289" spans="1:17">
      <c r="A289" t="s">
        <v>598</v>
      </c>
      <c r="B289">
        <v>11</v>
      </c>
      <c r="C289">
        <v>1</v>
      </c>
      <c r="D289">
        <v>57</v>
      </c>
      <c r="E289">
        <v>0</v>
      </c>
      <c r="F289">
        <v>8</v>
      </c>
      <c r="G289">
        <v>0</v>
      </c>
      <c r="H289" s="9">
        <v>115</v>
      </c>
      <c r="I289" s="4">
        <f t="shared" si="8"/>
        <v>0.4956521739130435</v>
      </c>
      <c r="K289" t="s">
        <v>598</v>
      </c>
      <c r="L289">
        <v>11</v>
      </c>
      <c r="M289" t="s">
        <v>916</v>
      </c>
      <c r="N289">
        <v>1</v>
      </c>
      <c r="O289">
        <v>10265</v>
      </c>
      <c r="P289">
        <v>6489</v>
      </c>
      <c r="Q289" s="4">
        <f t="shared" si="9"/>
        <v>0.63214807598636147</v>
      </c>
    </row>
    <row r="290" spans="1:17">
      <c r="A290" t="s">
        <v>598</v>
      </c>
      <c r="B290">
        <v>11</v>
      </c>
      <c r="C290">
        <v>2</v>
      </c>
      <c r="D290">
        <v>67</v>
      </c>
      <c r="E290">
        <v>0</v>
      </c>
      <c r="F290">
        <v>5</v>
      </c>
      <c r="G290">
        <v>0</v>
      </c>
      <c r="H290" s="9">
        <v>115</v>
      </c>
      <c r="I290" s="4">
        <f t="shared" si="8"/>
        <v>0.58260869565217388</v>
      </c>
      <c r="K290" t="s">
        <v>598</v>
      </c>
      <c r="L290">
        <v>11</v>
      </c>
      <c r="M290" t="s">
        <v>917</v>
      </c>
      <c r="N290">
        <v>2</v>
      </c>
      <c r="O290">
        <v>10265</v>
      </c>
      <c r="P290">
        <v>6976</v>
      </c>
      <c r="Q290" s="4">
        <f t="shared" si="9"/>
        <v>0.67959084266926451</v>
      </c>
    </row>
    <row r="291" spans="1:17">
      <c r="A291" t="s">
        <v>598</v>
      </c>
      <c r="B291">
        <v>11</v>
      </c>
      <c r="C291">
        <v>3</v>
      </c>
      <c r="D291">
        <v>81</v>
      </c>
      <c r="E291">
        <v>0</v>
      </c>
      <c r="F291">
        <v>8</v>
      </c>
      <c r="G291">
        <v>0</v>
      </c>
      <c r="H291" s="9">
        <v>115</v>
      </c>
      <c r="I291" s="4">
        <f t="shared" si="8"/>
        <v>0.70434782608695656</v>
      </c>
      <c r="K291" t="s">
        <v>598</v>
      </c>
      <c r="L291">
        <v>11</v>
      </c>
      <c r="M291" t="s">
        <v>919</v>
      </c>
      <c r="N291">
        <v>3</v>
      </c>
      <c r="O291">
        <v>10265</v>
      </c>
      <c r="P291">
        <v>7236</v>
      </c>
      <c r="Q291" s="4">
        <f t="shared" si="9"/>
        <v>0.70491962981003409</v>
      </c>
    </row>
    <row r="292" spans="1:17">
      <c r="A292" t="s">
        <v>598</v>
      </c>
      <c r="B292">
        <v>11</v>
      </c>
      <c r="C292">
        <v>4</v>
      </c>
      <c r="D292">
        <v>90</v>
      </c>
      <c r="E292">
        <v>0</v>
      </c>
      <c r="F292">
        <v>8</v>
      </c>
      <c r="G292">
        <v>0</v>
      </c>
      <c r="H292" s="9">
        <v>115</v>
      </c>
      <c r="I292" s="4">
        <f t="shared" si="8"/>
        <v>0.78260869565217395</v>
      </c>
      <c r="K292" t="s">
        <v>598</v>
      </c>
      <c r="L292">
        <v>11</v>
      </c>
      <c r="M292" t="s">
        <v>918</v>
      </c>
      <c r="N292">
        <v>4</v>
      </c>
      <c r="O292">
        <v>10265</v>
      </c>
      <c r="P292">
        <v>7248</v>
      </c>
      <c r="Q292" s="4">
        <f t="shared" si="9"/>
        <v>0.70608865075499272</v>
      </c>
    </row>
    <row r="293" spans="1:17">
      <c r="A293" t="s">
        <v>598</v>
      </c>
      <c r="B293">
        <v>11</v>
      </c>
      <c r="C293">
        <v>5</v>
      </c>
      <c r="D293">
        <v>103</v>
      </c>
      <c r="E293">
        <v>0</v>
      </c>
      <c r="F293">
        <v>2</v>
      </c>
      <c r="G293">
        <v>0</v>
      </c>
      <c r="H293" s="9">
        <v>115</v>
      </c>
      <c r="I293" s="4">
        <f t="shared" si="8"/>
        <v>0.89565217391304353</v>
      </c>
      <c r="K293" t="s">
        <v>598</v>
      </c>
      <c r="L293">
        <v>11</v>
      </c>
      <c r="M293" t="s">
        <v>921</v>
      </c>
      <c r="N293">
        <v>5</v>
      </c>
      <c r="O293">
        <v>10265</v>
      </c>
      <c r="P293">
        <v>7660</v>
      </c>
      <c r="Q293" s="4">
        <f t="shared" si="9"/>
        <v>0.74622503653190453</v>
      </c>
    </row>
    <row r="294" spans="1:17">
      <c r="A294" t="s">
        <v>598</v>
      </c>
      <c r="B294">
        <v>11</v>
      </c>
      <c r="C294">
        <v>6</v>
      </c>
      <c r="D294">
        <v>103</v>
      </c>
      <c r="E294">
        <v>0</v>
      </c>
      <c r="F294">
        <v>2</v>
      </c>
      <c r="G294">
        <v>0</v>
      </c>
      <c r="H294" s="9">
        <v>115</v>
      </c>
      <c r="I294" s="4">
        <f t="shared" si="8"/>
        <v>0.89565217391304353</v>
      </c>
      <c r="K294" t="s">
        <v>598</v>
      </c>
      <c r="L294">
        <v>11</v>
      </c>
      <c r="M294" t="s">
        <v>920</v>
      </c>
      <c r="N294">
        <v>6</v>
      </c>
      <c r="O294">
        <v>10265</v>
      </c>
      <c r="P294">
        <v>7687</v>
      </c>
      <c r="Q294" s="4">
        <f t="shared" si="9"/>
        <v>0.74885533365806134</v>
      </c>
    </row>
    <row r="295" spans="1:17">
      <c r="A295" t="s">
        <v>598</v>
      </c>
      <c r="B295">
        <v>11</v>
      </c>
      <c r="C295">
        <v>7</v>
      </c>
      <c r="D295">
        <v>114</v>
      </c>
      <c r="E295">
        <v>0</v>
      </c>
      <c r="F295">
        <v>1</v>
      </c>
      <c r="G295">
        <v>0</v>
      </c>
      <c r="H295" s="9">
        <v>115</v>
      </c>
      <c r="I295" s="4">
        <f t="shared" si="8"/>
        <v>0.99130434782608701</v>
      </c>
      <c r="K295" t="s">
        <v>598</v>
      </c>
      <c r="L295">
        <v>11</v>
      </c>
      <c r="M295" t="s">
        <v>922</v>
      </c>
      <c r="N295">
        <v>7</v>
      </c>
      <c r="O295">
        <v>10265</v>
      </c>
      <c r="P295">
        <v>7712</v>
      </c>
      <c r="Q295" s="4">
        <f t="shared" si="9"/>
        <v>0.75129079396005849</v>
      </c>
    </row>
    <row r="296" spans="1:17">
      <c r="A296" t="s">
        <v>598</v>
      </c>
      <c r="B296">
        <v>11</v>
      </c>
      <c r="C296">
        <v>8</v>
      </c>
      <c r="D296">
        <v>114</v>
      </c>
      <c r="E296">
        <v>0</v>
      </c>
      <c r="F296">
        <v>1</v>
      </c>
      <c r="G296">
        <v>0</v>
      </c>
      <c r="H296" s="9">
        <v>115</v>
      </c>
      <c r="I296" s="4">
        <f t="shared" si="8"/>
        <v>0.99130434782608701</v>
      </c>
      <c r="K296" t="s">
        <v>598</v>
      </c>
      <c r="L296">
        <v>11</v>
      </c>
      <c r="M296" t="s">
        <v>923</v>
      </c>
      <c r="N296">
        <v>8</v>
      </c>
      <c r="O296">
        <v>10265</v>
      </c>
      <c r="P296">
        <v>7745</v>
      </c>
      <c r="Q296" s="4">
        <f t="shared" si="9"/>
        <v>0.75450560155869462</v>
      </c>
    </row>
    <row r="297" spans="1:17">
      <c r="A297" t="s">
        <v>598</v>
      </c>
      <c r="B297">
        <v>11</v>
      </c>
      <c r="C297">
        <v>9</v>
      </c>
      <c r="D297">
        <v>115</v>
      </c>
      <c r="E297">
        <v>0</v>
      </c>
      <c r="F297">
        <v>0</v>
      </c>
      <c r="G297">
        <v>0</v>
      </c>
      <c r="H297" s="9">
        <v>115</v>
      </c>
      <c r="I297" s="4">
        <f t="shared" si="8"/>
        <v>1</v>
      </c>
      <c r="K297" t="s">
        <v>598</v>
      </c>
      <c r="L297">
        <v>11</v>
      </c>
      <c r="M297" t="s">
        <v>924</v>
      </c>
      <c r="N297">
        <v>9</v>
      </c>
      <c r="O297">
        <v>10265</v>
      </c>
      <c r="P297">
        <v>7890</v>
      </c>
      <c r="Q297" s="4">
        <f t="shared" si="9"/>
        <v>0.76863127131027764</v>
      </c>
    </row>
    <row r="298" spans="1:17">
      <c r="A298" t="s">
        <v>598</v>
      </c>
      <c r="B298">
        <v>11</v>
      </c>
      <c r="C298">
        <v>10</v>
      </c>
      <c r="D298">
        <v>115</v>
      </c>
      <c r="E298">
        <v>0</v>
      </c>
      <c r="F298">
        <v>0</v>
      </c>
      <c r="G298">
        <v>0</v>
      </c>
      <c r="H298" s="9">
        <v>115</v>
      </c>
      <c r="I298" s="4">
        <f t="shared" si="8"/>
        <v>1</v>
      </c>
      <c r="K298" t="s">
        <v>598</v>
      </c>
      <c r="L298">
        <v>11</v>
      </c>
      <c r="M298" t="s">
        <v>925</v>
      </c>
      <c r="N298">
        <v>10</v>
      </c>
      <c r="O298">
        <v>10265</v>
      </c>
      <c r="P298">
        <v>8003</v>
      </c>
      <c r="Q298" s="4">
        <f t="shared" si="9"/>
        <v>0.77963955187530443</v>
      </c>
    </row>
    <row r="299" spans="1:17">
      <c r="A299" t="s">
        <v>598</v>
      </c>
      <c r="B299">
        <v>11</v>
      </c>
      <c r="C299">
        <v>11</v>
      </c>
      <c r="D299">
        <v>115</v>
      </c>
      <c r="E299">
        <v>0</v>
      </c>
      <c r="F299">
        <v>0</v>
      </c>
      <c r="G299">
        <v>0</v>
      </c>
      <c r="H299" s="9">
        <v>115</v>
      </c>
      <c r="I299" s="4">
        <f t="shared" si="8"/>
        <v>1</v>
      </c>
      <c r="K299" t="s">
        <v>598</v>
      </c>
      <c r="L299">
        <v>11</v>
      </c>
      <c r="M299" t="s">
        <v>926</v>
      </c>
      <c r="N299">
        <v>11</v>
      </c>
      <c r="O299">
        <v>10265</v>
      </c>
      <c r="P299">
        <v>8106</v>
      </c>
      <c r="Q299" s="4">
        <f t="shared" si="9"/>
        <v>0.78967364831953235</v>
      </c>
    </row>
    <row r="300" spans="1:17">
      <c r="A300" t="s">
        <v>598</v>
      </c>
      <c r="B300">
        <v>11</v>
      </c>
      <c r="C300">
        <v>12</v>
      </c>
      <c r="D300">
        <v>115</v>
      </c>
      <c r="E300">
        <v>0</v>
      </c>
      <c r="F300">
        <v>0</v>
      </c>
      <c r="G300">
        <v>0</v>
      </c>
      <c r="H300" s="9">
        <v>115</v>
      </c>
      <c r="I300" s="4">
        <f t="shared" si="8"/>
        <v>1</v>
      </c>
      <c r="K300" t="s">
        <v>598</v>
      </c>
      <c r="L300">
        <v>11</v>
      </c>
      <c r="M300" t="s">
        <v>935</v>
      </c>
      <c r="N300">
        <v>12</v>
      </c>
      <c r="O300">
        <v>10265</v>
      </c>
      <c r="P300">
        <v>8188</v>
      </c>
      <c r="Q300" s="4">
        <f t="shared" si="9"/>
        <v>0.79766195811008278</v>
      </c>
    </row>
    <row r="301" spans="1:17">
      <c r="A301" t="s">
        <v>598</v>
      </c>
      <c r="B301">
        <v>11</v>
      </c>
      <c r="C301">
        <v>13</v>
      </c>
      <c r="D301">
        <v>115</v>
      </c>
      <c r="E301">
        <v>0</v>
      </c>
      <c r="F301">
        <v>0</v>
      </c>
      <c r="G301">
        <v>0</v>
      </c>
      <c r="H301" s="9">
        <v>115</v>
      </c>
      <c r="I301" s="4">
        <f t="shared" si="8"/>
        <v>1</v>
      </c>
      <c r="K301" t="s">
        <v>598</v>
      </c>
      <c r="L301">
        <v>11</v>
      </c>
      <c r="M301" t="s">
        <v>927</v>
      </c>
      <c r="N301">
        <v>13</v>
      </c>
      <c r="O301">
        <v>10265</v>
      </c>
      <c r="P301">
        <v>8329</v>
      </c>
      <c r="Q301" s="4">
        <f t="shared" si="9"/>
        <v>0.81139795421334637</v>
      </c>
    </row>
    <row r="302" spans="1:17">
      <c r="A302" t="s">
        <v>598</v>
      </c>
      <c r="B302">
        <v>11</v>
      </c>
      <c r="C302">
        <v>14</v>
      </c>
      <c r="D302">
        <v>115</v>
      </c>
      <c r="E302">
        <v>0</v>
      </c>
      <c r="F302">
        <v>0</v>
      </c>
      <c r="G302">
        <v>0</v>
      </c>
      <c r="H302" s="9">
        <v>115</v>
      </c>
      <c r="I302" s="4">
        <f t="shared" si="8"/>
        <v>1</v>
      </c>
      <c r="K302" t="s">
        <v>598</v>
      </c>
      <c r="L302">
        <v>11</v>
      </c>
      <c r="M302" t="s">
        <v>928</v>
      </c>
      <c r="N302">
        <v>14</v>
      </c>
      <c r="O302">
        <v>10265</v>
      </c>
      <c r="P302">
        <v>8364</v>
      </c>
      <c r="Q302" s="4">
        <f t="shared" si="9"/>
        <v>0.81480759863614227</v>
      </c>
    </row>
    <row r="303" spans="1:17">
      <c r="A303" t="s">
        <v>598</v>
      </c>
      <c r="B303">
        <v>11</v>
      </c>
      <c r="C303">
        <v>15</v>
      </c>
      <c r="D303">
        <v>115</v>
      </c>
      <c r="E303">
        <v>0</v>
      </c>
      <c r="F303">
        <v>0</v>
      </c>
      <c r="G303">
        <v>0</v>
      </c>
      <c r="H303" s="9">
        <v>115</v>
      </c>
      <c r="I303" s="4">
        <f t="shared" si="8"/>
        <v>1</v>
      </c>
      <c r="K303" t="s">
        <v>598</v>
      </c>
      <c r="L303">
        <v>11</v>
      </c>
      <c r="M303" t="s">
        <v>930</v>
      </c>
      <c r="N303">
        <v>15</v>
      </c>
      <c r="O303">
        <v>10265</v>
      </c>
      <c r="P303">
        <v>8412</v>
      </c>
      <c r="Q303" s="4">
        <f t="shared" si="9"/>
        <v>0.81948368241597658</v>
      </c>
    </row>
    <row r="304" spans="1:17">
      <c r="A304" t="s">
        <v>598</v>
      </c>
      <c r="B304">
        <v>11</v>
      </c>
      <c r="C304">
        <v>16</v>
      </c>
      <c r="D304">
        <v>115</v>
      </c>
      <c r="E304">
        <v>0</v>
      </c>
      <c r="F304">
        <v>0</v>
      </c>
      <c r="G304">
        <v>0</v>
      </c>
      <c r="H304" s="9">
        <v>115</v>
      </c>
      <c r="I304" s="4">
        <f t="shared" si="8"/>
        <v>1</v>
      </c>
      <c r="K304" t="s">
        <v>598</v>
      </c>
      <c r="L304">
        <v>11</v>
      </c>
      <c r="M304" t="s">
        <v>929</v>
      </c>
      <c r="N304">
        <v>16</v>
      </c>
      <c r="O304">
        <v>10265</v>
      </c>
      <c r="P304">
        <v>8503</v>
      </c>
      <c r="Q304" s="4">
        <f t="shared" si="9"/>
        <v>0.82834875791524598</v>
      </c>
    </row>
    <row r="305" spans="1:17">
      <c r="A305" t="s">
        <v>598</v>
      </c>
      <c r="B305">
        <v>11</v>
      </c>
      <c r="C305">
        <v>17</v>
      </c>
      <c r="D305">
        <v>115</v>
      </c>
      <c r="E305">
        <v>0</v>
      </c>
      <c r="F305">
        <v>0</v>
      </c>
      <c r="G305">
        <v>0</v>
      </c>
      <c r="H305" s="9">
        <v>115</v>
      </c>
      <c r="I305" s="4">
        <f t="shared" si="8"/>
        <v>1</v>
      </c>
      <c r="K305" t="s">
        <v>598</v>
      </c>
      <c r="L305">
        <v>11</v>
      </c>
      <c r="M305" t="s">
        <v>931</v>
      </c>
      <c r="N305">
        <v>17</v>
      </c>
      <c r="O305">
        <v>10265</v>
      </c>
      <c r="P305">
        <v>8655</v>
      </c>
      <c r="Q305" s="4">
        <f t="shared" si="9"/>
        <v>0.84315635655138821</v>
      </c>
    </row>
    <row r="306" spans="1:17">
      <c r="A306" t="s">
        <v>598</v>
      </c>
      <c r="B306">
        <v>11</v>
      </c>
      <c r="C306">
        <v>18</v>
      </c>
      <c r="D306">
        <v>115</v>
      </c>
      <c r="E306">
        <v>0</v>
      </c>
      <c r="F306">
        <v>0</v>
      </c>
      <c r="G306">
        <v>0</v>
      </c>
      <c r="H306" s="9">
        <v>115</v>
      </c>
      <c r="I306" s="4">
        <f t="shared" si="8"/>
        <v>1</v>
      </c>
      <c r="K306" t="s">
        <v>598</v>
      </c>
      <c r="L306">
        <v>11</v>
      </c>
      <c r="M306" t="s">
        <v>933</v>
      </c>
      <c r="N306">
        <v>18</v>
      </c>
      <c r="O306">
        <v>10265</v>
      </c>
      <c r="P306">
        <v>8766</v>
      </c>
      <c r="Q306" s="4">
        <f t="shared" si="9"/>
        <v>0.85396980029225522</v>
      </c>
    </row>
    <row r="307" spans="1:17">
      <c r="A307" t="s">
        <v>598</v>
      </c>
      <c r="B307">
        <v>11</v>
      </c>
      <c r="C307">
        <v>19</v>
      </c>
      <c r="D307">
        <v>115</v>
      </c>
      <c r="E307">
        <v>0</v>
      </c>
      <c r="F307">
        <v>0</v>
      </c>
      <c r="G307">
        <v>0</v>
      </c>
      <c r="H307" s="9">
        <v>115</v>
      </c>
      <c r="I307" s="4">
        <f t="shared" si="8"/>
        <v>1</v>
      </c>
      <c r="K307" t="s">
        <v>598</v>
      </c>
      <c r="L307">
        <v>11</v>
      </c>
      <c r="M307" t="s">
        <v>932</v>
      </c>
      <c r="N307">
        <v>19</v>
      </c>
      <c r="O307">
        <v>10265</v>
      </c>
      <c r="P307">
        <v>8780</v>
      </c>
      <c r="Q307" s="4">
        <f t="shared" si="9"/>
        <v>0.85533365806137363</v>
      </c>
    </row>
    <row r="308" spans="1:17">
      <c r="A308" t="s">
        <v>598</v>
      </c>
      <c r="B308">
        <v>11</v>
      </c>
      <c r="C308">
        <v>20</v>
      </c>
      <c r="D308">
        <v>115</v>
      </c>
      <c r="E308">
        <v>0</v>
      </c>
      <c r="F308">
        <v>0</v>
      </c>
      <c r="G308">
        <v>0</v>
      </c>
      <c r="H308" s="9">
        <v>115</v>
      </c>
      <c r="I308" s="4">
        <f t="shared" si="8"/>
        <v>1</v>
      </c>
      <c r="K308" t="s">
        <v>598</v>
      </c>
      <c r="L308">
        <v>11</v>
      </c>
      <c r="M308" t="s">
        <v>934</v>
      </c>
      <c r="N308">
        <v>20</v>
      </c>
      <c r="O308">
        <v>10265</v>
      </c>
      <c r="P308">
        <v>8869</v>
      </c>
      <c r="Q308" s="4">
        <f t="shared" si="9"/>
        <v>0.86400389673648315</v>
      </c>
    </row>
    <row r="309" spans="1:17">
      <c r="A309" t="s">
        <v>598</v>
      </c>
      <c r="B309">
        <v>11</v>
      </c>
      <c r="C309">
        <v>21</v>
      </c>
      <c r="D309">
        <v>115</v>
      </c>
      <c r="E309">
        <v>0</v>
      </c>
      <c r="F309">
        <v>0</v>
      </c>
      <c r="G309">
        <v>0</v>
      </c>
      <c r="H309" s="9">
        <v>115</v>
      </c>
      <c r="I309" s="4">
        <f t="shared" si="8"/>
        <v>1</v>
      </c>
      <c r="K309" t="s">
        <v>598</v>
      </c>
      <c r="L309">
        <v>11</v>
      </c>
      <c r="M309" t="s">
        <v>939</v>
      </c>
      <c r="N309">
        <v>21</v>
      </c>
      <c r="O309">
        <v>10265</v>
      </c>
      <c r="P309">
        <v>9027</v>
      </c>
      <c r="Q309" s="4">
        <f t="shared" si="9"/>
        <v>0.87939600584510469</v>
      </c>
    </row>
    <row r="310" spans="1:17">
      <c r="A310" t="s">
        <v>598</v>
      </c>
      <c r="B310">
        <v>11</v>
      </c>
      <c r="C310">
        <v>22</v>
      </c>
      <c r="D310">
        <v>115</v>
      </c>
      <c r="E310">
        <v>0</v>
      </c>
      <c r="F310">
        <v>0</v>
      </c>
      <c r="G310">
        <v>0</v>
      </c>
      <c r="H310" s="9">
        <v>115</v>
      </c>
      <c r="I310" s="4">
        <f t="shared" si="8"/>
        <v>1</v>
      </c>
      <c r="K310" t="s">
        <v>598</v>
      </c>
      <c r="L310">
        <v>11</v>
      </c>
      <c r="M310" t="s">
        <v>936</v>
      </c>
      <c r="N310">
        <v>22</v>
      </c>
      <c r="O310">
        <v>10265</v>
      </c>
      <c r="P310">
        <v>9158</v>
      </c>
      <c r="Q310" s="4">
        <f t="shared" si="9"/>
        <v>0.89215781782756942</v>
      </c>
    </row>
    <row r="311" spans="1:17">
      <c r="A311" t="s">
        <v>598</v>
      </c>
      <c r="B311">
        <v>11</v>
      </c>
      <c r="C311">
        <v>23</v>
      </c>
      <c r="D311">
        <v>115</v>
      </c>
      <c r="E311">
        <v>0</v>
      </c>
      <c r="F311">
        <v>0</v>
      </c>
      <c r="G311">
        <v>0</v>
      </c>
      <c r="H311" s="9">
        <v>115</v>
      </c>
      <c r="I311" s="4">
        <f t="shared" si="8"/>
        <v>1</v>
      </c>
      <c r="K311" t="s">
        <v>598</v>
      </c>
      <c r="L311">
        <v>11</v>
      </c>
      <c r="M311" t="s">
        <v>937</v>
      </c>
      <c r="N311">
        <v>23</v>
      </c>
      <c r="O311">
        <v>10265</v>
      </c>
      <c r="P311">
        <v>9274</v>
      </c>
      <c r="Q311" s="4">
        <f t="shared" si="9"/>
        <v>0.90345835362883586</v>
      </c>
    </row>
    <row r="312" spans="1:17">
      <c r="A312" t="s">
        <v>598</v>
      </c>
      <c r="B312">
        <v>11</v>
      </c>
      <c r="C312">
        <v>24</v>
      </c>
      <c r="D312">
        <v>115</v>
      </c>
      <c r="E312">
        <v>0</v>
      </c>
      <c r="F312">
        <v>0</v>
      </c>
      <c r="G312">
        <v>0</v>
      </c>
      <c r="H312" s="9">
        <v>115</v>
      </c>
      <c r="I312" s="4">
        <f t="shared" si="8"/>
        <v>1</v>
      </c>
      <c r="K312" t="s">
        <v>598</v>
      </c>
      <c r="L312">
        <v>11</v>
      </c>
      <c r="M312" t="s">
        <v>938</v>
      </c>
      <c r="N312">
        <v>24</v>
      </c>
      <c r="O312">
        <v>10265</v>
      </c>
      <c r="P312">
        <v>9474</v>
      </c>
      <c r="Q312" s="4">
        <f t="shared" si="9"/>
        <v>0.92294203604481251</v>
      </c>
    </row>
    <row r="313" spans="1:17">
      <c r="I313" s="4"/>
      <c r="Q313" s="4"/>
    </row>
    <row r="314" spans="1:17">
      <c r="I314" s="4"/>
      <c r="Q314" s="4"/>
    </row>
    <row r="315" spans="1:17">
      <c r="I315" s="4"/>
      <c r="Q315" s="4"/>
    </row>
    <row r="316" spans="1:17">
      <c r="I316" s="4"/>
      <c r="Q316" s="4"/>
    </row>
    <row r="317" spans="1:17">
      <c r="I317" s="4"/>
      <c r="Q317" s="4"/>
    </row>
    <row r="318" spans="1:17">
      <c r="I318" s="4"/>
      <c r="Q318" s="4"/>
    </row>
    <row r="319" spans="1:17">
      <c r="I319" s="4"/>
      <c r="Q319" s="4"/>
    </row>
    <row r="320" spans="1:17">
      <c r="I320" s="4"/>
      <c r="Q320" s="4"/>
    </row>
    <row r="321" spans="9:17">
      <c r="I321" s="4"/>
      <c r="Q321" s="4"/>
    </row>
    <row r="322" spans="9:17">
      <c r="I322" s="4"/>
      <c r="Q322" s="4"/>
    </row>
    <row r="323" spans="9:17">
      <c r="I323" s="4"/>
      <c r="Q323" s="4"/>
    </row>
    <row r="324" spans="9:17">
      <c r="I324" s="4"/>
      <c r="Q324" s="4"/>
    </row>
    <row r="325" spans="9:17">
      <c r="I325" s="4"/>
      <c r="Q325" s="4"/>
    </row>
    <row r="326" spans="9:17">
      <c r="I326" s="4"/>
      <c r="Q326" s="4"/>
    </row>
    <row r="327" spans="9:17">
      <c r="I327" s="4"/>
      <c r="Q327" s="4"/>
    </row>
    <row r="328" spans="9:17">
      <c r="I328" s="4"/>
      <c r="Q328" s="4"/>
    </row>
    <row r="329" spans="9:17">
      <c r="I329" s="4"/>
      <c r="Q329" s="4"/>
    </row>
    <row r="330" spans="9:17">
      <c r="I330" s="4"/>
      <c r="Q330" s="4"/>
    </row>
    <row r="331" spans="9:17">
      <c r="I331" s="4"/>
      <c r="Q331" s="4"/>
    </row>
    <row r="332" spans="9:17">
      <c r="I332" s="4"/>
      <c r="Q332" s="4"/>
    </row>
    <row r="333" spans="9:17">
      <c r="I333" s="4"/>
      <c r="Q333" s="4"/>
    </row>
    <row r="334" spans="9:17">
      <c r="I334" s="4"/>
      <c r="Q334" s="4"/>
    </row>
    <row r="335" spans="9:17">
      <c r="I335" s="4"/>
      <c r="Q335" s="4"/>
    </row>
    <row r="336" spans="9:17">
      <c r="I336" s="4"/>
      <c r="Q336" s="4"/>
    </row>
    <row r="337" spans="9:17">
      <c r="I337" s="4"/>
      <c r="Q337" s="4"/>
    </row>
    <row r="338" spans="9:17">
      <c r="I338" s="4"/>
      <c r="Q338" s="4"/>
    </row>
    <row r="339" spans="9:17">
      <c r="I339" s="4"/>
      <c r="Q339" s="4"/>
    </row>
    <row r="340" spans="9:17">
      <c r="I340" s="4"/>
      <c r="Q340" s="4"/>
    </row>
    <row r="341" spans="9:17">
      <c r="I341" s="4"/>
      <c r="Q341" s="4"/>
    </row>
    <row r="342" spans="9:17">
      <c r="I342" s="4"/>
      <c r="Q342" s="4"/>
    </row>
    <row r="343" spans="9:17">
      <c r="I343" s="4"/>
      <c r="Q343" s="4"/>
    </row>
    <row r="344" spans="9:17">
      <c r="I344" s="4"/>
      <c r="Q344" s="4"/>
    </row>
    <row r="345" spans="9:17">
      <c r="I345" s="4"/>
      <c r="Q345" s="4"/>
    </row>
    <row r="346" spans="9:17">
      <c r="I346" s="4"/>
      <c r="Q346" s="4"/>
    </row>
    <row r="347" spans="9:17">
      <c r="I347" s="4"/>
      <c r="Q347" s="4"/>
    </row>
    <row r="348" spans="9:17">
      <c r="I348" s="4"/>
      <c r="Q348" s="4"/>
    </row>
    <row r="349" spans="9:17">
      <c r="I349" s="4"/>
      <c r="Q349" s="4"/>
    </row>
    <row r="350" spans="9:17">
      <c r="I350" s="4"/>
      <c r="Q350" s="4"/>
    </row>
    <row r="351" spans="9:17">
      <c r="I351" s="4"/>
      <c r="Q351" s="4"/>
    </row>
    <row r="352" spans="9:17">
      <c r="I352" s="4"/>
      <c r="Q352" s="4"/>
    </row>
    <row r="353" spans="9:17">
      <c r="I353" s="4"/>
      <c r="Q353" s="4"/>
    </row>
    <row r="354" spans="9:17">
      <c r="I354" s="4"/>
      <c r="Q354" s="4"/>
    </row>
    <row r="355" spans="9:17">
      <c r="I355" s="4"/>
      <c r="Q355" s="4"/>
    </row>
    <row r="356" spans="9:17">
      <c r="I356" s="4"/>
      <c r="Q356" s="4"/>
    </row>
    <row r="357" spans="9:17">
      <c r="I357" s="4"/>
      <c r="Q357" s="4"/>
    </row>
    <row r="358" spans="9:17">
      <c r="I358" s="4"/>
      <c r="Q358" s="4"/>
    </row>
    <row r="359" spans="9:17">
      <c r="I359" s="4"/>
      <c r="Q359" s="4"/>
    </row>
    <row r="360" spans="9:17">
      <c r="I360" s="4"/>
      <c r="Q360" s="4"/>
    </row>
    <row r="361" spans="9:17">
      <c r="I361" s="4"/>
      <c r="Q361" s="4"/>
    </row>
    <row r="362" spans="9:17">
      <c r="I362" s="4"/>
      <c r="Q362" s="4"/>
    </row>
    <row r="363" spans="9:17">
      <c r="I363" s="4"/>
      <c r="Q363" s="4"/>
    </row>
    <row r="364" spans="9:17">
      <c r="I364" s="4"/>
      <c r="Q364" s="4"/>
    </row>
    <row r="365" spans="9:17">
      <c r="I365" s="4"/>
      <c r="Q365" s="4"/>
    </row>
    <row r="366" spans="9:17">
      <c r="I366" s="4"/>
      <c r="Q366" s="4"/>
    </row>
    <row r="367" spans="9:17">
      <c r="I367" s="4"/>
      <c r="Q367" s="4"/>
    </row>
    <row r="368" spans="9:17">
      <c r="I368" s="4"/>
      <c r="Q368" s="4"/>
    </row>
    <row r="369" spans="9:17">
      <c r="I369" s="4"/>
      <c r="Q369" s="4"/>
    </row>
    <row r="370" spans="9:17">
      <c r="I370" s="4"/>
      <c r="Q370" s="4"/>
    </row>
    <row r="371" spans="9:17">
      <c r="I371" s="4"/>
      <c r="Q371" s="4"/>
    </row>
    <row r="372" spans="9:17">
      <c r="I372" s="4"/>
      <c r="Q372" s="4"/>
    </row>
    <row r="373" spans="9:17">
      <c r="I373" s="4"/>
      <c r="Q373" s="4"/>
    </row>
    <row r="374" spans="9:17">
      <c r="I374" s="4"/>
      <c r="Q374" s="4"/>
    </row>
    <row r="375" spans="9:17">
      <c r="I375" s="4"/>
      <c r="Q375" s="4"/>
    </row>
    <row r="376" spans="9:17">
      <c r="I376" s="4"/>
      <c r="Q376" s="4"/>
    </row>
    <row r="377" spans="9:17">
      <c r="I377" s="4"/>
      <c r="Q377" s="4"/>
    </row>
    <row r="378" spans="9:17">
      <c r="I378" s="4"/>
      <c r="Q378" s="4"/>
    </row>
    <row r="379" spans="9:17">
      <c r="I379" s="4"/>
      <c r="Q379" s="4"/>
    </row>
    <row r="380" spans="9:17">
      <c r="I380" s="4"/>
      <c r="Q380" s="4"/>
    </row>
    <row r="381" spans="9:17">
      <c r="I381" s="4"/>
      <c r="Q381" s="4"/>
    </row>
    <row r="382" spans="9:17">
      <c r="I382" s="4"/>
      <c r="Q382" s="4"/>
    </row>
    <row r="383" spans="9:17">
      <c r="I383" s="4"/>
      <c r="Q383" s="4"/>
    </row>
    <row r="384" spans="9:17">
      <c r="I384" s="4"/>
      <c r="Q384" s="4"/>
    </row>
    <row r="385" spans="1:17">
      <c r="I385" s="4"/>
      <c r="Q385" s="4"/>
    </row>
    <row r="386" spans="1:17">
      <c r="I386" s="4"/>
      <c r="Q386" s="4"/>
    </row>
    <row r="387" spans="1:17">
      <c r="I387" s="4"/>
      <c r="Q387" s="4"/>
    </row>
    <row r="388" spans="1:17">
      <c r="I388" s="4"/>
      <c r="Q388" s="4"/>
    </row>
    <row r="389" spans="1:17">
      <c r="A389" s="9"/>
      <c r="B389" s="9"/>
      <c r="C389" s="9"/>
      <c r="D389" s="9"/>
      <c r="E389" s="9"/>
      <c r="F389" s="9"/>
      <c r="G389" s="9"/>
      <c r="I389" s="4"/>
      <c r="Q389" s="4"/>
    </row>
    <row r="390" spans="1:17">
      <c r="I390" s="4"/>
      <c r="Q390" s="4"/>
    </row>
    <row r="391" spans="1:17">
      <c r="I391" s="4"/>
      <c r="Q391" s="4"/>
    </row>
    <row r="392" spans="1:17">
      <c r="I392" s="4"/>
      <c r="Q392" s="4"/>
    </row>
    <row r="393" spans="1:17">
      <c r="I393" s="4"/>
      <c r="Q393" s="4"/>
    </row>
    <row r="394" spans="1:17">
      <c r="I394" s="4"/>
      <c r="Q394" s="4"/>
    </row>
    <row r="395" spans="1:17">
      <c r="I395" s="4"/>
      <c r="Q395" s="4"/>
    </row>
    <row r="396" spans="1:17">
      <c r="I396" s="4"/>
      <c r="Q396" s="4"/>
    </row>
    <row r="397" spans="1:17">
      <c r="I397" s="4"/>
      <c r="Q397" s="4"/>
    </row>
    <row r="398" spans="1:17">
      <c r="I398" s="4"/>
      <c r="Q398" s="4"/>
    </row>
    <row r="399" spans="1:17">
      <c r="I399" s="4"/>
      <c r="Q399" s="4"/>
    </row>
    <row r="400" spans="1:17">
      <c r="I400" s="4"/>
      <c r="Q400" s="4"/>
    </row>
    <row r="401" spans="9:17">
      <c r="I401" s="4"/>
      <c r="Q401" s="4"/>
    </row>
    <row r="402" spans="9:17">
      <c r="I402" s="4"/>
      <c r="Q402" s="4"/>
    </row>
    <row r="403" spans="9:17">
      <c r="I403" s="4"/>
      <c r="Q403" s="4"/>
    </row>
    <row r="404" spans="9:17">
      <c r="I404" s="4"/>
      <c r="Q404" s="4"/>
    </row>
    <row r="405" spans="9:17">
      <c r="I405" s="4"/>
      <c r="Q405" s="4"/>
    </row>
    <row r="406" spans="9:17">
      <c r="I406" s="4"/>
      <c r="Q406" s="4"/>
    </row>
    <row r="407" spans="9:17">
      <c r="I407" s="4"/>
      <c r="Q407" s="4"/>
    </row>
    <row r="408" spans="9:17">
      <c r="I408" s="4"/>
      <c r="Q408" s="4"/>
    </row>
    <row r="409" spans="9:17">
      <c r="I409" s="4"/>
      <c r="Q409" s="4"/>
    </row>
    <row r="410" spans="9:17">
      <c r="I410" s="4"/>
      <c r="Q410" s="4"/>
    </row>
    <row r="411" spans="9:17">
      <c r="I411" s="4"/>
      <c r="Q411" s="4"/>
    </row>
    <row r="412" spans="9:17">
      <c r="I412" s="4"/>
      <c r="Q412" s="4"/>
    </row>
    <row r="413" spans="9:17">
      <c r="I413" s="4"/>
      <c r="Q413" s="4"/>
    </row>
    <row r="414" spans="9:17">
      <c r="I414" s="4"/>
      <c r="Q414" s="4"/>
    </row>
    <row r="415" spans="9:17">
      <c r="I415" s="4"/>
      <c r="Q415" s="4"/>
    </row>
    <row r="416" spans="9:17">
      <c r="I416" s="4"/>
      <c r="Q416" s="4"/>
    </row>
    <row r="417" spans="1:17">
      <c r="I417" s="4"/>
      <c r="Q417" s="4"/>
    </row>
    <row r="418" spans="1:17">
      <c r="I418" s="4"/>
      <c r="Q418" s="4"/>
    </row>
    <row r="419" spans="1:17">
      <c r="I419" s="4"/>
      <c r="Q419" s="4"/>
    </row>
    <row r="420" spans="1:17">
      <c r="A420" s="9"/>
      <c r="B420" s="9"/>
      <c r="C420" s="9"/>
      <c r="D420" s="9"/>
      <c r="E420" s="9"/>
      <c r="F420" s="9"/>
      <c r="G420" s="9"/>
      <c r="I420" s="4"/>
      <c r="Q420" s="4"/>
    </row>
    <row r="421" spans="1:17">
      <c r="I421" s="4"/>
      <c r="Q421" s="4"/>
    </row>
    <row r="422" spans="1:17">
      <c r="I422" s="4"/>
      <c r="Q422" s="4"/>
    </row>
    <row r="423" spans="1:17">
      <c r="I423" s="4"/>
      <c r="Q423" s="4"/>
    </row>
    <row r="424" spans="1:17">
      <c r="I424" s="4"/>
      <c r="Q424" s="4"/>
    </row>
    <row r="425" spans="1:17">
      <c r="I425" s="4"/>
      <c r="Q425" s="4"/>
    </row>
    <row r="426" spans="1:17">
      <c r="I426" s="4"/>
      <c r="Q426" s="4"/>
    </row>
    <row r="427" spans="1:17">
      <c r="I427" s="4"/>
      <c r="Q427" s="4"/>
    </row>
    <row r="428" spans="1:17">
      <c r="I428" s="4"/>
      <c r="Q428" s="4"/>
    </row>
    <row r="429" spans="1:17">
      <c r="I429" s="4"/>
      <c r="Q429" s="4"/>
    </row>
    <row r="430" spans="1:17">
      <c r="I430" s="4"/>
      <c r="Q430" s="4"/>
    </row>
    <row r="431" spans="1:17">
      <c r="I431" s="4"/>
      <c r="Q431" s="4"/>
    </row>
    <row r="432" spans="1:17">
      <c r="I432" s="4"/>
      <c r="Q432" s="4"/>
    </row>
    <row r="433" spans="9:17">
      <c r="I433" s="4"/>
      <c r="Q433" s="4"/>
    </row>
    <row r="434" spans="9:17">
      <c r="I434" s="4"/>
      <c r="Q434" s="4"/>
    </row>
    <row r="435" spans="9:17">
      <c r="I435" s="4"/>
      <c r="Q435" s="4"/>
    </row>
    <row r="436" spans="9:17">
      <c r="I436" s="4"/>
      <c r="Q436" s="4"/>
    </row>
    <row r="437" spans="9:17">
      <c r="I437" s="4"/>
      <c r="Q437" s="4"/>
    </row>
    <row r="438" spans="9:17">
      <c r="I438" s="4"/>
      <c r="Q438" s="4"/>
    </row>
    <row r="439" spans="9:17">
      <c r="I439" s="4"/>
      <c r="Q439" s="4"/>
    </row>
    <row r="440" spans="9:17">
      <c r="I440" s="4"/>
      <c r="Q440" s="4"/>
    </row>
    <row r="441" spans="9:17">
      <c r="I441" s="4"/>
      <c r="Q441" s="4"/>
    </row>
    <row r="442" spans="9:17">
      <c r="I442" s="4"/>
      <c r="Q442" s="4"/>
    </row>
    <row r="443" spans="9:17">
      <c r="I443" s="4"/>
      <c r="Q443" s="4"/>
    </row>
    <row r="444" spans="9:17">
      <c r="I444" s="4"/>
      <c r="Q444" s="4"/>
    </row>
    <row r="445" spans="9:17">
      <c r="I445" s="4"/>
      <c r="Q445" s="4"/>
    </row>
    <row r="446" spans="9:17">
      <c r="I446" s="4"/>
      <c r="Q446" s="4"/>
    </row>
    <row r="447" spans="9:17">
      <c r="I447" s="4"/>
      <c r="Q447" s="4"/>
    </row>
    <row r="448" spans="9:17">
      <c r="I448" s="4"/>
      <c r="Q448" s="4"/>
    </row>
    <row r="449" spans="9:17">
      <c r="I449" s="4"/>
      <c r="Q449" s="4"/>
    </row>
    <row r="450" spans="9:17">
      <c r="I450" s="4"/>
      <c r="Q450" s="4"/>
    </row>
    <row r="451" spans="9:17">
      <c r="I451" s="4"/>
      <c r="Q451" s="4"/>
    </row>
    <row r="452" spans="9:17">
      <c r="I452" s="4"/>
      <c r="Q452" s="4"/>
    </row>
    <row r="453" spans="9:17">
      <c r="I453" s="4"/>
      <c r="Q453" s="4"/>
    </row>
    <row r="454" spans="9:17">
      <c r="I454" s="4"/>
      <c r="Q454" s="4"/>
    </row>
    <row r="455" spans="9:17">
      <c r="I455" s="4"/>
      <c r="Q455" s="4"/>
    </row>
    <row r="456" spans="9:17">
      <c r="I456" s="4"/>
      <c r="Q456" s="4"/>
    </row>
    <row r="457" spans="9:17">
      <c r="I457" s="4"/>
      <c r="Q457" s="4"/>
    </row>
    <row r="458" spans="9:17">
      <c r="I458" s="4"/>
      <c r="Q458" s="4"/>
    </row>
    <row r="459" spans="9:17">
      <c r="I459" s="4"/>
      <c r="Q459" s="4"/>
    </row>
    <row r="460" spans="9:17">
      <c r="I460" s="4"/>
      <c r="Q460" s="4"/>
    </row>
    <row r="461" spans="9:17">
      <c r="I461" s="4"/>
      <c r="Q461" s="4"/>
    </row>
    <row r="462" spans="9:17">
      <c r="I462" s="4"/>
      <c r="Q462" s="4"/>
    </row>
    <row r="463" spans="9:17">
      <c r="I463" s="4"/>
      <c r="Q463" s="4"/>
    </row>
    <row r="464" spans="9:17">
      <c r="I464" s="4"/>
      <c r="Q464" s="4"/>
    </row>
    <row r="465" spans="9:17">
      <c r="I465" s="4"/>
      <c r="Q465" s="4"/>
    </row>
    <row r="466" spans="9:17">
      <c r="I466" s="4"/>
      <c r="Q466" s="4"/>
    </row>
    <row r="467" spans="9:17">
      <c r="I467" s="4"/>
      <c r="Q467" s="4"/>
    </row>
    <row r="468" spans="9:17">
      <c r="I468" s="4"/>
      <c r="Q468" s="4"/>
    </row>
    <row r="469" spans="9:17">
      <c r="I469" s="4"/>
      <c r="Q469" s="4"/>
    </row>
    <row r="470" spans="9:17">
      <c r="I470" s="4"/>
      <c r="Q470" s="4"/>
    </row>
    <row r="471" spans="9:17">
      <c r="I471" s="4"/>
      <c r="Q471" s="4"/>
    </row>
    <row r="472" spans="9:17">
      <c r="I472" s="4"/>
      <c r="Q472" s="4"/>
    </row>
    <row r="473" spans="9:17">
      <c r="I473" s="4"/>
      <c r="Q473" s="4"/>
    </row>
    <row r="474" spans="9:17">
      <c r="I474" s="4"/>
      <c r="Q474" s="4"/>
    </row>
    <row r="475" spans="9:17">
      <c r="I475" s="4"/>
      <c r="Q475" s="4"/>
    </row>
    <row r="476" spans="9:17">
      <c r="I476" s="4"/>
      <c r="Q476" s="4"/>
    </row>
    <row r="477" spans="9:17">
      <c r="I477" s="4"/>
      <c r="Q477" s="4"/>
    </row>
    <row r="478" spans="9:17">
      <c r="I478" s="4"/>
      <c r="Q478" s="4"/>
    </row>
    <row r="479" spans="9:17">
      <c r="I479" s="4"/>
      <c r="Q479" s="4"/>
    </row>
    <row r="480" spans="9:17">
      <c r="I480" s="4"/>
      <c r="Q480" s="4"/>
    </row>
    <row r="481" spans="9:17">
      <c r="I481" s="4"/>
      <c r="Q481" s="4"/>
    </row>
    <row r="482" spans="9:17">
      <c r="I482" s="4"/>
      <c r="Q482" s="4"/>
    </row>
    <row r="483" spans="9:17">
      <c r="I483" s="4"/>
      <c r="Q483" s="4"/>
    </row>
    <row r="484" spans="9:17">
      <c r="I484" s="4"/>
      <c r="Q484" s="4"/>
    </row>
    <row r="485" spans="9:17">
      <c r="I485" s="4"/>
      <c r="Q485" s="4"/>
    </row>
    <row r="486" spans="9:17">
      <c r="I486" s="4"/>
      <c r="Q486" s="4"/>
    </row>
    <row r="487" spans="9:17">
      <c r="I487" s="4"/>
      <c r="Q487" s="4"/>
    </row>
    <row r="488" spans="9:17">
      <c r="I488" s="4"/>
      <c r="Q488" s="4"/>
    </row>
    <row r="489" spans="9:17">
      <c r="I489" s="4"/>
      <c r="Q489" s="4"/>
    </row>
    <row r="490" spans="9:17">
      <c r="I490" s="4"/>
      <c r="Q490" s="4"/>
    </row>
    <row r="491" spans="9:17">
      <c r="I491" s="4"/>
      <c r="Q491" s="4"/>
    </row>
    <row r="492" spans="9:17">
      <c r="I492" s="4"/>
      <c r="Q492" s="4"/>
    </row>
    <row r="493" spans="9:17">
      <c r="I493" s="4"/>
      <c r="Q493" s="4"/>
    </row>
    <row r="494" spans="9:17">
      <c r="I494" s="4"/>
      <c r="Q494" s="4"/>
    </row>
    <row r="495" spans="9:17">
      <c r="I495" s="4"/>
      <c r="Q495" s="4"/>
    </row>
    <row r="496" spans="9:17">
      <c r="I496" s="4"/>
      <c r="Q496" s="4"/>
    </row>
    <row r="497" spans="9:17">
      <c r="I497" s="4"/>
      <c r="Q497" s="4"/>
    </row>
    <row r="498" spans="9:17">
      <c r="I498" s="4"/>
      <c r="Q498" s="4"/>
    </row>
    <row r="499" spans="9:17">
      <c r="I499" s="4"/>
      <c r="Q499" s="4"/>
    </row>
    <row r="500" spans="9:17">
      <c r="I500" s="4"/>
      <c r="Q500" s="4"/>
    </row>
    <row r="501" spans="9:17">
      <c r="I501" s="4"/>
      <c r="Q501" s="4"/>
    </row>
    <row r="502" spans="9:17">
      <c r="I502" s="4"/>
      <c r="Q502" s="4"/>
    </row>
    <row r="503" spans="9:17">
      <c r="I503" s="4"/>
      <c r="Q503" s="4"/>
    </row>
    <row r="504" spans="9:17">
      <c r="I504" s="4"/>
      <c r="Q504" s="4"/>
    </row>
    <row r="505" spans="9:17">
      <c r="I505" s="4"/>
      <c r="Q505" s="4"/>
    </row>
    <row r="506" spans="9:17">
      <c r="I506" s="4"/>
      <c r="Q506" s="4"/>
    </row>
    <row r="507" spans="9:17">
      <c r="I507" s="4"/>
      <c r="Q507" s="4"/>
    </row>
    <row r="508" spans="9:17">
      <c r="I508" s="4"/>
      <c r="Q508" s="4"/>
    </row>
    <row r="509" spans="9:17">
      <c r="I509" s="4"/>
      <c r="Q509" s="4"/>
    </row>
    <row r="510" spans="9:17">
      <c r="I510" s="4"/>
      <c r="Q510" s="4"/>
    </row>
    <row r="511" spans="9:17">
      <c r="I511" s="4"/>
      <c r="Q511" s="4"/>
    </row>
    <row r="512" spans="9:17">
      <c r="I512" s="4"/>
      <c r="Q512" s="4"/>
    </row>
    <row r="513" spans="9:17">
      <c r="I513" s="4"/>
      <c r="Q513" s="4"/>
    </row>
    <row r="514" spans="9:17">
      <c r="I514" s="4"/>
      <c r="Q514" s="4"/>
    </row>
    <row r="515" spans="9:17">
      <c r="I515" s="4"/>
      <c r="Q515" s="4"/>
    </row>
    <row r="516" spans="9:17">
      <c r="I516" s="4"/>
      <c r="Q516" s="4"/>
    </row>
    <row r="517" spans="9:17">
      <c r="I517" s="4"/>
      <c r="Q517" s="4"/>
    </row>
    <row r="518" spans="9:17">
      <c r="I518" s="4"/>
      <c r="Q518" s="4"/>
    </row>
    <row r="519" spans="9:17">
      <c r="I519" s="4"/>
      <c r="Q519" s="4"/>
    </row>
    <row r="520" spans="9:17">
      <c r="I520" s="4"/>
      <c r="Q520" s="4"/>
    </row>
    <row r="521" spans="9:17">
      <c r="I521" s="4"/>
      <c r="Q521" s="4"/>
    </row>
    <row r="522" spans="9:17">
      <c r="I522" s="4"/>
      <c r="Q522" s="4"/>
    </row>
    <row r="523" spans="9:17">
      <c r="I523" s="4"/>
      <c r="Q523" s="4"/>
    </row>
    <row r="524" spans="9:17">
      <c r="I524" s="4"/>
      <c r="Q524" s="4"/>
    </row>
    <row r="525" spans="9:17">
      <c r="I525" s="4"/>
      <c r="Q525" s="4"/>
    </row>
    <row r="526" spans="9:17">
      <c r="I526" s="4"/>
      <c r="Q526" s="4"/>
    </row>
    <row r="527" spans="9:17">
      <c r="I527" s="4"/>
      <c r="Q527" s="4"/>
    </row>
    <row r="528" spans="9:17">
      <c r="I528" s="4"/>
      <c r="Q528" s="4"/>
    </row>
    <row r="529" spans="9:17">
      <c r="I529" s="4"/>
      <c r="Q529" s="4"/>
    </row>
    <row r="530" spans="9:17">
      <c r="I530" s="4"/>
      <c r="Q530" s="4"/>
    </row>
    <row r="531" spans="9:17">
      <c r="I531" s="4"/>
      <c r="Q531" s="4"/>
    </row>
    <row r="532" spans="9:17">
      <c r="I532" s="4"/>
      <c r="Q532" s="4"/>
    </row>
    <row r="533" spans="9:17">
      <c r="I533" s="4"/>
      <c r="Q533" s="4"/>
    </row>
    <row r="534" spans="9:17">
      <c r="I534" s="4"/>
      <c r="Q534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21"/>
  <sheetViews>
    <sheetView topLeftCell="I1" workbookViewId="0">
      <selection activeCell="P1" sqref="P1:V8"/>
    </sheetView>
  </sheetViews>
  <sheetFormatPr baseColWidth="10" defaultRowHeight="15" x14ac:dyDescent="0"/>
  <cols>
    <col min="1" max="1" width="25.33203125" bestFit="1" customWidth="1"/>
    <col min="3" max="3" width="28.5" bestFit="1" customWidth="1"/>
    <col min="6" max="7" width="10.83203125" style="4"/>
    <col min="24" max="25" width="19" bestFit="1" customWidth="1"/>
    <col min="26" max="28" width="14.6640625" bestFit="1" customWidth="1"/>
    <col min="31" max="34" width="16.6640625" bestFit="1" customWidth="1"/>
    <col min="35" max="38" width="17.6640625" bestFit="1" customWidth="1"/>
    <col min="41" max="41" width="17.33203125" bestFit="1" customWidth="1"/>
    <col min="42" max="42" width="21.1640625" bestFit="1" customWidth="1"/>
    <col min="44" max="47" width="20.83203125" bestFit="1" customWidth="1"/>
    <col min="48" max="48" width="21.83203125" bestFit="1" customWidth="1"/>
    <col min="49" max="49" width="20.6640625" bestFit="1" customWidth="1"/>
  </cols>
  <sheetData>
    <row r="1" spans="1:50">
      <c r="A1" t="s">
        <v>3</v>
      </c>
      <c r="B1" t="s">
        <v>5</v>
      </c>
      <c r="C1" t="s">
        <v>608</v>
      </c>
      <c r="D1" t="s">
        <v>186</v>
      </c>
      <c r="E1" t="s">
        <v>232</v>
      </c>
      <c r="F1" s="4" t="s">
        <v>940</v>
      </c>
      <c r="G1" s="4" t="s">
        <v>604</v>
      </c>
      <c r="H1" t="s">
        <v>605</v>
      </c>
      <c r="I1" t="s">
        <v>606</v>
      </c>
      <c r="J1" t="s">
        <v>681</v>
      </c>
      <c r="K1" s="7" t="s">
        <v>607</v>
      </c>
      <c r="L1" s="7" t="s">
        <v>682</v>
      </c>
      <c r="M1" s="7"/>
      <c r="N1" s="7"/>
      <c r="O1" s="7"/>
      <c r="P1" s="7"/>
      <c r="Q1" s="7" t="s">
        <v>680</v>
      </c>
      <c r="R1" s="7"/>
      <c r="S1" s="7"/>
      <c r="T1" s="7"/>
      <c r="U1" s="7"/>
      <c r="W1" t="s">
        <v>182</v>
      </c>
      <c r="X1" t="s">
        <v>608</v>
      </c>
      <c r="Y1" t="s">
        <v>608</v>
      </c>
      <c r="Z1" t="s">
        <v>608</v>
      </c>
      <c r="AA1" t="s">
        <v>608</v>
      </c>
      <c r="AB1" t="s">
        <v>608</v>
      </c>
      <c r="AC1" t="s">
        <v>608</v>
      </c>
      <c r="AD1" t="s">
        <v>608</v>
      </c>
      <c r="AE1" t="s">
        <v>608</v>
      </c>
      <c r="AF1" t="s">
        <v>608</v>
      </c>
      <c r="AG1" t="s">
        <v>608</v>
      </c>
      <c r="AH1" t="s">
        <v>608</v>
      </c>
      <c r="AI1" t="s">
        <v>608</v>
      </c>
      <c r="AJ1" t="s">
        <v>608</v>
      </c>
      <c r="AK1" t="s">
        <v>608</v>
      </c>
      <c r="AL1" t="s">
        <v>608</v>
      </c>
      <c r="AM1" t="s">
        <v>608</v>
      </c>
      <c r="AN1" t="s">
        <v>608</v>
      </c>
      <c r="AO1" t="s">
        <v>608</v>
      </c>
      <c r="AP1" t="s">
        <v>608</v>
      </c>
      <c r="AQ1" t="s">
        <v>608</v>
      </c>
      <c r="AR1" t="s">
        <v>608</v>
      </c>
      <c r="AS1" t="s">
        <v>608</v>
      </c>
      <c r="AT1" t="s">
        <v>608</v>
      </c>
      <c r="AU1" t="s">
        <v>608</v>
      </c>
      <c r="AV1" t="s">
        <v>608</v>
      </c>
      <c r="AW1" t="s">
        <v>608</v>
      </c>
      <c r="AX1" t="s">
        <v>608</v>
      </c>
    </row>
    <row r="2" spans="1:50">
      <c r="A2" t="s">
        <v>188</v>
      </c>
      <c r="B2">
        <v>1</v>
      </c>
      <c r="C2" t="str">
        <f>CONCATENATE(A2, "_",B2,"_")</f>
        <v>test.BallonFactory_1_</v>
      </c>
      <c r="D2">
        <v>1</v>
      </c>
      <c r="E2" s="4">
        <v>0.50980392156862742</v>
      </c>
      <c r="F2" s="4">
        <v>0.18565342861069123</v>
      </c>
      <c r="G2" s="4">
        <f>IF($F2 &lt;= 0.2,$E2,"")</f>
        <v>0.50980392156862742</v>
      </c>
      <c r="H2" s="4" t="str">
        <f>IF(AND($F2 &gt; 0.2,$F2 &lt;= 0.4),$E2,"")</f>
        <v/>
      </c>
      <c r="I2" s="4" t="str">
        <f>IF(AND($F2 &gt; 0.4,$F2 &lt;= 0.6),$E2,"")</f>
        <v/>
      </c>
      <c r="J2" s="4" t="str">
        <f>IF(AND($F2 &gt; 0.6,$F2 &lt;= 0.8),$E2,"")</f>
        <v/>
      </c>
      <c r="K2" s="4" t="str">
        <f>IF(AND($F2 &gt; 0.8, $F2 &lt;=1.1),$E2,"")</f>
        <v/>
      </c>
      <c r="L2" s="4" t="str">
        <f>IF(AND($F2 &gt; 1.1),$E2,"")</f>
        <v/>
      </c>
      <c r="M2" s="4"/>
      <c r="N2" s="4" t="s">
        <v>683</v>
      </c>
      <c r="O2" s="4" t="s">
        <v>614</v>
      </c>
      <c r="P2" s="4" t="s">
        <v>679</v>
      </c>
      <c r="Q2" s="4">
        <v>0</v>
      </c>
      <c r="R2" s="4" t="s">
        <v>613</v>
      </c>
      <c r="S2" s="4" t="s">
        <v>612</v>
      </c>
      <c r="T2" s="4" t="s">
        <v>611</v>
      </c>
      <c r="U2" s="4" t="s">
        <v>610</v>
      </c>
      <c r="V2" t="s">
        <v>609</v>
      </c>
      <c r="W2">
        <f>COUNTA(X2:CC2)</f>
        <v>27</v>
      </c>
      <c r="X2" s="2" t="s">
        <v>619</v>
      </c>
      <c r="Y2" s="2" t="s">
        <v>943</v>
      </c>
      <c r="Z2" s="2" t="s">
        <v>627</v>
      </c>
      <c r="AA2" s="2" t="s">
        <v>628</v>
      </c>
      <c r="AB2" s="2" t="s">
        <v>629</v>
      </c>
      <c r="AC2" s="2" t="s">
        <v>615</v>
      </c>
      <c r="AD2" s="2" t="s">
        <v>944</v>
      </c>
      <c r="AE2" s="2" t="s">
        <v>645</v>
      </c>
      <c r="AF2" s="2" t="s">
        <v>646</v>
      </c>
      <c r="AG2" s="2" t="s">
        <v>650</v>
      </c>
      <c r="AH2" s="2" t="s">
        <v>651</v>
      </c>
      <c r="AI2" s="2" t="s">
        <v>652</v>
      </c>
      <c r="AJ2" s="2" t="s">
        <v>653</v>
      </c>
      <c r="AK2" s="2" t="s">
        <v>696</v>
      </c>
      <c r="AL2" s="2" t="s">
        <v>658</v>
      </c>
      <c r="AM2" s="2" t="s">
        <v>659</v>
      </c>
      <c r="AN2" s="2" t="s">
        <v>660</v>
      </c>
      <c r="AO2" s="2" t="s">
        <v>946</v>
      </c>
      <c r="AP2" s="2" t="s">
        <v>665</v>
      </c>
      <c r="AQ2" s="2" t="s">
        <v>666</v>
      </c>
      <c r="AR2" s="2" t="s">
        <v>667</v>
      </c>
      <c r="AS2" s="2" t="s">
        <v>668</v>
      </c>
      <c r="AT2" s="2" t="s">
        <v>669</v>
      </c>
      <c r="AU2" s="2" t="s">
        <v>670</v>
      </c>
      <c r="AV2" s="2" t="s">
        <v>671</v>
      </c>
      <c r="AW2" s="2" t="s">
        <v>675</v>
      </c>
      <c r="AX2" s="2" t="s">
        <v>678</v>
      </c>
    </row>
    <row r="3" spans="1:50">
      <c r="A3" t="s">
        <v>188</v>
      </c>
      <c r="B3">
        <v>1</v>
      </c>
      <c r="C3" t="str">
        <f t="shared" ref="C3:C66" si="0">CONCATENATE(A3, "_",B3,"_")</f>
        <v>test.BallonFactory_1_</v>
      </c>
      <c r="D3">
        <v>2</v>
      </c>
      <c r="E3" s="4">
        <v>0.56862745098039214</v>
      </c>
      <c r="F3" s="4">
        <v>0.18661536347395905</v>
      </c>
      <c r="G3" s="4">
        <f t="shared" ref="G3:G66" si="1">IF($F3 &lt;= 0.2,$E3,"")</f>
        <v>0.56862745098039214</v>
      </c>
      <c r="H3" s="4" t="str">
        <f t="shared" ref="H3:H66" si="2">IF(AND($F3 &gt; 0.2,$F3 &lt;= 0.4),$E3,"")</f>
        <v/>
      </c>
      <c r="I3" s="4" t="str">
        <f t="shared" ref="I3:I66" si="3">IF(AND($F3 &gt; 0.4,$F3 &lt;= 0.6),$E3,"")</f>
        <v/>
      </c>
      <c r="J3" s="4" t="str">
        <f t="shared" ref="J3:J66" si="4">IF(AND($F3 &gt; 0.6,$F3 &lt;= 0.8),$E3,"")</f>
        <v/>
      </c>
      <c r="K3" s="4" t="str">
        <f t="shared" ref="K3:K66" si="5">IF(AND($F3 &gt; 0.8, $F3 &lt;=1.1),$E3,"")</f>
        <v/>
      </c>
      <c r="L3" s="4" t="str">
        <f t="shared" ref="L3:L66" si="6">IF(AND($F3 &gt; 1.1),$E3,"")</f>
        <v/>
      </c>
      <c r="M3" s="4"/>
      <c r="N3" s="4">
        <f>SUM(T3:V3)/64</f>
        <v>9.375E-2</v>
      </c>
      <c r="O3" s="4">
        <f>SUM(Q3:V3)</f>
        <v>27</v>
      </c>
      <c r="P3" t="s">
        <v>604</v>
      </c>
      <c r="Q3" s="8">
        <f t="shared" ref="Q3:Q8" si="7">COUNTIF($X3:$AX3,"=0")</f>
        <v>12</v>
      </c>
      <c r="R3" s="8">
        <f t="shared" ref="R3:R8" si="8">COUNTIFS($X3:$AX3,"&gt;0",$X3:$AX3,"&lt;0.25")</f>
        <v>5</v>
      </c>
      <c r="S3" s="8">
        <f t="shared" ref="S3:S8" si="9">COUNTIFS($X3:$AX3,"&gt;=0.25",$X3:$AX3,"&lt;0.5")</f>
        <v>4</v>
      </c>
      <c r="T3" s="8">
        <f t="shared" ref="T3:T8" si="10">COUNTIFS($X3:$AX3,"&gt;=0.5",$X3:$AX3,"&lt;0.75")</f>
        <v>6</v>
      </c>
      <c r="U3" s="8">
        <f t="shared" ref="U3:U8" si="11">COUNTIFS($X3:$AX3,"&gt;=0.75",$X3:$AX3,"&lt;1")</f>
        <v>0</v>
      </c>
      <c r="V3" s="8">
        <f t="shared" ref="V3:V8" si="12">COUNTIF($X3:$AX3,"=1")</f>
        <v>0</v>
      </c>
      <c r="W3" t="s">
        <v>604</v>
      </c>
      <c r="X3">
        <f t="shared" ref="X3:AX3" si="13">DMAX($A$1:$L$312,$W3,X$1:X$2)</f>
        <v>0.60784313725490191</v>
      </c>
      <c r="Y3">
        <f t="shared" si="13"/>
        <v>0</v>
      </c>
      <c r="Z3">
        <f t="shared" si="13"/>
        <v>0.61702127659574468</v>
      </c>
      <c r="AA3">
        <f t="shared" si="13"/>
        <v>4.7244094488188976E-2</v>
      </c>
      <c r="AB3">
        <f t="shared" si="13"/>
        <v>0.73267326732673266</v>
      </c>
      <c r="AC3">
        <f t="shared" si="13"/>
        <v>0</v>
      </c>
      <c r="AD3">
        <f t="shared" si="13"/>
        <v>4.4642857142857144E-2</v>
      </c>
      <c r="AE3">
        <f t="shared" si="13"/>
        <v>0.30857142857142855</v>
      </c>
      <c r="AF3">
        <f t="shared" si="13"/>
        <v>0.64338235294117652</v>
      </c>
      <c r="AG3">
        <f t="shared" si="13"/>
        <v>0.66049382716049387</v>
      </c>
      <c r="AH3">
        <f t="shared" si="13"/>
        <v>0.63953488372093026</v>
      </c>
      <c r="AI3">
        <f t="shared" si="13"/>
        <v>0</v>
      </c>
      <c r="AJ3">
        <f t="shared" si="13"/>
        <v>0.33962264150943394</v>
      </c>
      <c r="AK3">
        <f t="shared" si="13"/>
        <v>5.2192066805845511E-3</v>
      </c>
      <c r="AL3">
        <f t="shared" si="13"/>
        <v>0</v>
      </c>
      <c r="AM3">
        <f t="shared" si="13"/>
        <v>0</v>
      </c>
      <c r="AN3">
        <f t="shared" si="13"/>
        <v>0.20408163265306123</v>
      </c>
      <c r="AO3">
        <f t="shared" si="13"/>
        <v>0</v>
      </c>
      <c r="AP3">
        <f t="shared" si="13"/>
        <v>0.23076923076923078</v>
      </c>
      <c r="AQ3">
        <f t="shared" si="13"/>
        <v>0.25974025974025972</v>
      </c>
      <c r="AR3">
        <f t="shared" si="13"/>
        <v>0.29921259842519687</v>
      </c>
      <c r="AS3">
        <f t="shared" si="13"/>
        <v>0</v>
      </c>
      <c r="AT3">
        <f t="shared" si="13"/>
        <v>0</v>
      </c>
      <c r="AU3">
        <f t="shared" si="13"/>
        <v>0</v>
      </c>
      <c r="AV3">
        <f t="shared" si="13"/>
        <v>0</v>
      </c>
      <c r="AW3">
        <f t="shared" si="13"/>
        <v>0</v>
      </c>
      <c r="AX3">
        <f t="shared" si="13"/>
        <v>0</v>
      </c>
    </row>
    <row r="4" spans="1:50">
      <c r="A4" t="s">
        <v>188</v>
      </c>
      <c r="B4">
        <v>1</v>
      </c>
      <c r="C4" t="str">
        <f t="shared" si="0"/>
        <v>test.BallonFactory_1_</v>
      </c>
      <c r="D4">
        <v>3</v>
      </c>
      <c r="E4" s="4">
        <v>0.60784313725490191</v>
      </c>
      <c r="F4" s="4">
        <v>0.18675278274014018</v>
      </c>
      <c r="G4" s="4">
        <f t="shared" si="1"/>
        <v>0.60784313725490191</v>
      </c>
      <c r="H4" s="4" t="str">
        <f t="shared" si="2"/>
        <v/>
      </c>
      <c r="I4" s="4" t="str">
        <f t="shared" si="3"/>
        <v/>
      </c>
      <c r="J4" s="4" t="str">
        <f t="shared" si="4"/>
        <v/>
      </c>
      <c r="K4" s="4" t="str">
        <f t="shared" si="5"/>
        <v/>
      </c>
      <c r="L4" s="4" t="str">
        <f t="shared" si="6"/>
        <v/>
      </c>
      <c r="M4" s="4"/>
      <c r="N4" s="4">
        <f t="shared" ref="N4:N7" si="14">SUM(T4:V4)/64</f>
        <v>0.203125</v>
      </c>
      <c r="O4" s="4">
        <f>SUM(Q4:V4)</f>
        <v>27</v>
      </c>
      <c r="P4" t="s">
        <v>605</v>
      </c>
      <c r="Q4" s="8">
        <f t="shared" si="7"/>
        <v>5</v>
      </c>
      <c r="R4" s="8">
        <f t="shared" si="8"/>
        <v>3</v>
      </c>
      <c r="S4" s="8">
        <f t="shared" si="9"/>
        <v>6</v>
      </c>
      <c r="T4" s="8">
        <f t="shared" si="10"/>
        <v>8</v>
      </c>
      <c r="U4" s="8">
        <f t="shared" si="11"/>
        <v>2</v>
      </c>
      <c r="V4" s="8">
        <f t="shared" si="12"/>
        <v>3</v>
      </c>
      <c r="W4" t="s">
        <v>605</v>
      </c>
      <c r="X4">
        <f t="shared" ref="X4:AG8" si="15">IF(X3&lt;DMAX($A$1:$L$312,$W4,X$1:X$2),DMAX($A$1:$L$312,$W4,X$1:X$2),X3)</f>
        <v>0.62745098039215685</v>
      </c>
      <c r="Y4">
        <f t="shared" si="15"/>
        <v>0.24242424242424243</v>
      </c>
      <c r="Z4">
        <f t="shared" si="15"/>
        <v>0.65248226950354615</v>
      </c>
      <c r="AA4">
        <f t="shared" si="15"/>
        <v>0.72440944881889768</v>
      </c>
      <c r="AB4">
        <f t="shared" si="15"/>
        <v>0.74257425742574257</v>
      </c>
      <c r="AC4">
        <f t="shared" si="15"/>
        <v>0.57894736842105265</v>
      </c>
      <c r="AD4">
        <f t="shared" si="15"/>
        <v>4.4642857142857144E-2</v>
      </c>
      <c r="AE4">
        <f t="shared" si="15"/>
        <v>0.88571428571428568</v>
      </c>
      <c r="AF4">
        <f t="shared" si="15"/>
        <v>1</v>
      </c>
      <c r="AG4">
        <f t="shared" si="15"/>
        <v>0.86419753086419748</v>
      </c>
      <c r="AH4">
        <f t="shared" ref="AH4:AQ8" si="16">IF(AH3&lt;DMAX($A$1:$L$312,$W4,AH$1:AH$2),DMAX($A$1:$L$312,$W4,AH$1:AH$2),AH3)</f>
        <v>1</v>
      </c>
      <c r="AI4">
        <f t="shared" si="16"/>
        <v>0.5</v>
      </c>
      <c r="AJ4">
        <f t="shared" si="16"/>
        <v>0.33962264150943394</v>
      </c>
      <c r="AK4">
        <f t="shared" si="16"/>
        <v>5.2192066805845511E-3</v>
      </c>
      <c r="AL4">
        <f t="shared" si="16"/>
        <v>0</v>
      </c>
      <c r="AM4">
        <f t="shared" si="16"/>
        <v>0</v>
      </c>
      <c r="AN4">
        <f t="shared" si="16"/>
        <v>0.34693877551020408</v>
      </c>
      <c r="AO4">
        <f t="shared" si="16"/>
        <v>0</v>
      </c>
      <c r="AP4">
        <f t="shared" si="16"/>
        <v>1</v>
      </c>
      <c r="AQ4">
        <f t="shared" si="16"/>
        <v>0.62337662337662336</v>
      </c>
      <c r="AR4">
        <f t="shared" ref="AR4:AX8" si="17">IF(AR3&lt;DMAX($A$1:$L$312,$W4,AR$1:AR$2),DMAX($A$1:$L$312,$W4,AR$1:AR$2),AR3)</f>
        <v>0.45669291338582679</v>
      </c>
      <c r="AS4">
        <f t="shared" si="17"/>
        <v>0.36363636363636365</v>
      </c>
      <c r="AT4">
        <f t="shared" si="17"/>
        <v>0.38</v>
      </c>
      <c r="AU4">
        <f t="shared" si="17"/>
        <v>0.66666666666666663</v>
      </c>
      <c r="AV4">
        <f t="shared" si="17"/>
        <v>0</v>
      </c>
      <c r="AW4">
        <f t="shared" si="17"/>
        <v>0.352112676056338</v>
      </c>
      <c r="AX4">
        <f t="shared" si="17"/>
        <v>0</v>
      </c>
    </row>
    <row r="5" spans="1:50">
      <c r="A5" t="s">
        <v>188</v>
      </c>
      <c r="B5">
        <v>1</v>
      </c>
      <c r="C5" t="str">
        <f t="shared" si="0"/>
        <v>test.BallonFactory_1_</v>
      </c>
      <c r="D5">
        <v>4</v>
      </c>
      <c r="E5" s="4">
        <v>0.60784313725490191</v>
      </c>
      <c r="F5" s="4">
        <v>0.18730245980486465</v>
      </c>
      <c r="G5" s="4">
        <f t="shared" si="1"/>
        <v>0.60784313725490191</v>
      </c>
      <c r="H5" s="4" t="str">
        <f t="shared" si="2"/>
        <v/>
      </c>
      <c r="I5" s="4" t="str">
        <f t="shared" si="3"/>
        <v/>
      </c>
      <c r="J5" s="4" t="str">
        <f t="shared" si="4"/>
        <v/>
      </c>
      <c r="K5" s="4" t="str">
        <f t="shared" si="5"/>
        <v/>
      </c>
      <c r="L5" s="4" t="str">
        <f t="shared" si="6"/>
        <v/>
      </c>
      <c r="M5" s="4">
        <f>SUM(R5:V5)/64</f>
        <v>0.375</v>
      </c>
      <c r="N5" s="4">
        <f t="shared" si="14"/>
        <v>0.3125</v>
      </c>
      <c r="O5" s="4">
        <f t="shared" ref="O5:O7" si="18">SUM(Q5:V5)</f>
        <v>27</v>
      </c>
      <c r="P5" t="s">
        <v>606</v>
      </c>
      <c r="Q5" s="8">
        <f t="shared" si="7"/>
        <v>3</v>
      </c>
      <c r="R5" s="8">
        <f t="shared" si="8"/>
        <v>0</v>
      </c>
      <c r="S5" s="8">
        <f t="shared" si="9"/>
        <v>4</v>
      </c>
      <c r="T5" s="8">
        <f t="shared" si="10"/>
        <v>8</v>
      </c>
      <c r="U5" s="8">
        <f t="shared" si="11"/>
        <v>6</v>
      </c>
      <c r="V5" s="8">
        <f t="shared" si="12"/>
        <v>6</v>
      </c>
      <c r="W5" t="s">
        <v>606</v>
      </c>
      <c r="X5">
        <f t="shared" si="15"/>
        <v>0.62745098039215685</v>
      </c>
      <c r="Y5">
        <f t="shared" si="15"/>
        <v>0.48484848484848486</v>
      </c>
      <c r="Z5">
        <f t="shared" si="15"/>
        <v>0.65248226950354615</v>
      </c>
      <c r="AA5">
        <f t="shared" si="15"/>
        <v>0.73228346456692917</v>
      </c>
      <c r="AB5">
        <f t="shared" si="15"/>
        <v>0.7722772277227723</v>
      </c>
      <c r="AC5">
        <f t="shared" si="15"/>
        <v>0.63157894736842102</v>
      </c>
      <c r="AD5">
        <f t="shared" si="15"/>
        <v>0.5</v>
      </c>
      <c r="AE5">
        <f t="shared" si="15"/>
        <v>1</v>
      </c>
      <c r="AF5">
        <f t="shared" si="15"/>
        <v>1</v>
      </c>
      <c r="AG5">
        <f t="shared" si="15"/>
        <v>1</v>
      </c>
      <c r="AH5">
        <f t="shared" si="16"/>
        <v>1</v>
      </c>
      <c r="AI5">
        <f t="shared" si="16"/>
        <v>0.5</v>
      </c>
      <c r="AJ5">
        <f t="shared" si="16"/>
        <v>0.33962264150943394</v>
      </c>
      <c r="AK5">
        <f t="shared" si="16"/>
        <v>0.75887265135699378</v>
      </c>
      <c r="AL5">
        <f t="shared" si="16"/>
        <v>1</v>
      </c>
      <c r="AM5">
        <f t="shared" si="16"/>
        <v>0.72307692307692306</v>
      </c>
      <c r="AN5">
        <f t="shared" si="16"/>
        <v>0.34693877551020408</v>
      </c>
      <c r="AO5">
        <f t="shared" si="16"/>
        <v>0</v>
      </c>
      <c r="AP5">
        <f t="shared" si="16"/>
        <v>1</v>
      </c>
      <c r="AQ5">
        <f t="shared" si="16"/>
        <v>0.74025974025974028</v>
      </c>
      <c r="AR5">
        <f t="shared" si="17"/>
        <v>0.83464566929133854</v>
      </c>
      <c r="AS5">
        <f t="shared" si="17"/>
        <v>0.36363636363636365</v>
      </c>
      <c r="AT5">
        <f t="shared" si="17"/>
        <v>0.88</v>
      </c>
      <c r="AU5">
        <f t="shared" si="17"/>
        <v>0.77777777777777779</v>
      </c>
      <c r="AV5">
        <f t="shared" si="17"/>
        <v>0</v>
      </c>
      <c r="AW5">
        <f t="shared" si="17"/>
        <v>0.84507042253521125</v>
      </c>
      <c r="AX5">
        <f t="shared" si="17"/>
        <v>0</v>
      </c>
    </row>
    <row r="6" spans="1:50">
      <c r="A6" t="s">
        <v>188</v>
      </c>
      <c r="B6">
        <v>1</v>
      </c>
      <c r="C6" t="str">
        <f t="shared" si="0"/>
        <v>test.BallonFactory_1_</v>
      </c>
      <c r="D6">
        <v>5</v>
      </c>
      <c r="E6" s="4">
        <v>0.60784313725490191</v>
      </c>
      <c r="F6" s="4">
        <v>0.18743987907104576</v>
      </c>
      <c r="G6" s="4">
        <f t="shared" si="1"/>
        <v>0.60784313725490191</v>
      </c>
      <c r="H6" s="4" t="str">
        <f t="shared" si="2"/>
        <v/>
      </c>
      <c r="I6" s="4" t="str">
        <f t="shared" si="3"/>
        <v/>
      </c>
      <c r="J6" s="4" t="str">
        <f t="shared" si="4"/>
        <v/>
      </c>
      <c r="K6" s="4" t="str">
        <f t="shared" si="5"/>
        <v/>
      </c>
      <c r="L6" s="4" t="str">
        <f t="shared" si="6"/>
        <v/>
      </c>
      <c r="M6" s="4">
        <f>25/64</f>
        <v>0.390625</v>
      </c>
      <c r="N6" s="4">
        <f>SUM(T6:V6)/64</f>
        <v>0.359375</v>
      </c>
      <c r="O6" s="4">
        <f t="shared" si="18"/>
        <v>27</v>
      </c>
      <c r="P6" t="s">
        <v>681</v>
      </c>
      <c r="Q6" s="8">
        <f t="shared" si="7"/>
        <v>2</v>
      </c>
      <c r="R6" s="8">
        <f t="shared" si="8"/>
        <v>0</v>
      </c>
      <c r="S6" s="8">
        <f t="shared" si="9"/>
        <v>2</v>
      </c>
      <c r="T6" s="8">
        <f t="shared" si="10"/>
        <v>4</v>
      </c>
      <c r="U6" s="8">
        <f t="shared" si="11"/>
        <v>8</v>
      </c>
      <c r="V6" s="8">
        <f t="shared" si="12"/>
        <v>11</v>
      </c>
      <c r="W6" t="s">
        <v>681</v>
      </c>
      <c r="X6">
        <f t="shared" si="15"/>
        <v>0.80392156862745101</v>
      </c>
      <c r="Y6">
        <f t="shared" si="15"/>
        <v>0.94696969696969702</v>
      </c>
      <c r="Z6">
        <f t="shared" si="15"/>
        <v>0.65248226950354615</v>
      </c>
      <c r="AA6">
        <f t="shared" si="15"/>
        <v>0.77165354330708658</v>
      </c>
      <c r="AB6">
        <f t="shared" si="15"/>
        <v>0.7722772277227723</v>
      </c>
      <c r="AC6">
        <f t="shared" si="15"/>
        <v>0.89473684210526316</v>
      </c>
      <c r="AD6">
        <f t="shared" si="15"/>
        <v>0.5</v>
      </c>
      <c r="AE6">
        <f t="shared" si="15"/>
        <v>1</v>
      </c>
      <c r="AF6">
        <f t="shared" si="15"/>
        <v>1</v>
      </c>
      <c r="AG6">
        <f t="shared" si="15"/>
        <v>1</v>
      </c>
      <c r="AH6">
        <f t="shared" si="16"/>
        <v>1</v>
      </c>
      <c r="AI6">
        <f t="shared" si="16"/>
        <v>0.5</v>
      </c>
      <c r="AJ6">
        <f t="shared" si="16"/>
        <v>0.84905660377358494</v>
      </c>
      <c r="AK6">
        <f t="shared" si="16"/>
        <v>1</v>
      </c>
      <c r="AL6">
        <f t="shared" si="16"/>
        <v>1</v>
      </c>
      <c r="AM6">
        <f t="shared" si="16"/>
        <v>0.72307692307692306</v>
      </c>
      <c r="AN6">
        <f t="shared" si="16"/>
        <v>0.34693877551020408</v>
      </c>
      <c r="AO6">
        <f t="shared" si="16"/>
        <v>0</v>
      </c>
      <c r="AP6">
        <f t="shared" si="16"/>
        <v>1</v>
      </c>
      <c r="AQ6">
        <f t="shared" si="16"/>
        <v>0.94805194805194803</v>
      </c>
      <c r="AR6">
        <f t="shared" si="17"/>
        <v>0.96850393700787396</v>
      </c>
      <c r="AS6">
        <f t="shared" si="17"/>
        <v>0.36363636363636365</v>
      </c>
      <c r="AT6">
        <f t="shared" si="17"/>
        <v>1</v>
      </c>
      <c r="AU6">
        <f t="shared" si="17"/>
        <v>1</v>
      </c>
      <c r="AV6">
        <f t="shared" si="17"/>
        <v>0</v>
      </c>
      <c r="AW6">
        <f t="shared" si="17"/>
        <v>1</v>
      </c>
      <c r="AX6">
        <f t="shared" si="17"/>
        <v>1</v>
      </c>
    </row>
    <row r="7" spans="1:50">
      <c r="A7" t="s">
        <v>188</v>
      </c>
      <c r="B7">
        <v>1</v>
      </c>
      <c r="C7" t="str">
        <f t="shared" si="0"/>
        <v>test.BallonFactory_1_</v>
      </c>
      <c r="D7">
        <v>6</v>
      </c>
      <c r="E7" s="4">
        <v>0.60784313725490191</v>
      </c>
      <c r="F7" s="4">
        <v>0.18771471760340799</v>
      </c>
      <c r="G7" s="4">
        <f t="shared" si="1"/>
        <v>0.60784313725490191</v>
      </c>
      <c r="H7" s="4" t="str">
        <f t="shared" si="2"/>
        <v/>
      </c>
      <c r="I7" s="4" t="str">
        <f t="shared" si="3"/>
        <v/>
      </c>
      <c r="J7" s="4" t="str">
        <f t="shared" si="4"/>
        <v/>
      </c>
      <c r="K7" s="4" t="str">
        <f t="shared" si="5"/>
        <v/>
      </c>
      <c r="L7" s="4" t="str">
        <f t="shared" si="6"/>
        <v/>
      </c>
      <c r="M7" s="4"/>
      <c r="N7" s="4">
        <f t="shared" si="14"/>
        <v>0.421875</v>
      </c>
      <c r="O7" s="4">
        <f t="shared" si="18"/>
        <v>27</v>
      </c>
      <c r="P7" s="7" t="s">
        <v>607</v>
      </c>
      <c r="Q7" s="8">
        <f t="shared" si="7"/>
        <v>0</v>
      </c>
      <c r="R7" s="8">
        <f t="shared" si="8"/>
        <v>0</v>
      </c>
      <c r="S7" s="8">
        <f t="shared" si="9"/>
        <v>0</v>
      </c>
      <c r="T7" s="8">
        <f t="shared" si="10"/>
        <v>1</v>
      </c>
      <c r="U7" s="8">
        <f t="shared" si="11"/>
        <v>8</v>
      </c>
      <c r="V7" s="8">
        <f t="shared" si="12"/>
        <v>18</v>
      </c>
      <c r="W7" s="7" t="s">
        <v>607</v>
      </c>
      <c r="X7">
        <f t="shared" si="15"/>
        <v>0.80392156862745101</v>
      </c>
      <c r="Y7">
        <f t="shared" si="15"/>
        <v>1</v>
      </c>
      <c r="Z7">
        <f t="shared" si="15"/>
        <v>1</v>
      </c>
      <c r="AA7">
        <f t="shared" si="15"/>
        <v>1</v>
      </c>
      <c r="AB7">
        <f t="shared" si="15"/>
        <v>0.7722772277227723</v>
      </c>
      <c r="AC7">
        <f t="shared" si="15"/>
        <v>0.89473684210526316</v>
      </c>
      <c r="AD7">
        <f t="shared" si="15"/>
        <v>1</v>
      </c>
      <c r="AE7">
        <f t="shared" si="15"/>
        <v>1</v>
      </c>
      <c r="AF7">
        <f t="shared" si="15"/>
        <v>1</v>
      </c>
      <c r="AG7">
        <f t="shared" si="15"/>
        <v>1</v>
      </c>
      <c r="AH7">
        <f t="shared" si="16"/>
        <v>1</v>
      </c>
      <c r="AI7">
        <f t="shared" si="16"/>
        <v>0.9</v>
      </c>
      <c r="AJ7">
        <f t="shared" si="16"/>
        <v>0.96226415094339623</v>
      </c>
      <c r="AK7">
        <f t="shared" si="16"/>
        <v>1</v>
      </c>
      <c r="AL7">
        <f t="shared" si="16"/>
        <v>1</v>
      </c>
      <c r="AM7">
        <f t="shared" si="16"/>
        <v>0.96923076923076923</v>
      </c>
      <c r="AN7">
        <f t="shared" si="16"/>
        <v>1</v>
      </c>
      <c r="AO7">
        <f t="shared" si="16"/>
        <v>1</v>
      </c>
      <c r="AP7">
        <f t="shared" si="16"/>
        <v>1</v>
      </c>
      <c r="AQ7">
        <f t="shared" si="16"/>
        <v>0.94805194805194803</v>
      </c>
      <c r="AR7">
        <f t="shared" si="17"/>
        <v>0.96850393700787396</v>
      </c>
      <c r="AS7">
        <f t="shared" si="17"/>
        <v>0.63636363636363635</v>
      </c>
      <c r="AT7">
        <f t="shared" si="17"/>
        <v>1</v>
      </c>
      <c r="AU7">
        <f t="shared" si="17"/>
        <v>1</v>
      </c>
      <c r="AV7">
        <f t="shared" si="17"/>
        <v>1</v>
      </c>
      <c r="AW7">
        <f t="shared" si="17"/>
        <v>1</v>
      </c>
      <c r="AX7">
        <f t="shared" si="17"/>
        <v>1</v>
      </c>
    </row>
    <row r="8" spans="1:50">
      <c r="A8" t="s">
        <v>188</v>
      </c>
      <c r="B8">
        <v>1</v>
      </c>
      <c r="C8" t="str">
        <f t="shared" si="0"/>
        <v>test.BallonFactory_1_</v>
      </c>
      <c r="D8">
        <v>7</v>
      </c>
      <c r="E8" s="4">
        <v>0.60784313725490191</v>
      </c>
      <c r="F8" s="4">
        <v>0.19224955338738492</v>
      </c>
      <c r="G8" s="4">
        <f t="shared" si="1"/>
        <v>0.60784313725490191</v>
      </c>
      <c r="H8" s="4" t="str">
        <f t="shared" si="2"/>
        <v/>
      </c>
      <c r="I8" s="4" t="str">
        <f t="shared" si="3"/>
        <v/>
      </c>
      <c r="J8" s="4" t="str">
        <f t="shared" si="4"/>
        <v/>
      </c>
      <c r="K8" s="4" t="str">
        <f t="shared" si="5"/>
        <v/>
      </c>
      <c r="L8" s="4" t="str">
        <f t="shared" si="6"/>
        <v/>
      </c>
      <c r="M8" s="4"/>
      <c r="N8" s="4">
        <f>SUM(T8:V8)/64</f>
        <v>0.421875</v>
      </c>
      <c r="O8" s="4"/>
      <c r="P8" s="4" t="s">
        <v>682</v>
      </c>
      <c r="Q8" s="8">
        <f t="shared" si="7"/>
        <v>0</v>
      </c>
      <c r="R8" s="8">
        <f t="shared" si="8"/>
        <v>0</v>
      </c>
      <c r="S8" s="8">
        <f t="shared" si="9"/>
        <v>0</v>
      </c>
      <c r="T8" s="8">
        <f t="shared" si="10"/>
        <v>0</v>
      </c>
      <c r="U8" s="8">
        <f t="shared" si="11"/>
        <v>8</v>
      </c>
      <c r="V8" s="8">
        <f t="shared" si="12"/>
        <v>19</v>
      </c>
      <c r="W8" s="7" t="s">
        <v>682</v>
      </c>
      <c r="X8">
        <f t="shared" si="15"/>
        <v>0.80392156862745101</v>
      </c>
      <c r="Y8">
        <f t="shared" si="15"/>
        <v>1</v>
      </c>
      <c r="Z8">
        <f t="shared" si="15"/>
        <v>1</v>
      </c>
      <c r="AA8">
        <f t="shared" si="15"/>
        <v>1</v>
      </c>
      <c r="AB8">
        <f t="shared" si="15"/>
        <v>0.7722772277227723</v>
      </c>
      <c r="AC8">
        <f t="shared" si="15"/>
        <v>0.89473684210526316</v>
      </c>
      <c r="AD8">
        <f t="shared" si="15"/>
        <v>1</v>
      </c>
      <c r="AE8">
        <f t="shared" si="15"/>
        <v>1</v>
      </c>
      <c r="AF8">
        <f t="shared" si="15"/>
        <v>1</v>
      </c>
      <c r="AG8">
        <f t="shared" si="15"/>
        <v>1</v>
      </c>
      <c r="AH8">
        <f t="shared" si="16"/>
        <v>1</v>
      </c>
      <c r="AI8">
        <f t="shared" si="16"/>
        <v>0.9</v>
      </c>
      <c r="AJ8">
        <f t="shared" si="16"/>
        <v>0.96226415094339623</v>
      </c>
      <c r="AK8">
        <f t="shared" si="16"/>
        <v>1</v>
      </c>
      <c r="AL8">
        <f t="shared" si="16"/>
        <v>1</v>
      </c>
      <c r="AM8">
        <f t="shared" si="16"/>
        <v>0.96923076923076923</v>
      </c>
      <c r="AN8">
        <f t="shared" si="16"/>
        <v>1</v>
      </c>
      <c r="AO8">
        <f t="shared" si="16"/>
        <v>1</v>
      </c>
      <c r="AP8">
        <f t="shared" si="16"/>
        <v>1</v>
      </c>
      <c r="AQ8">
        <f t="shared" si="16"/>
        <v>0.94805194805194803</v>
      </c>
      <c r="AR8">
        <f t="shared" si="17"/>
        <v>0.96850393700787396</v>
      </c>
      <c r="AS8">
        <f t="shared" si="17"/>
        <v>1</v>
      </c>
      <c r="AT8">
        <f t="shared" si="17"/>
        <v>1</v>
      </c>
      <c r="AU8">
        <f t="shared" si="17"/>
        <v>1</v>
      </c>
      <c r="AV8">
        <f t="shared" si="17"/>
        <v>1</v>
      </c>
      <c r="AW8">
        <f t="shared" si="17"/>
        <v>1</v>
      </c>
      <c r="AX8">
        <f t="shared" si="17"/>
        <v>1</v>
      </c>
    </row>
    <row r="9" spans="1:50">
      <c r="A9" t="s">
        <v>188</v>
      </c>
      <c r="B9">
        <v>1</v>
      </c>
      <c r="C9" t="str">
        <f t="shared" si="0"/>
        <v>test.BallonFactory_1_</v>
      </c>
      <c r="D9">
        <v>8</v>
      </c>
      <c r="E9" s="4">
        <v>0.60784313725490191</v>
      </c>
      <c r="F9" s="4">
        <v>0.19472310017864505</v>
      </c>
      <c r="G9" s="4">
        <f t="shared" si="1"/>
        <v>0.60784313725490191</v>
      </c>
      <c r="H9" s="4" t="str">
        <f t="shared" si="2"/>
        <v/>
      </c>
      <c r="I9" s="4" t="str">
        <f t="shared" si="3"/>
        <v/>
      </c>
      <c r="J9" s="4" t="str">
        <f t="shared" si="4"/>
        <v/>
      </c>
      <c r="K9" s="4" t="str">
        <f t="shared" si="5"/>
        <v/>
      </c>
      <c r="L9" s="4" t="str">
        <f t="shared" si="6"/>
        <v/>
      </c>
      <c r="M9" s="4"/>
      <c r="N9" s="4"/>
      <c r="O9" s="4"/>
      <c r="P9" s="4"/>
      <c r="Q9" s="4"/>
      <c r="R9" s="4"/>
      <c r="S9" s="4"/>
      <c r="T9" s="4"/>
      <c r="U9" s="4"/>
    </row>
    <row r="10" spans="1:50">
      <c r="A10" t="s">
        <v>188</v>
      </c>
      <c r="B10">
        <v>1</v>
      </c>
      <c r="C10" t="str">
        <f t="shared" si="0"/>
        <v>test.BallonFactory_1_</v>
      </c>
      <c r="D10">
        <v>9</v>
      </c>
      <c r="E10" s="4">
        <v>0.62745098039215685</v>
      </c>
      <c r="F10" s="4">
        <v>0.20310567541569327</v>
      </c>
      <c r="G10" s="4" t="str">
        <f t="shared" si="1"/>
        <v/>
      </c>
      <c r="H10" s="4">
        <f t="shared" si="2"/>
        <v>0.62745098039215685</v>
      </c>
      <c r="I10" s="4" t="str">
        <f t="shared" si="3"/>
        <v/>
      </c>
      <c r="J10" s="4" t="str">
        <f t="shared" si="4"/>
        <v/>
      </c>
      <c r="K10" s="4" t="str">
        <f t="shared" si="5"/>
        <v/>
      </c>
      <c r="L10" s="4" t="str">
        <f t="shared" si="6"/>
        <v/>
      </c>
      <c r="M10" s="4"/>
      <c r="N10" s="4"/>
      <c r="O10" s="4"/>
      <c r="P10" s="4"/>
      <c r="Q10" s="4"/>
      <c r="R10" s="4"/>
      <c r="S10" s="4"/>
      <c r="T10" s="4"/>
      <c r="U10" s="4"/>
    </row>
    <row r="11" spans="1:50">
      <c r="A11" t="s">
        <v>188</v>
      </c>
      <c r="B11">
        <v>1</v>
      </c>
      <c r="C11" t="str">
        <f t="shared" si="0"/>
        <v>test.BallonFactory_1_</v>
      </c>
      <c r="D11">
        <v>10</v>
      </c>
      <c r="E11" s="4">
        <v>0.62745098039215685</v>
      </c>
      <c r="F11" s="4">
        <v>0.2032430946818744</v>
      </c>
      <c r="G11" s="4" t="str">
        <f t="shared" si="1"/>
        <v/>
      </c>
      <c r="H11" s="4">
        <f t="shared" si="2"/>
        <v>0.62745098039215685</v>
      </c>
      <c r="I11" s="4" t="str">
        <f t="shared" si="3"/>
        <v/>
      </c>
      <c r="J11" s="4" t="str">
        <f t="shared" si="4"/>
        <v/>
      </c>
      <c r="K11" s="4" t="str">
        <f t="shared" si="5"/>
        <v/>
      </c>
      <c r="L11" s="4" t="str">
        <f t="shared" si="6"/>
        <v/>
      </c>
      <c r="M11" s="4"/>
      <c r="N11" s="4"/>
      <c r="O11" s="4"/>
      <c r="P11" s="4"/>
      <c r="Q11" s="4"/>
      <c r="R11" s="4"/>
      <c r="S11" s="4"/>
      <c r="T11" s="4"/>
      <c r="U11" s="4"/>
    </row>
    <row r="12" spans="1:50">
      <c r="A12" t="s">
        <v>188</v>
      </c>
      <c r="B12">
        <v>1</v>
      </c>
      <c r="C12" t="str">
        <f t="shared" si="0"/>
        <v>test.BallonFactory_1_</v>
      </c>
      <c r="D12">
        <v>11</v>
      </c>
      <c r="E12" s="4">
        <v>0.62745098039215685</v>
      </c>
      <c r="F12" s="4">
        <v>0.20379277174659888</v>
      </c>
      <c r="G12" s="4" t="str">
        <f t="shared" si="1"/>
        <v/>
      </c>
      <c r="H12" s="4">
        <f t="shared" si="2"/>
        <v>0.62745098039215685</v>
      </c>
      <c r="I12" s="4" t="str">
        <f t="shared" si="3"/>
        <v/>
      </c>
      <c r="J12" s="4" t="str">
        <f t="shared" si="4"/>
        <v/>
      </c>
      <c r="K12" s="4" t="str">
        <f t="shared" si="5"/>
        <v/>
      </c>
      <c r="L12" s="4" t="str">
        <f t="shared" si="6"/>
        <v/>
      </c>
      <c r="M12" s="4"/>
      <c r="N12" s="4"/>
      <c r="O12" s="4"/>
      <c r="P12" s="4"/>
      <c r="Q12" s="4"/>
      <c r="R12" s="4"/>
      <c r="S12" s="4"/>
      <c r="T12" s="4"/>
      <c r="U12" s="4"/>
    </row>
    <row r="13" spans="1:50">
      <c r="A13" t="s">
        <v>188</v>
      </c>
      <c r="B13">
        <v>1</v>
      </c>
      <c r="C13" t="str">
        <f t="shared" si="0"/>
        <v>test.BallonFactory_1_</v>
      </c>
      <c r="D13">
        <v>12</v>
      </c>
      <c r="E13" s="4">
        <v>0.62745098039215685</v>
      </c>
      <c r="F13" s="4">
        <v>0.20406761027896111</v>
      </c>
      <c r="G13" s="4" t="str">
        <f t="shared" si="1"/>
        <v/>
      </c>
      <c r="H13" s="4">
        <f t="shared" si="2"/>
        <v>0.62745098039215685</v>
      </c>
      <c r="I13" s="4" t="str">
        <f t="shared" si="3"/>
        <v/>
      </c>
      <c r="J13" s="4" t="str">
        <f t="shared" si="4"/>
        <v/>
      </c>
      <c r="K13" s="4" t="str">
        <f t="shared" si="5"/>
        <v/>
      </c>
      <c r="L13" s="4" t="str">
        <f t="shared" si="6"/>
        <v/>
      </c>
      <c r="M13" s="4"/>
      <c r="N13" s="4"/>
      <c r="O13" s="4"/>
      <c r="P13" s="4"/>
      <c r="Q13" s="4"/>
      <c r="R13" s="4"/>
      <c r="S13" s="4"/>
      <c r="T13" s="4"/>
      <c r="U13" s="4"/>
    </row>
    <row r="14" spans="1:50">
      <c r="A14" t="s">
        <v>188</v>
      </c>
      <c r="B14">
        <v>1</v>
      </c>
      <c r="C14" t="str">
        <f t="shared" si="0"/>
        <v>test.BallonFactory_1_</v>
      </c>
      <c r="D14">
        <v>13</v>
      </c>
      <c r="E14" s="4">
        <v>0.80392156862745101</v>
      </c>
      <c r="F14" s="4">
        <v>0.61797444001649027</v>
      </c>
      <c r="G14" s="4" t="str">
        <f t="shared" si="1"/>
        <v/>
      </c>
      <c r="H14" s="4" t="str">
        <f t="shared" si="2"/>
        <v/>
      </c>
      <c r="I14" s="4" t="str">
        <f t="shared" si="3"/>
        <v/>
      </c>
      <c r="J14" s="4">
        <f t="shared" si="4"/>
        <v>0.80392156862745101</v>
      </c>
      <c r="K14" s="4" t="str">
        <f t="shared" si="5"/>
        <v/>
      </c>
      <c r="L14" s="4" t="str">
        <f t="shared" si="6"/>
        <v/>
      </c>
      <c r="M14" s="4"/>
      <c r="N14" s="4"/>
      <c r="O14" s="4"/>
      <c r="P14" s="4"/>
      <c r="Q14" s="4"/>
      <c r="R14" s="4"/>
      <c r="S14" s="4"/>
      <c r="T14" s="4"/>
      <c r="U14" s="4"/>
    </row>
    <row r="15" spans="1:50">
      <c r="A15" t="s">
        <v>188</v>
      </c>
      <c r="B15">
        <v>1</v>
      </c>
      <c r="C15" t="str">
        <f t="shared" si="0"/>
        <v>test.BallonFactory_1_</v>
      </c>
      <c r="D15">
        <v>14</v>
      </c>
      <c r="E15" s="4">
        <v>0.80392156862745101</v>
      </c>
      <c r="F15" s="4">
        <v>0.62223443726810501</v>
      </c>
      <c r="G15" s="4" t="str">
        <f t="shared" si="1"/>
        <v/>
      </c>
      <c r="H15" s="4" t="str">
        <f t="shared" si="2"/>
        <v/>
      </c>
      <c r="I15" s="4" t="str">
        <f t="shared" si="3"/>
        <v/>
      </c>
      <c r="J15" s="4">
        <f t="shared" si="4"/>
        <v>0.80392156862745101</v>
      </c>
      <c r="K15" s="4" t="str">
        <f t="shared" si="5"/>
        <v/>
      </c>
      <c r="L15" s="4" t="str">
        <f t="shared" si="6"/>
        <v/>
      </c>
      <c r="M15" s="4"/>
      <c r="N15" s="4"/>
      <c r="O15" s="4"/>
      <c r="P15" s="4"/>
      <c r="Q15" s="4"/>
      <c r="R15" s="4"/>
      <c r="S15" s="4"/>
      <c r="T15" s="4"/>
      <c r="U15" s="4"/>
    </row>
    <row r="16" spans="1:50">
      <c r="A16" t="s">
        <v>188</v>
      </c>
      <c r="B16">
        <v>1</v>
      </c>
      <c r="C16" t="str">
        <f t="shared" si="0"/>
        <v>test.BallonFactory_1_</v>
      </c>
      <c r="D16">
        <v>15</v>
      </c>
      <c r="E16" s="4">
        <v>0.80392156862745101</v>
      </c>
      <c r="F16" s="4">
        <v>0.62347121066373501</v>
      </c>
      <c r="G16" s="4" t="str">
        <f t="shared" si="1"/>
        <v/>
      </c>
      <c r="H16" s="4" t="str">
        <f t="shared" si="2"/>
        <v/>
      </c>
      <c r="I16" s="4" t="str">
        <f t="shared" si="3"/>
        <v/>
      </c>
      <c r="J16" s="4">
        <f t="shared" si="4"/>
        <v>0.80392156862745101</v>
      </c>
      <c r="K16" s="4" t="str">
        <f t="shared" si="5"/>
        <v/>
      </c>
      <c r="L16" s="4" t="str">
        <f t="shared" si="6"/>
        <v/>
      </c>
      <c r="M16" s="4"/>
      <c r="N16" s="4"/>
      <c r="O16" s="4"/>
      <c r="P16" s="4"/>
      <c r="Q16" s="4"/>
      <c r="R16" s="4"/>
      <c r="S16" s="4"/>
      <c r="T16" s="4"/>
      <c r="U16" s="4"/>
    </row>
    <row r="17" spans="1:21">
      <c r="A17" t="s">
        <v>188</v>
      </c>
      <c r="B17">
        <v>1</v>
      </c>
      <c r="C17" t="str">
        <f t="shared" si="0"/>
        <v>test.BallonFactory_1_</v>
      </c>
      <c r="D17">
        <v>16</v>
      </c>
      <c r="E17" s="4">
        <v>0.80392156862745101</v>
      </c>
      <c r="F17" s="4">
        <v>0.62525766112408965</v>
      </c>
      <c r="G17" s="4" t="str">
        <f t="shared" si="1"/>
        <v/>
      </c>
      <c r="H17" s="4" t="str">
        <f t="shared" si="2"/>
        <v/>
      </c>
      <c r="I17" s="4" t="str">
        <f t="shared" si="3"/>
        <v/>
      </c>
      <c r="J17" s="4">
        <f t="shared" si="4"/>
        <v>0.80392156862745101</v>
      </c>
      <c r="K17" s="4" t="str">
        <f t="shared" si="5"/>
        <v/>
      </c>
      <c r="L17" s="4" t="str">
        <f t="shared" si="6"/>
        <v/>
      </c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t="s">
        <v>188</v>
      </c>
      <c r="B18">
        <v>7</v>
      </c>
      <c r="C18" t="str">
        <f t="shared" si="0"/>
        <v>test.BallonFactory_7_</v>
      </c>
      <c r="D18">
        <v>1</v>
      </c>
      <c r="E18" s="4">
        <v>0.24242424242424243</v>
      </c>
      <c r="F18" s="4">
        <v>0.28853488893874801</v>
      </c>
      <c r="G18" s="4" t="str">
        <f t="shared" si="1"/>
        <v/>
      </c>
      <c r="H18" s="4">
        <f t="shared" si="2"/>
        <v>0.24242424242424243</v>
      </c>
      <c r="I18" s="4" t="str">
        <f t="shared" si="3"/>
        <v/>
      </c>
      <c r="J18" s="4" t="str">
        <f t="shared" si="4"/>
        <v/>
      </c>
      <c r="K18" s="4" t="str">
        <f t="shared" si="5"/>
        <v/>
      </c>
      <c r="L18" s="4" t="str">
        <f t="shared" si="6"/>
        <v/>
      </c>
      <c r="M18" s="4"/>
      <c r="N18" s="4"/>
      <c r="O18" s="4"/>
      <c r="P18" s="4"/>
      <c r="Q18" s="4"/>
      <c r="R18" s="4"/>
      <c r="S18" s="4"/>
      <c r="T18" s="4"/>
      <c r="U18" s="4"/>
    </row>
    <row r="19" spans="1:21">
      <c r="A19" t="s">
        <v>188</v>
      </c>
      <c r="B19">
        <v>7</v>
      </c>
      <c r="C19" t="str">
        <f t="shared" si="0"/>
        <v>test.BallonFactory_7_</v>
      </c>
      <c r="D19">
        <v>2</v>
      </c>
      <c r="E19" s="4">
        <v>0.24242424242424243</v>
      </c>
      <c r="F19" s="4">
        <v>0.28875925510433026</v>
      </c>
      <c r="G19" s="4" t="str">
        <f t="shared" si="1"/>
        <v/>
      </c>
      <c r="H19" s="4">
        <f t="shared" si="2"/>
        <v>0.24242424242424243</v>
      </c>
      <c r="I19" s="4" t="str">
        <f t="shared" si="3"/>
        <v/>
      </c>
      <c r="J19" s="4" t="str">
        <f t="shared" si="4"/>
        <v/>
      </c>
      <c r="K19" s="4" t="str">
        <f t="shared" si="5"/>
        <v/>
      </c>
      <c r="L19" s="4" t="str">
        <f t="shared" si="6"/>
        <v/>
      </c>
      <c r="M19" s="4"/>
      <c r="N19" s="4"/>
      <c r="O19" s="4"/>
      <c r="P19" s="4"/>
      <c r="Q19" s="4"/>
      <c r="R19" s="4"/>
      <c r="S19" s="4"/>
      <c r="T19" s="4"/>
      <c r="U19" s="4"/>
    </row>
    <row r="20" spans="1:21">
      <c r="A20" t="s">
        <v>188</v>
      </c>
      <c r="B20">
        <v>7</v>
      </c>
      <c r="C20" t="str">
        <f t="shared" si="0"/>
        <v>test.BallonFactory_7_</v>
      </c>
      <c r="D20">
        <v>3</v>
      </c>
      <c r="E20" s="4">
        <v>0.24242424242424243</v>
      </c>
      <c r="F20" s="4">
        <v>0.28898362126991251</v>
      </c>
      <c r="G20" s="4" t="str">
        <f t="shared" si="1"/>
        <v/>
      </c>
      <c r="H20" s="4">
        <f t="shared" si="2"/>
        <v>0.24242424242424243</v>
      </c>
      <c r="I20" s="4" t="str">
        <f t="shared" si="3"/>
        <v/>
      </c>
      <c r="J20" s="4" t="str">
        <f t="shared" si="4"/>
        <v/>
      </c>
      <c r="K20" s="4" t="str">
        <f t="shared" si="5"/>
        <v/>
      </c>
      <c r="L20" s="4" t="str">
        <f t="shared" si="6"/>
        <v/>
      </c>
      <c r="M20" s="4"/>
      <c r="N20" s="4"/>
      <c r="O20" s="4"/>
      <c r="P20" s="4"/>
      <c r="Q20" s="4"/>
      <c r="R20" s="4"/>
      <c r="S20" s="4"/>
      <c r="T20" s="4"/>
      <c r="U20" s="4"/>
    </row>
    <row r="21" spans="1:21">
      <c r="A21" t="s">
        <v>188</v>
      </c>
      <c r="B21">
        <v>7</v>
      </c>
      <c r="C21" t="str">
        <f t="shared" si="0"/>
        <v>test.BallonFactory_7_</v>
      </c>
      <c r="D21">
        <v>4</v>
      </c>
      <c r="E21" s="4">
        <v>0.24242424242424243</v>
      </c>
      <c r="F21" s="4">
        <v>0.28920798743549475</v>
      </c>
      <c r="G21" s="4" t="str">
        <f t="shared" si="1"/>
        <v/>
      </c>
      <c r="H21" s="4">
        <f t="shared" si="2"/>
        <v>0.24242424242424243</v>
      </c>
      <c r="I21" s="4" t="str">
        <f t="shared" si="3"/>
        <v/>
      </c>
      <c r="J21" s="4" t="str">
        <f t="shared" si="4"/>
        <v/>
      </c>
      <c r="K21" s="4" t="str">
        <f t="shared" si="5"/>
        <v/>
      </c>
      <c r="L21" s="4" t="str">
        <f t="shared" si="6"/>
        <v/>
      </c>
      <c r="M21" s="4"/>
      <c r="N21" s="4"/>
      <c r="O21" s="4"/>
      <c r="P21" s="4"/>
      <c r="Q21" s="4"/>
      <c r="R21" s="4"/>
      <c r="S21" s="4"/>
      <c r="T21" s="4"/>
      <c r="U21" s="4"/>
    </row>
    <row r="22" spans="1:21">
      <c r="A22" t="s">
        <v>188</v>
      </c>
      <c r="B22">
        <v>7</v>
      </c>
      <c r="C22" t="str">
        <f t="shared" si="0"/>
        <v>test.BallonFactory_7_</v>
      </c>
      <c r="D22">
        <v>5</v>
      </c>
      <c r="E22" s="4">
        <v>0.24242424242424243</v>
      </c>
      <c r="F22" s="4">
        <v>0.29190038142248148</v>
      </c>
      <c r="G22" s="4" t="str">
        <f t="shared" si="1"/>
        <v/>
      </c>
      <c r="H22" s="4">
        <f t="shared" si="2"/>
        <v>0.24242424242424243</v>
      </c>
      <c r="I22" s="4" t="str">
        <f t="shared" si="3"/>
        <v/>
      </c>
      <c r="J22" s="4" t="str">
        <f t="shared" si="4"/>
        <v/>
      </c>
      <c r="K22" s="4" t="str">
        <f t="shared" si="5"/>
        <v/>
      </c>
      <c r="L22" s="4" t="str">
        <f t="shared" si="6"/>
        <v/>
      </c>
      <c r="M22" s="4"/>
      <c r="N22" s="4"/>
      <c r="O22" s="4"/>
      <c r="P22" s="4"/>
      <c r="Q22" s="4"/>
      <c r="R22" s="4"/>
      <c r="S22" s="4"/>
      <c r="T22" s="4"/>
      <c r="U22" s="4"/>
    </row>
    <row r="23" spans="1:21">
      <c r="A23" t="s">
        <v>188</v>
      </c>
      <c r="B23">
        <v>7</v>
      </c>
      <c r="C23" t="str">
        <f t="shared" si="0"/>
        <v>test.BallonFactory_7_</v>
      </c>
      <c r="D23">
        <v>6</v>
      </c>
      <c r="E23" s="4">
        <v>0.24242424242424243</v>
      </c>
      <c r="F23" s="4">
        <v>0.29369531074713934</v>
      </c>
      <c r="G23" s="4" t="str">
        <f t="shared" si="1"/>
        <v/>
      </c>
      <c r="H23" s="4">
        <f t="shared" si="2"/>
        <v>0.24242424242424243</v>
      </c>
      <c r="I23" s="4" t="str">
        <f t="shared" si="3"/>
        <v/>
      </c>
      <c r="J23" s="4" t="str">
        <f t="shared" si="4"/>
        <v/>
      </c>
      <c r="K23" s="4" t="str">
        <f t="shared" si="5"/>
        <v/>
      </c>
      <c r="L23" s="4" t="str">
        <f t="shared" si="6"/>
        <v/>
      </c>
      <c r="M23" s="4"/>
      <c r="N23" s="4"/>
      <c r="O23" s="4"/>
      <c r="P23" s="4"/>
      <c r="Q23" s="4"/>
      <c r="R23" s="4"/>
      <c r="S23" s="4"/>
      <c r="T23" s="4"/>
      <c r="U23" s="4"/>
    </row>
    <row r="24" spans="1:21">
      <c r="A24" t="s">
        <v>188</v>
      </c>
      <c r="B24">
        <v>7</v>
      </c>
      <c r="C24" t="str">
        <f t="shared" si="0"/>
        <v>test.BallonFactory_7_</v>
      </c>
      <c r="D24">
        <v>7</v>
      </c>
      <c r="E24" s="4">
        <v>0.24242424242424243</v>
      </c>
      <c r="F24" s="4">
        <v>0.29549024007179719</v>
      </c>
      <c r="G24" s="4" t="str">
        <f t="shared" si="1"/>
        <v/>
      </c>
      <c r="H24" s="4">
        <f t="shared" si="2"/>
        <v>0.24242424242424243</v>
      </c>
      <c r="I24" s="4" t="str">
        <f t="shared" si="3"/>
        <v/>
      </c>
      <c r="J24" s="4" t="str">
        <f t="shared" si="4"/>
        <v/>
      </c>
      <c r="K24" s="4" t="str">
        <f t="shared" si="5"/>
        <v/>
      </c>
      <c r="L24" s="4" t="str">
        <f t="shared" si="6"/>
        <v/>
      </c>
      <c r="M24" s="4"/>
      <c r="N24" s="4"/>
      <c r="O24" s="4"/>
      <c r="P24" s="4"/>
      <c r="Q24" s="4"/>
      <c r="R24" s="4"/>
      <c r="S24" s="4"/>
      <c r="T24" s="4"/>
      <c r="U24" s="4"/>
    </row>
    <row r="25" spans="1:21">
      <c r="A25" t="s">
        <v>188</v>
      </c>
      <c r="B25">
        <v>7</v>
      </c>
      <c r="C25" t="str">
        <f t="shared" si="0"/>
        <v>test.BallonFactory_7_</v>
      </c>
      <c r="D25">
        <v>8</v>
      </c>
      <c r="E25" s="4">
        <v>0.24242424242424243</v>
      </c>
      <c r="F25" s="4">
        <v>0.29661207089970831</v>
      </c>
      <c r="G25" s="4" t="str">
        <f t="shared" si="1"/>
        <v/>
      </c>
      <c r="H25" s="4">
        <f t="shared" si="2"/>
        <v>0.24242424242424243</v>
      </c>
      <c r="I25" s="4" t="str">
        <f t="shared" si="3"/>
        <v/>
      </c>
      <c r="J25" s="4" t="str">
        <f t="shared" si="4"/>
        <v/>
      </c>
      <c r="K25" s="4" t="str">
        <f t="shared" si="5"/>
        <v/>
      </c>
      <c r="L25" s="4" t="str">
        <f t="shared" si="6"/>
        <v/>
      </c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t="s">
        <v>188</v>
      </c>
      <c r="B26">
        <v>7</v>
      </c>
      <c r="C26" t="str">
        <f t="shared" si="0"/>
        <v>test.BallonFactory_7_</v>
      </c>
      <c r="D26">
        <v>9</v>
      </c>
      <c r="E26" s="4">
        <v>0.48484848484848486</v>
      </c>
      <c r="F26" s="4">
        <v>0.46959838456360781</v>
      </c>
      <c r="G26" s="4" t="str">
        <f t="shared" si="1"/>
        <v/>
      </c>
      <c r="H26" s="4" t="str">
        <f t="shared" si="2"/>
        <v/>
      </c>
      <c r="I26" s="4">
        <f t="shared" si="3"/>
        <v>0.48484848484848486</v>
      </c>
      <c r="J26" s="4" t="str">
        <f t="shared" si="4"/>
        <v/>
      </c>
      <c r="K26" s="4" t="str">
        <f t="shared" si="5"/>
        <v/>
      </c>
      <c r="L26" s="4" t="str">
        <f t="shared" si="6"/>
        <v/>
      </c>
      <c r="M26" s="4"/>
      <c r="N26" s="4"/>
      <c r="O26" s="4"/>
      <c r="P26" s="4"/>
      <c r="Q26" s="4"/>
      <c r="R26" s="4"/>
      <c r="S26" s="4"/>
      <c r="T26" s="4"/>
      <c r="U26" s="4"/>
    </row>
    <row r="27" spans="1:21">
      <c r="A27" t="s">
        <v>188</v>
      </c>
      <c r="B27">
        <v>7</v>
      </c>
      <c r="C27" t="str">
        <f t="shared" si="0"/>
        <v>test.BallonFactory_7_</v>
      </c>
      <c r="D27">
        <v>10</v>
      </c>
      <c r="E27" s="4">
        <v>0.48484848484848486</v>
      </c>
      <c r="F27" s="4">
        <v>0.47498317253758132</v>
      </c>
      <c r="G27" s="4" t="str">
        <f t="shared" si="1"/>
        <v/>
      </c>
      <c r="H27" s="4" t="str">
        <f t="shared" si="2"/>
        <v/>
      </c>
      <c r="I27" s="4">
        <f t="shared" si="3"/>
        <v>0.48484848484848486</v>
      </c>
      <c r="J27" s="4" t="str">
        <f t="shared" si="4"/>
        <v/>
      </c>
      <c r="K27" s="4" t="str">
        <f t="shared" si="5"/>
        <v/>
      </c>
      <c r="L27" s="4" t="str">
        <f t="shared" si="6"/>
        <v/>
      </c>
      <c r="M27" s="4"/>
      <c r="N27" s="4"/>
      <c r="O27" s="4"/>
      <c r="P27" s="4"/>
      <c r="Q27" s="4"/>
      <c r="R27" s="4"/>
      <c r="S27" s="4"/>
      <c r="T27" s="4"/>
      <c r="U27" s="4"/>
    </row>
    <row r="28" spans="1:21">
      <c r="A28" t="s">
        <v>188</v>
      </c>
      <c r="B28">
        <v>7</v>
      </c>
      <c r="C28" t="str">
        <f t="shared" si="0"/>
        <v>test.BallonFactory_7_</v>
      </c>
      <c r="D28">
        <v>11</v>
      </c>
      <c r="E28" s="4">
        <v>0.48484848484848486</v>
      </c>
      <c r="F28" s="4">
        <v>0.47543190486874581</v>
      </c>
      <c r="G28" s="4" t="str">
        <f t="shared" si="1"/>
        <v/>
      </c>
      <c r="H28" s="4" t="str">
        <f t="shared" si="2"/>
        <v/>
      </c>
      <c r="I28" s="4">
        <f t="shared" si="3"/>
        <v>0.48484848484848486</v>
      </c>
      <c r="J28" s="4" t="str">
        <f t="shared" si="4"/>
        <v/>
      </c>
      <c r="K28" s="4" t="str">
        <f t="shared" si="5"/>
        <v/>
      </c>
      <c r="L28" s="4" t="str">
        <f t="shared" si="6"/>
        <v/>
      </c>
      <c r="M28" s="4"/>
      <c r="N28" s="4"/>
      <c r="O28" s="4"/>
      <c r="P28" s="4"/>
      <c r="Q28" s="4"/>
      <c r="R28" s="4"/>
      <c r="S28" s="4"/>
      <c r="T28" s="4"/>
      <c r="U28" s="4"/>
    </row>
    <row r="29" spans="1:21">
      <c r="A29" t="s">
        <v>188</v>
      </c>
      <c r="B29">
        <v>7</v>
      </c>
      <c r="C29" t="str">
        <f t="shared" si="0"/>
        <v>test.BallonFactory_7_</v>
      </c>
      <c r="D29">
        <v>12</v>
      </c>
      <c r="E29" s="4">
        <v>0.48484848484848486</v>
      </c>
      <c r="F29" s="4">
        <v>0.48014359434597265</v>
      </c>
      <c r="G29" s="4" t="str">
        <f t="shared" si="1"/>
        <v/>
      </c>
      <c r="H29" s="4" t="str">
        <f t="shared" si="2"/>
        <v/>
      </c>
      <c r="I29" s="4">
        <f t="shared" si="3"/>
        <v>0.48484848484848486</v>
      </c>
      <c r="J29" s="4" t="str">
        <f t="shared" si="4"/>
        <v/>
      </c>
      <c r="K29" s="4" t="str">
        <f t="shared" si="5"/>
        <v/>
      </c>
      <c r="L29" s="4" t="str">
        <f t="shared" si="6"/>
        <v/>
      </c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t="s">
        <v>188</v>
      </c>
      <c r="B30">
        <v>7</v>
      </c>
      <c r="C30" t="str">
        <f t="shared" si="0"/>
        <v>test.BallonFactory_7_</v>
      </c>
      <c r="D30">
        <v>13</v>
      </c>
      <c r="E30" s="4">
        <v>0.70454545454545459</v>
      </c>
      <c r="F30" s="4">
        <v>0.64078976890284944</v>
      </c>
      <c r="G30" s="4" t="str">
        <f t="shared" si="1"/>
        <v/>
      </c>
      <c r="H30" s="4" t="str">
        <f t="shared" si="2"/>
        <v/>
      </c>
      <c r="I30" s="4" t="str">
        <f t="shared" si="3"/>
        <v/>
      </c>
      <c r="J30" s="4">
        <f t="shared" si="4"/>
        <v>0.70454545454545459</v>
      </c>
      <c r="K30" s="4" t="str">
        <f t="shared" si="5"/>
        <v/>
      </c>
      <c r="L30" s="4" t="str">
        <f t="shared" si="6"/>
        <v/>
      </c>
      <c r="M30" s="4"/>
      <c r="N30" s="4"/>
      <c r="O30" s="4"/>
      <c r="P30" s="4"/>
      <c r="Q30" s="4"/>
      <c r="R30" s="4"/>
      <c r="S30" s="4"/>
      <c r="T30" s="4"/>
      <c r="U30" s="4"/>
    </row>
    <row r="31" spans="1:21">
      <c r="A31" t="s">
        <v>188</v>
      </c>
      <c r="B31">
        <v>7</v>
      </c>
      <c r="C31" t="str">
        <f t="shared" si="0"/>
        <v>test.BallonFactory_7_</v>
      </c>
      <c r="D31">
        <v>14</v>
      </c>
      <c r="E31" s="4">
        <v>0.70454545454545459</v>
      </c>
      <c r="F31" s="4">
        <v>0.64841821853264525</v>
      </c>
      <c r="G31" s="4" t="str">
        <f t="shared" si="1"/>
        <v/>
      </c>
      <c r="H31" s="4" t="str">
        <f t="shared" si="2"/>
        <v/>
      </c>
      <c r="I31" s="4" t="str">
        <f t="shared" si="3"/>
        <v/>
      </c>
      <c r="J31" s="4">
        <f t="shared" si="4"/>
        <v>0.70454545454545459</v>
      </c>
      <c r="K31" s="4" t="str">
        <f t="shared" si="5"/>
        <v/>
      </c>
      <c r="L31" s="4" t="str">
        <f t="shared" si="6"/>
        <v/>
      </c>
      <c r="M31" s="4"/>
      <c r="N31" s="4"/>
      <c r="O31" s="4"/>
      <c r="P31" s="4"/>
      <c r="Q31" s="4"/>
      <c r="R31" s="4"/>
      <c r="S31" s="4"/>
      <c r="T31" s="4"/>
      <c r="U31" s="4"/>
    </row>
    <row r="32" spans="1:21">
      <c r="A32" t="s">
        <v>188</v>
      </c>
      <c r="B32">
        <v>7</v>
      </c>
      <c r="C32" t="str">
        <f t="shared" si="0"/>
        <v>test.BallonFactory_7_</v>
      </c>
      <c r="D32">
        <v>15</v>
      </c>
      <c r="E32" s="4">
        <v>0.94696969696969702</v>
      </c>
      <c r="F32" s="4">
        <v>0.76822975095355617</v>
      </c>
      <c r="G32" s="4" t="str">
        <f t="shared" si="1"/>
        <v/>
      </c>
      <c r="H32" s="4" t="str">
        <f t="shared" si="2"/>
        <v/>
      </c>
      <c r="I32" s="4" t="str">
        <f t="shared" si="3"/>
        <v/>
      </c>
      <c r="J32" s="4">
        <f t="shared" si="4"/>
        <v>0.94696969696969702</v>
      </c>
      <c r="K32" s="4" t="str">
        <f t="shared" si="5"/>
        <v/>
      </c>
      <c r="L32" s="4" t="str">
        <f t="shared" si="6"/>
        <v/>
      </c>
      <c r="M32" s="4"/>
      <c r="N32" s="4"/>
      <c r="O32" s="4"/>
      <c r="P32" s="4"/>
      <c r="Q32" s="4"/>
      <c r="R32" s="4"/>
      <c r="S32" s="4"/>
      <c r="T32" s="4"/>
      <c r="U32" s="4"/>
    </row>
    <row r="33" spans="1:21">
      <c r="A33" t="s">
        <v>188</v>
      </c>
      <c r="B33">
        <v>7</v>
      </c>
      <c r="C33" t="str">
        <f t="shared" si="0"/>
        <v>test.BallonFactory_7_</v>
      </c>
      <c r="D33">
        <v>16</v>
      </c>
      <c r="E33" s="4">
        <v>1</v>
      </c>
      <c r="F33" s="4">
        <v>0.80771819609602868</v>
      </c>
      <c r="G33" s="4" t="str">
        <f t="shared" si="1"/>
        <v/>
      </c>
      <c r="H33" s="4" t="str">
        <f t="shared" si="2"/>
        <v/>
      </c>
      <c r="I33" s="4" t="str">
        <f t="shared" si="3"/>
        <v/>
      </c>
      <c r="J33" s="4" t="str">
        <f t="shared" si="4"/>
        <v/>
      </c>
      <c r="K33" s="4">
        <f t="shared" si="5"/>
        <v>1</v>
      </c>
      <c r="L33" s="4" t="str">
        <f t="shared" si="6"/>
        <v/>
      </c>
      <c r="M33" s="4"/>
      <c r="N33" s="4"/>
      <c r="O33" s="4"/>
      <c r="P33" s="4"/>
      <c r="Q33" s="4"/>
      <c r="R33" s="4"/>
      <c r="S33" s="4"/>
      <c r="T33" s="4"/>
      <c r="U33" s="4"/>
    </row>
    <row r="34" spans="1:21">
      <c r="A34" t="s">
        <v>219</v>
      </c>
      <c r="B34">
        <v>18</v>
      </c>
      <c r="C34" t="str">
        <f t="shared" si="0"/>
        <v>test.Base64_18_</v>
      </c>
      <c r="D34">
        <v>1</v>
      </c>
      <c r="E34" s="4">
        <v>2.1276595744680851E-2</v>
      </c>
      <c r="F34" s="4">
        <v>1.4953097427324232E-2</v>
      </c>
      <c r="G34" s="4">
        <f t="shared" si="1"/>
        <v>2.1276595744680851E-2</v>
      </c>
      <c r="H34" s="4" t="str">
        <f t="shared" si="2"/>
        <v/>
      </c>
      <c r="I34" s="4" t="str">
        <f t="shared" si="3"/>
        <v/>
      </c>
      <c r="J34" s="4" t="str">
        <f t="shared" si="4"/>
        <v/>
      </c>
      <c r="K34" s="4" t="str">
        <f t="shared" si="5"/>
        <v/>
      </c>
      <c r="L34" s="4" t="str">
        <f t="shared" si="6"/>
        <v/>
      </c>
      <c r="M34" s="4"/>
      <c r="N34" s="4"/>
      <c r="O34" s="4"/>
      <c r="P34" s="4"/>
      <c r="Q34" s="4"/>
      <c r="R34" s="4"/>
      <c r="S34" s="4"/>
      <c r="T34" s="4"/>
      <c r="U34" s="4"/>
    </row>
    <row r="35" spans="1:21">
      <c r="A35" t="s">
        <v>219</v>
      </c>
      <c r="B35">
        <v>18</v>
      </c>
      <c r="C35" t="str">
        <f t="shared" si="0"/>
        <v>test.Base64_18_</v>
      </c>
      <c r="D35">
        <v>2</v>
      </c>
      <c r="E35" s="4">
        <v>4.2553191489361701E-2</v>
      </c>
      <c r="F35" s="4">
        <v>2.6841274263954676E-2</v>
      </c>
      <c r="G35" s="4">
        <f t="shared" si="1"/>
        <v>4.2553191489361701E-2</v>
      </c>
      <c r="H35" s="4" t="str">
        <f t="shared" si="2"/>
        <v/>
      </c>
      <c r="I35" s="4" t="str">
        <f t="shared" si="3"/>
        <v/>
      </c>
      <c r="J35" s="4" t="str">
        <f t="shared" si="4"/>
        <v/>
      </c>
      <c r="K35" s="4" t="str">
        <f t="shared" si="5"/>
        <v/>
      </c>
      <c r="L35" s="4" t="str">
        <f t="shared" si="6"/>
        <v/>
      </c>
      <c r="M35" s="4"/>
      <c r="N35" s="4"/>
      <c r="O35" s="4"/>
      <c r="P35" s="4"/>
      <c r="Q35" s="4"/>
      <c r="R35" s="4"/>
      <c r="S35" s="4"/>
      <c r="T35" s="4"/>
      <c r="U35" s="4"/>
    </row>
    <row r="36" spans="1:21">
      <c r="A36" t="s">
        <v>219</v>
      </c>
      <c r="B36">
        <v>18</v>
      </c>
      <c r="C36" t="str">
        <f t="shared" si="0"/>
        <v>test.Base64_18_</v>
      </c>
      <c r="D36">
        <v>3</v>
      </c>
      <c r="E36" s="4">
        <v>0.12056737588652482</v>
      </c>
      <c r="F36" s="4">
        <v>6.1948546484628962E-2</v>
      </c>
      <c r="G36" s="4">
        <f t="shared" si="1"/>
        <v>0.12056737588652482</v>
      </c>
      <c r="H36" s="4" t="str">
        <f t="shared" si="2"/>
        <v/>
      </c>
      <c r="I36" s="4" t="str">
        <f t="shared" si="3"/>
        <v/>
      </c>
      <c r="J36" s="4" t="str">
        <f t="shared" si="4"/>
        <v/>
      </c>
      <c r="K36" s="4" t="str">
        <f t="shared" si="5"/>
        <v/>
      </c>
      <c r="L36" s="4" t="str">
        <f t="shared" si="6"/>
        <v/>
      </c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t="s">
        <v>219</v>
      </c>
      <c r="B37">
        <v>18</v>
      </c>
      <c r="C37" t="str">
        <f t="shared" si="0"/>
        <v>test.Base64_18_</v>
      </c>
      <c r="D37">
        <v>4</v>
      </c>
      <c r="E37" s="4">
        <v>0.16312056737588654</v>
      </c>
      <c r="F37" s="4">
        <v>7.7551778582706413E-2</v>
      </c>
      <c r="G37" s="4">
        <f t="shared" si="1"/>
        <v>0.16312056737588654</v>
      </c>
      <c r="H37" s="4" t="str">
        <f t="shared" si="2"/>
        <v/>
      </c>
      <c r="I37" s="4" t="str">
        <f t="shared" si="3"/>
        <v/>
      </c>
      <c r="J37" s="4" t="str">
        <f t="shared" si="4"/>
        <v/>
      </c>
      <c r="K37" s="4" t="str">
        <f t="shared" si="5"/>
        <v/>
      </c>
      <c r="L37" s="4" t="str">
        <f t="shared" si="6"/>
        <v/>
      </c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t="s">
        <v>219</v>
      </c>
      <c r="B38">
        <v>18</v>
      </c>
      <c r="C38" t="str">
        <f t="shared" si="0"/>
        <v>test.Base64_18_</v>
      </c>
      <c r="D38">
        <v>5</v>
      </c>
      <c r="E38" s="4">
        <v>0.24822695035460993</v>
      </c>
      <c r="F38" s="4">
        <v>0.10755084981889106</v>
      </c>
      <c r="G38" s="4">
        <f t="shared" si="1"/>
        <v>0.24822695035460993</v>
      </c>
      <c r="H38" s="4" t="str">
        <f t="shared" si="2"/>
        <v/>
      </c>
      <c r="I38" s="4" t="str">
        <f t="shared" si="3"/>
        <v/>
      </c>
      <c r="J38" s="4" t="str">
        <f t="shared" si="4"/>
        <v/>
      </c>
      <c r="K38" s="4" t="str">
        <f t="shared" si="5"/>
        <v/>
      </c>
      <c r="L38" s="4" t="str">
        <f t="shared" si="6"/>
        <v/>
      </c>
      <c r="M38" s="4"/>
      <c r="N38" s="4"/>
      <c r="O38" s="4"/>
      <c r="P38" s="4"/>
      <c r="Q38" s="4"/>
      <c r="R38" s="4"/>
      <c r="S38" s="4"/>
      <c r="T38" s="4"/>
      <c r="U38" s="4"/>
    </row>
    <row r="39" spans="1:21">
      <c r="A39" t="s">
        <v>219</v>
      </c>
      <c r="B39">
        <v>18</v>
      </c>
      <c r="C39" t="str">
        <f t="shared" si="0"/>
        <v>test.Base64_18_</v>
      </c>
      <c r="D39">
        <v>6</v>
      </c>
      <c r="E39" s="4">
        <v>0.26950354609929078</v>
      </c>
      <c r="F39" s="4">
        <v>0.11293767994798923</v>
      </c>
      <c r="G39" s="4">
        <f t="shared" si="1"/>
        <v>0.26950354609929078</v>
      </c>
      <c r="H39" s="4" t="str">
        <f t="shared" si="2"/>
        <v/>
      </c>
      <c r="I39" s="4" t="str">
        <f t="shared" si="3"/>
        <v/>
      </c>
      <c r="J39" s="4" t="str">
        <f t="shared" si="4"/>
        <v/>
      </c>
      <c r="K39" s="4" t="str">
        <f t="shared" si="5"/>
        <v/>
      </c>
      <c r="L39" s="4" t="str">
        <f t="shared" si="6"/>
        <v/>
      </c>
      <c r="M39" s="4"/>
      <c r="N39" s="4"/>
      <c r="O39" s="4"/>
      <c r="P39" s="4"/>
      <c r="Q39" s="4"/>
      <c r="R39" s="4"/>
      <c r="S39" s="4"/>
      <c r="T39" s="4"/>
      <c r="U39" s="4"/>
    </row>
    <row r="40" spans="1:21">
      <c r="A40" t="s">
        <v>219</v>
      </c>
      <c r="B40">
        <v>18</v>
      </c>
      <c r="C40" t="str">
        <f t="shared" si="0"/>
        <v>test.Base64_18_</v>
      </c>
      <c r="D40">
        <v>7</v>
      </c>
      <c r="E40" s="4">
        <v>0.29078014184397161</v>
      </c>
      <c r="F40" s="4">
        <v>0.11312343271106158</v>
      </c>
      <c r="G40" s="4">
        <f t="shared" si="1"/>
        <v>0.29078014184397161</v>
      </c>
      <c r="H40" s="4" t="str">
        <f t="shared" si="2"/>
        <v/>
      </c>
      <c r="I40" s="4" t="str">
        <f t="shared" si="3"/>
        <v/>
      </c>
      <c r="J40" s="4" t="str">
        <f t="shared" si="4"/>
        <v/>
      </c>
      <c r="K40" s="4" t="str">
        <f t="shared" si="5"/>
        <v/>
      </c>
      <c r="L40" s="4" t="str">
        <f t="shared" si="6"/>
        <v/>
      </c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t="s">
        <v>219</v>
      </c>
      <c r="B41">
        <v>18</v>
      </c>
      <c r="C41" t="str">
        <f t="shared" si="0"/>
        <v>test.Base64_18_</v>
      </c>
      <c r="D41">
        <v>8</v>
      </c>
      <c r="E41" s="4">
        <v>0.29078014184397161</v>
      </c>
      <c r="F41" s="4">
        <v>0.1194390266555215</v>
      </c>
      <c r="G41" s="4">
        <f t="shared" si="1"/>
        <v>0.29078014184397161</v>
      </c>
      <c r="H41" s="4" t="str">
        <f t="shared" si="2"/>
        <v/>
      </c>
      <c r="I41" s="4" t="str">
        <f t="shared" si="3"/>
        <v/>
      </c>
      <c r="J41" s="4" t="str">
        <f t="shared" si="4"/>
        <v/>
      </c>
      <c r="K41" s="4" t="str">
        <f t="shared" si="5"/>
        <v/>
      </c>
      <c r="L41" s="4" t="str">
        <f t="shared" si="6"/>
        <v/>
      </c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t="s">
        <v>219</v>
      </c>
      <c r="B42">
        <v>18</v>
      </c>
      <c r="C42" t="str">
        <f t="shared" si="0"/>
        <v>test.Base64_18_</v>
      </c>
      <c r="D42">
        <v>9</v>
      </c>
      <c r="E42" s="4">
        <v>0.41134751773049644</v>
      </c>
      <c r="F42" s="4">
        <v>0.17386458623572026</v>
      </c>
      <c r="G42" s="4">
        <f t="shared" si="1"/>
        <v>0.41134751773049644</v>
      </c>
      <c r="H42" s="4" t="str">
        <f t="shared" si="2"/>
        <v/>
      </c>
      <c r="I42" s="4" t="str">
        <f t="shared" si="3"/>
        <v/>
      </c>
      <c r="J42" s="4" t="str">
        <f t="shared" si="4"/>
        <v/>
      </c>
      <c r="K42" s="4" t="str">
        <f t="shared" si="5"/>
        <v/>
      </c>
      <c r="L42" s="4" t="str">
        <f t="shared" si="6"/>
        <v/>
      </c>
      <c r="M42" s="4"/>
      <c r="N42" s="4"/>
      <c r="O42" s="4"/>
      <c r="P42" s="4"/>
      <c r="Q42" s="4"/>
      <c r="R42" s="4"/>
      <c r="S42" s="4"/>
      <c r="T42" s="4"/>
      <c r="U42" s="4"/>
    </row>
    <row r="43" spans="1:21">
      <c r="A43" t="s">
        <v>219</v>
      </c>
      <c r="B43">
        <v>18</v>
      </c>
      <c r="C43" t="str">
        <f t="shared" si="0"/>
        <v>test.Base64_18_</v>
      </c>
      <c r="D43">
        <v>10</v>
      </c>
      <c r="E43" s="4">
        <v>0.54609929078014185</v>
      </c>
      <c r="F43" s="4">
        <v>0.17497910281415435</v>
      </c>
      <c r="G43" s="4">
        <f t="shared" si="1"/>
        <v>0.54609929078014185</v>
      </c>
      <c r="H43" s="4" t="str">
        <f t="shared" si="2"/>
        <v/>
      </c>
      <c r="I43" s="4" t="str">
        <f t="shared" si="3"/>
        <v/>
      </c>
      <c r="J43" s="4" t="str">
        <f t="shared" si="4"/>
        <v/>
      </c>
      <c r="K43" s="4" t="str">
        <f t="shared" si="5"/>
        <v/>
      </c>
      <c r="L43" s="4" t="str">
        <f t="shared" si="6"/>
        <v/>
      </c>
      <c r="M43" s="4"/>
      <c r="N43" s="4"/>
      <c r="O43" s="4"/>
      <c r="P43" s="4"/>
      <c r="Q43" s="4"/>
      <c r="R43" s="4"/>
      <c r="S43" s="4"/>
      <c r="T43" s="4"/>
      <c r="U43" s="4"/>
    </row>
    <row r="44" spans="1:21">
      <c r="A44" t="s">
        <v>219</v>
      </c>
      <c r="B44">
        <v>18</v>
      </c>
      <c r="C44" t="str">
        <f t="shared" si="0"/>
        <v>test.Base64_18_</v>
      </c>
      <c r="D44">
        <v>11</v>
      </c>
      <c r="E44" s="4">
        <v>0.58156028368794321</v>
      </c>
      <c r="F44" s="4">
        <v>0.17906566360174608</v>
      </c>
      <c r="G44" s="4">
        <f t="shared" si="1"/>
        <v>0.58156028368794321</v>
      </c>
      <c r="H44" s="4" t="str">
        <f t="shared" si="2"/>
        <v/>
      </c>
      <c r="I44" s="4" t="str">
        <f t="shared" si="3"/>
        <v/>
      </c>
      <c r="J44" s="4" t="str">
        <f t="shared" si="4"/>
        <v/>
      </c>
      <c r="K44" s="4" t="str">
        <f t="shared" si="5"/>
        <v/>
      </c>
      <c r="L44" s="4" t="str">
        <f t="shared" si="6"/>
        <v/>
      </c>
      <c r="M44" s="4"/>
      <c r="N44" s="4"/>
      <c r="O44" s="4"/>
      <c r="P44" s="4"/>
      <c r="Q44" s="4"/>
      <c r="R44" s="4"/>
      <c r="S44" s="4"/>
      <c r="T44" s="4"/>
      <c r="U44" s="4"/>
    </row>
    <row r="45" spans="1:21">
      <c r="A45" t="s">
        <v>219</v>
      </c>
      <c r="B45">
        <v>18</v>
      </c>
      <c r="C45" t="str">
        <f t="shared" si="0"/>
        <v>test.Base64_18_</v>
      </c>
      <c r="D45">
        <v>12</v>
      </c>
      <c r="E45" s="4">
        <v>0.58156028368794321</v>
      </c>
      <c r="F45" s="4">
        <v>0.18408098820469954</v>
      </c>
      <c r="G45" s="4">
        <f t="shared" si="1"/>
        <v>0.58156028368794321</v>
      </c>
      <c r="H45" s="4" t="str">
        <f t="shared" si="2"/>
        <v/>
      </c>
      <c r="I45" s="4" t="str">
        <f t="shared" si="3"/>
        <v/>
      </c>
      <c r="J45" s="4" t="str">
        <f t="shared" si="4"/>
        <v/>
      </c>
      <c r="K45" s="4" t="str">
        <f t="shared" si="5"/>
        <v/>
      </c>
      <c r="L45" s="4" t="str">
        <f t="shared" si="6"/>
        <v/>
      </c>
      <c r="M45" s="4"/>
      <c r="N45" s="4"/>
      <c r="O45" s="4"/>
      <c r="P45" s="4"/>
      <c r="Q45" s="4"/>
      <c r="R45" s="4"/>
      <c r="S45" s="4"/>
      <c r="T45" s="4"/>
      <c r="U45" s="4"/>
    </row>
    <row r="46" spans="1:21">
      <c r="A46" t="s">
        <v>219</v>
      </c>
      <c r="B46">
        <v>18</v>
      </c>
      <c r="C46" t="str">
        <f t="shared" si="0"/>
        <v>test.Base64_18_</v>
      </c>
      <c r="D46">
        <v>13</v>
      </c>
      <c r="E46" s="4">
        <v>0.58156028368794321</v>
      </c>
      <c r="F46" s="4">
        <v>0.18463824649391661</v>
      </c>
      <c r="G46" s="4">
        <f t="shared" si="1"/>
        <v>0.58156028368794321</v>
      </c>
      <c r="H46" s="4" t="str">
        <f t="shared" si="2"/>
        <v/>
      </c>
      <c r="I46" s="4" t="str">
        <f t="shared" si="3"/>
        <v/>
      </c>
      <c r="J46" s="4" t="str">
        <f t="shared" si="4"/>
        <v/>
      </c>
      <c r="K46" s="4" t="str">
        <f t="shared" si="5"/>
        <v/>
      </c>
      <c r="L46" s="4" t="str">
        <f t="shared" si="6"/>
        <v/>
      </c>
      <c r="M46" s="4"/>
      <c r="N46" s="4"/>
      <c r="O46" s="4"/>
      <c r="P46" s="4"/>
      <c r="Q46" s="4"/>
      <c r="R46" s="4"/>
      <c r="S46" s="4"/>
      <c r="T46" s="4"/>
      <c r="U46" s="4"/>
    </row>
    <row r="47" spans="1:21">
      <c r="A47" t="s">
        <v>219</v>
      </c>
      <c r="B47">
        <v>18</v>
      </c>
      <c r="C47" t="str">
        <f t="shared" si="0"/>
        <v>test.Base64_18_</v>
      </c>
      <c r="D47">
        <v>14</v>
      </c>
      <c r="E47" s="4">
        <v>0.61702127659574468</v>
      </c>
      <c r="F47" s="4">
        <v>0.19411163741060647</v>
      </c>
      <c r="G47" s="4">
        <f t="shared" si="1"/>
        <v>0.61702127659574468</v>
      </c>
      <c r="H47" s="4" t="str">
        <f t="shared" si="2"/>
        <v/>
      </c>
      <c r="I47" s="4" t="str">
        <f t="shared" si="3"/>
        <v/>
      </c>
      <c r="J47" s="4" t="str">
        <f t="shared" si="4"/>
        <v/>
      </c>
      <c r="K47" s="4" t="str">
        <f t="shared" si="5"/>
        <v/>
      </c>
      <c r="L47" s="4" t="str">
        <f t="shared" si="6"/>
        <v/>
      </c>
      <c r="M47" s="4"/>
      <c r="N47" s="4"/>
      <c r="O47" s="4"/>
      <c r="P47" s="4"/>
      <c r="Q47" s="4"/>
      <c r="R47" s="4"/>
      <c r="S47" s="4"/>
      <c r="T47" s="4"/>
      <c r="U47" s="4"/>
    </row>
    <row r="48" spans="1:21">
      <c r="A48" t="s">
        <v>219</v>
      </c>
      <c r="B48">
        <v>18</v>
      </c>
      <c r="C48" t="str">
        <f t="shared" si="0"/>
        <v>test.Base64_18_</v>
      </c>
      <c r="D48">
        <v>15</v>
      </c>
      <c r="E48" s="4">
        <v>0.61702127659574468</v>
      </c>
      <c r="F48" s="4">
        <v>0.20163462431503668</v>
      </c>
      <c r="G48" s="4" t="str">
        <f t="shared" si="1"/>
        <v/>
      </c>
      <c r="H48" s="4">
        <f t="shared" si="2"/>
        <v>0.61702127659574468</v>
      </c>
      <c r="I48" s="4" t="str">
        <f t="shared" si="3"/>
        <v/>
      </c>
      <c r="J48" s="4" t="str">
        <f t="shared" si="4"/>
        <v/>
      </c>
      <c r="K48" s="4" t="str">
        <f t="shared" si="5"/>
        <v/>
      </c>
      <c r="L48" s="4" t="str">
        <f t="shared" si="6"/>
        <v/>
      </c>
      <c r="M48" s="4"/>
      <c r="N48" s="4"/>
      <c r="O48" s="4"/>
      <c r="P48" s="4"/>
      <c r="Q48" s="4"/>
      <c r="R48" s="4"/>
      <c r="S48" s="4"/>
      <c r="T48" s="4"/>
      <c r="U48" s="4"/>
    </row>
    <row r="49" spans="1:21">
      <c r="A49" t="s">
        <v>219</v>
      </c>
      <c r="B49">
        <v>18</v>
      </c>
      <c r="C49" t="str">
        <f t="shared" si="0"/>
        <v>test.Base64_18_</v>
      </c>
      <c r="D49">
        <v>16</v>
      </c>
      <c r="E49" s="4">
        <v>0.61702127659574468</v>
      </c>
      <c r="F49" s="4">
        <v>0.20451379214265814</v>
      </c>
      <c r="G49" s="4" t="str">
        <f t="shared" si="1"/>
        <v/>
      </c>
      <c r="H49" s="4">
        <f t="shared" si="2"/>
        <v>0.61702127659574468</v>
      </c>
      <c r="I49" s="4" t="str">
        <f t="shared" si="3"/>
        <v/>
      </c>
      <c r="J49" s="4" t="str">
        <f t="shared" si="4"/>
        <v/>
      </c>
      <c r="K49" s="4" t="str">
        <f t="shared" si="5"/>
        <v/>
      </c>
      <c r="L49" s="4" t="str">
        <f t="shared" si="6"/>
        <v/>
      </c>
      <c r="M49" s="4"/>
      <c r="N49" s="4"/>
      <c r="O49" s="4"/>
      <c r="P49" s="4"/>
      <c r="Q49" s="4"/>
      <c r="R49" s="4"/>
      <c r="S49" s="4"/>
      <c r="T49" s="4"/>
      <c r="U49" s="4"/>
    </row>
    <row r="50" spans="1:21">
      <c r="A50" t="s">
        <v>219</v>
      </c>
      <c r="B50">
        <v>18</v>
      </c>
      <c r="C50" t="str">
        <f t="shared" si="0"/>
        <v>test.Base64_18_</v>
      </c>
      <c r="D50">
        <v>17</v>
      </c>
      <c r="E50" s="4">
        <v>0.65248226950354615</v>
      </c>
      <c r="F50" s="4">
        <v>0.20860035293024984</v>
      </c>
      <c r="G50" s="4" t="str">
        <f t="shared" si="1"/>
        <v/>
      </c>
      <c r="H50" s="4">
        <f t="shared" si="2"/>
        <v>0.65248226950354615</v>
      </c>
      <c r="I50" s="4" t="str">
        <f t="shared" si="3"/>
        <v/>
      </c>
      <c r="J50" s="4" t="str">
        <f t="shared" si="4"/>
        <v/>
      </c>
      <c r="K50" s="4" t="str">
        <f t="shared" si="5"/>
        <v/>
      </c>
      <c r="L50" s="4" t="str">
        <f t="shared" si="6"/>
        <v/>
      </c>
      <c r="M50" s="4"/>
      <c r="N50" s="4"/>
      <c r="O50" s="4"/>
      <c r="P50" s="4"/>
      <c r="Q50" s="4"/>
      <c r="R50" s="4"/>
      <c r="S50" s="4"/>
      <c r="T50" s="4"/>
      <c r="U50" s="4"/>
    </row>
    <row r="51" spans="1:21">
      <c r="A51" t="s">
        <v>219</v>
      </c>
      <c r="B51">
        <v>18</v>
      </c>
      <c r="C51" t="str">
        <f t="shared" si="0"/>
        <v>test.Base64_18_</v>
      </c>
      <c r="D51">
        <v>18</v>
      </c>
      <c r="E51" s="4">
        <v>0.65248226950354615</v>
      </c>
      <c r="F51" s="4">
        <v>0.21491594687470977</v>
      </c>
      <c r="G51" s="4" t="str">
        <f t="shared" si="1"/>
        <v/>
      </c>
      <c r="H51" s="4">
        <f t="shared" si="2"/>
        <v>0.65248226950354615</v>
      </c>
      <c r="I51" s="4" t="str">
        <f t="shared" si="3"/>
        <v/>
      </c>
      <c r="J51" s="4" t="str">
        <f t="shared" si="4"/>
        <v/>
      </c>
      <c r="K51" s="4" t="str">
        <f t="shared" si="5"/>
        <v/>
      </c>
      <c r="L51" s="4" t="str">
        <f t="shared" si="6"/>
        <v/>
      </c>
      <c r="M51" s="4"/>
      <c r="N51" s="4"/>
      <c r="O51" s="4"/>
      <c r="P51" s="4"/>
      <c r="Q51" s="4"/>
      <c r="R51" s="4"/>
      <c r="S51" s="4"/>
      <c r="T51" s="4"/>
      <c r="U51" s="4"/>
    </row>
    <row r="52" spans="1:21">
      <c r="A52" t="s">
        <v>219</v>
      </c>
      <c r="B52">
        <v>18</v>
      </c>
      <c r="C52" t="str">
        <f t="shared" si="0"/>
        <v>test.Base64_18_</v>
      </c>
      <c r="D52">
        <v>19</v>
      </c>
      <c r="E52" s="4">
        <v>0.65248226950354615</v>
      </c>
      <c r="F52" s="4">
        <v>0.21565895792699916</v>
      </c>
      <c r="G52" s="4" t="str">
        <f t="shared" si="1"/>
        <v/>
      </c>
      <c r="H52" s="4">
        <f t="shared" si="2"/>
        <v>0.65248226950354615</v>
      </c>
      <c r="I52" s="4" t="str">
        <f t="shared" si="3"/>
        <v/>
      </c>
      <c r="J52" s="4" t="str">
        <f t="shared" si="4"/>
        <v/>
      </c>
      <c r="K52" s="4" t="str">
        <f t="shared" si="5"/>
        <v/>
      </c>
      <c r="L52" s="4" t="str">
        <f t="shared" si="6"/>
        <v/>
      </c>
      <c r="M52" s="4"/>
      <c r="N52" s="4"/>
      <c r="O52" s="4"/>
      <c r="P52" s="4"/>
      <c r="Q52" s="4"/>
      <c r="R52" s="4"/>
      <c r="S52" s="4"/>
      <c r="T52" s="4"/>
      <c r="U52" s="4"/>
    </row>
    <row r="53" spans="1:21">
      <c r="A53" t="s">
        <v>219</v>
      </c>
      <c r="B53">
        <v>18</v>
      </c>
      <c r="C53" t="str">
        <f t="shared" si="0"/>
        <v>test.Base64_18_</v>
      </c>
      <c r="D53">
        <v>20</v>
      </c>
      <c r="E53" s="4">
        <v>0.65248226950354615</v>
      </c>
      <c r="F53" s="4">
        <v>0.2264326181851955</v>
      </c>
      <c r="G53" s="4" t="str">
        <f t="shared" si="1"/>
        <v/>
      </c>
      <c r="H53" s="4">
        <f t="shared" si="2"/>
        <v>0.65248226950354615</v>
      </c>
      <c r="I53" s="4" t="str">
        <f t="shared" si="3"/>
        <v/>
      </c>
      <c r="J53" s="4" t="str">
        <f t="shared" si="4"/>
        <v/>
      </c>
      <c r="K53" s="4" t="str">
        <f t="shared" si="5"/>
        <v/>
      </c>
      <c r="L53" s="4" t="str">
        <f t="shared" si="6"/>
        <v/>
      </c>
      <c r="M53" s="4"/>
      <c r="N53" s="4"/>
      <c r="O53" s="4"/>
      <c r="P53" s="4"/>
      <c r="Q53" s="4"/>
      <c r="R53" s="4"/>
      <c r="S53" s="4"/>
      <c r="T53" s="4"/>
      <c r="U53" s="4"/>
    </row>
    <row r="54" spans="1:21">
      <c r="A54" t="s">
        <v>219</v>
      </c>
      <c r="B54">
        <v>18</v>
      </c>
      <c r="C54" t="str">
        <f t="shared" si="0"/>
        <v>test.Base64_18_</v>
      </c>
      <c r="D54">
        <v>21</v>
      </c>
      <c r="E54" s="4">
        <v>0.85815602836879434</v>
      </c>
      <c r="F54" s="4">
        <v>0.92096219931271472</v>
      </c>
      <c r="G54" s="4" t="str">
        <f t="shared" si="1"/>
        <v/>
      </c>
      <c r="H54" s="4" t="str">
        <f t="shared" si="2"/>
        <v/>
      </c>
      <c r="I54" s="4" t="str">
        <f t="shared" si="3"/>
        <v/>
      </c>
      <c r="J54" s="4" t="str">
        <f t="shared" si="4"/>
        <v/>
      </c>
      <c r="K54" s="4">
        <f t="shared" si="5"/>
        <v>0.85815602836879434</v>
      </c>
      <c r="L54" s="4" t="str">
        <f t="shared" si="6"/>
        <v/>
      </c>
      <c r="M54" s="4"/>
      <c r="N54" s="4"/>
      <c r="O54" s="4"/>
      <c r="P54" s="4"/>
      <c r="Q54" s="4"/>
      <c r="R54" s="4"/>
      <c r="S54" s="4"/>
      <c r="T54" s="4"/>
      <c r="U54" s="4"/>
    </row>
    <row r="55" spans="1:21">
      <c r="A55" t="s">
        <v>219</v>
      </c>
      <c r="B55">
        <v>18</v>
      </c>
      <c r="C55" t="str">
        <f t="shared" si="0"/>
        <v>test.Base64_18_</v>
      </c>
      <c r="D55">
        <v>22</v>
      </c>
      <c r="E55" s="4">
        <v>0.85815602836879434</v>
      </c>
      <c r="F55" s="4">
        <v>0.92467725457416183</v>
      </c>
      <c r="G55" s="4" t="str">
        <f t="shared" si="1"/>
        <v/>
      </c>
      <c r="H55" s="4" t="str">
        <f t="shared" si="2"/>
        <v/>
      </c>
      <c r="I55" s="4" t="str">
        <f t="shared" si="3"/>
        <v/>
      </c>
      <c r="J55" s="4" t="str">
        <f t="shared" si="4"/>
        <v/>
      </c>
      <c r="K55" s="4">
        <f t="shared" si="5"/>
        <v>0.85815602836879434</v>
      </c>
      <c r="L55" s="4" t="str">
        <f t="shared" si="6"/>
        <v/>
      </c>
      <c r="M55" s="4"/>
      <c r="N55" s="4"/>
      <c r="O55" s="4"/>
      <c r="P55" s="4"/>
      <c r="Q55" s="4"/>
      <c r="R55" s="4"/>
      <c r="S55" s="4"/>
      <c r="T55" s="4"/>
      <c r="U55" s="4"/>
    </row>
    <row r="56" spans="1:21">
      <c r="A56" t="s">
        <v>219</v>
      </c>
      <c r="B56">
        <v>18</v>
      </c>
      <c r="C56" t="str">
        <f t="shared" si="0"/>
        <v>test.Base64_18_</v>
      </c>
      <c r="D56">
        <v>23</v>
      </c>
      <c r="E56" s="4">
        <v>0.85815602836879434</v>
      </c>
      <c r="F56" s="4">
        <v>0.92848518621714493</v>
      </c>
      <c r="G56" s="4" t="str">
        <f t="shared" si="1"/>
        <v/>
      </c>
      <c r="H56" s="4" t="str">
        <f t="shared" si="2"/>
        <v/>
      </c>
      <c r="I56" s="4" t="str">
        <f t="shared" si="3"/>
        <v/>
      </c>
      <c r="J56" s="4" t="str">
        <f t="shared" si="4"/>
        <v/>
      </c>
      <c r="K56" s="4">
        <f t="shared" si="5"/>
        <v>0.85815602836879434</v>
      </c>
      <c r="L56" s="4" t="str">
        <f t="shared" si="6"/>
        <v/>
      </c>
      <c r="M56" s="4"/>
      <c r="N56" s="4"/>
      <c r="O56" s="4"/>
      <c r="P56" s="4"/>
      <c r="Q56" s="4"/>
      <c r="R56" s="4"/>
      <c r="S56" s="4"/>
      <c r="T56" s="4"/>
      <c r="U56" s="4"/>
    </row>
    <row r="57" spans="1:21">
      <c r="A57" t="s">
        <v>219</v>
      </c>
      <c r="B57">
        <v>18</v>
      </c>
      <c r="C57" t="str">
        <f t="shared" si="0"/>
        <v>test.Base64_18_</v>
      </c>
      <c r="D57">
        <v>24</v>
      </c>
      <c r="E57" s="4">
        <v>1</v>
      </c>
      <c r="F57" s="4">
        <v>0.93665830779232839</v>
      </c>
      <c r="G57" s="4" t="str">
        <f t="shared" si="1"/>
        <v/>
      </c>
      <c r="H57" s="4" t="str">
        <f t="shared" si="2"/>
        <v/>
      </c>
      <c r="I57" s="4" t="str">
        <f t="shared" si="3"/>
        <v/>
      </c>
      <c r="J57" s="4" t="str">
        <f t="shared" si="4"/>
        <v/>
      </c>
      <c r="K57" s="4">
        <f t="shared" si="5"/>
        <v>1</v>
      </c>
      <c r="L57" s="4" t="str">
        <f t="shared" si="6"/>
        <v/>
      </c>
      <c r="M57" s="4"/>
      <c r="N57" s="4"/>
      <c r="O57" s="4"/>
      <c r="P57" s="4"/>
      <c r="Q57" s="4"/>
      <c r="R57" s="4"/>
      <c r="S57" s="4"/>
      <c r="T57" s="4"/>
      <c r="U57" s="4"/>
    </row>
    <row r="58" spans="1:21">
      <c r="A58" t="s">
        <v>219</v>
      </c>
      <c r="B58">
        <v>18</v>
      </c>
      <c r="C58" t="str">
        <f t="shared" si="0"/>
        <v>test.Base64_18_</v>
      </c>
      <c r="D58">
        <v>25</v>
      </c>
      <c r="E58" s="4">
        <v>1</v>
      </c>
      <c r="F58" s="4">
        <v>0.94139500325067338</v>
      </c>
      <c r="G58" s="4" t="str">
        <f t="shared" si="1"/>
        <v/>
      </c>
      <c r="H58" s="4" t="str">
        <f t="shared" si="2"/>
        <v/>
      </c>
      <c r="I58" s="4" t="str">
        <f t="shared" si="3"/>
        <v/>
      </c>
      <c r="J58" s="4" t="str">
        <f t="shared" si="4"/>
        <v/>
      </c>
      <c r="K58" s="4">
        <f t="shared" si="5"/>
        <v>1</v>
      </c>
      <c r="L58" s="4" t="str">
        <f t="shared" si="6"/>
        <v/>
      </c>
      <c r="M58" s="4"/>
      <c r="N58" s="4"/>
      <c r="O58" s="4"/>
      <c r="P58" s="4"/>
      <c r="Q58" s="4"/>
      <c r="R58" s="4"/>
      <c r="S58" s="4"/>
      <c r="T58" s="4"/>
      <c r="U58" s="4"/>
    </row>
    <row r="59" spans="1:21">
      <c r="A59" t="s">
        <v>219</v>
      </c>
      <c r="B59">
        <v>18</v>
      </c>
      <c r="C59" t="str">
        <f t="shared" si="0"/>
        <v>test.Base64_18_</v>
      </c>
      <c r="D59">
        <v>26</v>
      </c>
      <c r="E59" s="4">
        <v>1</v>
      </c>
      <c r="F59" s="4">
        <v>1.1124732980403083</v>
      </c>
      <c r="G59" s="4" t="str">
        <f t="shared" si="1"/>
        <v/>
      </c>
      <c r="H59" s="4" t="str">
        <f t="shared" si="2"/>
        <v/>
      </c>
      <c r="I59" s="4" t="str">
        <f t="shared" si="3"/>
        <v/>
      </c>
      <c r="J59" s="4" t="str">
        <f t="shared" si="4"/>
        <v/>
      </c>
      <c r="K59" s="4" t="str">
        <f t="shared" si="5"/>
        <v/>
      </c>
      <c r="L59" s="4">
        <f t="shared" si="6"/>
        <v>1</v>
      </c>
      <c r="M59" s="4"/>
      <c r="N59" s="4"/>
      <c r="O59" s="4"/>
      <c r="P59" s="4"/>
      <c r="Q59" s="4"/>
      <c r="R59" s="4"/>
      <c r="S59" s="4"/>
      <c r="T59" s="4"/>
      <c r="U59" s="4"/>
    </row>
    <row r="60" spans="1:21">
      <c r="A60" t="s">
        <v>219</v>
      </c>
      <c r="B60">
        <v>18</v>
      </c>
      <c r="C60" t="str">
        <f t="shared" si="0"/>
        <v>test.Base64_18_</v>
      </c>
      <c r="D60">
        <v>27</v>
      </c>
      <c r="E60" s="4">
        <v>1</v>
      </c>
      <c r="F60" s="4">
        <v>1.251044859292282</v>
      </c>
      <c r="G60" s="4" t="str">
        <f t="shared" si="1"/>
        <v/>
      </c>
      <c r="H60" s="4" t="str">
        <f t="shared" si="2"/>
        <v/>
      </c>
      <c r="I60" s="4" t="str">
        <f t="shared" si="3"/>
        <v/>
      </c>
      <c r="J60" s="4" t="str">
        <f t="shared" si="4"/>
        <v/>
      </c>
      <c r="K60" s="4" t="str">
        <f t="shared" si="5"/>
        <v/>
      </c>
      <c r="L60" s="4">
        <f t="shared" si="6"/>
        <v>1</v>
      </c>
      <c r="M60" s="4"/>
      <c r="N60" s="4"/>
      <c r="O60" s="4"/>
      <c r="P60" s="4"/>
      <c r="Q60" s="4"/>
      <c r="R60" s="4"/>
      <c r="S60" s="4"/>
      <c r="T60" s="4"/>
      <c r="U60" s="4"/>
    </row>
    <row r="61" spans="1:21">
      <c r="A61" t="s">
        <v>219</v>
      </c>
      <c r="B61">
        <v>19</v>
      </c>
      <c r="C61" t="str">
        <f t="shared" si="0"/>
        <v>test.Base64_19_</v>
      </c>
      <c r="D61">
        <v>1</v>
      </c>
      <c r="E61" s="4">
        <v>2.3622047244094488E-2</v>
      </c>
      <c r="F61" s="4">
        <v>1.6045603293571201E-2</v>
      </c>
      <c r="G61" s="4">
        <f t="shared" si="1"/>
        <v>2.3622047244094488E-2</v>
      </c>
      <c r="H61" s="4" t="str">
        <f t="shared" si="2"/>
        <v/>
      </c>
      <c r="I61" s="4" t="str">
        <f t="shared" si="3"/>
        <v/>
      </c>
      <c r="J61" s="4" t="str">
        <f t="shared" si="4"/>
        <v/>
      </c>
      <c r="K61" s="4" t="str">
        <f t="shared" si="5"/>
        <v/>
      </c>
      <c r="L61" s="4" t="str">
        <f t="shared" si="6"/>
        <v/>
      </c>
      <c r="M61" s="4"/>
      <c r="N61" s="4"/>
      <c r="O61" s="4"/>
      <c r="P61" s="4"/>
      <c r="Q61" s="4"/>
      <c r="R61" s="4"/>
      <c r="S61" s="4"/>
      <c r="T61" s="4"/>
      <c r="U61" s="4"/>
    </row>
    <row r="62" spans="1:21">
      <c r="A62" t="s">
        <v>219</v>
      </c>
      <c r="B62">
        <v>19</v>
      </c>
      <c r="C62" t="str">
        <f t="shared" si="0"/>
        <v>test.Base64_19_</v>
      </c>
      <c r="D62">
        <v>2</v>
      </c>
      <c r="E62" s="4">
        <v>4.7244094488188976E-2</v>
      </c>
      <c r="F62" s="4">
        <v>3.0507758893697879E-2</v>
      </c>
      <c r="G62" s="4">
        <f t="shared" si="1"/>
        <v>4.7244094488188976E-2</v>
      </c>
      <c r="H62" s="4" t="str">
        <f t="shared" si="2"/>
        <v/>
      </c>
      <c r="I62" s="4" t="str">
        <f t="shared" si="3"/>
        <v/>
      </c>
      <c r="J62" s="4" t="str">
        <f t="shared" si="4"/>
        <v/>
      </c>
      <c r="K62" s="4" t="str">
        <f t="shared" si="5"/>
        <v/>
      </c>
      <c r="L62" s="4" t="str">
        <f t="shared" si="6"/>
        <v/>
      </c>
      <c r="M62" s="4"/>
      <c r="N62" s="4"/>
      <c r="O62" s="4"/>
      <c r="P62" s="4"/>
      <c r="Q62" s="4"/>
      <c r="R62" s="4"/>
      <c r="S62" s="4"/>
      <c r="T62" s="4"/>
      <c r="U62" s="4"/>
    </row>
    <row r="63" spans="1:21">
      <c r="A63" t="s">
        <v>219</v>
      </c>
      <c r="B63">
        <v>19</v>
      </c>
      <c r="C63" t="str">
        <f t="shared" si="0"/>
        <v>test.Base64_19_</v>
      </c>
      <c r="D63">
        <v>3</v>
      </c>
      <c r="E63" s="4">
        <v>0.65354330708661412</v>
      </c>
      <c r="F63" s="4">
        <v>0.23413913227066399</v>
      </c>
      <c r="G63" s="4" t="str">
        <f t="shared" si="1"/>
        <v/>
      </c>
      <c r="H63" s="4">
        <f t="shared" si="2"/>
        <v>0.65354330708661412</v>
      </c>
      <c r="I63" s="4" t="str">
        <f t="shared" si="3"/>
        <v/>
      </c>
      <c r="J63" s="4" t="str">
        <f t="shared" si="4"/>
        <v/>
      </c>
      <c r="K63" s="4" t="str">
        <f t="shared" si="5"/>
        <v/>
      </c>
      <c r="L63" s="4" t="str">
        <f t="shared" si="6"/>
        <v/>
      </c>
      <c r="M63" s="4"/>
      <c r="N63" s="4"/>
      <c r="O63" s="4"/>
      <c r="P63" s="4"/>
      <c r="Q63" s="4"/>
      <c r="R63" s="4"/>
      <c r="S63" s="4"/>
      <c r="T63" s="4"/>
      <c r="U63" s="4"/>
    </row>
    <row r="64" spans="1:21">
      <c r="A64" t="s">
        <v>219</v>
      </c>
      <c r="B64">
        <v>19</v>
      </c>
      <c r="C64" t="str">
        <f t="shared" si="0"/>
        <v>test.Base64_19_</v>
      </c>
      <c r="D64">
        <v>4</v>
      </c>
      <c r="E64" s="4">
        <v>0.72440944881889768</v>
      </c>
      <c r="F64" s="4">
        <v>0.26633590203736934</v>
      </c>
      <c r="G64" s="4" t="str">
        <f t="shared" si="1"/>
        <v/>
      </c>
      <c r="H64" s="4">
        <f t="shared" si="2"/>
        <v>0.72440944881889768</v>
      </c>
      <c r="I64" s="4" t="str">
        <f t="shared" si="3"/>
        <v/>
      </c>
      <c r="J64" s="4" t="str">
        <f t="shared" si="4"/>
        <v/>
      </c>
      <c r="K64" s="4" t="str">
        <f t="shared" si="5"/>
        <v/>
      </c>
      <c r="L64" s="4" t="str">
        <f t="shared" si="6"/>
        <v/>
      </c>
      <c r="M64" s="4"/>
      <c r="N64" s="4"/>
      <c r="O64" s="4"/>
      <c r="P64" s="4"/>
      <c r="Q64" s="4"/>
      <c r="R64" s="4"/>
      <c r="S64" s="4"/>
      <c r="T64" s="4"/>
      <c r="U64" s="4"/>
    </row>
    <row r="65" spans="1:21">
      <c r="A65" t="s">
        <v>219</v>
      </c>
      <c r="B65">
        <v>19</v>
      </c>
      <c r="C65" t="str">
        <f t="shared" si="0"/>
        <v>test.Base64_19_</v>
      </c>
      <c r="D65">
        <v>5</v>
      </c>
      <c r="E65" s="4">
        <v>0.73228346456692917</v>
      </c>
      <c r="F65" s="4">
        <v>0.42615855589570356</v>
      </c>
      <c r="G65" s="4" t="str">
        <f t="shared" si="1"/>
        <v/>
      </c>
      <c r="H65" s="4" t="str">
        <f t="shared" si="2"/>
        <v/>
      </c>
      <c r="I65" s="4">
        <f t="shared" si="3"/>
        <v>0.73228346456692917</v>
      </c>
      <c r="J65" s="4" t="str">
        <f t="shared" si="4"/>
        <v/>
      </c>
      <c r="K65" s="4" t="str">
        <f t="shared" si="5"/>
        <v/>
      </c>
      <c r="L65" s="4" t="str">
        <f t="shared" si="6"/>
        <v/>
      </c>
      <c r="M65" s="4"/>
      <c r="N65" s="4"/>
      <c r="O65" s="4"/>
      <c r="P65" s="4"/>
      <c r="Q65" s="4"/>
      <c r="R65" s="4"/>
      <c r="S65" s="4"/>
      <c r="T65" s="4"/>
      <c r="U65" s="4"/>
    </row>
    <row r="66" spans="1:21">
      <c r="A66" t="s">
        <v>219</v>
      </c>
      <c r="B66">
        <v>19</v>
      </c>
      <c r="C66" t="str">
        <f t="shared" si="0"/>
        <v>test.Base64_19_</v>
      </c>
      <c r="D66">
        <v>6</v>
      </c>
      <c r="E66" s="4">
        <v>0.77165354330708658</v>
      </c>
      <c r="F66" s="4">
        <v>0.63612372004644779</v>
      </c>
      <c r="G66" s="4" t="str">
        <f t="shared" si="1"/>
        <v/>
      </c>
      <c r="H66" s="4" t="str">
        <f t="shared" si="2"/>
        <v/>
      </c>
      <c r="I66" s="4" t="str">
        <f t="shared" si="3"/>
        <v/>
      </c>
      <c r="J66" s="4">
        <f t="shared" si="4"/>
        <v>0.77165354330708658</v>
      </c>
      <c r="K66" s="4" t="str">
        <f t="shared" si="5"/>
        <v/>
      </c>
      <c r="L66" s="4" t="str">
        <f t="shared" si="6"/>
        <v/>
      </c>
      <c r="M66" s="4"/>
      <c r="N66" s="4"/>
      <c r="O66" s="4"/>
      <c r="P66" s="4"/>
      <c r="Q66" s="4"/>
      <c r="R66" s="4"/>
      <c r="S66" s="4"/>
      <c r="T66" s="4"/>
      <c r="U66" s="4"/>
    </row>
    <row r="67" spans="1:21">
      <c r="A67" t="s">
        <v>219</v>
      </c>
      <c r="B67">
        <v>19</v>
      </c>
      <c r="C67" t="str">
        <f t="shared" ref="C67:C130" si="19">CONCATENATE(A67, "_",B67,"_")</f>
        <v>test.Base64_19_</v>
      </c>
      <c r="D67">
        <v>7</v>
      </c>
      <c r="E67" s="4">
        <v>0.98425196850393704</v>
      </c>
      <c r="F67" s="4">
        <v>0.86076216615644463</v>
      </c>
      <c r="G67" s="4" t="str">
        <f t="shared" ref="G67:G130" si="20">IF($F67 &lt;= 0.2,$E67,"")</f>
        <v/>
      </c>
      <c r="H67" s="4" t="str">
        <f t="shared" ref="H67:H130" si="21">IF(AND($F67 &gt; 0.2,$F67 &lt;= 0.4),$E67,"")</f>
        <v/>
      </c>
      <c r="I67" s="4" t="str">
        <f t="shared" ref="I67:I130" si="22">IF(AND($F67 &gt; 0.4,$F67 &lt;= 0.6),$E67,"")</f>
        <v/>
      </c>
      <c r="J67" s="4" t="str">
        <f t="shared" ref="J67:J130" si="23">IF(AND($F67 &gt; 0.6,$F67 &lt;= 0.8),$E67,"")</f>
        <v/>
      </c>
      <c r="K67" s="4">
        <f t="shared" ref="K67:K130" si="24">IF(AND($F67 &gt; 0.8, $F67 &lt;=1.1),$E67,"")</f>
        <v>0.98425196850393704</v>
      </c>
      <c r="L67" s="4" t="str">
        <f t="shared" ref="L67:L130" si="25">IF(AND($F67 &gt; 1.1),$E67,"")</f>
        <v/>
      </c>
      <c r="M67" s="4"/>
      <c r="N67" s="4"/>
      <c r="O67" s="4"/>
      <c r="P67" s="4"/>
      <c r="Q67" s="4"/>
      <c r="R67" s="4"/>
      <c r="S67" s="4"/>
      <c r="T67" s="4"/>
      <c r="U67" s="4"/>
    </row>
    <row r="68" spans="1:21">
      <c r="A68" t="s">
        <v>219</v>
      </c>
      <c r="B68">
        <v>19</v>
      </c>
      <c r="C68" t="str">
        <f t="shared" si="19"/>
        <v>test.Base64_19_</v>
      </c>
      <c r="D68">
        <v>8</v>
      </c>
      <c r="E68" s="4">
        <v>0.99212598425196852</v>
      </c>
      <c r="F68" s="4">
        <v>0.87775783806608254</v>
      </c>
      <c r="G68" s="4" t="str">
        <f t="shared" si="20"/>
        <v/>
      </c>
      <c r="H68" s="4" t="str">
        <f t="shared" si="21"/>
        <v/>
      </c>
      <c r="I68" s="4" t="str">
        <f t="shared" si="22"/>
        <v/>
      </c>
      <c r="J68" s="4" t="str">
        <f t="shared" si="23"/>
        <v/>
      </c>
      <c r="K68" s="4">
        <f t="shared" si="24"/>
        <v>0.99212598425196852</v>
      </c>
      <c r="L68" s="4" t="str">
        <f t="shared" si="25"/>
        <v/>
      </c>
      <c r="M68" s="4"/>
      <c r="N68" s="4"/>
      <c r="O68" s="4"/>
      <c r="P68" s="4"/>
      <c r="Q68" s="4"/>
      <c r="R68" s="4"/>
      <c r="S68" s="4"/>
      <c r="T68" s="4"/>
      <c r="U68" s="4"/>
    </row>
    <row r="69" spans="1:21">
      <c r="A69" t="s">
        <v>219</v>
      </c>
      <c r="B69">
        <v>19</v>
      </c>
      <c r="C69" t="str">
        <f t="shared" si="19"/>
        <v>test.Base64_19_</v>
      </c>
      <c r="D69">
        <v>9</v>
      </c>
      <c r="E69" s="4">
        <v>1</v>
      </c>
      <c r="F69" s="4">
        <v>0.91153805552623246</v>
      </c>
      <c r="G69" s="4" t="str">
        <f t="shared" si="20"/>
        <v/>
      </c>
      <c r="H69" s="4" t="str">
        <f t="shared" si="21"/>
        <v/>
      </c>
      <c r="I69" s="4" t="str">
        <f t="shared" si="22"/>
        <v/>
      </c>
      <c r="J69" s="4" t="str">
        <f t="shared" si="23"/>
        <v/>
      </c>
      <c r="K69" s="4">
        <f t="shared" si="24"/>
        <v>1</v>
      </c>
      <c r="L69" s="4" t="str">
        <f t="shared" si="25"/>
        <v/>
      </c>
      <c r="M69" s="4"/>
      <c r="N69" s="4"/>
      <c r="O69" s="4"/>
      <c r="P69" s="4"/>
      <c r="Q69" s="4"/>
      <c r="R69" s="4"/>
      <c r="S69" s="4"/>
      <c r="T69" s="4"/>
      <c r="U69" s="4"/>
    </row>
    <row r="70" spans="1:21">
      <c r="A70" t="s">
        <v>219</v>
      </c>
      <c r="B70">
        <v>19</v>
      </c>
      <c r="C70" t="str">
        <f t="shared" si="19"/>
        <v>test.Base64_19_</v>
      </c>
      <c r="D70">
        <v>10</v>
      </c>
      <c r="E70" s="4">
        <v>1</v>
      </c>
      <c r="F70" s="4">
        <v>0.91206587142404727</v>
      </c>
      <c r="G70" s="4" t="str">
        <f t="shared" si="20"/>
        <v/>
      </c>
      <c r="H70" s="4" t="str">
        <f t="shared" si="21"/>
        <v/>
      </c>
      <c r="I70" s="4" t="str">
        <f t="shared" si="22"/>
        <v/>
      </c>
      <c r="J70" s="4" t="str">
        <f t="shared" si="23"/>
        <v/>
      </c>
      <c r="K70" s="4">
        <f t="shared" si="24"/>
        <v>1</v>
      </c>
      <c r="L70" s="4" t="str">
        <f t="shared" si="25"/>
        <v/>
      </c>
      <c r="M70" s="4"/>
      <c r="N70" s="4"/>
      <c r="O70" s="4"/>
      <c r="P70" s="4"/>
      <c r="Q70" s="4"/>
      <c r="R70" s="4"/>
      <c r="S70" s="4"/>
      <c r="T70" s="4"/>
      <c r="U70" s="4"/>
    </row>
    <row r="71" spans="1:21">
      <c r="A71" t="s">
        <v>219</v>
      </c>
      <c r="B71">
        <v>19</v>
      </c>
      <c r="C71" t="str">
        <f t="shared" si="19"/>
        <v>test.Base64_19_</v>
      </c>
      <c r="D71">
        <v>11</v>
      </c>
      <c r="E71" s="4">
        <v>1</v>
      </c>
      <c r="F71" s="4">
        <v>0.91407157183574372</v>
      </c>
      <c r="G71" s="4" t="str">
        <f t="shared" si="20"/>
        <v/>
      </c>
      <c r="H71" s="4" t="str">
        <f t="shared" si="21"/>
        <v/>
      </c>
      <c r="I71" s="4" t="str">
        <f t="shared" si="22"/>
        <v/>
      </c>
      <c r="J71" s="4" t="str">
        <f t="shared" si="23"/>
        <v/>
      </c>
      <c r="K71" s="4">
        <f t="shared" si="24"/>
        <v>1</v>
      </c>
      <c r="L71" s="4" t="str">
        <f t="shared" si="25"/>
        <v/>
      </c>
      <c r="M71" s="4"/>
      <c r="N71" s="4"/>
      <c r="O71" s="4"/>
      <c r="P71" s="4"/>
      <c r="Q71" s="4"/>
      <c r="R71" s="4"/>
      <c r="S71" s="4"/>
      <c r="T71" s="4"/>
      <c r="U71" s="4"/>
    </row>
    <row r="72" spans="1:21">
      <c r="A72" t="s">
        <v>219</v>
      </c>
      <c r="B72">
        <v>19</v>
      </c>
      <c r="C72" t="str">
        <f t="shared" si="19"/>
        <v>test.Base64_19_</v>
      </c>
      <c r="D72">
        <v>12</v>
      </c>
      <c r="E72" s="4">
        <v>1</v>
      </c>
      <c r="F72" s="4">
        <v>0.91818853583869942</v>
      </c>
      <c r="G72" s="4" t="str">
        <f t="shared" si="20"/>
        <v/>
      </c>
      <c r="H72" s="4" t="str">
        <f t="shared" si="21"/>
        <v/>
      </c>
      <c r="I72" s="4" t="str">
        <f t="shared" si="22"/>
        <v/>
      </c>
      <c r="J72" s="4" t="str">
        <f t="shared" si="23"/>
        <v/>
      </c>
      <c r="K72" s="4">
        <f t="shared" si="24"/>
        <v>1</v>
      </c>
      <c r="L72" s="4" t="str">
        <f t="shared" si="25"/>
        <v/>
      </c>
      <c r="M72" s="4"/>
      <c r="N72" s="4"/>
      <c r="O72" s="4"/>
      <c r="P72" s="4"/>
      <c r="Q72" s="4"/>
      <c r="R72" s="4"/>
      <c r="S72" s="4"/>
      <c r="T72" s="4"/>
      <c r="U72" s="4"/>
    </row>
    <row r="73" spans="1:21">
      <c r="A73" t="s">
        <v>219</v>
      </c>
      <c r="B73">
        <v>19</v>
      </c>
      <c r="C73" t="str">
        <f t="shared" si="19"/>
        <v>test.Base64_19_</v>
      </c>
      <c r="D73">
        <v>13</v>
      </c>
      <c r="E73" s="4">
        <v>1</v>
      </c>
      <c r="F73" s="4">
        <v>0.91903304127520324</v>
      </c>
      <c r="G73" s="4" t="str">
        <f t="shared" si="20"/>
        <v/>
      </c>
      <c r="H73" s="4" t="str">
        <f t="shared" si="21"/>
        <v/>
      </c>
      <c r="I73" s="4" t="str">
        <f t="shared" si="22"/>
        <v/>
      </c>
      <c r="J73" s="4" t="str">
        <f t="shared" si="23"/>
        <v/>
      </c>
      <c r="K73" s="4">
        <f t="shared" si="24"/>
        <v>1</v>
      </c>
      <c r="L73" s="4" t="str">
        <f t="shared" si="25"/>
        <v/>
      </c>
      <c r="M73" s="4"/>
      <c r="N73" s="4"/>
      <c r="O73" s="4"/>
      <c r="P73" s="4"/>
      <c r="Q73" s="4"/>
      <c r="R73" s="4"/>
      <c r="S73" s="4"/>
      <c r="T73" s="4"/>
      <c r="U73" s="4"/>
    </row>
    <row r="74" spans="1:21">
      <c r="A74" t="s">
        <v>219</v>
      </c>
      <c r="B74">
        <v>19</v>
      </c>
      <c r="C74" t="str">
        <f t="shared" si="19"/>
        <v>test.Base64_19_</v>
      </c>
      <c r="D74">
        <v>14</v>
      </c>
      <c r="E74" s="4">
        <v>1</v>
      </c>
      <c r="F74" s="4">
        <v>0.91934973081389215</v>
      </c>
      <c r="G74" s="4" t="str">
        <f t="shared" si="20"/>
        <v/>
      </c>
      <c r="H74" s="4" t="str">
        <f t="shared" si="21"/>
        <v/>
      </c>
      <c r="I74" s="4" t="str">
        <f t="shared" si="22"/>
        <v/>
      </c>
      <c r="J74" s="4" t="str">
        <f t="shared" si="23"/>
        <v/>
      </c>
      <c r="K74" s="4">
        <f t="shared" si="24"/>
        <v>1</v>
      </c>
      <c r="L74" s="4" t="str">
        <f t="shared" si="25"/>
        <v/>
      </c>
      <c r="M74" s="4"/>
      <c r="N74" s="4"/>
      <c r="O74" s="4"/>
      <c r="P74" s="4"/>
      <c r="Q74" s="4"/>
      <c r="R74" s="4"/>
      <c r="S74" s="4"/>
      <c r="T74" s="4"/>
      <c r="U74" s="4"/>
    </row>
    <row r="75" spans="1:21">
      <c r="A75" t="s">
        <v>219</v>
      </c>
      <c r="B75">
        <v>19</v>
      </c>
      <c r="C75" t="str">
        <f t="shared" si="19"/>
        <v>test.Base64_19_</v>
      </c>
      <c r="D75">
        <v>15</v>
      </c>
      <c r="E75" s="4">
        <v>1</v>
      </c>
      <c r="F75" s="4">
        <v>0.92177768394384041</v>
      </c>
      <c r="G75" s="4" t="str">
        <f t="shared" si="20"/>
        <v/>
      </c>
      <c r="H75" s="4" t="str">
        <f t="shared" si="21"/>
        <v/>
      </c>
      <c r="I75" s="4" t="str">
        <f t="shared" si="22"/>
        <v/>
      </c>
      <c r="J75" s="4" t="str">
        <f t="shared" si="23"/>
        <v/>
      </c>
      <c r="K75" s="4">
        <f t="shared" si="24"/>
        <v>1</v>
      </c>
      <c r="L75" s="4" t="str">
        <f t="shared" si="25"/>
        <v/>
      </c>
      <c r="M75" s="4"/>
      <c r="N75" s="4"/>
      <c r="O75" s="4"/>
      <c r="P75" s="4"/>
      <c r="Q75" s="4"/>
      <c r="R75" s="4"/>
      <c r="S75" s="4"/>
      <c r="T75" s="4"/>
      <c r="U75" s="4"/>
    </row>
    <row r="76" spans="1:21">
      <c r="A76" t="s">
        <v>219</v>
      </c>
      <c r="B76">
        <v>19</v>
      </c>
      <c r="C76" t="str">
        <f t="shared" si="19"/>
        <v>test.Base64_19_</v>
      </c>
      <c r="D76">
        <v>16</v>
      </c>
      <c r="E76" s="4">
        <v>1</v>
      </c>
      <c r="F76" s="4">
        <v>0.9255779584081073</v>
      </c>
      <c r="G76" s="4" t="str">
        <f t="shared" si="20"/>
        <v/>
      </c>
      <c r="H76" s="4" t="str">
        <f t="shared" si="21"/>
        <v/>
      </c>
      <c r="I76" s="4" t="str">
        <f t="shared" si="22"/>
        <v/>
      </c>
      <c r="J76" s="4" t="str">
        <f t="shared" si="23"/>
        <v/>
      </c>
      <c r="K76" s="4">
        <f t="shared" si="24"/>
        <v>1</v>
      </c>
      <c r="L76" s="4" t="str">
        <f t="shared" si="25"/>
        <v/>
      </c>
      <c r="M76" s="4"/>
      <c r="N76" s="4"/>
      <c r="O76" s="4"/>
      <c r="P76" s="4"/>
      <c r="Q76" s="4"/>
      <c r="R76" s="4"/>
      <c r="S76" s="4"/>
      <c r="T76" s="4"/>
      <c r="U76" s="4"/>
    </row>
    <row r="77" spans="1:21">
      <c r="A77" t="s">
        <v>219</v>
      </c>
      <c r="B77">
        <v>19</v>
      </c>
      <c r="C77" t="str">
        <f t="shared" si="19"/>
        <v>test.Base64_19_</v>
      </c>
      <c r="D77">
        <v>17</v>
      </c>
      <c r="E77" s="4">
        <v>1</v>
      </c>
      <c r="F77" s="4">
        <v>0.92737253246067775</v>
      </c>
      <c r="G77" s="4" t="str">
        <f t="shared" si="20"/>
        <v/>
      </c>
      <c r="H77" s="4" t="str">
        <f t="shared" si="21"/>
        <v/>
      </c>
      <c r="I77" s="4" t="str">
        <f t="shared" si="22"/>
        <v/>
      </c>
      <c r="J77" s="4" t="str">
        <f t="shared" si="23"/>
        <v/>
      </c>
      <c r="K77" s="4">
        <f t="shared" si="24"/>
        <v>1</v>
      </c>
      <c r="L77" s="4" t="str">
        <f t="shared" si="25"/>
        <v/>
      </c>
      <c r="M77" s="4"/>
      <c r="N77" s="4"/>
      <c r="O77" s="4"/>
      <c r="P77" s="4"/>
      <c r="Q77" s="4"/>
      <c r="R77" s="4"/>
      <c r="S77" s="4"/>
      <c r="T77" s="4"/>
      <c r="U77" s="4"/>
    </row>
    <row r="78" spans="1:21">
      <c r="A78" t="s">
        <v>219</v>
      </c>
      <c r="B78">
        <v>19</v>
      </c>
      <c r="C78" t="str">
        <f t="shared" si="19"/>
        <v>test.Base64_19_</v>
      </c>
      <c r="D78">
        <v>18</v>
      </c>
      <c r="E78" s="4">
        <v>1</v>
      </c>
      <c r="F78" s="4">
        <v>0.92768922199936665</v>
      </c>
      <c r="G78" s="4" t="str">
        <f t="shared" si="20"/>
        <v/>
      </c>
      <c r="H78" s="4" t="str">
        <f t="shared" si="21"/>
        <v/>
      </c>
      <c r="I78" s="4" t="str">
        <f t="shared" si="22"/>
        <v/>
      </c>
      <c r="J78" s="4" t="str">
        <f t="shared" si="23"/>
        <v/>
      </c>
      <c r="K78" s="4">
        <f t="shared" si="24"/>
        <v>1</v>
      </c>
      <c r="L78" s="4" t="str">
        <f t="shared" si="25"/>
        <v/>
      </c>
      <c r="M78" s="4"/>
      <c r="N78" s="4"/>
      <c r="O78" s="4"/>
      <c r="P78" s="4"/>
      <c r="Q78" s="4"/>
      <c r="R78" s="4"/>
      <c r="S78" s="4"/>
      <c r="T78" s="4"/>
      <c r="U78" s="4"/>
    </row>
    <row r="79" spans="1:21">
      <c r="A79" t="s">
        <v>219</v>
      </c>
      <c r="B79">
        <v>19</v>
      </c>
      <c r="C79" t="str">
        <f t="shared" si="19"/>
        <v>test.Base64_19_</v>
      </c>
      <c r="D79">
        <v>19</v>
      </c>
      <c r="E79" s="4">
        <v>1</v>
      </c>
      <c r="F79" s="4">
        <v>0.92832260107674447</v>
      </c>
      <c r="G79" s="4" t="str">
        <f t="shared" si="20"/>
        <v/>
      </c>
      <c r="H79" s="4" t="str">
        <f t="shared" si="21"/>
        <v/>
      </c>
      <c r="I79" s="4" t="str">
        <f t="shared" si="22"/>
        <v/>
      </c>
      <c r="J79" s="4" t="str">
        <f t="shared" si="23"/>
        <v/>
      </c>
      <c r="K79" s="4">
        <f t="shared" si="24"/>
        <v>1</v>
      </c>
      <c r="L79" s="4" t="str">
        <f t="shared" si="25"/>
        <v/>
      </c>
      <c r="M79" s="4"/>
      <c r="N79" s="4"/>
      <c r="O79" s="4"/>
      <c r="P79" s="4"/>
      <c r="Q79" s="4"/>
      <c r="R79" s="4"/>
      <c r="S79" s="4"/>
      <c r="T79" s="4"/>
      <c r="U79" s="4"/>
    </row>
    <row r="80" spans="1:21">
      <c r="A80" t="s">
        <v>219</v>
      </c>
      <c r="B80">
        <v>19</v>
      </c>
      <c r="C80" t="str">
        <f t="shared" si="19"/>
        <v>test.Base64_19_</v>
      </c>
      <c r="D80">
        <v>20</v>
      </c>
      <c r="E80" s="4">
        <v>1</v>
      </c>
      <c r="F80" s="4">
        <v>0.92937823287237409</v>
      </c>
      <c r="G80" s="4" t="str">
        <f t="shared" si="20"/>
        <v/>
      </c>
      <c r="H80" s="4" t="str">
        <f t="shared" si="21"/>
        <v/>
      </c>
      <c r="I80" s="4" t="str">
        <f t="shared" si="22"/>
        <v/>
      </c>
      <c r="J80" s="4" t="str">
        <f t="shared" si="23"/>
        <v/>
      </c>
      <c r="K80" s="4">
        <f t="shared" si="24"/>
        <v>1</v>
      </c>
      <c r="L80" s="4" t="str">
        <f t="shared" si="25"/>
        <v/>
      </c>
      <c r="M80" s="4"/>
      <c r="N80" s="4"/>
      <c r="O80" s="4"/>
      <c r="P80" s="4"/>
      <c r="Q80" s="4"/>
      <c r="R80" s="4"/>
      <c r="S80" s="4"/>
      <c r="T80" s="4"/>
      <c r="U80" s="4"/>
    </row>
    <row r="81" spans="1:21">
      <c r="A81" t="s">
        <v>219</v>
      </c>
      <c r="B81">
        <v>19</v>
      </c>
      <c r="C81" t="str">
        <f t="shared" si="19"/>
        <v>test.Base64_19_</v>
      </c>
      <c r="D81">
        <v>21</v>
      </c>
      <c r="E81" s="4">
        <v>1</v>
      </c>
      <c r="F81" s="4">
        <v>0.93032830148844081</v>
      </c>
      <c r="G81" s="4" t="str">
        <f t="shared" si="20"/>
        <v/>
      </c>
      <c r="H81" s="4" t="str">
        <f t="shared" si="21"/>
        <v/>
      </c>
      <c r="I81" s="4" t="str">
        <f t="shared" si="22"/>
        <v/>
      </c>
      <c r="J81" s="4" t="str">
        <f t="shared" si="23"/>
        <v/>
      </c>
      <c r="K81" s="4">
        <f t="shared" si="24"/>
        <v>1</v>
      </c>
      <c r="L81" s="4" t="str">
        <f t="shared" si="25"/>
        <v/>
      </c>
      <c r="M81" s="4"/>
      <c r="N81" s="4"/>
      <c r="O81" s="4"/>
      <c r="P81" s="4"/>
      <c r="Q81" s="4"/>
      <c r="R81" s="4"/>
      <c r="S81" s="4"/>
      <c r="T81" s="4"/>
      <c r="U81" s="4"/>
    </row>
    <row r="82" spans="1:21">
      <c r="A82" t="s">
        <v>219</v>
      </c>
      <c r="B82">
        <v>19</v>
      </c>
      <c r="C82" t="str">
        <f t="shared" si="19"/>
        <v>test.Base64_19_</v>
      </c>
      <c r="D82">
        <v>22</v>
      </c>
      <c r="E82" s="4">
        <v>1</v>
      </c>
      <c r="F82" s="4">
        <v>0.93254512825926317</v>
      </c>
      <c r="G82" s="4" t="str">
        <f t="shared" si="20"/>
        <v/>
      </c>
      <c r="H82" s="4" t="str">
        <f t="shared" si="21"/>
        <v/>
      </c>
      <c r="I82" s="4" t="str">
        <f t="shared" si="22"/>
        <v/>
      </c>
      <c r="J82" s="4" t="str">
        <f t="shared" si="23"/>
        <v/>
      </c>
      <c r="K82" s="4">
        <f t="shared" si="24"/>
        <v>1</v>
      </c>
      <c r="L82" s="4" t="str">
        <f t="shared" si="25"/>
        <v/>
      </c>
      <c r="M82" s="4"/>
      <c r="N82" s="4"/>
      <c r="O82" s="4"/>
      <c r="P82" s="4"/>
      <c r="Q82" s="4"/>
      <c r="R82" s="4"/>
      <c r="S82" s="4"/>
      <c r="T82" s="4"/>
      <c r="U82" s="4"/>
    </row>
    <row r="83" spans="1:21">
      <c r="A83" t="s">
        <v>219</v>
      </c>
      <c r="B83">
        <v>19</v>
      </c>
      <c r="C83" t="str">
        <f t="shared" si="19"/>
        <v>test.Base64_19_</v>
      </c>
      <c r="D83">
        <v>23</v>
      </c>
      <c r="E83" s="4">
        <v>1</v>
      </c>
      <c r="F83" s="4">
        <v>0.93317850733664098</v>
      </c>
      <c r="G83" s="4" t="str">
        <f t="shared" si="20"/>
        <v/>
      </c>
      <c r="H83" s="4" t="str">
        <f t="shared" si="21"/>
        <v/>
      </c>
      <c r="I83" s="4" t="str">
        <f t="shared" si="22"/>
        <v/>
      </c>
      <c r="J83" s="4" t="str">
        <f t="shared" si="23"/>
        <v/>
      </c>
      <c r="K83" s="4">
        <f t="shared" si="24"/>
        <v>1</v>
      </c>
      <c r="L83" s="4" t="str">
        <f t="shared" si="25"/>
        <v/>
      </c>
      <c r="M83" s="4"/>
      <c r="N83" s="4"/>
      <c r="O83" s="4"/>
      <c r="P83" s="4"/>
      <c r="Q83" s="4"/>
      <c r="R83" s="4"/>
      <c r="S83" s="4"/>
      <c r="T83" s="4"/>
      <c r="U83" s="4"/>
    </row>
    <row r="84" spans="1:21">
      <c r="A84" t="s">
        <v>219</v>
      </c>
      <c r="B84">
        <v>19</v>
      </c>
      <c r="C84" t="str">
        <f t="shared" si="19"/>
        <v>test.Base64_19_</v>
      </c>
      <c r="D84">
        <v>24</v>
      </c>
      <c r="E84" s="4">
        <v>1</v>
      </c>
      <c r="F84" s="4">
        <v>0.9378232872374116</v>
      </c>
      <c r="G84" s="4" t="str">
        <f t="shared" si="20"/>
        <v/>
      </c>
      <c r="H84" s="4" t="str">
        <f t="shared" si="21"/>
        <v/>
      </c>
      <c r="I84" s="4" t="str">
        <f t="shared" si="22"/>
        <v/>
      </c>
      <c r="J84" s="4" t="str">
        <f t="shared" si="23"/>
        <v/>
      </c>
      <c r="K84" s="4">
        <f t="shared" si="24"/>
        <v>1</v>
      </c>
      <c r="L84" s="4" t="str">
        <f t="shared" si="25"/>
        <v/>
      </c>
      <c r="M84" s="4"/>
      <c r="N84" s="4"/>
      <c r="O84" s="4"/>
      <c r="P84" s="4"/>
      <c r="Q84" s="4"/>
      <c r="R84" s="4"/>
      <c r="S84" s="4"/>
      <c r="T84" s="4"/>
      <c r="U84" s="4"/>
    </row>
    <row r="85" spans="1:21">
      <c r="A85" t="s">
        <v>219</v>
      </c>
      <c r="B85">
        <v>19</v>
      </c>
      <c r="C85" t="str">
        <f t="shared" si="19"/>
        <v>test.Base64_19_</v>
      </c>
      <c r="D85">
        <v>25</v>
      </c>
      <c r="E85" s="4">
        <v>1</v>
      </c>
      <c r="F85" s="4">
        <v>0.93856222949435242</v>
      </c>
      <c r="G85" s="4" t="str">
        <f t="shared" si="20"/>
        <v/>
      </c>
      <c r="H85" s="4" t="str">
        <f t="shared" si="21"/>
        <v/>
      </c>
      <c r="I85" s="4" t="str">
        <f t="shared" si="22"/>
        <v/>
      </c>
      <c r="J85" s="4" t="str">
        <f t="shared" si="23"/>
        <v/>
      </c>
      <c r="K85" s="4">
        <f t="shared" si="24"/>
        <v>1</v>
      </c>
      <c r="L85" s="4" t="str">
        <f t="shared" si="25"/>
        <v/>
      </c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t="s">
        <v>219</v>
      </c>
      <c r="B86">
        <v>19</v>
      </c>
      <c r="C86" t="str">
        <f t="shared" si="19"/>
        <v>test.Base64_19_</v>
      </c>
      <c r="D86">
        <v>26</v>
      </c>
      <c r="E86" s="4">
        <v>1</v>
      </c>
      <c r="F86" s="4">
        <v>0.94647946796157501</v>
      </c>
      <c r="G86" s="4" t="str">
        <f t="shared" si="20"/>
        <v/>
      </c>
      <c r="H86" s="4" t="str">
        <f t="shared" si="21"/>
        <v/>
      </c>
      <c r="I86" s="4" t="str">
        <f t="shared" si="22"/>
        <v/>
      </c>
      <c r="J86" s="4" t="str">
        <f t="shared" si="23"/>
        <v/>
      </c>
      <c r="K86" s="4">
        <f t="shared" si="24"/>
        <v>1</v>
      </c>
      <c r="L86" s="4" t="str">
        <f t="shared" si="25"/>
        <v/>
      </c>
      <c r="M86" s="4"/>
      <c r="N86" s="4"/>
      <c r="O86" s="4"/>
      <c r="P86" s="4"/>
      <c r="Q86" s="4"/>
      <c r="R86" s="4"/>
      <c r="S86" s="4"/>
      <c r="T86" s="4"/>
      <c r="U86" s="4"/>
    </row>
    <row r="87" spans="1:21">
      <c r="A87" t="s">
        <v>219</v>
      </c>
      <c r="B87">
        <v>19</v>
      </c>
      <c r="C87" t="str">
        <f t="shared" si="19"/>
        <v>test.Base64_19_</v>
      </c>
      <c r="D87">
        <v>27</v>
      </c>
      <c r="E87" s="4">
        <v>1</v>
      </c>
      <c r="F87" s="4">
        <v>0.95524121186530142</v>
      </c>
      <c r="G87" s="4" t="str">
        <f t="shared" si="20"/>
        <v/>
      </c>
      <c r="H87" s="4" t="str">
        <f t="shared" si="21"/>
        <v/>
      </c>
      <c r="I87" s="4" t="str">
        <f t="shared" si="22"/>
        <v/>
      </c>
      <c r="J87" s="4" t="str">
        <f t="shared" si="23"/>
        <v/>
      </c>
      <c r="K87" s="4">
        <f t="shared" si="24"/>
        <v>1</v>
      </c>
      <c r="L87" s="4" t="str">
        <f t="shared" si="25"/>
        <v/>
      </c>
      <c r="M87" s="4"/>
      <c r="N87" s="4"/>
      <c r="O87" s="4"/>
      <c r="P87" s="4"/>
      <c r="Q87" s="4"/>
      <c r="R87" s="4"/>
      <c r="S87" s="4"/>
      <c r="T87" s="4"/>
      <c r="U87" s="4"/>
    </row>
    <row r="88" spans="1:21">
      <c r="A88" t="s">
        <v>219</v>
      </c>
      <c r="B88">
        <v>19</v>
      </c>
      <c r="C88" t="str">
        <f t="shared" si="19"/>
        <v>test.Base64_19_</v>
      </c>
      <c r="D88">
        <v>28</v>
      </c>
      <c r="E88" s="4">
        <v>1</v>
      </c>
      <c r="F88" s="4">
        <v>0.96569196664203527</v>
      </c>
      <c r="G88" s="4" t="str">
        <f t="shared" si="20"/>
        <v/>
      </c>
      <c r="H88" s="4" t="str">
        <f t="shared" si="21"/>
        <v/>
      </c>
      <c r="I88" s="4" t="str">
        <f t="shared" si="22"/>
        <v/>
      </c>
      <c r="J88" s="4" t="str">
        <f t="shared" si="23"/>
        <v/>
      </c>
      <c r="K88" s="4">
        <f t="shared" si="24"/>
        <v>1</v>
      </c>
      <c r="L88" s="4" t="str">
        <f t="shared" si="25"/>
        <v/>
      </c>
      <c r="M88" s="4"/>
      <c r="N88" s="4"/>
      <c r="O88" s="4"/>
      <c r="P88" s="4"/>
      <c r="Q88" s="4"/>
      <c r="R88" s="4"/>
      <c r="S88" s="4"/>
      <c r="T88" s="4"/>
      <c r="U88" s="4"/>
    </row>
    <row r="89" spans="1:21">
      <c r="A89" t="s">
        <v>219</v>
      </c>
      <c r="B89">
        <v>19</v>
      </c>
      <c r="C89" t="str">
        <f t="shared" si="19"/>
        <v>test.Base64_19_</v>
      </c>
      <c r="D89">
        <v>29</v>
      </c>
      <c r="E89" s="4">
        <v>1</v>
      </c>
      <c r="F89" s="4">
        <v>1.0985960097118126</v>
      </c>
      <c r="G89" s="4" t="str">
        <f t="shared" si="20"/>
        <v/>
      </c>
      <c r="H89" s="4" t="str">
        <f t="shared" si="21"/>
        <v/>
      </c>
      <c r="I89" s="4" t="str">
        <f t="shared" si="22"/>
        <v/>
      </c>
      <c r="J89" s="4" t="str">
        <f t="shared" si="23"/>
        <v/>
      </c>
      <c r="K89" s="4">
        <f t="shared" si="24"/>
        <v>1</v>
      </c>
      <c r="L89" s="4" t="str">
        <f t="shared" si="25"/>
        <v/>
      </c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t="s">
        <v>219</v>
      </c>
      <c r="B90">
        <v>20</v>
      </c>
      <c r="C90" t="str">
        <f t="shared" si="19"/>
        <v>test.Base64_20_</v>
      </c>
      <c r="D90">
        <v>1</v>
      </c>
      <c r="E90" s="4">
        <v>0.21782178217821782</v>
      </c>
      <c r="F90" s="4">
        <v>0.10071013557133635</v>
      </c>
      <c r="G90" s="4">
        <f t="shared" si="20"/>
        <v>0.21782178217821782</v>
      </c>
      <c r="H90" s="4" t="str">
        <f t="shared" si="21"/>
        <v/>
      </c>
      <c r="I90" s="4" t="str">
        <f t="shared" si="22"/>
        <v/>
      </c>
      <c r="J90" s="4" t="str">
        <f t="shared" si="23"/>
        <v/>
      </c>
      <c r="K90" s="4" t="str">
        <f t="shared" si="24"/>
        <v/>
      </c>
      <c r="L90" s="4" t="str">
        <f t="shared" si="25"/>
        <v/>
      </c>
      <c r="M90" s="4"/>
      <c r="N90" s="4"/>
      <c r="O90" s="4"/>
      <c r="P90" s="4"/>
      <c r="Q90" s="4"/>
      <c r="R90" s="4"/>
      <c r="S90" s="4"/>
      <c r="T90" s="4"/>
      <c r="U90" s="4"/>
    </row>
    <row r="91" spans="1:21">
      <c r="A91" t="s">
        <v>219</v>
      </c>
      <c r="B91">
        <v>20</v>
      </c>
      <c r="C91" t="str">
        <f t="shared" si="19"/>
        <v>test.Base64_20_</v>
      </c>
      <c r="D91">
        <v>2</v>
      </c>
      <c r="E91" s="4">
        <v>0.25742574257425743</v>
      </c>
      <c r="F91" s="4">
        <v>0.10200129115558425</v>
      </c>
      <c r="G91" s="4">
        <f t="shared" si="20"/>
        <v>0.25742574257425743</v>
      </c>
      <c r="H91" s="4" t="str">
        <f t="shared" si="21"/>
        <v/>
      </c>
      <c r="I91" s="4" t="str">
        <f t="shared" si="22"/>
        <v/>
      </c>
      <c r="J91" s="4" t="str">
        <f t="shared" si="23"/>
        <v/>
      </c>
      <c r="K91" s="4" t="str">
        <f t="shared" si="24"/>
        <v/>
      </c>
      <c r="L91" s="4" t="str">
        <f t="shared" si="25"/>
        <v/>
      </c>
      <c r="M91" s="4"/>
      <c r="N91" s="4"/>
      <c r="O91" s="4"/>
      <c r="P91" s="4"/>
      <c r="Q91" s="4"/>
      <c r="R91" s="4"/>
      <c r="S91" s="4"/>
      <c r="T91" s="4"/>
      <c r="U91" s="4"/>
    </row>
    <row r="92" spans="1:21">
      <c r="A92" t="s">
        <v>219</v>
      </c>
      <c r="B92">
        <v>20</v>
      </c>
      <c r="C92" t="str">
        <f t="shared" si="19"/>
        <v>test.Base64_20_</v>
      </c>
      <c r="D92">
        <v>3</v>
      </c>
      <c r="E92" s="4">
        <v>0.28712871287128711</v>
      </c>
      <c r="F92" s="4">
        <v>0.1078114912846998</v>
      </c>
      <c r="G92" s="4">
        <f t="shared" si="20"/>
        <v>0.28712871287128711</v>
      </c>
      <c r="H92" s="4" t="str">
        <f t="shared" si="21"/>
        <v/>
      </c>
      <c r="I92" s="4" t="str">
        <f t="shared" si="22"/>
        <v/>
      </c>
      <c r="J92" s="4" t="str">
        <f t="shared" si="23"/>
        <v/>
      </c>
      <c r="K92" s="4" t="str">
        <f t="shared" si="24"/>
        <v/>
      </c>
      <c r="L92" s="4" t="str">
        <f t="shared" si="25"/>
        <v/>
      </c>
      <c r="M92" s="4"/>
      <c r="N92" s="4"/>
      <c r="O92" s="4"/>
      <c r="P92" s="4"/>
      <c r="Q92" s="4"/>
      <c r="R92" s="4"/>
      <c r="S92" s="4"/>
      <c r="T92" s="4"/>
      <c r="U92" s="4"/>
    </row>
    <row r="93" spans="1:21">
      <c r="A93" t="s">
        <v>219</v>
      </c>
      <c r="B93">
        <v>20</v>
      </c>
      <c r="C93" t="str">
        <f t="shared" si="19"/>
        <v>test.Base64_20_</v>
      </c>
      <c r="D93">
        <v>4</v>
      </c>
      <c r="E93" s="4">
        <v>0.44554455445544555</v>
      </c>
      <c r="F93" s="4">
        <v>0.11329890251775339</v>
      </c>
      <c r="G93" s="4">
        <f t="shared" si="20"/>
        <v>0.44554455445544555</v>
      </c>
      <c r="H93" s="4" t="str">
        <f t="shared" si="21"/>
        <v/>
      </c>
      <c r="I93" s="4" t="str">
        <f t="shared" si="22"/>
        <v/>
      </c>
      <c r="J93" s="4" t="str">
        <f t="shared" si="23"/>
        <v/>
      </c>
      <c r="K93" s="4" t="str">
        <f t="shared" si="24"/>
        <v/>
      </c>
      <c r="L93" s="4" t="str">
        <f t="shared" si="25"/>
        <v/>
      </c>
      <c r="M93" s="4"/>
      <c r="N93" s="4"/>
      <c r="O93" s="4"/>
      <c r="P93" s="4"/>
      <c r="Q93" s="4"/>
      <c r="R93" s="4"/>
      <c r="S93" s="4"/>
      <c r="T93" s="4"/>
      <c r="U93" s="4"/>
    </row>
    <row r="94" spans="1:21">
      <c r="A94" t="s">
        <v>219</v>
      </c>
      <c r="B94">
        <v>20</v>
      </c>
      <c r="C94" t="str">
        <f t="shared" si="19"/>
        <v>test.Base64_20_</v>
      </c>
      <c r="D94">
        <v>5</v>
      </c>
      <c r="E94" s="4">
        <v>0.44554455445544555</v>
      </c>
      <c r="F94" s="4">
        <v>0.11943189154293092</v>
      </c>
      <c r="G94" s="4">
        <f t="shared" si="20"/>
        <v>0.44554455445544555</v>
      </c>
      <c r="H94" s="4" t="str">
        <f t="shared" si="21"/>
        <v/>
      </c>
      <c r="I94" s="4" t="str">
        <f t="shared" si="22"/>
        <v/>
      </c>
      <c r="J94" s="4" t="str">
        <f t="shared" si="23"/>
        <v/>
      </c>
      <c r="K94" s="4" t="str">
        <f t="shared" si="24"/>
        <v/>
      </c>
      <c r="L94" s="4" t="str">
        <f t="shared" si="25"/>
        <v/>
      </c>
      <c r="M94" s="4"/>
      <c r="N94" s="4"/>
      <c r="O94" s="4"/>
      <c r="P94" s="4"/>
      <c r="Q94" s="4"/>
      <c r="R94" s="4"/>
      <c r="S94" s="4"/>
      <c r="T94" s="4"/>
      <c r="U94" s="4"/>
    </row>
    <row r="95" spans="1:21">
      <c r="A95" t="s">
        <v>219</v>
      </c>
      <c r="B95">
        <v>20</v>
      </c>
      <c r="C95" t="str">
        <f t="shared" si="19"/>
        <v>test.Base64_20_</v>
      </c>
      <c r="D95">
        <v>6</v>
      </c>
      <c r="E95" s="4">
        <v>0.44554455445544555</v>
      </c>
      <c r="F95" s="4">
        <v>0.12153001936733376</v>
      </c>
      <c r="G95" s="4">
        <f t="shared" si="20"/>
        <v>0.44554455445544555</v>
      </c>
      <c r="H95" s="4" t="str">
        <f t="shared" si="21"/>
        <v/>
      </c>
      <c r="I95" s="4" t="str">
        <f t="shared" si="22"/>
        <v/>
      </c>
      <c r="J95" s="4" t="str">
        <f t="shared" si="23"/>
        <v/>
      </c>
      <c r="K95" s="4" t="str">
        <f t="shared" si="24"/>
        <v/>
      </c>
      <c r="L95" s="4" t="str">
        <f t="shared" si="25"/>
        <v/>
      </c>
      <c r="M95" s="4"/>
      <c r="N95" s="4"/>
      <c r="O95" s="4"/>
      <c r="P95" s="4"/>
      <c r="Q95" s="4"/>
      <c r="R95" s="4"/>
      <c r="S95" s="4"/>
      <c r="T95" s="4"/>
      <c r="U95" s="4"/>
    </row>
    <row r="96" spans="1:21">
      <c r="A96" t="s">
        <v>219</v>
      </c>
      <c r="B96">
        <v>20</v>
      </c>
      <c r="C96" t="str">
        <f t="shared" si="19"/>
        <v>test.Base64_20_</v>
      </c>
      <c r="D96">
        <v>7</v>
      </c>
      <c r="E96" s="4">
        <v>0.44554455445544555</v>
      </c>
      <c r="F96" s="4">
        <v>0.12362814719173661</v>
      </c>
      <c r="G96" s="4">
        <f t="shared" si="20"/>
        <v>0.44554455445544555</v>
      </c>
      <c r="H96" s="4" t="str">
        <f t="shared" si="21"/>
        <v/>
      </c>
      <c r="I96" s="4" t="str">
        <f t="shared" si="22"/>
        <v/>
      </c>
      <c r="J96" s="4" t="str">
        <f t="shared" si="23"/>
        <v/>
      </c>
      <c r="K96" s="4" t="str">
        <f t="shared" si="24"/>
        <v/>
      </c>
      <c r="L96" s="4" t="str">
        <f t="shared" si="25"/>
        <v/>
      </c>
      <c r="M96" s="4"/>
      <c r="N96" s="4"/>
      <c r="O96" s="4"/>
      <c r="P96" s="4"/>
      <c r="Q96" s="4"/>
      <c r="R96" s="4"/>
      <c r="S96" s="4"/>
      <c r="T96" s="4"/>
      <c r="U96" s="4"/>
    </row>
    <row r="97" spans="1:21">
      <c r="A97" t="s">
        <v>219</v>
      </c>
      <c r="B97">
        <v>20</v>
      </c>
      <c r="C97" t="str">
        <f t="shared" si="19"/>
        <v>test.Base64_20_</v>
      </c>
      <c r="D97">
        <v>8</v>
      </c>
      <c r="E97" s="4">
        <v>0.52475247524752477</v>
      </c>
      <c r="F97" s="4">
        <v>0.13121368624919302</v>
      </c>
      <c r="G97" s="4">
        <f t="shared" si="20"/>
        <v>0.52475247524752477</v>
      </c>
      <c r="H97" s="4" t="str">
        <f t="shared" si="21"/>
        <v/>
      </c>
      <c r="I97" s="4" t="str">
        <f t="shared" si="22"/>
        <v/>
      </c>
      <c r="J97" s="4" t="str">
        <f t="shared" si="23"/>
        <v/>
      </c>
      <c r="K97" s="4" t="str">
        <f t="shared" si="24"/>
        <v/>
      </c>
      <c r="L97" s="4" t="str">
        <f t="shared" si="25"/>
        <v/>
      </c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t="s">
        <v>219</v>
      </c>
      <c r="B98">
        <v>20</v>
      </c>
      <c r="C98" t="str">
        <f t="shared" si="19"/>
        <v>test.Base64_20_</v>
      </c>
      <c r="D98">
        <v>9</v>
      </c>
      <c r="E98" s="4">
        <v>0.52475247524752477</v>
      </c>
      <c r="F98" s="4">
        <v>0.13395739186571981</v>
      </c>
      <c r="G98" s="4">
        <f t="shared" si="20"/>
        <v>0.52475247524752477</v>
      </c>
      <c r="H98" s="4" t="str">
        <f t="shared" si="21"/>
        <v/>
      </c>
      <c r="I98" s="4" t="str">
        <f t="shared" si="22"/>
        <v/>
      </c>
      <c r="J98" s="4" t="str">
        <f t="shared" si="23"/>
        <v/>
      </c>
      <c r="K98" s="4" t="str">
        <f t="shared" si="24"/>
        <v/>
      </c>
      <c r="L98" s="4" t="str">
        <f t="shared" si="25"/>
        <v/>
      </c>
      <c r="M98" s="4"/>
      <c r="N98" s="4"/>
      <c r="O98" s="4"/>
      <c r="P98" s="4"/>
      <c r="Q98" s="4"/>
      <c r="R98" s="4"/>
      <c r="S98" s="4"/>
      <c r="T98" s="4"/>
      <c r="U98" s="4"/>
    </row>
    <row r="99" spans="1:21">
      <c r="A99" t="s">
        <v>219</v>
      </c>
      <c r="B99">
        <v>20</v>
      </c>
      <c r="C99" t="str">
        <f t="shared" si="19"/>
        <v>test.Base64_20_</v>
      </c>
      <c r="D99">
        <v>10</v>
      </c>
      <c r="E99" s="4">
        <v>0.52475247524752477</v>
      </c>
      <c r="F99" s="4">
        <v>0.13799225306649451</v>
      </c>
      <c r="G99" s="4">
        <f t="shared" si="20"/>
        <v>0.52475247524752477</v>
      </c>
      <c r="H99" s="4" t="str">
        <f t="shared" si="21"/>
        <v/>
      </c>
      <c r="I99" s="4" t="str">
        <f t="shared" si="22"/>
        <v/>
      </c>
      <c r="J99" s="4" t="str">
        <f t="shared" si="23"/>
        <v/>
      </c>
      <c r="K99" s="4" t="str">
        <f t="shared" si="24"/>
        <v/>
      </c>
      <c r="L99" s="4" t="str">
        <f t="shared" si="25"/>
        <v/>
      </c>
      <c r="M99" s="4"/>
      <c r="N99" s="4"/>
      <c r="O99" s="4"/>
      <c r="P99" s="4"/>
      <c r="Q99" s="4"/>
      <c r="R99" s="4"/>
      <c r="S99" s="4"/>
      <c r="T99" s="4"/>
      <c r="U99" s="4"/>
    </row>
    <row r="100" spans="1:21">
      <c r="A100" t="s">
        <v>219</v>
      </c>
      <c r="B100">
        <v>20</v>
      </c>
      <c r="C100" t="str">
        <f t="shared" si="19"/>
        <v>test.Base64_20_</v>
      </c>
      <c r="D100">
        <v>11</v>
      </c>
      <c r="E100" s="4">
        <v>0.52475247524752477</v>
      </c>
      <c r="F100" s="4">
        <v>0.14105874757908327</v>
      </c>
      <c r="G100" s="4">
        <f t="shared" si="20"/>
        <v>0.52475247524752477</v>
      </c>
      <c r="H100" s="4" t="str">
        <f t="shared" si="21"/>
        <v/>
      </c>
      <c r="I100" s="4" t="str">
        <f t="shared" si="22"/>
        <v/>
      </c>
      <c r="J100" s="4" t="str">
        <f t="shared" si="23"/>
        <v/>
      </c>
      <c r="K100" s="4" t="str">
        <f t="shared" si="24"/>
        <v/>
      </c>
      <c r="L100" s="4" t="str">
        <f t="shared" si="25"/>
        <v/>
      </c>
      <c r="M100" s="4"/>
      <c r="N100" s="4"/>
      <c r="O100" s="4"/>
      <c r="P100" s="4"/>
      <c r="Q100" s="4"/>
      <c r="R100" s="4"/>
      <c r="S100" s="4"/>
      <c r="T100" s="4"/>
      <c r="U100" s="4"/>
    </row>
    <row r="101" spans="1:21">
      <c r="A101" t="s">
        <v>219</v>
      </c>
      <c r="B101">
        <v>20</v>
      </c>
      <c r="C101" t="str">
        <f t="shared" si="19"/>
        <v>test.Base64_20_</v>
      </c>
      <c r="D101">
        <v>12</v>
      </c>
      <c r="E101" s="4">
        <v>0.5544554455445545</v>
      </c>
      <c r="F101" s="4">
        <v>0.144770819883796</v>
      </c>
      <c r="G101" s="4">
        <f t="shared" si="20"/>
        <v>0.5544554455445545</v>
      </c>
      <c r="H101" s="4" t="str">
        <f t="shared" si="21"/>
        <v/>
      </c>
      <c r="I101" s="4" t="str">
        <f t="shared" si="22"/>
        <v/>
      </c>
      <c r="J101" s="4" t="str">
        <f t="shared" si="23"/>
        <v/>
      </c>
      <c r="K101" s="4" t="str">
        <f t="shared" si="24"/>
        <v/>
      </c>
      <c r="L101" s="4" t="str">
        <f t="shared" si="25"/>
        <v/>
      </c>
      <c r="M101" s="4"/>
      <c r="N101" s="4"/>
      <c r="O101" s="4"/>
      <c r="P101" s="4"/>
      <c r="Q101" s="4"/>
      <c r="R101" s="4"/>
      <c r="S101" s="4"/>
      <c r="T101" s="4"/>
      <c r="U101" s="4"/>
    </row>
    <row r="102" spans="1:21">
      <c r="A102" t="s">
        <v>219</v>
      </c>
      <c r="B102">
        <v>20</v>
      </c>
      <c r="C102" t="str">
        <f t="shared" si="19"/>
        <v>test.Base64_20_</v>
      </c>
      <c r="D102">
        <v>13</v>
      </c>
      <c r="E102" s="4">
        <v>0.73267326732673266</v>
      </c>
      <c r="F102" s="4">
        <v>0.15171078114912848</v>
      </c>
      <c r="G102" s="4">
        <f t="shared" si="20"/>
        <v>0.73267326732673266</v>
      </c>
      <c r="H102" s="4" t="str">
        <f t="shared" si="21"/>
        <v/>
      </c>
      <c r="I102" s="4" t="str">
        <f t="shared" si="22"/>
        <v/>
      </c>
      <c r="J102" s="4" t="str">
        <f t="shared" si="23"/>
        <v/>
      </c>
      <c r="K102" s="4" t="str">
        <f t="shared" si="24"/>
        <v/>
      </c>
      <c r="L102" s="4" t="str">
        <f t="shared" si="25"/>
        <v/>
      </c>
      <c r="M102" s="4"/>
      <c r="N102" s="4"/>
      <c r="O102" s="4"/>
      <c r="P102" s="4"/>
      <c r="Q102" s="4"/>
      <c r="R102" s="4"/>
      <c r="S102" s="4"/>
      <c r="T102" s="4"/>
      <c r="U102" s="4"/>
    </row>
    <row r="103" spans="1:21">
      <c r="A103" t="s">
        <v>219</v>
      </c>
      <c r="B103">
        <v>20</v>
      </c>
      <c r="C103" t="str">
        <f t="shared" si="19"/>
        <v>test.Base64_20_</v>
      </c>
      <c r="D103">
        <v>14</v>
      </c>
      <c r="E103" s="4">
        <v>0.73267326732673266</v>
      </c>
      <c r="F103" s="4">
        <v>0.15477727566171723</v>
      </c>
      <c r="G103" s="4">
        <f t="shared" si="20"/>
        <v>0.73267326732673266</v>
      </c>
      <c r="H103" s="4" t="str">
        <f t="shared" si="21"/>
        <v/>
      </c>
      <c r="I103" s="4" t="str">
        <f t="shared" si="22"/>
        <v/>
      </c>
      <c r="J103" s="4" t="str">
        <f t="shared" si="23"/>
        <v/>
      </c>
      <c r="K103" s="4" t="str">
        <f t="shared" si="24"/>
        <v/>
      </c>
      <c r="L103" s="4" t="str">
        <f t="shared" si="25"/>
        <v/>
      </c>
      <c r="M103" s="4"/>
      <c r="N103" s="4"/>
      <c r="O103" s="4"/>
      <c r="P103" s="4"/>
      <c r="Q103" s="4"/>
      <c r="R103" s="4"/>
      <c r="S103" s="4"/>
      <c r="T103" s="4"/>
      <c r="U103" s="4"/>
    </row>
    <row r="104" spans="1:21">
      <c r="A104" t="s">
        <v>219</v>
      </c>
      <c r="B104">
        <v>20</v>
      </c>
      <c r="C104" t="str">
        <f t="shared" si="19"/>
        <v>test.Base64_20_</v>
      </c>
      <c r="D104">
        <v>15</v>
      </c>
      <c r="E104" s="4">
        <v>0.73267326732673266</v>
      </c>
      <c r="F104" s="4">
        <v>0.15574564234990315</v>
      </c>
      <c r="G104" s="4">
        <f t="shared" si="20"/>
        <v>0.73267326732673266</v>
      </c>
      <c r="H104" s="4" t="str">
        <f t="shared" si="21"/>
        <v/>
      </c>
      <c r="I104" s="4" t="str">
        <f t="shared" si="22"/>
        <v/>
      </c>
      <c r="J104" s="4" t="str">
        <f t="shared" si="23"/>
        <v/>
      </c>
      <c r="K104" s="4" t="str">
        <f t="shared" si="24"/>
        <v/>
      </c>
      <c r="L104" s="4" t="str">
        <f t="shared" si="25"/>
        <v/>
      </c>
      <c r="M104" s="4"/>
      <c r="N104" s="4"/>
      <c r="O104" s="4"/>
      <c r="P104" s="4"/>
      <c r="Q104" s="4"/>
      <c r="R104" s="4"/>
      <c r="S104" s="4"/>
      <c r="T104" s="4"/>
      <c r="U104" s="4"/>
    </row>
    <row r="105" spans="1:21">
      <c r="A105" t="s">
        <v>219</v>
      </c>
      <c r="B105">
        <v>20</v>
      </c>
      <c r="C105" t="str">
        <f t="shared" si="19"/>
        <v>test.Base64_20_</v>
      </c>
      <c r="D105">
        <v>16</v>
      </c>
      <c r="E105" s="4">
        <v>0.73267326732673266</v>
      </c>
      <c r="F105" s="4">
        <v>0.15752098127824402</v>
      </c>
      <c r="G105" s="4">
        <f t="shared" si="20"/>
        <v>0.73267326732673266</v>
      </c>
      <c r="H105" s="4" t="str">
        <f t="shared" si="21"/>
        <v/>
      </c>
      <c r="I105" s="4" t="str">
        <f t="shared" si="22"/>
        <v/>
      </c>
      <c r="J105" s="4" t="str">
        <f t="shared" si="23"/>
        <v/>
      </c>
      <c r="K105" s="4" t="str">
        <f t="shared" si="24"/>
        <v/>
      </c>
      <c r="L105" s="4" t="str">
        <f t="shared" si="25"/>
        <v/>
      </c>
      <c r="M105" s="4"/>
      <c r="N105" s="4"/>
      <c r="O105" s="4"/>
      <c r="P105" s="4"/>
      <c r="Q105" s="4"/>
      <c r="R105" s="4"/>
      <c r="S105" s="4"/>
      <c r="T105" s="4"/>
      <c r="U105" s="4"/>
    </row>
    <row r="106" spans="1:21">
      <c r="A106" t="s">
        <v>219</v>
      </c>
      <c r="B106">
        <v>20</v>
      </c>
      <c r="C106" t="str">
        <f t="shared" si="19"/>
        <v>test.Base64_20_</v>
      </c>
      <c r="D106">
        <v>17</v>
      </c>
      <c r="E106" s="4">
        <v>0.73267326732673266</v>
      </c>
      <c r="F106" s="4">
        <v>0.16074887023886378</v>
      </c>
      <c r="G106" s="4">
        <f t="shared" si="20"/>
        <v>0.73267326732673266</v>
      </c>
      <c r="H106" s="4" t="str">
        <f t="shared" si="21"/>
        <v/>
      </c>
      <c r="I106" s="4" t="str">
        <f t="shared" si="22"/>
        <v/>
      </c>
      <c r="J106" s="4" t="str">
        <f t="shared" si="23"/>
        <v/>
      </c>
      <c r="K106" s="4" t="str">
        <f t="shared" si="24"/>
        <v/>
      </c>
      <c r="L106" s="4" t="str">
        <f t="shared" si="25"/>
        <v/>
      </c>
      <c r="M106" s="4"/>
      <c r="N106" s="4"/>
      <c r="O106" s="4"/>
      <c r="P106" s="4"/>
      <c r="Q106" s="4"/>
      <c r="R106" s="4"/>
      <c r="S106" s="4"/>
      <c r="T106" s="4"/>
      <c r="U106" s="4"/>
    </row>
    <row r="107" spans="1:21">
      <c r="A107" t="s">
        <v>219</v>
      </c>
      <c r="B107">
        <v>20</v>
      </c>
      <c r="C107" t="str">
        <f t="shared" si="19"/>
        <v>test.Base64_20_</v>
      </c>
      <c r="D107">
        <v>18</v>
      </c>
      <c r="E107" s="4">
        <v>0.73267326732673266</v>
      </c>
      <c r="F107" s="4">
        <v>0.1617172369270497</v>
      </c>
      <c r="G107" s="4">
        <f t="shared" si="20"/>
        <v>0.73267326732673266</v>
      </c>
      <c r="H107" s="4" t="str">
        <f t="shared" si="21"/>
        <v/>
      </c>
      <c r="I107" s="4" t="str">
        <f t="shared" si="22"/>
        <v/>
      </c>
      <c r="J107" s="4" t="str">
        <f t="shared" si="23"/>
        <v/>
      </c>
      <c r="K107" s="4" t="str">
        <f t="shared" si="24"/>
        <v/>
      </c>
      <c r="L107" s="4" t="str">
        <f t="shared" si="25"/>
        <v/>
      </c>
      <c r="M107" s="4"/>
      <c r="N107" s="4"/>
      <c r="O107" s="4"/>
      <c r="P107" s="4"/>
      <c r="Q107" s="4"/>
      <c r="R107" s="4"/>
      <c r="S107" s="4"/>
      <c r="T107" s="4"/>
      <c r="U107" s="4"/>
    </row>
    <row r="108" spans="1:21">
      <c r="A108" t="s">
        <v>219</v>
      </c>
      <c r="B108">
        <v>20</v>
      </c>
      <c r="C108" t="str">
        <f t="shared" si="19"/>
        <v>test.Base64_20_</v>
      </c>
      <c r="D108">
        <v>19</v>
      </c>
      <c r="E108" s="4">
        <v>0.73267326732673266</v>
      </c>
      <c r="F108" s="4">
        <v>0.17253066494512589</v>
      </c>
      <c r="G108" s="4">
        <f t="shared" si="20"/>
        <v>0.73267326732673266</v>
      </c>
      <c r="H108" s="4" t="str">
        <f t="shared" si="21"/>
        <v/>
      </c>
      <c r="I108" s="4" t="str">
        <f t="shared" si="22"/>
        <v/>
      </c>
      <c r="J108" s="4" t="str">
        <f t="shared" si="23"/>
        <v/>
      </c>
      <c r="K108" s="4" t="str">
        <f t="shared" si="24"/>
        <v/>
      </c>
      <c r="L108" s="4" t="str">
        <f t="shared" si="25"/>
        <v/>
      </c>
      <c r="M108" s="4"/>
      <c r="N108" s="4"/>
      <c r="O108" s="4"/>
      <c r="P108" s="4"/>
      <c r="Q108" s="4"/>
      <c r="R108" s="4"/>
      <c r="S108" s="4"/>
      <c r="T108" s="4"/>
      <c r="U108" s="4"/>
    </row>
    <row r="109" spans="1:21">
      <c r="A109" t="s">
        <v>219</v>
      </c>
      <c r="B109">
        <v>20</v>
      </c>
      <c r="C109" t="str">
        <f t="shared" si="19"/>
        <v>test.Base64_20_</v>
      </c>
      <c r="D109">
        <v>20</v>
      </c>
      <c r="E109" s="4">
        <v>0.73267326732673266</v>
      </c>
      <c r="F109" s="4">
        <v>0.17269205939315688</v>
      </c>
      <c r="G109" s="4">
        <f t="shared" si="20"/>
        <v>0.73267326732673266</v>
      </c>
      <c r="H109" s="4" t="str">
        <f t="shared" si="21"/>
        <v/>
      </c>
      <c r="I109" s="4" t="str">
        <f t="shared" si="22"/>
        <v/>
      </c>
      <c r="J109" s="4" t="str">
        <f t="shared" si="23"/>
        <v/>
      </c>
      <c r="K109" s="4" t="str">
        <f t="shared" si="24"/>
        <v/>
      </c>
      <c r="L109" s="4" t="str">
        <f t="shared" si="25"/>
        <v/>
      </c>
      <c r="M109" s="4"/>
      <c r="N109" s="4"/>
      <c r="O109" s="4"/>
      <c r="P109" s="4"/>
      <c r="Q109" s="4"/>
      <c r="R109" s="4"/>
      <c r="S109" s="4"/>
      <c r="T109" s="4"/>
      <c r="U109" s="4"/>
    </row>
    <row r="110" spans="1:21">
      <c r="A110" t="s">
        <v>219</v>
      </c>
      <c r="B110">
        <v>20</v>
      </c>
      <c r="C110" t="str">
        <f t="shared" si="19"/>
        <v>test.Base64_20_</v>
      </c>
      <c r="D110">
        <v>21</v>
      </c>
      <c r="E110" s="4">
        <v>0.73267326732673266</v>
      </c>
      <c r="F110" s="4">
        <v>0.17285345384118786</v>
      </c>
      <c r="G110" s="4">
        <f t="shared" si="20"/>
        <v>0.73267326732673266</v>
      </c>
      <c r="H110" s="4" t="str">
        <f t="shared" si="21"/>
        <v/>
      </c>
      <c r="I110" s="4" t="str">
        <f t="shared" si="22"/>
        <v/>
      </c>
      <c r="J110" s="4" t="str">
        <f t="shared" si="23"/>
        <v/>
      </c>
      <c r="K110" s="4" t="str">
        <f t="shared" si="24"/>
        <v/>
      </c>
      <c r="L110" s="4" t="str">
        <f t="shared" si="25"/>
        <v/>
      </c>
      <c r="M110" s="4"/>
      <c r="N110" s="4"/>
      <c r="O110" s="4"/>
      <c r="P110" s="4"/>
      <c r="Q110" s="4"/>
      <c r="R110" s="4"/>
      <c r="S110" s="4"/>
      <c r="T110" s="4"/>
      <c r="U110" s="4"/>
    </row>
    <row r="111" spans="1:21">
      <c r="A111" t="s">
        <v>219</v>
      </c>
      <c r="B111">
        <v>20</v>
      </c>
      <c r="C111" t="str">
        <f t="shared" si="19"/>
        <v>test.Base64_20_</v>
      </c>
      <c r="D111">
        <v>22</v>
      </c>
      <c r="E111" s="4">
        <v>0.73267326732673266</v>
      </c>
      <c r="F111" s="4">
        <v>0.17995480955455131</v>
      </c>
      <c r="G111" s="4">
        <f t="shared" si="20"/>
        <v>0.73267326732673266</v>
      </c>
      <c r="H111" s="4" t="str">
        <f t="shared" si="21"/>
        <v/>
      </c>
      <c r="I111" s="4" t="str">
        <f t="shared" si="22"/>
        <v/>
      </c>
      <c r="J111" s="4" t="str">
        <f t="shared" si="23"/>
        <v/>
      </c>
      <c r="K111" s="4" t="str">
        <f t="shared" si="24"/>
        <v/>
      </c>
      <c r="L111" s="4" t="str">
        <f t="shared" si="25"/>
        <v/>
      </c>
      <c r="M111" s="4"/>
      <c r="N111" s="4"/>
      <c r="O111" s="4"/>
      <c r="P111" s="4"/>
      <c r="Q111" s="4"/>
      <c r="R111" s="4"/>
      <c r="S111" s="4"/>
      <c r="T111" s="4"/>
      <c r="U111" s="4"/>
    </row>
    <row r="112" spans="1:21">
      <c r="A112" t="s">
        <v>219</v>
      </c>
      <c r="B112">
        <v>20</v>
      </c>
      <c r="C112" t="str">
        <f t="shared" si="19"/>
        <v>test.Base64_20_</v>
      </c>
      <c r="D112">
        <v>23</v>
      </c>
      <c r="E112" s="4">
        <v>0.73267326732673266</v>
      </c>
      <c r="F112" s="4">
        <v>0.18076178179470626</v>
      </c>
      <c r="G112" s="4">
        <f t="shared" si="20"/>
        <v>0.73267326732673266</v>
      </c>
      <c r="H112" s="4" t="str">
        <f t="shared" si="21"/>
        <v/>
      </c>
      <c r="I112" s="4" t="str">
        <f t="shared" si="22"/>
        <v/>
      </c>
      <c r="J112" s="4" t="str">
        <f t="shared" si="23"/>
        <v/>
      </c>
      <c r="K112" s="4" t="str">
        <f t="shared" si="24"/>
        <v/>
      </c>
      <c r="L112" s="4" t="str">
        <f t="shared" si="25"/>
        <v/>
      </c>
      <c r="M112" s="4"/>
      <c r="N112" s="4"/>
      <c r="O112" s="4"/>
      <c r="P112" s="4"/>
      <c r="Q112" s="4"/>
      <c r="R112" s="4"/>
      <c r="S112" s="4"/>
      <c r="T112" s="4"/>
      <c r="U112" s="4"/>
    </row>
    <row r="113" spans="1:21">
      <c r="A113" t="s">
        <v>219</v>
      </c>
      <c r="B113">
        <v>20</v>
      </c>
      <c r="C113" t="str">
        <f t="shared" si="19"/>
        <v>test.Base64_20_</v>
      </c>
      <c r="D113">
        <v>24</v>
      </c>
      <c r="E113" s="4">
        <v>0.73267326732673266</v>
      </c>
      <c r="F113" s="4">
        <v>0.18737895416397676</v>
      </c>
      <c r="G113" s="4">
        <f t="shared" si="20"/>
        <v>0.73267326732673266</v>
      </c>
      <c r="H113" s="4" t="str">
        <f t="shared" si="21"/>
        <v/>
      </c>
      <c r="I113" s="4" t="str">
        <f t="shared" si="22"/>
        <v/>
      </c>
      <c r="J113" s="4" t="str">
        <f t="shared" si="23"/>
        <v/>
      </c>
      <c r="K113" s="4" t="str">
        <f t="shared" si="24"/>
        <v/>
      </c>
      <c r="L113" s="4" t="str">
        <f t="shared" si="25"/>
        <v/>
      </c>
      <c r="M113" s="4"/>
      <c r="N113" s="4"/>
      <c r="O113" s="4"/>
      <c r="P113" s="4"/>
      <c r="Q113" s="4"/>
      <c r="R113" s="4"/>
      <c r="S113" s="4"/>
      <c r="T113" s="4"/>
      <c r="U113" s="4"/>
    </row>
    <row r="114" spans="1:21">
      <c r="A114" t="s">
        <v>219</v>
      </c>
      <c r="B114">
        <v>20</v>
      </c>
      <c r="C114" t="str">
        <f t="shared" si="19"/>
        <v>test.Base64_20_</v>
      </c>
      <c r="D114">
        <v>25</v>
      </c>
      <c r="E114" s="4">
        <v>0.73267326732673266</v>
      </c>
      <c r="F114" s="4">
        <v>0.19399612653324724</v>
      </c>
      <c r="G114" s="4">
        <f t="shared" si="20"/>
        <v>0.73267326732673266</v>
      </c>
      <c r="H114" s="4" t="str">
        <f t="shared" si="21"/>
        <v/>
      </c>
      <c r="I114" s="4" t="str">
        <f t="shared" si="22"/>
        <v/>
      </c>
      <c r="J114" s="4" t="str">
        <f t="shared" si="23"/>
        <v/>
      </c>
      <c r="K114" s="4" t="str">
        <f t="shared" si="24"/>
        <v/>
      </c>
      <c r="L114" s="4" t="str">
        <f t="shared" si="25"/>
        <v/>
      </c>
      <c r="M114" s="4"/>
      <c r="N114" s="4"/>
      <c r="O114" s="4"/>
      <c r="P114" s="4"/>
      <c r="Q114" s="4"/>
      <c r="R114" s="4"/>
      <c r="S114" s="4"/>
      <c r="T114" s="4"/>
      <c r="U114" s="4"/>
    </row>
    <row r="115" spans="1:21">
      <c r="A115" t="s">
        <v>219</v>
      </c>
      <c r="B115">
        <v>20</v>
      </c>
      <c r="C115" t="str">
        <f t="shared" si="19"/>
        <v>test.Base64_20_</v>
      </c>
      <c r="D115">
        <v>26</v>
      </c>
      <c r="E115" s="4">
        <v>0.73267326732673266</v>
      </c>
      <c r="F115" s="4">
        <v>0.19673983214977406</v>
      </c>
      <c r="G115" s="4">
        <f t="shared" si="20"/>
        <v>0.73267326732673266</v>
      </c>
      <c r="H115" s="4" t="str">
        <f t="shared" si="21"/>
        <v/>
      </c>
      <c r="I115" s="4" t="str">
        <f t="shared" si="22"/>
        <v/>
      </c>
      <c r="J115" s="4" t="str">
        <f t="shared" si="23"/>
        <v/>
      </c>
      <c r="K115" s="4" t="str">
        <f t="shared" si="24"/>
        <v/>
      </c>
      <c r="L115" s="4" t="str">
        <f t="shared" si="25"/>
        <v/>
      </c>
      <c r="M115" s="4"/>
      <c r="N115" s="4"/>
      <c r="O115" s="4"/>
      <c r="P115" s="4"/>
      <c r="Q115" s="4"/>
      <c r="R115" s="4"/>
      <c r="S115" s="4"/>
      <c r="T115" s="4"/>
      <c r="U115" s="4"/>
    </row>
    <row r="116" spans="1:21">
      <c r="A116" t="s">
        <v>219</v>
      </c>
      <c r="B116">
        <v>20</v>
      </c>
      <c r="C116" t="str">
        <f t="shared" si="19"/>
        <v>test.Base64_20_</v>
      </c>
      <c r="D116">
        <v>27</v>
      </c>
      <c r="E116" s="4">
        <v>0.73267326732673266</v>
      </c>
      <c r="F116" s="4">
        <v>0.20093608779857972</v>
      </c>
      <c r="G116" s="4" t="str">
        <f t="shared" si="20"/>
        <v/>
      </c>
      <c r="H116" s="4">
        <f t="shared" si="21"/>
        <v>0.73267326732673266</v>
      </c>
      <c r="I116" s="4" t="str">
        <f t="shared" si="22"/>
        <v/>
      </c>
      <c r="J116" s="4" t="str">
        <f t="shared" si="23"/>
        <v/>
      </c>
      <c r="K116" s="4" t="str">
        <f t="shared" si="24"/>
        <v/>
      </c>
      <c r="L116" s="4" t="str">
        <f t="shared" si="25"/>
        <v/>
      </c>
      <c r="M116" s="4"/>
      <c r="N116" s="4"/>
      <c r="O116" s="4"/>
      <c r="P116" s="4"/>
      <c r="Q116" s="4"/>
      <c r="R116" s="4"/>
      <c r="S116" s="4"/>
      <c r="T116" s="4"/>
      <c r="U116" s="4"/>
    </row>
    <row r="117" spans="1:21">
      <c r="A117" t="s">
        <v>219</v>
      </c>
      <c r="B117">
        <v>20</v>
      </c>
      <c r="C117" t="str">
        <f t="shared" si="19"/>
        <v>test.Base64_20_</v>
      </c>
      <c r="D117">
        <v>28</v>
      </c>
      <c r="E117" s="4">
        <v>0.73267326732673266</v>
      </c>
      <c r="F117" s="4">
        <v>0.20238863783085861</v>
      </c>
      <c r="G117" s="4" t="str">
        <f t="shared" si="20"/>
        <v/>
      </c>
      <c r="H117" s="4">
        <f t="shared" si="21"/>
        <v>0.73267326732673266</v>
      </c>
      <c r="I117" s="4" t="str">
        <f t="shared" si="22"/>
        <v/>
      </c>
      <c r="J117" s="4" t="str">
        <f t="shared" si="23"/>
        <v/>
      </c>
      <c r="K117" s="4" t="str">
        <f t="shared" si="24"/>
        <v/>
      </c>
      <c r="L117" s="4" t="str">
        <f t="shared" si="25"/>
        <v/>
      </c>
      <c r="M117" s="4"/>
      <c r="N117" s="4"/>
      <c r="O117" s="4"/>
      <c r="P117" s="4"/>
      <c r="Q117" s="4"/>
      <c r="R117" s="4"/>
      <c r="S117" s="4"/>
      <c r="T117" s="4"/>
      <c r="U117" s="4"/>
    </row>
    <row r="118" spans="1:21">
      <c r="A118" t="s">
        <v>219</v>
      </c>
      <c r="B118">
        <v>20</v>
      </c>
      <c r="C118" t="str">
        <f t="shared" si="19"/>
        <v>test.Base64_20_</v>
      </c>
      <c r="D118">
        <v>29</v>
      </c>
      <c r="E118" s="4">
        <v>0.73267326732673266</v>
      </c>
      <c r="F118" s="4">
        <v>0.22546804389928987</v>
      </c>
      <c r="G118" s="4" t="str">
        <f t="shared" si="20"/>
        <v/>
      </c>
      <c r="H118" s="4">
        <f t="shared" si="21"/>
        <v>0.73267326732673266</v>
      </c>
      <c r="I118" s="4" t="str">
        <f t="shared" si="22"/>
        <v/>
      </c>
      <c r="J118" s="4" t="str">
        <f t="shared" si="23"/>
        <v/>
      </c>
      <c r="K118" s="4" t="str">
        <f t="shared" si="24"/>
        <v/>
      </c>
      <c r="L118" s="4" t="str">
        <f t="shared" si="25"/>
        <v/>
      </c>
      <c r="M118" s="4"/>
      <c r="N118" s="4"/>
      <c r="O118" s="4"/>
      <c r="P118" s="4"/>
      <c r="Q118" s="4"/>
      <c r="R118" s="4"/>
      <c r="S118" s="4"/>
      <c r="T118" s="4"/>
      <c r="U118" s="4"/>
    </row>
    <row r="119" spans="1:21">
      <c r="A119" t="s">
        <v>219</v>
      </c>
      <c r="B119">
        <v>20</v>
      </c>
      <c r="C119" t="str">
        <f t="shared" si="19"/>
        <v>test.Base64_20_</v>
      </c>
      <c r="D119">
        <v>30</v>
      </c>
      <c r="E119" s="4">
        <v>0.73267326732673266</v>
      </c>
      <c r="F119" s="4">
        <v>0.23466752743705616</v>
      </c>
      <c r="G119" s="4" t="str">
        <f t="shared" si="20"/>
        <v/>
      </c>
      <c r="H119" s="4">
        <f t="shared" si="21"/>
        <v>0.73267326732673266</v>
      </c>
      <c r="I119" s="4" t="str">
        <f t="shared" si="22"/>
        <v/>
      </c>
      <c r="J119" s="4" t="str">
        <f t="shared" si="23"/>
        <v/>
      </c>
      <c r="K119" s="4" t="str">
        <f t="shared" si="24"/>
        <v/>
      </c>
      <c r="L119" s="4" t="str">
        <f t="shared" si="25"/>
        <v/>
      </c>
      <c r="M119" s="4"/>
      <c r="N119" s="4"/>
      <c r="O119" s="4"/>
      <c r="P119" s="4"/>
      <c r="Q119" s="4"/>
      <c r="R119" s="4"/>
      <c r="S119" s="4"/>
      <c r="T119" s="4"/>
      <c r="U119" s="4"/>
    </row>
    <row r="120" spans="1:21">
      <c r="A120" t="s">
        <v>219</v>
      </c>
      <c r="B120">
        <v>20</v>
      </c>
      <c r="C120" t="str">
        <f t="shared" si="19"/>
        <v>test.Base64_20_</v>
      </c>
      <c r="D120">
        <v>31</v>
      </c>
      <c r="E120" s="4">
        <v>0.73267326732673266</v>
      </c>
      <c r="F120" s="4">
        <v>0.24757908327953518</v>
      </c>
      <c r="G120" s="4" t="str">
        <f t="shared" si="20"/>
        <v/>
      </c>
      <c r="H120" s="4">
        <f t="shared" si="21"/>
        <v>0.73267326732673266</v>
      </c>
      <c r="I120" s="4" t="str">
        <f t="shared" si="22"/>
        <v/>
      </c>
      <c r="J120" s="4" t="str">
        <f t="shared" si="23"/>
        <v/>
      </c>
      <c r="K120" s="4" t="str">
        <f t="shared" si="24"/>
        <v/>
      </c>
      <c r="L120" s="4" t="str">
        <f t="shared" si="25"/>
        <v/>
      </c>
      <c r="M120" s="4"/>
      <c r="N120" s="4"/>
      <c r="O120" s="4"/>
      <c r="P120" s="4"/>
      <c r="Q120" s="4"/>
      <c r="R120" s="4"/>
      <c r="S120" s="4"/>
      <c r="T120" s="4"/>
      <c r="U120" s="4"/>
    </row>
    <row r="121" spans="1:21">
      <c r="A121" t="s">
        <v>219</v>
      </c>
      <c r="B121">
        <v>20</v>
      </c>
      <c r="C121" t="str">
        <f t="shared" si="19"/>
        <v>test.Base64_20_</v>
      </c>
      <c r="D121">
        <v>32</v>
      </c>
      <c r="E121" s="4">
        <v>0.73267326732673266</v>
      </c>
      <c r="F121" s="4">
        <v>0.26291155584247899</v>
      </c>
      <c r="G121" s="4" t="str">
        <f t="shared" si="20"/>
        <v/>
      </c>
      <c r="H121" s="4">
        <f t="shared" si="21"/>
        <v>0.73267326732673266</v>
      </c>
      <c r="I121" s="4" t="str">
        <f t="shared" si="22"/>
        <v/>
      </c>
      <c r="J121" s="4" t="str">
        <f t="shared" si="23"/>
        <v/>
      </c>
      <c r="K121" s="4" t="str">
        <f t="shared" si="24"/>
        <v/>
      </c>
      <c r="L121" s="4" t="str">
        <f t="shared" si="25"/>
        <v/>
      </c>
      <c r="M121" s="4"/>
      <c r="N121" s="4"/>
      <c r="O121" s="4"/>
      <c r="P121" s="4"/>
      <c r="Q121" s="4"/>
      <c r="R121" s="4"/>
      <c r="S121" s="4"/>
      <c r="T121" s="4"/>
      <c r="U121" s="4"/>
    </row>
    <row r="122" spans="1:21">
      <c r="A122" t="s">
        <v>219</v>
      </c>
      <c r="B122">
        <v>20</v>
      </c>
      <c r="C122" t="str">
        <f t="shared" si="19"/>
        <v>test.Base64_20_</v>
      </c>
      <c r="D122">
        <v>33</v>
      </c>
      <c r="E122" s="4">
        <v>0.74257425742574257</v>
      </c>
      <c r="F122" s="4">
        <v>0.37524209167204647</v>
      </c>
      <c r="G122" s="4" t="str">
        <f t="shared" si="20"/>
        <v/>
      </c>
      <c r="H122" s="4">
        <f t="shared" si="21"/>
        <v>0.74257425742574257</v>
      </c>
      <c r="I122" s="4" t="str">
        <f t="shared" si="22"/>
        <v/>
      </c>
      <c r="J122" s="4" t="str">
        <f t="shared" si="23"/>
        <v/>
      </c>
      <c r="K122" s="4" t="str">
        <f t="shared" si="24"/>
        <v/>
      </c>
      <c r="L122" s="4" t="str">
        <f t="shared" si="25"/>
        <v/>
      </c>
      <c r="M122" s="4"/>
      <c r="N122" s="4"/>
      <c r="O122" s="4"/>
      <c r="P122" s="4"/>
      <c r="Q122" s="4"/>
      <c r="R122" s="4"/>
      <c r="S122" s="4"/>
      <c r="T122" s="4"/>
      <c r="U122" s="4"/>
    </row>
    <row r="123" spans="1:21">
      <c r="A123" t="s">
        <v>219</v>
      </c>
      <c r="B123">
        <v>20</v>
      </c>
      <c r="C123" t="str">
        <f t="shared" si="19"/>
        <v>test.Base64_20_</v>
      </c>
      <c r="D123">
        <v>34</v>
      </c>
      <c r="E123" s="4">
        <v>0.7722772277227723</v>
      </c>
      <c r="F123" s="4">
        <v>0.48289218850871529</v>
      </c>
      <c r="G123" s="4" t="str">
        <f t="shared" si="20"/>
        <v/>
      </c>
      <c r="H123" s="4" t="str">
        <f t="shared" si="21"/>
        <v/>
      </c>
      <c r="I123" s="4">
        <f t="shared" si="22"/>
        <v>0.7722772277227723</v>
      </c>
      <c r="J123" s="4" t="str">
        <f t="shared" si="23"/>
        <v/>
      </c>
      <c r="K123" s="4" t="str">
        <f t="shared" si="24"/>
        <v/>
      </c>
      <c r="L123" s="4" t="str">
        <f t="shared" si="25"/>
        <v/>
      </c>
      <c r="M123" s="4"/>
      <c r="N123" s="4"/>
      <c r="O123" s="4"/>
      <c r="P123" s="4"/>
      <c r="Q123" s="4"/>
      <c r="R123" s="4"/>
      <c r="S123" s="4"/>
      <c r="T123" s="4"/>
      <c r="U123" s="4"/>
    </row>
    <row r="124" spans="1:21">
      <c r="A124" t="s">
        <v>219</v>
      </c>
      <c r="B124">
        <v>20</v>
      </c>
      <c r="C124" t="str">
        <f t="shared" si="19"/>
        <v>test.Base64_20_</v>
      </c>
      <c r="D124">
        <v>35</v>
      </c>
      <c r="E124" s="4">
        <v>0.7722772277227723</v>
      </c>
      <c r="F124" s="4">
        <v>0.58763718528082631</v>
      </c>
      <c r="G124" s="4" t="str">
        <f t="shared" si="20"/>
        <v/>
      </c>
      <c r="H124" s="4" t="str">
        <f t="shared" si="21"/>
        <v/>
      </c>
      <c r="I124" s="4">
        <f t="shared" si="22"/>
        <v>0.7722772277227723</v>
      </c>
      <c r="J124" s="4" t="str">
        <f t="shared" si="23"/>
        <v/>
      </c>
      <c r="K124" s="4" t="str">
        <f t="shared" si="24"/>
        <v/>
      </c>
      <c r="L124" s="4" t="str">
        <f t="shared" si="25"/>
        <v/>
      </c>
      <c r="M124" s="4"/>
      <c r="N124" s="4"/>
      <c r="O124" s="4"/>
      <c r="P124" s="4"/>
      <c r="Q124" s="4"/>
      <c r="R124" s="4"/>
      <c r="S124" s="4"/>
      <c r="T124" s="4"/>
      <c r="U124" s="4"/>
    </row>
    <row r="125" spans="1:21">
      <c r="A125" t="s">
        <v>219</v>
      </c>
      <c r="B125">
        <v>20</v>
      </c>
      <c r="C125" t="str">
        <f t="shared" si="19"/>
        <v>test.Base64_20_</v>
      </c>
      <c r="D125">
        <v>36</v>
      </c>
      <c r="E125" s="4">
        <v>0.7722772277227723</v>
      </c>
      <c r="F125" s="4">
        <v>0.60474499677211102</v>
      </c>
      <c r="G125" s="4" t="str">
        <f t="shared" si="20"/>
        <v/>
      </c>
      <c r="H125" s="4" t="str">
        <f t="shared" si="21"/>
        <v/>
      </c>
      <c r="I125" s="4" t="str">
        <f t="shared" si="22"/>
        <v/>
      </c>
      <c r="J125" s="4">
        <f t="shared" si="23"/>
        <v>0.7722772277227723</v>
      </c>
      <c r="K125" s="4" t="str">
        <f t="shared" si="24"/>
        <v/>
      </c>
      <c r="L125" s="4" t="str">
        <f t="shared" si="25"/>
        <v/>
      </c>
      <c r="M125" s="4"/>
      <c r="N125" s="4"/>
      <c r="O125" s="4"/>
      <c r="P125" s="4"/>
      <c r="Q125" s="4"/>
      <c r="R125" s="4"/>
      <c r="S125" s="4"/>
      <c r="T125" s="4"/>
      <c r="U125" s="4"/>
    </row>
    <row r="126" spans="1:21">
      <c r="A126" t="s">
        <v>219</v>
      </c>
      <c r="B126">
        <v>20</v>
      </c>
      <c r="C126" t="str">
        <f t="shared" si="19"/>
        <v>test.Base64_20_</v>
      </c>
      <c r="D126">
        <v>37</v>
      </c>
      <c r="E126" s="4">
        <v>0.7722772277227723</v>
      </c>
      <c r="F126" s="4">
        <v>0.60845706907682373</v>
      </c>
      <c r="G126" s="4" t="str">
        <f t="shared" si="20"/>
        <v/>
      </c>
      <c r="H126" s="4" t="str">
        <f t="shared" si="21"/>
        <v/>
      </c>
      <c r="I126" s="4" t="str">
        <f t="shared" si="22"/>
        <v/>
      </c>
      <c r="J126" s="4">
        <f t="shared" si="23"/>
        <v>0.7722772277227723</v>
      </c>
      <c r="K126" s="4" t="str">
        <f t="shared" si="24"/>
        <v/>
      </c>
      <c r="L126" s="4" t="str">
        <f t="shared" si="25"/>
        <v/>
      </c>
      <c r="M126" s="4"/>
      <c r="N126" s="4"/>
      <c r="O126" s="4"/>
      <c r="P126" s="4"/>
      <c r="Q126" s="4"/>
      <c r="R126" s="4"/>
      <c r="S126" s="4"/>
      <c r="T126" s="4"/>
      <c r="U126" s="4"/>
    </row>
    <row r="127" spans="1:21">
      <c r="A127" t="s">
        <v>219</v>
      </c>
      <c r="B127">
        <v>20</v>
      </c>
      <c r="C127" t="str">
        <f t="shared" si="19"/>
        <v>test.Base64_20_</v>
      </c>
      <c r="D127">
        <v>38</v>
      </c>
      <c r="E127" s="4">
        <v>0.7722772277227723</v>
      </c>
      <c r="F127" s="4">
        <v>0.62040025823111689</v>
      </c>
      <c r="G127" s="4" t="str">
        <f t="shared" si="20"/>
        <v/>
      </c>
      <c r="H127" s="4" t="str">
        <f t="shared" si="21"/>
        <v/>
      </c>
      <c r="I127" s="4" t="str">
        <f t="shared" si="22"/>
        <v/>
      </c>
      <c r="J127" s="4">
        <f t="shared" si="23"/>
        <v>0.7722772277227723</v>
      </c>
      <c r="K127" s="4" t="str">
        <f t="shared" si="24"/>
        <v/>
      </c>
      <c r="L127" s="4" t="str">
        <f t="shared" si="25"/>
        <v/>
      </c>
      <c r="M127" s="4"/>
      <c r="N127" s="4"/>
      <c r="O127" s="4"/>
      <c r="P127" s="4"/>
      <c r="Q127" s="4"/>
      <c r="R127" s="4"/>
      <c r="S127" s="4"/>
      <c r="T127" s="4"/>
      <c r="U127" s="4"/>
    </row>
    <row r="128" spans="1:21">
      <c r="A128" t="s">
        <v>219</v>
      </c>
      <c r="B128">
        <v>20</v>
      </c>
      <c r="C128" t="str">
        <f t="shared" si="19"/>
        <v>test.Base64_20_</v>
      </c>
      <c r="D128">
        <v>39</v>
      </c>
      <c r="E128" s="4">
        <v>0.7722772277227723</v>
      </c>
      <c r="F128" s="4">
        <v>0.62088444157520983</v>
      </c>
      <c r="G128" s="4" t="str">
        <f t="shared" si="20"/>
        <v/>
      </c>
      <c r="H128" s="4" t="str">
        <f t="shared" si="21"/>
        <v/>
      </c>
      <c r="I128" s="4" t="str">
        <f t="shared" si="22"/>
        <v/>
      </c>
      <c r="J128" s="4">
        <f t="shared" si="23"/>
        <v>0.7722772277227723</v>
      </c>
      <c r="K128" s="4" t="str">
        <f t="shared" si="24"/>
        <v/>
      </c>
      <c r="L128" s="4" t="str">
        <f t="shared" si="25"/>
        <v/>
      </c>
      <c r="M128" s="4"/>
      <c r="N128" s="4"/>
      <c r="O128" s="4"/>
      <c r="P128" s="4"/>
      <c r="Q128" s="4"/>
      <c r="R128" s="4"/>
      <c r="S128" s="4"/>
      <c r="T128" s="4"/>
      <c r="U128" s="4"/>
    </row>
    <row r="129" spans="1:21">
      <c r="A129" t="s">
        <v>219</v>
      </c>
      <c r="B129">
        <v>20</v>
      </c>
      <c r="C129" t="str">
        <f t="shared" si="19"/>
        <v>test.Base64_20_</v>
      </c>
      <c r="D129">
        <v>40</v>
      </c>
      <c r="E129" s="4">
        <v>0.7722772277227723</v>
      </c>
      <c r="F129" s="4">
        <v>0.62298256939961261</v>
      </c>
      <c r="G129" s="4" t="str">
        <f t="shared" si="20"/>
        <v/>
      </c>
      <c r="H129" s="4" t="str">
        <f t="shared" si="21"/>
        <v/>
      </c>
      <c r="I129" s="4" t="str">
        <f t="shared" si="22"/>
        <v/>
      </c>
      <c r="J129" s="4">
        <f t="shared" si="23"/>
        <v>0.7722772277227723</v>
      </c>
      <c r="K129" s="4" t="str">
        <f t="shared" si="24"/>
        <v/>
      </c>
      <c r="L129" s="4" t="str">
        <f t="shared" si="25"/>
        <v/>
      </c>
      <c r="M129" s="4"/>
      <c r="N129" s="4"/>
      <c r="O129" s="4"/>
      <c r="P129" s="4"/>
      <c r="Q129" s="4"/>
      <c r="R129" s="4"/>
      <c r="S129" s="4"/>
      <c r="T129" s="4"/>
      <c r="U129" s="4"/>
    </row>
    <row r="130" spans="1:21">
      <c r="A130" t="s">
        <v>219</v>
      </c>
      <c r="B130">
        <v>20</v>
      </c>
      <c r="C130" t="str">
        <f t="shared" si="19"/>
        <v>test.Base64_20_</v>
      </c>
      <c r="D130">
        <v>41</v>
      </c>
      <c r="E130" s="4">
        <v>0.7722772277227723</v>
      </c>
      <c r="F130" s="4">
        <v>0.66268560361523565</v>
      </c>
      <c r="G130" s="4" t="str">
        <f t="shared" si="20"/>
        <v/>
      </c>
      <c r="H130" s="4" t="str">
        <f t="shared" si="21"/>
        <v/>
      </c>
      <c r="I130" s="4" t="str">
        <f t="shared" si="22"/>
        <v/>
      </c>
      <c r="J130" s="4">
        <f t="shared" si="23"/>
        <v>0.7722772277227723</v>
      </c>
      <c r="K130" s="4" t="str">
        <f t="shared" si="24"/>
        <v/>
      </c>
      <c r="L130" s="4" t="str">
        <f t="shared" si="25"/>
        <v/>
      </c>
      <c r="M130" s="4"/>
      <c r="N130" s="4"/>
      <c r="O130" s="4"/>
      <c r="P130" s="4"/>
      <c r="Q130" s="4"/>
      <c r="R130" s="4"/>
      <c r="S130" s="4"/>
      <c r="T130" s="4"/>
      <c r="U130" s="4"/>
    </row>
    <row r="131" spans="1:21">
      <c r="A131" t="s">
        <v>219</v>
      </c>
      <c r="B131">
        <v>20</v>
      </c>
      <c r="C131" t="str">
        <f t="shared" ref="C131:C194" si="26">CONCATENATE(A131, "_",B131,"_")</f>
        <v>test.Base64_20_</v>
      </c>
      <c r="D131">
        <v>42</v>
      </c>
      <c r="E131" s="4">
        <v>0.7722772277227723</v>
      </c>
      <c r="F131" s="4">
        <v>0.66349257585539057</v>
      </c>
      <c r="G131" s="4" t="str">
        <f t="shared" ref="G131:G194" si="27">IF($F131 &lt;= 0.2,$E131,"")</f>
        <v/>
      </c>
      <c r="H131" s="4" t="str">
        <f t="shared" ref="H131:H194" si="28">IF(AND($F131 &gt; 0.2,$F131 &lt;= 0.4),$E131,"")</f>
        <v/>
      </c>
      <c r="I131" s="4" t="str">
        <f t="shared" ref="I131:I194" si="29">IF(AND($F131 &gt; 0.4,$F131 &lt;= 0.6),$E131,"")</f>
        <v/>
      </c>
      <c r="J131" s="4">
        <f t="shared" ref="J131:J194" si="30">IF(AND($F131 &gt; 0.6,$F131 &lt;= 0.8),$E131,"")</f>
        <v>0.7722772277227723</v>
      </c>
      <c r="K131" s="4" t="str">
        <f t="shared" ref="K131:K194" si="31">IF(AND($F131 &gt; 0.8, $F131 &lt;=1.1),$E131,"")</f>
        <v/>
      </c>
      <c r="L131" s="4" t="str">
        <f t="shared" ref="L131:L194" si="32">IF(AND($F131 &gt; 1.1),$E131,"")</f>
        <v/>
      </c>
      <c r="M131" s="4"/>
      <c r="N131" s="4"/>
      <c r="O131" s="4"/>
      <c r="P131" s="4"/>
      <c r="Q131" s="4"/>
      <c r="R131" s="4"/>
      <c r="S131" s="4"/>
      <c r="T131" s="4"/>
      <c r="U131" s="4"/>
    </row>
    <row r="132" spans="1:21">
      <c r="A132" t="s">
        <v>219</v>
      </c>
      <c r="B132">
        <v>20</v>
      </c>
      <c r="C132" t="str">
        <f t="shared" si="26"/>
        <v>test.Base64_20_</v>
      </c>
      <c r="D132">
        <v>43</v>
      </c>
      <c r="E132" s="4">
        <v>0.7722772277227723</v>
      </c>
      <c r="F132" s="4">
        <v>0.68108457069076822</v>
      </c>
      <c r="G132" s="4" t="str">
        <f t="shared" si="27"/>
        <v/>
      </c>
      <c r="H132" s="4" t="str">
        <f t="shared" si="28"/>
        <v/>
      </c>
      <c r="I132" s="4" t="str">
        <f t="shared" si="29"/>
        <v/>
      </c>
      <c r="J132" s="4">
        <f t="shared" si="30"/>
        <v>0.7722772277227723</v>
      </c>
      <c r="K132" s="4" t="str">
        <f t="shared" si="31"/>
        <v/>
      </c>
      <c r="L132" s="4" t="str">
        <f t="shared" si="32"/>
        <v/>
      </c>
      <c r="M132" s="4"/>
      <c r="N132" s="4"/>
      <c r="O132" s="4"/>
      <c r="P132" s="4"/>
      <c r="Q132" s="4"/>
      <c r="R132" s="4"/>
      <c r="S132" s="4"/>
      <c r="T132" s="4"/>
      <c r="U132" s="4"/>
    </row>
    <row r="133" spans="1:21">
      <c r="A133" t="s">
        <v>219</v>
      </c>
      <c r="B133">
        <v>20</v>
      </c>
      <c r="C133" t="str">
        <f t="shared" si="26"/>
        <v>test.Base64_20_</v>
      </c>
      <c r="D133">
        <v>44</v>
      </c>
      <c r="E133" s="4">
        <v>0.7722772277227723</v>
      </c>
      <c r="F133" s="4">
        <v>0.74080051646223366</v>
      </c>
      <c r="G133" s="4" t="str">
        <f t="shared" si="27"/>
        <v/>
      </c>
      <c r="H133" s="4" t="str">
        <f t="shared" si="28"/>
        <v/>
      </c>
      <c r="I133" s="4" t="str">
        <f t="shared" si="29"/>
        <v/>
      </c>
      <c r="J133" s="4">
        <f t="shared" si="30"/>
        <v>0.7722772277227723</v>
      </c>
      <c r="K133" s="4" t="str">
        <f t="shared" si="31"/>
        <v/>
      </c>
      <c r="L133" s="4" t="str">
        <f t="shared" si="32"/>
        <v/>
      </c>
      <c r="M133" s="4"/>
      <c r="N133" s="4"/>
      <c r="O133" s="4"/>
      <c r="P133" s="4"/>
      <c r="Q133" s="4"/>
      <c r="R133" s="4"/>
      <c r="S133" s="4"/>
      <c r="T133" s="4"/>
      <c r="U133" s="4"/>
    </row>
    <row r="134" spans="1:21">
      <c r="A134" t="s">
        <v>219</v>
      </c>
      <c r="B134">
        <v>20</v>
      </c>
      <c r="C134" t="str">
        <f t="shared" si="26"/>
        <v>test.Base64_20_</v>
      </c>
      <c r="D134">
        <v>45</v>
      </c>
      <c r="E134" s="4">
        <v>0.7722772277227723</v>
      </c>
      <c r="F134" s="4">
        <v>0.75225952227243387</v>
      </c>
      <c r="G134" s="4" t="str">
        <f t="shared" si="27"/>
        <v/>
      </c>
      <c r="H134" s="4" t="str">
        <f t="shared" si="28"/>
        <v/>
      </c>
      <c r="I134" s="4" t="str">
        <f t="shared" si="29"/>
        <v/>
      </c>
      <c r="J134" s="4">
        <f t="shared" si="30"/>
        <v>0.7722772277227723</v>
      </c>
      <c r="K134" s="4" t="str">
        <f t="shared" si="31"/>
        <v/>
      </c>
      <c r="L134" s="4" t="str">
        <f t="shared" si="32"/>
        <v/>
      </c>
      <c r="M134" s="4"/>
      <c r="N134" s="4"/>
      <c r="O134" s="4"/>
      <c r="P134" s="4"/>
      <c r="Q134" s="4"/>
      <c r="R134" s="4"/>
      <c r="S134" s="4"/>
      <c r="T134" s="4"/>
      <c r="U134" s="4"/>
    </row>
    <row r="135" spans="1:21">
      <c r="A135" t="s">
        <v>220</v>
      </c>
      <c r="B135">
        <v>1</v>
      </c>
      <c r="C135" t="str">
        <f t="shared" si="26"/>
        <v>test.Class11_1_</v>
      </c>
      <c r="D135">
        <v>1</v>
      </c>
      <c r="E135" s="4">
        <v>0.57894736842105265</v>
      </c>
      <c r="F135" s="4">
        <v>0.37114072148196298</v>
      </c>
      <c r="G135" s="4" t="str">
        <f t="shared" si="27"/>
        <v/>
      </c>
      <c r="H135" s="4">
        <f t="shared" si="28"/>
        <v>0.57894736842105265</v>
      </c>
      <c r="I135" s="4" t="str">
        <f t="shared" si="29"/>
        <v/>
      </c>
      <c r="J135" s="4" t="str">
        <f t="shared" si="30"/>
        <v/>
      </c>
      <c r="K135" s="4" t="str">
        <f t="shared" si="31"/>
        <v/>
      </c>
      <c r="L135" s="4" t="str">
        <f t="shared" si="32"/>
        <v/>
      </c>
      <c r="M135" s="4"/>
      <c r="N135" s="4"/>
      <c r="O135" s="4"/>
      <c r="P135" s="4"/>
      <c r="Q135" s="4"/>
      <c r="R135" s="4"/>
      <c r="S135" s="4"/>
      <c r="T135" s="4"/>
      <c r="U135" s="4"/>
    </row>
    <row r="136" spans="1:21">
      <c r="A136" t="s">
        <v>220</v>
      </c>
      <c r="B136">
        <v>1</v>
      </c>
      <c r="C136" t="str">
        <f t="shared" si="26"/>
        <v>test.Class11_1_</v>
      </c>
      <c r="D136">
        <v>2</v>
      </c>
      <c r="E136" s="4">
        <v>0.57894736842105265</v>
      </c>
      <c r="F136" s="4">
        <v>0.37130321741956451</v>
      </c>
      <c r="G136" s="4" t="str">
        <f t="shared" si="27"/>
        <v/>
      </c>
      <c r="H136" s="4">
        <f t="shared" si="28"/>
        <v>0.57894736842105265</v>
      </c>
      <c r="I136" s="4" t="str">
        <f t="shared" si="29"/>
        <v/>
      </c>
      <c r="J136" s="4" t="str">
        <f t="shared" si="30"/>
        <v/>
      </c>
      <c r="K136" s="4" t="str">
        <f t="shared" si="31"/>
        <v/>
      </c>
      <c r="L136" s="4" t="str">
        <f t="shared" si="32"/>
        <v/>
      </c>
      <c r="M136" s="4"/>
      <c r="N136" s="4"/>
      <c r="O136" s="4"/>
      <c r="P136" s="4"/>
      <c r="Q136" s="4"/>
      <c r="R136" s="4"/>
      <c r="S136" s="4"/>
      <c r="T136" s="4"/>
      <c r="U136" s="4"/>
    </row>
    <row r="137" spans="1:21">
      <c r="A137" t="s">
        <v>220</v>
      </c>
      <c r="B137">
        <v>1</v>
      </c>
      <c r="C137" t="str">
        <f t="shared" si="26"/>
        <v>test.Class11_1_</v>
      </c>
      <c r="D137">
        <v>3</v>
      </c>
      <c r="E137" s="4">
        <v>0.57894736842105265</v>
      </c>
      <c r="F137" s="4">
        <v>0.37146571335716605</v>
      </c>
      <c r="G137" s="4" t="str">
        <f t="shared" si="27"/>
        <v/>
      </c>
      <c r="H137" s="4">
        <f t="shared" si="28"/>
        <v>0.57894736842105265</v>
      </c>
      <c r="I137" s="4" t="str">
        <f t="shared" si="29"/>
        <v/>
      </c>
      <c r="J137" s="4" t="str">
        <f t="shared" si="30"/>
        <v/>
      </c>
      <c r="K137" s="4" t="str">
        <f t="shared" si="31"/>
        <v/>
      </c>
      <c r="L137" s="4" t="str">
        <f t="shared" si="32"/>
        <v/>
      </c>
      <c r="M137" s="4"/>
      <c r="N137" s="4"/>
      <c r="O137" s="4"/>
      <c r="P137" s="4"/>
      <c r="Q137" s="4"/>
      <c r="R137" s="4"/>
      <c r="S137" s="4"/>
      <c r="T137" s="4"/>
      <c r="U137" s="4"/>
    </row>
    <row r="138" spans="1:21">
      <c r="A138" t="s">
        <v>220</v>
      </c>
      <c r="B138">
        <v>1</v>
      </c>
      <c r="C138" t="str">
        <f t="shared" si="26"/>
        <v>test.Class11_1_</v>
      </c>
      <c r="D138">
        <v>4</v>
      </c>
      <c r="E138" s="4">
        <v>0.63157894736842102</v>
      </c>
      <c r="F138" s="4">
        <v>0.4506012349691258</v>
      </c>
      <c r="G138" s="4" t="str">
        <f t="shared" si="27"/>
        <v/>
      </c>
      <c r="H138" s="4" t="str">
        <f t="shared" si="28"/>
        <v/>
      </c>
      <c r="I138" s="4">
        <f t="shared" si="29"/>
        <v>0.63157894736842102</v>
      </c>
      <c r="J138" s="4" t="str">
        <f t="shared" si="30"/>
        <v/>
      </c>
      <c r="K138" s="4" t="str">
        <f t="shared" si="31"/>
        <v/>
      </c>
      <c r="L138" s="4" t="str">
        <f t="shared" si="32"/>
        <v/>
      </c>
      <c r="M138" s="4"/>
      <c r="N138" s="4"/>
      <c r="O138" s="4"/>
      <c r="P138" s="4"/>
      <c r="Q138" s="4"/>
      <c r="R138" s="4"/>
      <c r="S138" s="4"/>
      <c r="T138" s="4"/>
      <c r="U138" s="4"/>
    </row>
    <row r="139" spans="1:21">
      <c r="A139" t="s">
        <v>220</v>
      </c>
      <c r="B139">
        <v>1</v>
      </c>
      <c r="C139" t="str">
        <f t="shared" si="26"/>
        <v>test.Class11_1_</v>
      </c>
      <c r="D139">
        <v>5</v>
      </c>
      <c r="E139" s="4">
        <v>0.89473684210526316</v>
      </c>
      <c r="F139" s="4">
        <v>0.65323366915827108</v>
      </c>
      <c r="G139" s="4" t="str">
        <f t="shared" si="27"/>
        <v/>
      </c>
      <c r="H139" s="4" t="str">
        <f t="shared" si="28"/>
        <v/>
      </c>
      <c r="I139" s="4" t="str">
        <f t="shared" si="29"/>
        <v/>
      </c>
      <c r="J139" s="4">
        <f t="shared" si="30"/>
        <v>0.89473684210526316</v>
      </c>
      <c r="K139" s="4" t="str">
        <f t="shared" si="31"/>
        <v/>
      </c>
      <c r="L139" s="4" t="str">
        <f t="shared" si="32"/>
        <v/>
      </c>
      <c r="M139" s="4"/>
      <c r="N139" s="4"/>
      <c r="O139" s="4"/>
      <c r="P139" s="4"/>
      <c r="Q139" s="4"/>
      <c r="R139" s="4"/>
      <c r="S139" s="4"/>
      <c r="T139" s="4"/>
      <c r="U139" s="4"/>
    </row>
    <row r="140" spans="1:21">
      <c r="A140" t="s">
        <v>220</v>
      </c>
      <c r="B140">
        <v>6</v>
      </c>
      <c r="C140" t="str">
        <f t="shared" si="26"/>
        <v>test.Class11_6_</v>
      </c>
      <c r="D140">
        <v>1</v>
      </c>
      <c r="E140" s="4">
        <v>4.4642857142857144E-2</v>
      </c>
      <c r="F140" s="4">
        <v>5.0303555941023419E-2</v>
      </c>
      <c r="G140" s="4">
        <f t="shared" si="27"/>
        <v>4.4642857142857144E-2</v>
      </c>
      <c r="H140" s="4" t="str">
        <f t="shared" si="28"/>
        <v/>
      </c>
      <c r="I140" s="4" t="str">
        <f t="shared" si="29"/>
        <v/>
      </c>
      <c r="J140" s="4" t="str">
        <f t="shared" si="30"/>
        <v/>
      </c>
      <c r="K140" s="4" t="str">
        <f t="shared" si="31"/>
        <v/>
      </c>
      <c r="L140" s="4" t="str">
        <f t="shared" si="32"/>
        <v/>
      </c>
      <c r="M140" s="4"/>
      <c r="N140" s="4"/>
      <c r="O140" s="4"/>
      <c r="P140" s="4"/>
      <c r="Q140" s="4"/>
      <c r="R140" s="4"/>
      <c r="S140" s="4"/>
      <c r="T140" s="4"/>
      <c r="U140" s="4"/>
    </row>
    <row r="141" spans="1:21">
      <c r="A141" t="s">
        <v>220</v>
      </c>
      <c r="B141">
        <v>6</v>
      </c>
      <c r="C141" t="str">
        <f t="shared" si="26"/>
        <v>test.Class11_6_</v>
      </c>
      <c r="D141">
        <v>2</v>
      </c>
      <c r="E141" s="4">
        <v>0.5</v>
      </c>
      <c r="F141" s="4">
        <v>0.51539462272333048</v>
      </c>
      <c r="G141" s="4" t="str">
        <f t="shared" si="27"/>
        <v/>
      </c>
      <c r="H141" s="4" t="str">
        <f t="shared" si="28"/>
        <v/>
      </c>
      <c r="I141" s="4">
        <f t="shared" si="29"/>
        <v>0.5</v>
      </c>
      <c r="J141" s="4" t="str">
        <f t="shared" si="30"/>
        <v/>
      </c>
      <c r="K141" s="4" t="str">
        <f t="shared" si="31"/>
        <v/>
      </c>
      <c r="L141" s="4" t="str">
        <f t="shared" si="32"/>
        <v/>
      </c>
      <c r="M141" s="4"/>
      <c r="N141" s="4"/>
      <c r="O141" s="4"/>
      <c r="P141" s="4"/>
      <c r="Q141" s="4"/>
      <c r="R141" s="4"/>
      <c r="S141" s="4"/>
      <c r="T141" s="4"/>
      <c r="U141" s="4"/>
    </row>
    <row r="142" spans="1:21">
      <c r="A142" t="s">
        <v>220</v>
      </c>
      <c r="B142">
        <v>6</v>
      </c>
      <c r="C142" t="str">
        <f t="shared" si="26"/>
        <v>test.Class11_6_</v>
      </c>
      <c r="D142">
        <v>3</v>
      </c>
      <c r="E142" s="4">
        <v>1</v>
      </c>
      <c r="F142" s="4">
        <v>1.0075888985255854</v>
      </c>
      <c r="G142" s="4" t="str">
        <f t="shared" si="27"/>
        <v/>
      </c>
      <c r="H142" s="4" t="str">
        <f t="shared" si="28"/>
        <v/>
      </c>
      <c r="I142" s="4" t="str">
        <f t="shared" si="29"/>
        <v/>
      </c>
      <c r="J142" s="4" t="str">
        <f t="shared" si="30"/>
        <v/>
      </c>
      <c r="K142" s="4">
        <f t="shared" si="31"/>
        <v>1</v>
      </c>
      <c r="L142" s="4" t="str">
        <f t="shared" si="32"/>
        <v/>
      </c>
      <c r="M142" s="4"/>
      <c r="N142" s="4"/>
      <c r="O142" s="4"/>
      <c r="P142" s="4"/>
      <c r="Q142" s="4"/>
      <c r="R142" s="4"/>
      <c r="S142" s="4"/>
      <c r="T142" s="4"/>
      <c r="U142" s="4"/>
    </row>
    <row r="143" spans="1:21">
      <c r="A143" t="s">
        <v>225</v>
      </c>
      <c r="B143">
        <v>3</v>
      </c>
      <c r="C143" t="str">
        <f t="shared" si="26"/>
        <v>test.ImageData_3_</v>
      </c>
      <c r="D143">
        <v>1</v>
      </c>
      <c r="E143" s="4">
        <v>0.10857142857142857</v>
      </c>
      <c r="F143" s="4">
        <v>6.6954826680227134E-2</v>
      </c>
      <c r="G143" s="4">
        <f t="shared" si="27"/>
        <v>0.10857142857142857</v>
      </c>
      <c r="H143" s="4" t="str">
        <f t="shared" si="28"/>
        <v/>
      </c>
      <c r="I143" s="4" t="str">
        <f t="shared" si="29"/>
        <v/>
      </c>
      <c r="J143" s="4" t="str">
        <f t="shared" si="30"/>
        <v/>
      </c>
      <c r="K143" s="4" t="str">
        <f t="shared" si="31"/>
        <v/>
      </c>
      <c r="L143" s="4" t="str">
        <f t="shared" si="32"/>
        <v/>
      </c>
      <c r="M143" s="4"/>
      <c r="N143" s="4"/>
      <c r="O143" s="4"/>
      <c r="P143" s="4"/>
      <c r="Q143" s="4"/>
      <c r="R143" s="4"/>
      <c r="S143" s="4"/>
      <c r="T143" s="4"/>
      <c r="U143" s="4"/>
    </row>
    <row r="144" spans="1:21">
      <c r="A144" t="s">
        <v>225</v>
      </c>
      <c r="B144">
        <v>3</v>
      </c>
      <c r="C144" t="str">
        <f t="shared" si="26"/>
        <v>test.ImageData_3_</v>
      </c>
      <c r="D144">
        <v>2</v>
      </c>
      <c r="E144" s="4">
        <v>0.16</v>
      </c>
      <c r="F144" s="4">
        <v>0.16230188999067718</v>
      </c>
      <c r="G144" s="4">
        <f t="shared" si="27"/>
        <v>0.16</v>
      </c>
      <c r="H144" s="4" t="str">
        <f t="shared" si="28"/>
        <v/>
      </c>
      <c r="I144" s="4" t="str">
        <f t="shared" si="29"/>
        <v/>
      </c>
      <c r="J144" s="4" t="str">
        <f t="shared" si="30"/>
        <v/>
      </c>
      <c r="K144" s="4" t="str">
        <f t="shared" si="31"/>
        <v/>
      </c>
      <c r="L144" s="4" t="str">
        <f t="shared" si="32"/>
        <v/>
      </c>
      <c r="M144" s="4"/>
      <c r="N144" s="4"/>
      <c r="O144" s="4"/>
      <c r="P144" s="4"/>
      <c r="Q144" s="4"/>
      <c r="R144" s="4"/>
      <c r="S144" s="4"/>
      <c r="T144" s="4"/>
      <c r="U144" s="4"/>
    </row>
    <row r="145" spans="1:21">
      <c r="A145" t="s">
        <v>225</v>
      </c>
      <c r="B145">
        <v>3</v>
      </c>
      <c r="C145" t="str">
        <f t="shared" si="26"/>
        <v>test.ImageData_3_</v>
      </c>
      <c r="D145">
        <v>3</v>
      </c>
      <c r="E145" s="4">
        <v>0.30857142857142855</v>
      </c>
      <c r="F145" s="4">
        <v>0.19010085600474616</v>
      </c>
      <c r="G145" s="4">
        <f t="shared" si="27"/>
        <v>0.30857142857142855</v>
      </c>
      <c r="H145" s="4" t="str">
        <f t="shared" si="28"/>
        <v/>
      </c>
      <c r="I145" s="4" t="str">
        <f t="shared" si="29"/>
        <v/>
      </c>
      <c r="J145" s="4" t="str">
        <f t="shared" si="30"/>
        <v/>
      </c>
      <c r="K145" s="4" t="str">
        <f t="shared" si="31"/>
        <v/>
      </c>
      <c r="L145" s="4" t="str">
        <f t="shared" si="32"/>
        <v/>
      </c>
      <c r="M145" s="4"/>
      <c r="N145" s="4"/>
      <c r="O145" s="4"/>
      <c r="P145" s="4"/>
      <c r="Q145" s="4"/>
      <c r="R145" s="4"/>
      <c r="S145" s="4"/>
      <c r="T145" s="4"/>
      <c r="U145" s="4"/>
    </row>
    <row r="146" spans="1:21">
      <c r="A146" t="s">
        <v>225</v>
      </c>
      <c r="B146">
        <v>3</v>
      </c>
      <c r="C146" t="str">
        <f t="shared" si="26"/>
        <v>test.ImageData_3_</v>
      </c>
      <c r="D146">
        <v>4</v>
      </c>
      <c r="E146" s="4">
        <v>0.45714285714285713</v>
      </c>
      <c r="F146" s="4">
        <v>0.20128824476650564</v>
      </c>
      <c r="G146" s="4" t="str">
        <f t="shared" si="27"/>
        <v/>
      </c>
      <c r="H146" s="4">
        <f t="shared" si="28"/>
        <v>0.45714285714285713</v>
      </c>
      <c r="I146" s="4" t="str">
        <f t="shared" si="29"/>
        <v/>
      </c>
      <c r="J146" s="4" t="str">
        <f t="shared" si="30"/>
        <v/>
      </c>
      <c r="K146" s="4" t="str">
        <f t="shared" si="31"/>
        <v/>
      </c>
      <c r="L146" s="4" t="str">
        <f t="shared" si="32"/>
        <v/>
      </c>
      <c r="M146" s="4"/>
      <c r="N146" s="4"/>
      <c r="O146" s="4"/>
      <c r="P146" s="4"/>
      <c r="Q146" s="4"/>
      <c r="R146" s="4"/>
      <c r="S146" s="4"/>
      <c r="T146" s="4"/>
      <c r="U146" s="4"/>
    </row>
    <row r="147" spans="1:21">
      <c r="A147" t="s">
        <v>225</v>
      </c>
      <c r="B147">
        <v>3</v>
      </c>
      <c r="C147" t="str">
        <f t="shared" si="26"/>
        <v>test.ImageData_3_</v>
      </c>
      <c r="D147">
        <v>5</v>
      </c>
      <c r="E147" s="4">
        <v>0.50857142857142856</v>
      </c>
      <c r="F147" s="4">
        <v>0.205441139079583</v>
      </c>
      <c r="G147" s="4" t="str">
        <f t="shared" si="27"/>
        <v/>
      </c>
      <c r="H147" s="4">
        <f t="shared" si="28"/>
        <v>0.50857142857142856</v>
      </c>
      <c r="I147" s="4" t="str">
        <f t="shared" si="29"/>
        <v/>
      </c>
      <c r="J147" s="4" t="str">
        <f t="shared" si="30"/>
        <v/>
      </c>
      <c r="K147" s="4" t="str">
        <f t="shared" si="31"/>
        <v/>
      </c>
      <c r="L147" s="4" t="str">
        <f t="shared" si="32"/>
        <v/>
      </c>
      <c r="M147" s="4"/>
      <c r="N147" s="4"/>
      <c r="O147" s="4"/>
      <c r="P147" s="4"/>
      <c r="Q147" s="4"/>
      <c r="R147" s="4"/>
      <c r="S147" s="4"/>
      <c r="T147" s="4"/>
      <c r="U147" s="4"/>
    </row>
    <row r="148" spans="1:21">
      <c r="A148" t="s">
        <v>225</v>
      </c>
      <c r="B148">
        <v>3</v>
      </c>
      <c r="C148" t="str">
        <f t="shared" si="26"/>
        <v>test.ImageData_3_</v>
      </c>
      <c r="D148">
        <v>6</v>
      </c>
      <c r="E148" s="4">
        <v>0.56000000000000005</v>
      </c>
      <c r="F148" s="4">
        <v>0.21730655140266125</v>
      </c>
      <c r="G148" s="4" t="str">
        <f t="shared" si="27"/>
        <v/>
      </c>
      <c r="H148" s="4">
        <f t="shared" si="28"/>
        <v>0.56000000000000005</v>
      </c>
      <c r="I148" s="4" t="str">
        <f t="shared" si="29"/>
        <v/>
      </c>
      <c r="J148" s="4" t="str">
        <f t="shared" si="30"/>
        <v/>
      </c>
      <c r="K148" s="4" t="str">
        <f t="shared" si="31"/>
        <v/>
      </c>
      <c r="L148" s="4" t="str">
        <f t="shared" si="32"/>
        <v/>
      </c>
      <c r="M148" s="4"/>
      <c r="N148" s="4"/>
      <c r="O148" s="4"/>
      <c r="P148" s="4"/>
      <c r="Q148" s="4"/>
      <c r="R148" s="4"/>
      <c r="S148" s="4"/>
      <c r="T148" s="4"/>
      <c r="U148" s="4"/>
    </row>
    <row r="149" spans="1:21">
      <c r="A149" t="s">
        <v>225</v>
      </c>
      <c r="B149">
        <v>3</v>
      </c>
      <c r="C149" t="str">
        <f t="shared" si="26"/>
        <v>test.ImageData_3_</v>
      </c>
      <c r="D149">
        <v>7</v>
      </c>
      <c r="E149" s="4">
        <v>0.8</v>
      </c>
      <c r="F149" s="4">
        <v>0.26697177726926008</v>
      </c>
      <c r="G149" s="4" t="str">
        <f t="shared" si="27"/>
        <v/>
      </c>
      <c r="H149" s="4">
        <f t="shared" si="28"/>
        <v>0.8</v>
      </c>
      <c r="I149" s="4" t="str">
        <f t="shared" si="29"/>
        <v/>
      </c>
      <c r="J149" s="4" t="str">
        <f t="shared" si="30"/>
        <v/>
      </c>
      <c r="K149" s="4" t="str">
        <f t="shared" si="31"/>
        <v/>
      </c>
      <c r="L149" s="4" t="str">
        <f t="shared" si="32"/>
        <v/>
      </c>
      <c r="M149" s="4"/>
      <c r="N149" s="4"/>
      <c r="O149" s="4"/>
      <c r="P149" s="4"/>
      <c r="Q149" s="4"/>
      <c r="R149" s="4"/>
      <c r="S149" s="4"/>
      <c r="T149" s="4"/>
      <c r="U149" s="4"/>
    </row>
    <row r="150" spans="1:21">
      <c r="A150" t="s">
        <v>225</v>
      </c>
      <c r="B150">
        <v>3</v>
      </c>
      <c r="C150" t="str">
        <f t="shared" si="26"/>
        <v>test.ImageData_3_</v>
      </c>
      <c r="D150">
        <v>8</v>
      </c>
      <c r="E150" s="4">
        <v>0.88571428571428568</v>
      </c>
      <c r="F150" s="4">
        <v>0.30638189677091276</v>
      </c>
      <c r="G150" s="4" t="str">
        <f t="shared" si="27"/>
        <v/>
      </c>
      <c r="H150" s="4">
        <f t="shared" si="28"/>
        <v>0.88571428571428568</v>
      </c>
      <c r="I150" s="4" t="str">
        <f t="shared" si="29"/>
        <v/>
      </c>
      <c r="J150" s="4" t="str">
        <f t="shared" si="30"/>
        <v/>
      </c>
      <c r="K150" s="4" t="str">
        <f t="shared" si="31"/>
        <v/>
      </c>
      <c r="L150" s="4" t="str">
        <f t="shared" si="32"/>
        <v/>
      </c>
      <c r="M150" s="4"/>
      <c r="N150" s="4"/>
      <c r="O150" s="4"/>
      <c r="P150" s="4"/>
      <c r="Q150" s="4"/>
      <c r="R150" s="4"/>
      <c r="S150" s="4"/>
      <c r="T150" s="4"/>
      <c r="U150" s="4"/>
    </row>
    <row r="151" spans="1:21">
      <c r="A151" t="s">
        <v>225</v>
      </c>
      <c r="B151">
        <v>3</v>
      </c>
      <c r="C151" t="str">
        <f t="shared" si="26"/>
        <v>test.ImageData_3_</v>
      </c>
      <c r="D151">
        <v>9</v>
      </c>
      <c r="E151" s="4">
        <v>1</v>
      </c>
      <c r="F151" s="4">
        <v>0.53487583693533347</v>
      </c>
      <c r="G151" s="4" t="str">
        <f t="shared" si="27"/>
        <v/>
      </c>
      <c r="H151" s="4" t="str">
        <f t="shared" si="28"/>
        <v/>
      </c>
      <c r="I151" s="4">
        <f t="shared" si="29"/>
        <v>1</v>
      </c>
      <c r="J151" s="4" t="str">
        <f t="shared" si="30"/>
        <v/>
      </c>
      <c r="K151" s="4" t="str">
        <f t="shared" si="31"/>
        <v/>
      </c>
      <c r="L151" s="4" t="str">
        <f t="shared" si="32"/>
        <v/>
      </c>
      <c r="M151" s="4"/>
      <c r="N151" s="4"/>
      <c r="O151" s="4"/>
      <c r="P151" s="4"/>
      <c r="Q151" s="4"/>
      <c r="R151" s="4"/>
      <c r="S151" s="4"/>
      <c r="T151" s="4"/>
      <c r="U151" s="4"/>
    </row>
    <row r="152" spans="1:21">
      <c r="A152" t="s">
        <v>225</v>
      </c>
      <c r="B152">
        <v>4</v>
      </c>
      <c r="C152" t="str">
        <f t="shared" si="26"/>
        <v>test.ImageData_4_</v>
      </c>
      <c r="D152">
        <v>1</v>
      </c>
      <c r="E152" s="4">
        <v>6.985294117647059E-2</v>
      </c>
      <c r="F152" s="4">
        <v>2.4785104638094947E-2</v>
      </c>
      <c r="G152" s="4">
        <f t="shared" si="27"/>
        <v>6.985294117647059E-2</v>
      </c>
      <c r="H152" s="4" t="str">
        <f t="shared" si="28"/>
        <v/>
      </c>
      <c r="I152" s="4" t="str">
        <f t="shared" si="29"/>
        <v/>
      </c>
      <c r="J152" s="4" t="str">
        <f t="shared" si="30"/>
        <v/>
      </c>
      <c r="K152" s="4" t="str">
        <f t="shared" si="31"/>
        <v/>
      </c>
      <c r="L152" s="4" t="str">
        <f t="shared" si="32"/>
        <v/>
      </c>
      <c r="M152" s="4"/>
      <c r="N152" s="4"/>
      <c r="O152" s="4"/>
      <c r="P152" s="4"/>
      <c r="Q152" s="4"/>
      <c r="R152" s="4"/>
      <c r="S152" s="4"/>
      <c r="T152" s="4"/>
      <c r="U152" s="4"/>
    </row>
    <row r="153" spans="1:21">
      <c r="A153" t="s">
        <v>225</v>
      </c>
      <c r="B153">
        <v>4</v>
      </c>
      <c r="C153" t="str">
        <f t="shared" si="26"/>
        <v>test.ImageData_4_</v>
      </c>
      <c r="D153">
        <v>2</v>
      </c>
      <c r="E153" s="4">
        <v>0.11397058823529412</v>
      </c>
      <c r="F153" s="4">
        <v>4.531786289220302E-2</v>
      </c>
      <c r="G153" s="4">
        <f t="shared" si="27"/>
        <v>0.11397058823529412</v>
      </c>
      <c r="H153" s="4" t="str">
        <f t="shared" si="28"/>
        <v/>
      </c>
      <c r="I153" s="4" t="str">
        <f t="shared" si="29"/>
        <v/>
      </c>
      <c r="J153" s="4" t="str">
        <f t="shared" si="30"/>
        <v/>
      </c>
      <c r="K153" s="4" t="str">
        <f t="shared" si="31"/>
        <v/>
      </c>
      <c r="L153" s="4" t="str">
        <f t="shared" si="32"/>
        <v/>
      </c>
      <c r="M153" s="4"/>
      <c r="N153" s="4"/>
      <c r="O153" s="4"/>
      <c r="P153" s="4"/>
      <c r="Q153" s="4"/>
      <c r="R153" s="4"/>
      <c r="S153" s="4"/>
      <c r="T153" s="4"/>
      <c r="U153" s="4"/>
    </row>
    <row r="154" spans="1:21">
      <c r="A154" t="s">
        <v>225</v>
      </c>
      <c r="B154">
        <v>4</v>
      </c>
      <c r="C154" t="str">
        <f t="shared" si="26"/>
        <v>test.ImageData_4_</v>
      </c>
      <c r="D154">
        <v>3</v>
      </c>
      <c r="E154" s="4">
        <v>0.24264705882352941</v>
      </c>
      <c r="F154" s="4">
        <v>7.8668408103757248E-2</v>
      </c>
      <c r="G154" s="4">
        <f t="shared" si="27"/>
        <v>0.24264705882352941</v>
      </c>
      <c r="H154" s="4" t="str">
        <f t="shared" si="28"/>
        <v/>
      </c>
      <c r="I154" s="4" t="str">
        <f t="shared" si="29"/>
        <v/>
      </c>
      <c r="J154" s="4" t="str">
        <f t="shared" si="30"/>
        <v/>
      </c>
      <c r="K154" s="4" t="str">
        <f t="shared" si="31"/>
        <v/>
      </c>
      <c r="L154" s="4" t="str">
        <f t="shared" si="32"/>
        <v/>
      </c>
      <c r="M154" s="4"/>
      <c r="N154" s="4"/>
      <c r="O154" s="4"/>
      <c r="P154" s="4"/>
      <c r="Q154" s="4"/>
      <c r="R154" s="4"/>
      <c r="S154" s="4"/>
      <c r="T154" s="4"/>
      <c r="U154" s="4"/>
    </row>
    <row r="155" spans="1:21">
      <c r="A155" t="s">
        <v>225</v>
      </c>
      <c r="B155">
        <v>4</v>
      </c>
      <c r="C155" t="str">
        <f t="shared" si="26"/>
        <v>test.ImageData_4_</v>
      </c>
      <c r="D155">
        <v>4</v>
      </c>
      <c r="E155" s="4">
        <v>0.37132352941176472</v>
      </c>
      <c r="F155" s="4">
        <v>8.2920754487744136E-2</v>
      </c>
      <c r="G155" s="4">
        <f t="shared" si="27"/>
        <v>0.37132352941176472</v>
      </c>
      <c r="H155" s="4" t="str">
        <f t="shared" si="28"/>
        <v/>
      </c>
      <c r="I155" s="4" t="str">
        <f t="shared" si="29"/>
        <v/>
      </c>
      <c r="J155" s="4" t="str">
        <f t="shared" si="30"/>
        <v/>
      </c>
      <c r="K155" s="4" t="str">
        <f t="shared" si="31"/>
        <v/>
      </c>
      <c r="L155" s="4" t="str">
        <f t="shared" si="32"/>
        <v/>
      </c>
      <c r="M155" s="4"/>
      <c r="N155" s="4"/>
      <c r="O155" s="4"/>
      <c r="P155" s="4"/>
      <c r="Q155" s="4"/>
      <c r="R155" s="4"/>
      <c r="S155" s="4"/>
      <c r="T155" s="4"/>
      <c r="U155" s="4"/>
    </row>
    <row r="156" spans="1:21">
      <c r="A156" t="s">
        <v>225</v>
      </c>
      <c r="B156">
        <v>4</v>
      </c>
      <c r="C156" t="str">
        <f t="shared" si="26"/>
        <v>test.ImageData_4_</v>
      </c>
      <c r="D156">
        <v>5</v>
      </c>
      <c r="E156" s="4">
        <v>0.51470588235294112</v>
      </c>
      <c r="F156" s="4">
        <v>9.6832001943929782E-2</v>
      </c>
      <c r="G156" s="4">
        <f t="shared" si="27"/>
        <v>0.51470588235294112</v>
      </c>
      <c r="H156" s="4" t="str">
        <f t="shared" si="28"/>
        <v/>
      </c>
      <c r="I156" s="4" t="str">
        <f t="shared" si="29"/>
        <v/>
      </c>
      <c r="J156" s="4" t="str">
        <f t="shared" si="30"/>
        <v/>
      </c>
      <c r="K156" s="4" t="str">
        <f t="shared" si="31"/>
        <v/>
      </c>
      <c r="L156" s="4" t="str">
        <f t="shared" si="32"/>
        <v/>
      </c>
      <c r="M156" s="4"/>
      <c r="N156" s="4"/>
      <c r="O156" s="4"/>
      <c r="P156" s="4"/>
      <c r="Q156" s="4"/>
      <c r="R156" s="4"/>
      <c r="S156" s="4"/>
      <c r="T156" s="4"/>
      <c r="U156" s="4"/>
    </row>
    <row r="157" spans="1:21">
      <c r="A157" t="s">
        <v>225</v>
      </c>
      <c r="B157">
        <v>4</v>
      </c>
      <c r="C157" t="str">
        <f t="shared" si="26"/>
        <v>test.ImageData_4_</v>
      </c>
      <c r="D157">
        <v>6</v>
      </c>
      <c r="E157" s="4">
        <v>0.56617647058823528</v>
      </c>
      <c r="F157" s="4">
        <v>0.1118367098988549</v>
      </c>
      <c r="G157" s="4">
        <f t="shared" si="27"/>
        <v>0.56617647058823528</v>
      </c>
      <c r="H157" s="4" t="str">
        <f t="shared" si="28"/>
        <v/>
      </c>
      <c r="I157" s="4" t="str">
        <f t="shared" si="29"/>
        <v/>
      </c>
      <c r="J157" s="4" t="str">
        <f t="shared" si="30"/>
        <v/>
      </c>
      <c r="K157" s="4" t="str">
        <f t="shared" si="31"/>
        <v/>
      </c>
      <c r="L157" s="4" t="str">
        <f t="shared" si="32"/>
        <v/>
      </c>
      <c r="M157" s="4"/>
      <c r="N157" s="4"/>
      <c r="O157" s="4"/>
      <c r="P157" s="4"/>
      <c r="Q157" s="4"/>
      <c r="R157" s="4"/>
      <c r="S157" s="4"/>
      <c r="T157" s="4"/>
      <c r="U157" s="4"/>
    </row>
    <row r="158" spans="1:21">
      <c r="A158" t="s">
        <v>225</v>
      </c>
      <c r="B158">
        <v>4</v>
      </c>
      <c r="C158" t="str">
        <f t="shared" si="26"/>
        <v>test.ImageData_4_</v>
      </c>
      <c r="D158">
        <v>7</v>
      </c>
      <c r="E158" s="4">
        <v>0.64338235294117652</v>
      </c>
      <c r="F158" s="4">
        <v>0.19317802144397533</v>
      </c>
      <c r="G158" s="4">
        <f t="shared" si="27"/>
        <v>0.64338235294117652</v>
      </c>
      <c r="H158" s="4" t="str">
        <f t="shared" si="28"/>
        <v/>
      </c>
      <c r="I158" s="4" t="str">
        <f t="shared" si="29"/>
        <v/>
      </c>
      <c r="J158" s="4" t="str">
        <f t="shared" si="30"/>
        <v/>
      </c>
      <c r="K158" s="4" t="str">
        <f t="shared" si="31"/>
        <v/>
      </c>
      <c r="L158" s="4" t="str">
        <f t="shared" si="32"/>
        <v/>
      </c>
      <c r="M158" s="4"/>
      <c r="N158" s="4"/>
      <c r="O158" s="4"/>
      <c r="P158" s="4"/>
      <c r="Q158" s="4"/>
      <c r="R158" s="4"/>
      <c r="S158" s="4"/>
      <c r="T158" s="4"/>
      <c r="U158" s="4"/>
    </row>
    <row r="159" spans="1:21">
      <c r="A159" s="9" t="s">
        <v>225</v>
      </c>
      <c r="B159" s="9">
        <v>4</v>
      </c>
      <c r="C159" t="str">
        <f t="shared" si="26"/>
        <v>test.ImageData_4_</v>
      </c>
      <c r="D159" s="9">
        <v>8</v>
      </c>
      <c r="E159" s="4">
        <v>0.74264705882352944</v>
      </c>
      <c r="F159" s="4">
        <v>0.22136500318925978</v>
      </c>
      <c r="G159" s="4" t="str">
        <f t="shared" si="27"/>
        <v/>
      </c>
      <c r="H159" s="4">
        <f t="shared" si="28"/>
        <v>0.74264705882352944</v>
      </c>
      <c r="I159" s="4" t="str">
        <f t="shared" si="29"/>
        <v/>
      </c>
      <c r="J159" s="4" t="str">
        <f t="shared" si="30"/>
        <v/>
      </c>
      <c r="K159" s="4" t="str">
        <f t="shared" si="31"/>
        <v/>
      </c>
      <c r="L159" s="4" t="str">
        <f t="shared" si="32"/>
        <v/>
      </c>
      <c r="M159" s="4"/>
      <c r="N159" s="4"/>
      <c r="O159" s="4"/>
      <c r="P159" s="4"/>
      <c r="Q159" s="4"/>
      <c r="R159" s="4"/>
      <c r="S159" s="4"/>
      <c r="T159" s="4"/>
      <c r="U159" s="4"/>
    </row>
    <row r="160" spans="1:21">
      <c r="A160" t="s">
        <v>225</v>
      </c>
      <c r="B160">
        <v>4</v>
      </c>
      <c r="C160" t="str">
        <f t="shared" si="26"/>
        <v>test.ImageData_4_</v>
      </c>
      <c r="D160">
        <v>9</v>
      </c>
      <c r="E160" s="4">
        <v>0.86029411764705888</v>
      </c>
      <c r="F160" s="4">
        <v>0.23600522431127174</v>
      </c>
      <c r="G160" s="4" t="str">
        <f t="shared" si="27"/>
        <v/>
      </c>
      <c r="H160" s="4">
        <f t="shared" si="28"/>
        <v>0.86029411764705888</v>
      </c>
      <c r="I160" s="4" t="str">
        <f t="shared" si="29"/>
        <v/>
      </c>
      <c r="J160" s="4" t="str">
        <f t="shared" si="30"/>
        <v/>
      </c>
      <c r="K160" s="4" t="str">
        <f t="shared" si="31"/>
        <v/>
      </c>
      <c r="L160" s="4" t="str">
        <f t="shared" si="32"/>
        <v/>
      </c>
      <c r="M160" s="4"/>
      <c r="N160" s="4"/>
      <c r="O160" s="4"/>
      <c r="P160" s="4"/>
      <c r="Q160" s="4"/>
      <c r="R160" s="4"/>
      <c r="S160" s="4"/>
      <c r="T160" s="4"/>
      <c r="U160" s="4"/>
    </row>
    <row r="161" spans="1:21">
      <c r="A161" t="s">
        <v>225</v>
      </c>
      <c r="B161">
        <v>4</v>
      </c>
      <c r="C161" t="str">
        <f t="shared" si="26"/>
        <v>test.ImageData_4_</v>
      </c>
      <c r="D161">
        <v>10</v>
      </c>
      <c r="E161" s="4">
        <v>1</v>
      </c>
      <c r="F161" s="4">
        <v>0.26467818850044045</v>
      </c>
      <c r="G161" s="4" t="str">
        <f t="shared" si="27"/>
        <v/>
      </c>
      <c r="H161" s="4">
        <f t="shared" si="28"/>
        <v>1</v>
      </c>
      <c r="I161" s="4" t="str">
        <f t="shared" si="29"/>
        <v/>
      </c>
      <c r="J161" s="4" t="str">
        <f t="shared" si="30"/>
        <v/>
      </c>
      <c r="K161" s="4" t="str">
        <f t="shared" si="31"/>
        <v/>
      </c>
      <c r="L161" s="4" t="str">
        <f t="shared" si="32"/>
        <v/>
      </c>
      <c r="M161" s="4"/>
      <c r="N161" s="4"/>
      <c r="O161" s="4"/>
      <c r="P161" s="4"/>
      <c r="Q161" s="4"/>
      <c r="R161" s="4"/>
      <c r="S161" s="4"/>
      <c r="T161" s="4"/>
      <c r="U161" s="4"/>
    </row>
    <row r="162" spans="1:21">
      <c r="A162" t="s">
        <v>225</v>
      </c>
      <c r="B162">
        <v>8</v>
      </c>
      <c r="C162" t="str">
        <f t="shared" si="26"/>
        <v>test.ImageData_8_</v>
      </c>
      <c r="D162">
        <v>1</v>
      </c>
      <c r="E162" s="4">
        <v>0.11728395061728394</v>
      </c>
      <c r="F162" s="4">
        <v>5.9995257291913684E-2</v>
      </c>
      <c r="G162" s="4">
        <f t="shared" si="27"/>
        <v>0.11728395061728394</v>
      </c>
      <c r="H162" s="4" t="str">
        <f t="shared" si="28"/>
        <v/>
      </c>
      <c r="I162" s="4" t="str">
        <f t="shared" si="29"/>
        <v/>
      </c>
      <c r="J162" s="4" t="str">
        <f t="shared" si="30"/>
        <v/>
      </c>
      <c r="K162" s="4" t="str">
        <f t="shared" si="31"/>
        <v/>
      </c>
      <c r="L162" s="4" t="str">
        <f t="shared" si="32"/>
        <v/>
      </c>
      <c r="M162" s="4"/>
      <c r="N162" s="4"/>
      <c r="O162" s="4"/>
      <c r="P162" s="4"/>
      <c r="Q162" s="4"/>
      <c r="R162" s="4"/>
      <c r="S162" s="4"/>
      <c r="T162" s="4"/>
      <c r="U162" s="4"/>
    </row>
    <row r="163" spans="1:21">
      <c r="A163" t="s">
        <v>225</v>
      </c>
      <c r="B163">
        <v>8</v>
      </c>
      <c r="C163" t="str">
        <f t="shared" si="26"/>
        <v>test.ImageData_8_</v>
      </c>
      <c r="D163">
        <v>2</v>
      </c>
      <c r="E163" s="4">
        <v>0.1728395061728395</v>
      </c>
      <c r="F163" s="4">
        <v>0.10022923089083867</v>
      </c>
      <c r="G163" s="4">
        <f t="shared" si="27"/>
        <v>0.1728395061728395</v>
      </c>
      <c r="H163" s="4" t="str">
        <f t="shared" si="28"/>
        <v/>
      </c>
      <c r="I163" s="4" t="str">
        <f t="shared" si="29"/>
        <v/>
      </c>
      <c r="J163" s="4" t="str">
        <f t="shared" si="30"/>
        <v/>
      </c>
      <c r="K163" s="4" t="str">
        <f t="shared" si="31"/>
        <v/>
      </c>
      <c r="L163" s="4" t="str">
        <f t="shared" si="32"/>
        <v/>
      </c>
      <c r="M163" s="4"/>
      <c r="N163" s="4"/>
      <c r="O163" s="4"/>
      <c r="P163" s="4"/>
      <c r="Q163" s="4"/>
      <c r="R163" s="4"/>
      <c r="S163" s="4"/>
      <c r="T163" s="4"/>
      <c r="U163" s="4"/>
    </row>
    <row r="164" spans="1:21">
      <c r="A164" t="s">
        <v>225</v>
      </c>
      <c r="B164">
        <v>8</v>
      </c>
      <c r="C164" t="str">
        <f t="shared" si="26"/>
        <v>test.ImageData_8_</v>
      </c>
      <c r="D164">
        <v>3</v>
      </c>
      <c r="E164" s="4">
        <v>0.34567901234567899</v>
      </c>
      <c r="F164" s="4">
        <v>0.18227808078412774</v>
      </c>
      <c r="G164" s="4">
        <f t="shared" si="27"/>
        <v>0.34567901234567899</v>
      </c>
      <c r="H164" s="4" t="str">
        <f t="shared" si="28"/>
        <v/>
      </c>
      <c r="I164" s="4" t="str">
        <f t="shared" si="29"/>
        <v/>
      </c>
      <c r="J164" s="4" t="str">
        <f t="shared" si="30"/>
        <v/>
      </c>
      <c r="K164" s="4" t="str">
        <f t="shared" si="31"/>
        <v/>
      </c>
      <c r="L164" s="4" t="str">
        <f t="shared" si="32"/>
        <v/>
      </c>
      <c r="M164" s="4"/>
      <c r="N164" s="4"/>
      <c r="O164" s="4"/>
      <c r="P164" s="4"/>
      <c r="Q164" s="4"/>
      <c r="R164" s="4"/>
      <c r="S164" s="4"/>
      <c r="T164" s="4"/>
      <c r="U164" s="4"/>
    </row>
    <row r="165" spans="1:21">
      <c r="A165" t="s">
        <v>225</v>
      </c>
      <c r="B165">
        <v>8</v>
      </c>
      <c r="C165" t="str">
        <f t="shared" si="26"/>
        <v>test.ImageData_8_</v>
      </c>
      <c r="D165">
        <v>4</v>
      </c>
      <c r="E165" s="4">
        <v>0.40740740740740738</v>
      </c>
      <c r="F165" s="4">
        <v>0.18235712591889969</v>
      </c>
      <c r="G165" s="4">
        <f t="shared" si="27"/>
        <v>0.40740740740740738</v>
      </c>
      <c r="H165" s="4" t="str">
        <f t="shared" si="28"/>
        <v/>
      </c>
      <c r="I165" s="4" t="str">
        <f t="shared" si="29"/>
        <v/>
      </c>
      <c r="J165" s="4" t="str">
        <f t="shared" si="30"/>
        <v/>
      </c>
      <c r="K165" s="4" t="str">
        <f t="shared" si="31"/>
        <v/>
      </c>
      <c r="L165" s="4" t="str">
        <f t="shared" si="32"/>
        <v/>
      </c>
      <c r="M165" s="4"/>
      <c r="N165" s="4"/>
      <c r="O165" s="4"/>
      <c r="P165" s="4"/>
      <c r="Q165" s="4"/>
      <c r="R165" s="4"/>
      <c r="S165" s="4"/>
      <c r="T165" s="4"/>
      <c r="U165" s="4"/>
    </row>
    <row r="166" spans="1:21">
      <c r="A166" t="s">
        <v>225</v>
      </c>
      <c r="B166">
        <v>8</v>
      </c>
      <c r="C166" t="str">
        <f t="shared" si="26"/>
        <v>test.ImageData_8_</v>
      </c>
      <c r="D166">
        <v>5</v>
      </c>
      <c r="E166" s="4">
        <v>0.5864197530864198</v>
      </c>
      <c r="F166" s="4">
        <v>0.19002450399177931</v>
      </c>
      <c r="G166" s="4">
        <f t="shared" si="27"/>
        <v>0.5864197530864198</v>
      </c>
      <c r="H166" s="4" t="str">
        <f t="shared" si="28"/>
        <v/>
      </c>
      <c r="I166" s="4" t="str">
        <f t="shared" si="29"/>
        <v/>
      </c>
      <c r="J166" s="4" t="str">
        <f t="shared" si="30"/>
        <v/>
      </c>
      <c r="K166" s="4" t="str">
        <f t="shared" si="31"/>
        <v/>
      </c>
      <c r="L166" s="4" t="str">
        <f t="shared" si="32"/>
        <v/>
      </c>
      <c r="M166" s="4"/>
      <c r="N166" s="4"/>
      <c r="O166" s="4"/>
      <c r="P166" s="4"/>
      <c r="Q166" s="4"/>
      <c r="R166" s="4"/>
      <c r="S166" s="4"/>
      <c r="T166" s="4"/>
      <c r="U166" s="4"/>
    </row>
    <row r="167" spans="1:21">
      <c r="A167" t="s">
        <v>225</v>
      </c>
      <c r="B167">
        <v>8</v>
      </c>
      <c r="C167" t="str">
        <f t="shared" si="26"/>
        <v>test.ImageData_8_</v>
      </c>
      <c r="D167">
        <v>6</v>
      </c>
      <c r="E167" s="4">
        <v>0.62345679012345678</v>
      </c>
      <c r="F167" s="4">
        <v>0.19587384396490395</v>
      </c>
      <c r="G167" s="4">
        <f t="shared" si="27"/>
        <v>0.62345679012345678</v>
      </c>
      <c r="H167" s="4" t="str">
        <f t="shared" si="28"/>
        <v/>
      </c>
      <c r="I167" s="4" t="str">
        <f t="shared" si="29"/>
        <v/>
      </c>
      <c r="J167" s="4" t="str">
        <f t="shared" si="30"/>
        <v/>
      </c>
      <c r="K167" s="4" t="str">
        <f t="shared" si="31"/>
        <v/>
      </c>
      <c r="L167" s="4" t="str">
        <f t="shared" si="32"/>
        <v/>
      </c>
      <c r="M167" s="4"/>
      <c r="N167" s="4"/>
      <c r="O167" s="4"/>
      <c r="P167" s="4"/>
      <c r="Q167" s="4"/>
      <c r="R167" s="4"/>
      <c r="S167" s="4"/>
      <c r="T167" s="4"/>
      <c r="U167" s="4"/>
    </row>
    <row r="168" spans="1:21">
      <c r="A168" t="s">
        <v>225</v>
      </c>
      <c r="B168">
        <v>8</v>
      </c>
      <c r="C168" t="str">
        <f t="shared" si="26"/>
        <v>test.ImageData_8_</v>
      </c>
      <c r="D168">
        <v>7</v>
      </c>
      <c r="E168" s="4">
        <v>0.66049382716049387</v>
      </c>
      <c r="F168" s="4">
        <v>0.1973757015255711</v>
      </c>
      <c r="G168" s="4">
        <f t="shared" si="27"/>
        <v>0.66049382716049387</v>
      </c>
      <c r="H168" s="4" t="str">
        <f t="shared" si="28"/>
        <v/>
      </c>
      <c r="I168" s="4" t="str">
        <f t="shared" si="29"/>
        <v/>
      </c>
      <c r="J168" s="4" t="str">
        <f t="shared" si="30"/>
        <v/>
      </c>
      <c r="K168" s="4" t="str">
        <f t="shared" si="31"/>
        <v/>
      </c>
      <c r="L168" s="4" t="str">
        <f t="shared" si="32"/>
        <v/>
      </c>
      <c r="M168" s="4"/>
      <c r="N168" s="4"/>
      <c r="O168" s="4"/>
      <c r="P168" s="4"/>
      <c r="Q168" s="4"/>
      <c r="R168" s="4"/>
      <c r="S168" s="4"/>
      <c r="T168" s="4"/>
      <c r="U168" s="4"/>
    </row>
    <row r="169" spans="1:21">
      <c r="A169" t="s">
        <v>225</v>
      </c>
      <c r="B169">
        <v>8</v>
      </c>
      <c r="C169" t="str">
        <f t="shared" si="26"/>
        <v>test.ImageData_8_</v>
      </c>
      <c r="D169">
        <v>8</v>
      </c>
      <c r="E169" s="4">
        <v>0.66049382716049387</v>
      </c>
      <c r="F169" s="4">
        <v>0.19871946881669433</v>
      </c>
      <c r="G169" s="4">
        <f t="shared" si="27"/>
        <v>0.66049382716049387</v>
      </c>
      <c r="H169" s="4" t="str">
        <f t="shared" si="28"/>
        <v/>
      </c>
      <c r="I169" s="4" t="str">
        <f t="shared" si="29"/>
        <v/>
      </c>
      <c r="J169" s="4" t="str">
        <f t="shared" si="30"/>
        <v/>
      </c>
      <c r="K169" s="4" t="str">
        <f t="shared" si="31"/>
        <v/>
      </c>
      <c r="L169" s="4" t="str">
        <f t="shared" si="32"/>
        <v/>
      </c>
      <c r="M169" s="4"/>
      <c r="N169" s="4"/>
      <c r="O169" s="4"/>
      <c r="P169" s="4"/>
      <c r="Q169" s="4"/>
      <c r="R169" s="4"/>
      <c r="S169" s="4"/>
      <c r="T169" s="4"/>
      <c r="U169" s="4"/>
    </row>
    <row r="170" spans="1:21">
      <c r="A170" t="s">
        <v>225</v>
      </c>
      <c r="B170">
        <v>8</v>
      </c>
      <c r="C170" t="str">
        <f t="shared" si="26"/>
        <v>test.ImageData_8_</v>
      </c>
      <c r="D170">
        <v>9</v>
      </c>
      <c r="E170" s="4">
        <v>0.86419753086419748</v>
      </c>
      <c r="F170" s="4">
        <v>0.36835032803730933</v>
      </c>
      <c r="G170" s="4" t="str">
        <f t="shared" si="27"/>
        <v/>
      </c>
      <c r="H170" s="4">
        <f t="shared" si="28"/>
        <v>0.86419753086419748</v>
      </c>
      <c r="I170" s="4" t="str">
        <f t="shared" si="29"/>
        <v/>
      </c>
      <c r="J170" s="4" t="str">
        <f t="shared" si="30"/>
        <v/>
      </c>
      <c r="K170" s="4" t="str">
        <f t="shared" si="31"/>
        <v/>
      </c>
      <c r="L170" s="4" t="str">
        <f t="shared" si="32"/>
        <v/>
      </c>
      <c r="M170" s="4"/>
      <c r="N170" s="4"/>
      <c r="O170" s="4"/>
      <c r="P170" s="4"/>
      <c r="Q170" s="4"/>
      <c r="R170" s="4"/>
      <c r="S170" s="4"/>
      <c r="T170" s="4"/>
      <c r="U170" s="4"/>
    </row>
    <row r="171" spans="1:21">
      <c r="A171" t="s">
        <v>225</v>
      </c>
      <c r="B171">
        <v>8</v>
      </c>
      <c r="C171" t="str">
        <f t="shared" si="26"/>
        <v>test.ImageData_8_</v>
      </c>
      <c r="D171">
        <v>10</v>
      </c>
      <c r="E171" s="4">
        <v>1</v>
      </c>
      <c r="F171" s="4">
        <v>0.49719389771559558</v>
      </c>
      <c r="G171" s="4" t="str">
        <f t="shared" si="27"/>
        <v/>
      </c>
      <c r="H171" s="4" t="str">
        <f t="shared" si="28"/>
        <v/>
      </c>
      <c r="I171" s="4">
        <f t="shared" si="29"/>
        <v>1</v>
      </c>
      <c r="J171" s="4" t="str">
        <f t="shared" si="30"/>
        <v/>
      </c>
      <c r="K171" s="4" t="str">
        <f t="shared" si="31"/>
        <v/>
      </c>
      <c r="L171" s="4" t="str">
        <f t="shared" si="32"/>
        <v/>
      </c>
      <c r="M171" s="4"/>
      <c r="N171" s="4"/>
      <c r="O171" s="4"/>
      <c r="P171" s="4"/>
      <c r="Q171" s="4"/>
      <c r="R171" s="4"/>
      <c r="S171" s="4"/>
      <c r="T171" s="4"/>
      <c r="U171" s="4"/>
    </row>
    <row r="172" spans="1:21">
      <c r="A172" t="s">
        <v>225</v>
      </c>
      <c r="B172">
        <v>9</v>
      </c>
      <c r="C172" t="str">
        <f t="shared" si="26"/>
        <v>test.ImageData_9_</v>
      </c>
      <c r="D172">
        <v>1</v>
      </c>
      <c r="E172" s="4">
        <v>7.3643410852713184E-2</v>
      </c>
      <c r="F172" s="4">
        <v>2.4350004582811401E-2</v>
      </c>
      <c r="G172" s="4">
        <f t="shared" si="27"/>
        <v>7.3643410852713184E-2</v>
      </c>
      <c r="H172" s="4" t="str">
        <f t="shared" si="28"/>
        <v/>
      </c>
      <c r="I172" s="4" t="str">
        <f t="shared" si="29"/>
        <v/>
      </c>
      <c r="J172" s="4" t="str">
        <f t="shared" si="30"/>
        <v/>
      </c>
      <c r="K172" s="4" t="str">
        <f t="shared" si="31"/>
        <v/>
      </c>
      <c r="L172" s="4" t="str">
        <f t="shared" si="32"/>
        <v/>
      </c>
      <c r="M172" s="4"/>
      <c r="N172" s="4"/>
      <c r="O172" s="4"/>
      <c r="P172" s="4"/>
      <c r="Q172" s="4"/>
      <c r="R172" s="4"/>
      <c r="S172" s="4"/>
      <c r="T172" s="4"/>
      <c r="U172" s="4"/>
    </row>
    <row r="173" spans="1:21">
      <c r="A173" t="s">
        <v>225</v>
      </c>
      <c r="B173">
        <v>9</v>
      </c>
      <c r="C173" t="str">
        <f t="shared" si="26"/>
        <v>test.ImageData_9_</v>
      </c>
      <c r="D173">
        <v>2</v>
      </c>
      <c r="E173" s="4">
        <v>0.12015503875968993</v>
      </c>
      <c r="F173" s="4">
        <v>4.6194738932510464E-2</v>
      </c>
      <c r="G173" s="4">
        <f t="shared" si="27"/>
        <v>0.12015503875968993</v>
      </c>
      <c r="H173" s="4" t="str">
        <f t="shared" si="28"/>
        <v/>
      </c>
      <c r="I173" s="4" t="str">
        <f t="shared" si="29"/>
        <v/>
      </c>
      <c r="J173" s="4" t="str">
        <f t="shared" si="30"/>
        <v/>
      </c>
      <c r="K173" s="4" t="str">
        <f t="shared" si="31"/>
        <v/>
      </c>
      <c r="L173" s="4" t="str">
        <f t="shared" si="32"/>
        <v/>
      </c>
      <c r="M173" s="4"/>
      <c r="N173" s="4"/>
      <c r="O173" s="4"/>
      <c r="P173" s="4"/>
      <c r="Q173" s="4"/>
      <c r="R173" s="4"/>
      <c r="S173" s="4"/>
      <c r="T173" s="4"/>
      <c r="U173" s="4"/>
    </row>
    <row r="174" spans="1:21">
      <c r="A174" t="s">
        <v>225</v>
      </c>
      <c r="B174">
        <v>9</v>
      </c>
      <c r="C174" t="str">
        <f t="shared" si="26"/>
        <v>test.ImageData_9_</v>
      </c>
      <c r="D174">
        <v>3</v>
      </c>
      <c r="E174" s="4">
        <v>0.2558139534883721</v>
      </c>
      <c r="F174" s="4">
        <v>7.5433075677492287E-2</v>
      </c>
      <c r="G174" s="4">
        <f t="shared" si="27"/>
        <v>0.2558139534883721</v>
      </c>
      <c r="H174" s="4" t="str">
        <f t="shared" si="28"/>
        <v/>
      </c>
      <c r="I174" s="4" t="str">
        <f t="shared" si="29"/>
        <v/>
      </c>
      <c r="J174" s="4" t="str">
        <f t="shared" si="30"/>
        <v/>
      </c>
      <c r="K174" s="4" t="str">
        <f t="shared" si="31"/>
        <v/>
      </c>
      <c r="L174" s="4" t="str">
        <f t="shared" si="32"/>
        <v/>
      </c>
      <c r="M174" s="4"/>
      <c r="N174" s="4"/>
      <c r="O174" s="4"/>
      <c r="P174" s="4"/>
      <c r="Q174" s="4"/>
      <c r="R174" s="4"/>
      <c r="S174" s="4"/>
      <c r="T174" s="4"/>
      <c r="U174" s="4"/>
    </row>
    <row r="175" spans="1:21">
      <c r="A175" t="s">
        <v>225</v>
      </c>
      <c r="B175">
        <v>9</v>
      </c>
      <c r="C175" t="str">
        <f t="shared" si="26"/>
        <v>test.ImageData_9_</v>
      </c>
      <c r="D175">
        <v>4</v>
      </c>
      <c r="E175" s="4">
        <v>0.38759689922480622</v>
      </c>
      <c r="F175" s="4">
        <v>7.8182762518713145E-2</v>
      </c>
      <c r="G175" s="4">
        <f t="shared" si="27"/>
        <v>0.38759689922480622</v>
      </c>
      <c r="H175" s="4" t="str">
        <f t="shared" si="28"/>
        <v/>
      </c>
      <c r="I175" s="4" t="str">
        <f t="shared" si="29"/>
        <v/>
      </c>
      <c r="J175" s="4" t="str">
        <f t="shared" si="30"/>
        <v/>
      </c>
      <c r="K175" s="4" t="str">
        <f t="shared" si="31"/>
        <v/>
      </c>
      <c r="L175" s="4" t="str">
        <f t="shared" si="32"/>
        <v/>
      </c>
      <c r="M175" s="4"/>
      <c r="N175" s="4"/>
      <c r="O175" s="4"/>
      <c r="P175" s="4"/>
      <c r="Q175" s="4"/>
      <c r="R175" s="4"/>
      <c r="S175" s="4"/>
      <c r="T175" s="4"/>
      <c r="U175" s="4"/>
    </row>
    <row r="176" spans="1:21">
      <c r="A176" t="s">
        <v>225</v>
      </c>
      <c r="B176">
        <v>9</v>
      </c>
      <c r="C176" t="str">
        <f t="shared" si="26"/>
        <v>test.ImageData_9_</v>
      </c>
      <c r="D176">
        <v>5</v>
      </c>
      <c r="E176" s="4">
        <v>0.4263565891472868</v>
      </c>
      <c r="F176" s="4">
        <v>7.9129876875133662E-2</v>
      </c>
      <c r="G176" s="4">
        <f t="shared" si="27"/>
        <v>0.4263565891472868</v>
      </c>
      <c r="H176" s="4" t="str">
        <f t="shared" si="28"/>
        <v/>
      </c>
      <c r="I176" s="4" t="str">
        <f t="shared" si="29"/>
        <v/>
      </c>
      <c r="J176" s="4" t="str">
        <f t="shared" si="30"/>
        <v/>
      </c>
      <c r="K176" s="4" t="str">
        <f t="shared" si="31"/>
        <v/>
      </c>
      <c r="L176" s="4" t="str">
        <f t="shared" si="32"/>
        <v/>
      </c>
      <c r="M176" s="4"/>
      <c r="N176" s="4"/>
      <c r="O176" s="4"/>
      <c r="P176" s="4"/>
      <c r="Q176" s="4"/>
      <c r="R176" s="4"/>
      <c r="S176" s="4"/>
      <c r="T176" s="4"/>
      <c r="U176" s="4"/>
    </row>
    <row r="177" spans="1:21">
      <c r="A177" t="s">
        <v>225</v>
      </c>
      <c r="B177">
        <v>9</v>
      </c>
      <c r="C177" t="str">
        <f t="shared" si="26"/>
        <v>test.ImageData_9_</v>
      </c>
      <c r="D177">
        <v>6</v>
      </c>
      <c r="E177" s="4">
        <v>0.55426356589147285</v>
      </c>
      <c r="F177" s="4">
        <v>0.14536677767254286</v>
      </c>
      <c r="G177" s="4">
        <f t="shared" si="27"/>
        <v>0.55426356589147285</v>
      </c>
      <c r="H177" s="4" t="str">
        <f t="shared" si="28"/>
        <v/>
      </c>
      <c r="I177" s="4" t="str">
        <f t="shared" si="29"/>
        <v/>
      </c>
      <c r="J177" s="4" t="str">
        <f t="shared" si="30"/>
        <v/>
      </c>
      <c r="K177" s="4" t="str">
        <f t="shared" si="31"/>
        <v/>
      </c>
      <c r="L177" s="4" t="str">
        <f t="shared" si="32"/>
        <v/>
      </c>
      <c r="M177" s="4"/>
      <c r="N177" s="4"/>
      <c r="O177" s="4"/>
      <c r="P177" s="4"/>
      <c r="Q177" s="4"/>
      <c r="R177" s="4"/>
      <c r="S177" s="4"/>
      <c r="T177" s="4"/>
      <c r="U177" s="4"/>
    </row>
    <row r="178" spans="1:21">
      <c r="A178" t="s">
        <v>225</v>
      </c>
      <c r="B178">
        <v>9</v>
      </c>
      <c r="C178" t="str">
        <f t="shared" si="26"/>
        <v>test.ImageData_9_</v>
      </c>
      <c r="D178">
        <v>7</v>
      </c>
      <c r="E178" s="4">
        <v>0.63953488372093026</v>
      </c>
      <c r="F178" s="4">
        <v>0.1939445785341114</v>
      </c>
      <c r="G178" s="4">
        <f t="shared" si="27"/>
        <v>0.63953488372093026</v>
      </c>
      <c r="H178" s="4" t="str">
        <f t="shared" si="28"/>
        <v/>
      </c>
      <c r="I178" s="4" t="str">
        <f t="shared" si="29"/>
        <v/>
      </c>
      <c r="J178" s="4" t="str">
        <f t="shared" si="30"/>
        <v/>
      </c>
      <c r="K178" s="4" t="str">
        <f t="shared" si="31"/>
        <v/>
      </c>
      <c r="L178" s="4" t="str">
        <f t="shared" si="32"/>
        <v/>
      </c>
      <c r="M178" s="4"/>
      <c r="N178" s="4"/>
      <c r="O178" s="4"/>
      <c r="P178" s="4"/>
      <c r="Q178" s="4"/>
      <c r="R178" s="4"/>
      <c r="S178" s="4"/>
      <c r="T178" s="4"/>
      <c r="U178" s="4"/>
    </row>
    <row r="179" spans="1:21">
      <c r="A179" t="s">
        <v>225</v>
      </c>
      <c r="B179">
        <v>9</v>
      </c>
      <c r="C179" t="str">
        <f t="shared" si="26"/>
        <v>test.ImageData_9_</v>
      </c>
      <c r="D179">
        <v>8</v>
      </c>
      <c r="E179" s="4">
        <v>0.7441860465116279</v>
      </c>
      <c r="F179" s="4">
        <v>0.21371177171488803</v>
      </c>
      <c r="G179" s="4" t="str">
        <f t="shared" si="27"/>
        <v/>
      </c>
      <c r="H179" s="4">
        <f t="shared" si="28"/>
        <v>0.7441860465116279</v>
      </c>
      <c r="I179" s="4" t="str">
        <f t="shared" si="29"/>
        <v/>
      </c>
      <c r="J179" s="4" t="str">
        <f t="shared" si="30"/>
        <v/>
      </c>
      <c r="K179" s="4" t="str">
        <f t="shared" si="31"/>
        <v/>
      </c>
      <c r="L179" s="4" t="str">
        <f t="shared" si="32"/>
        <v/>
      </c>
      <c r="M179" s="4"/>
      <c r="N179" s="4"/>
      <c r="O179" s="4"/>
      <c r="P179" s="4"/>
      <c r="Q179" s="4"/>
      <c r="R179" s="4"/>
      <c r="S179" s="4"/>
      <c r="T179" s="4"/>
      <c r="U179" s="4"/>
    </row>
    <row r="180" spans="1:21">
      <c r="A180" t="s">
        <v>225</v>
      </c>
      <c r="B180">
        <v>9</v>
      </c>
      <c r="C180" t="str">
        <f t="shared" si="26"/>
        <v>test.ImageData_9_</v>
      </c>
      <c r="D180">
        <v>9</v>
      </c>
      <c r="E180" s="4">
        <v>0.86434108527131781</v>
      </c>
      <c r="F180" s="4">
        <v>0.26112859368794111</v>
      </c>
      <c r="G180" s="4" t="str">
        <f t="shared" si="27"/>
        <v/>
      </c>
      <c r="H180" s="4">
        <f t="shared" si="28"/>
        <v>0.86434108527131781</v>
      </c>
      <c r="I180" s="4" t="str">
        <f t="shared" si="29"/>
        <v/>
      </c>
      <c r="J180" s="4" t="str">
        <f t="shared" si="30"/>
        <v/>
      </c>
      <c r="K180" s="4" t="str">
        <f t="shared" si="31"/>
        <v/>
      </c>
      <c r="L180" s="4" t="str">
        <f t="shared" si="32"/>
        <v/>
      </c>
      <c r="M180" s="4"/>
      <c r="N180" s="4"/>
      <c r="O180" s="4"/>
      <c r="P180" s="4"/>
      <c r="Q180" s="4"/>
      <c r="R180" s="4"/>
      <c r="S180" s="4"/>
      <c r="T180" s="4"/>
      <c r="U180" s="4"/>
    </row>
    <row r="181" spans="1:21">
      <c r="A181" t="s">
        <v>225</v>
      </c>
      <c r="B181">
        <v>9</v>
      </c>
      <c r="C181" t="str">
        <f t="shared" si="26"/>
        <v>test.ImageData_9_</v>
      </c>
      <c r="D181">
        <v>10</v>
      </c>
      <c r="E181" s="4">
        <v>1</v>
      </c>
      <c r="F181" s="4">
        <v>0.26305337447679572</v>
      </c>
      <c r="G181" s="4" t="str">
        <f t="shared" si="27"/>
        <v/>
      </c>
      <c r="H181" s="4">
        <f t="shared" si="28"/>
        <v>1</v>
      </c>
      <c r="I181" s="4" t="str">
        <f t="shared" si="29"/>
        <v/>
      </c>
      <c r="J181" s="4" t="str">
        <f t="shared" si="30"/>
        <v/>
      </c>
      <c r="K181" s="4" t="str">
        <f t="shared" si="31"/>
        <v/>
      </c>
      <c r="L181" s="4" t="str">
        <f t="shared" si="32"/>
        <v/>
      </c>
      <c r="M181" s="4"/>
      <c r="N181" s="4"/>
      <c r="O181" s="4"/>
      <c r="P181" s="4"/>
      <c r="Q181" s="4"/>
      <c r="R181" s="4"/>
      <c r="S181" s="4"/>
      <c r="T181" s="4"/>
      <c r="U181" s="4"/>
    </row>
    <row r="182" spans="1:21">
      <c r="A182" t="s">
        <v>225</v>
      </c>
      <c r="B182">
        <v>10</v>
      </c>
      <c r="C182" t="str">
        <f t="shared" si="26"/>
        <v>test.ImageData_10_</v>
      </c>
      <c r="D182">
        <v>1</v>
      </c>
      <c r="E182" s="4">
        <v>0.5</v>
      </c>
      <c r="F182" s="4">
        <v>0.2119205298013245</v>
      </c>
      <c r="G182" s="4" t="str">
        <f t="shared" si="27"/>
        <v/>
      </c>
      <c r="H182" s="4">
        <f t="shared" si="28"/>
        <v>0.5</v>
      </c>
      <c r="I182" s="4" t="str">
        <f t="shared" si="29"/>
        <v/>
      </c>
      <c r="J182" s="4" t="str">
        <f t="shared" si="30"/>
        <v/>
      </c>
      <c r="K182" s="4" t="str">
        <f t="shared" si="31"/>
        <v/>
      </c>
      <c r="L182" s="4" t="str">
        <f t="shared" si="32"/>
        <v/>
      </c>
      <c r="M182" s="4"/>
      <c r="N182" s="4"/>
      <c r="O182" s="4"/>
      <c r="P182" s="4"/>
      <c r="Q182" s="4"/>
      <c r="R182" s="4"/>
      <c r="S182" s="4"/>
      <c r="T182" s="4"/>
      <c r="U182" s="4"/>
    </row>
    <row r="183" spans="1:21">
      <c r="A183" t="s">
        <v>225</v>
      </c>
      <c r="B183">
        <v>10</v>
      </c>
      <c r="C183" t="str">
        <f t="shared" si="26"/>
        <v>test.ImageData_10_</v>
      </c>
      <c r="D183">
        <v>2</v>
      </c>
      <c r="E183" s="4">
        <v>0.9</v>
      </c>
      <c r="F183" s="4">
        <v>0.95269631031220436</v>
      </c>
      <c r="G183" s="4" t="str">
        <f t="shared" si="27"/>
        <v/>
      </c>
      <c r="H183" s="4" t="str">
        <f t="shared" si="28"/>
        <v/>
      </c>
      <c r="I183" s="4" t="str">
        <f t="shared" si="29"/>
        <v/>
      </c>
      <c r="J183" s="4" t="str">
        <f t="shared" si="30"/>
        <v/>
      </c>
      <c r="K183" s="4">
        <f t="shared" si="31"/>
        <v>0.9</v>
      </c>
      <c r="L183" s="4" t="str">
        <f t="shared" si="32"/>
        <v/>
      </c>
      <c r="M183" s="4"/>
      <c r="N183" s="4"/>
      <c r="O183" s="4"/>
      <c r="P183" s="4"/>
      <c r="Q183" s="4"/>
      <c r="R183" s="4"/>
      <c r="S183" s="4"/>
      <c r="T183" s="4"/>
      <c r="U183" s="4"/>
    </row>
    <row r="184" spans="1:21">
      <c r="A184" t="s">
        <v>225</v>
      </c>
      <c r="B184">
        <v>11</v>
      </c>
      <c r="C184" t="str">
        <f t="shared" si="26"/>
        <v>test.ImageData_11_</v>
      </c>
      <c r="D184">
        <v>1</v>
      </c>
      <c r="E184" s="4">
        <v>0.33962264150943394</v>
      </c>
      <c r="F184" s="4">
        <v>4.0134141064474251E-2</v>
      </c>
      <c r="G184" s="4">
        <f t="shared" si="27"/>
        <v>0.33962264150943394</v>
      </c>
      <c r="H184" s="4" t="str">
        <f t="shared" si="28"/>
        <v/>
      </c>
      <c r="I184" s="4" t="str">
        <f t="shared" si="29"/>
        <v/>
      </c>
      <c r="J184" s="4" t="str">
        <f t="shared" si="30"/>
        <v/>
      </c>
      <c r="K184" s="4" t="str">
        <f t="shared" si="31"/>
        <v/>
      </c>
      <c r="L184" s="4" t="str">
        <f t="shared" si="32"/>
        <v/>
      </c>
      <c r="M184" s="4"/>
      <c r="N184" s="4"/>
      <c r="O184" s="4"/>
      <c r="P184" s="4"/>
      <c r="Q184" s="4"/>
      <c r="R184" s="4"/>
      <c r="S184" s="4"/>
      <c r="T184" s="4"/>
      <c r="U184" s="4"/>
    </row>
    <row r="185" spans="1:21">
      <c r="A185" t="s">
        <v>225</v>
      </c>
      <c r="B185">
        <v>11</v>
      </c>
      <c r="C185" t="str">
        <f t="shared" si="26"/>
        <v>test.ImageData_11_</v>
      </c>
      <c r="D185">
        <v>2</v>
      </c>
      <c r="E185" s="4">
        <v>0.84905660377358494</v>
      </c>
      <c r="F185" s="4">
        <v>0.64366075292081348</v>
      </c>
      <c r="G185" s="4" t="str">
        <f t="shared" si="27"/>
        <v/>
      </c>
      <c r="H185" s="4" t="str">
        <f t="shared" si="28"/>
        <v/>
      </c>
      <c r="I185" s="4" t="str">
        <f t="shared" si="29"/>
        <v/>
      </c>
      <c r="J185" s="4">
        <f t="shared" si="30"/>
        <v>0.84905660377358494</v>
      </c>
      <c r="K185" s="4" t="str">
        <f t="shared" si="31"/>
        <v/>
      </c>
      <c r="L185" s="4" t="str">
        <f t="shared" si="32"/>
        <v/>
      </c>
      <c r="M185" s="4"/>
      <c r="N185" s="4"/>
      <c r="O185" s="4"/>
      <c r="P185" s="4"/>
      <c r="Q185" s="4"/>
      <c r="R185" s="4"/>
      <c r="S185" s="4"/>
      <c r="T185" s="4"/>
      <c r="U185" s="4"/>
    </row>
    <row r="186" spans="1:21">
      <c r="A186" t="s">
        <v>225</v>
      </c>
      <c r="B186">
        <v>11</v>
      </c>
      <c r="C186" t="str">
        <f t="shared" si="26"/>
        <v>test.ImageData_11_</v>
      </c>
      <c r="D186">
        <v>3</v>
      </c>
      <c r="E186" s="4">
        <v>0.96226415094339623</v>
      </c>
      <c r="F186" s="4">
        <v>0.87256598874945912</v>
      </c>
      <c r="G186" s="4" t="str">
        <f t="shared" si="27"/>
        <v/>
      </c>
      <c r="H186" s="4" t="str">
        <f t="shared" si="28"/>
        <v/>
      </c>
      <c r="I186" s="4" t="str">
        <f t="shared" si="29"/>
        <v/>
      </c>
      <c r="J186" s="4" t="str">
        <f t="shared" si="30"/>
        <v/>
      </c>
      <c r="K186" s="4">
        <f t="shared" si="31"/>
        <v>0.96226415094339623</v>
      </c>
      <c r="L186" s="4" t="str">
        <f t="shared" si="32"/>
        <v/>
      </c>
      <c r="M186" s="4"/>
      <c r="N186" s="4"/>
      <c r="O186" s="4"/>
      <c r="P186" s="4"/>
      <c r="Q186" s="4"/>
      <c r="R186" s="4"/>
      <c r="S186" s="4"/>
      <c r="T186" s="4"/>
      <c r="U186" s="4"/>
    </row>
    <row r="187" spans="1:21">
      <c r="A187" t="s">
        <v>225</v>
      </c>
      <c r="B187">
        <v>14</v>
      </c>
      <c r="C187" t="str">
        <f t="shared" si="26"/>
        <v>test.ImageData_14_</v>
      </c>
      <c r="D187">
        <v>1</v>
      </c>
      <c r="E187" s="4">
        <v>2.0876826722338203E-3</v>
      </c>
      <c r="F187" s="4">
        <v>3.181773681486972E-2</v>
      </c>
      <c r="G187" s="4">
        <f t="shared" si="27"/>
        <v>2.0876826722338203E-3</v>
      </c>
      <c r="H187" s="4" t="str">
        <f t="shared" si="28"/>
        <v/>
      </c>
      <c r="I187" s="4" t="str">
        <f t="shared" si="29"/>
        <v/>
      </c>
      <c r="J187" s="4" t="str">
        <f t="shared" si="30"/>
        <v/>
      </c>
      <c r="K187" s="4" t="str">
        <f t="shared" si="31"/>
        <v/>
      </c>
      <c r="L187" s="4" t="str">
        <f t="shared" si="32"/>
        <v/>
      </c>
      <c r="M187" s="4"/>
      <c r="N187" s="4"/>
      <c r="O187" s="4"/>
      <c r="P187" s="4"/>
      <c r="Q187" s="4"/>
      <c r="R187" s="4"/>
      <c r="S187" s="4"/>
      <c r="T187" s="4"/>
      <c r="U187" s="4"/>
    </row>
    <row r="188" spans="1:21">
      <c r="A188" t="s">
        <v>225</v>
      </c>
      <c r="B188">
        <v>14</v>
      </c>
      <c r="C188" t="str">
        <f t="shared" si="26"/>
        <v>test.ImageData_14_</v>
      </c>
      <c r="D188">
        <v>2</v>
      </c>
      <c r="E188" s="4">
        <v>4.1753653444676405E-3</v>
      </c>
      <c r="F188" s="4">
        <v>3.2670871736059634E-2</v>
      </c>
      <c r="G188" s="4">
        <f t="shared" si="27"/>
        <v>4.1753653444676405E-3</v>
      </c>
      <c r="H188" s="4" t="str">
        <f t="shared" si="28"/>
        <v/>
      </c>
      <c r="I188" s="4" t="str">
        <f t="shared" si="29"/>
        <v/>
      </c>
      <c r="J188" s="4" t="str">
        <f t="shared" si="30"/>
        <v/>
      </c>
      <c r="K188" s="4" t="str">
        <f t="shared" si="31"/>
        <v/>
      </c>
      <c r="L188" s="4" t="str">
        <f t="shared" si="32"/>
        <v/>
      </c>
      <c r="M188" s="4"/>
      <c r="N188" s="4"/>
      <c r="O188" s="4"/>
      <c r="P188" s="4"/>
      <c r="Q188" s="4"/>
      <c r="R188" s="4"/>
      <c r="S188" s="4"/>
      <c r="T188" s="4"/>
      <c r="U188" s="4"/>
    </row>
    <row r="189" spans="1:21">
      <c r="A189" t="s">
        <v>225</v>
      </c>
      <c r="B189">
        <v>14</v>
      </c>
      <c r="C189" t="str">
        <f t="shared" si="26"/>
        <v>test.ImageData_14_</v>
      </c>
      <c r="D189">
        <v>3</v>
      </c>
      <c r="E189" s="4">
        <v>5.2192066805845511E-3</v>
      </c>
      <c r="F189" s="4">
        <v>3.3496035020489222E-2</v>
      </c>
      <c r="G189" s="4">
        <f t="shared" si="27"/>
        <v>5.2192066805845511E-3</v>
      </c>
      <c r="H189" s="4" t="str">
        <f t="shared" si="28"/>
        <v/>
      </c>
      <c r="I189" s="4" t="str">
        <f t="shared" si="29"/>
        <v/>
      </c>
      <c r="J189" s="4" t="str">
        <f t="shared" si="30"/>
        <v/>
      </c>
      <c r="K189" s="4" t="str">
        <f t="shared" si="31"/>
        <v/>
      </c>
      <c r="L189" s="4" t="str">
        <f t="shared" si="32"/>
        <v/>
      </c>
      <c r="M189" s="4"/>
      <c r="N189" s="4"/>
      <c r="O189" s="4"/>
      <c r="P189" s="4"/>
      <c r="Q189" s="4"/>
      <c r="R189" s="4"/>
      <c r="S189" s="4"/>
      <c r="T189" s="4"/>
      <c r="U189" s="4"/>
    </row>
    <row r="190" spans="1:21">
      <c r="A190" t="s">
        <v>225</v>
      </c>
      <c r="B190">
        <v>14</v>
      </c>
      <c r="C190" t="str">
        <f t="shared" si="26"/>
        <v>test.ImageData_14_</v>
      </c>
      <c r="D190">
        <v>4</v>
      </c>
      <c r="E190" s="4">
        <v>0.39874739039665968</v>
      </c>
      <c r="F190" s="4">
        <v>0.45762996321729765</v>
      </c>
      <c r="G190" s="4" t="str">
        <f t="shared" si="27"/>
        <v/>
      </c>
      <c r="H190" s="4" t="str">
        <f t="shared" si="28"/>
        <v/>
      </c>
      <c r="I190" s="4">
        <f t="shared" si="29"/>
        <v>0.39874739039665968</v>
      </c>
      <c r="J190" s="4" t="str">
        <f t="shared" si="30"/>
        <v/>
      </c>
      <c r="K190" s="4" t="str">
        <f t="shared" si="31"/>
        <v/>
      </c>
      <c r="L190" s="4" t="str">
        <f t="shared" si="32"/>
        <v/>
      </c>
      <c r="M190" s="4"/>
      <c r="N190" s="4"/>
      <c r="O190" s="4"/>
      <c r="P190" s="4"/>
      <c r="Q190" s="4"/>
      <c r="R190" s="4"/>
      <c r="S190" s="4"/>
      <c r="T190" s="4"/>
      <c r="U190" s="4"/>
    </row>
    <row r="191" spans="1:21">
      <c r="A191" t="s">
        <v>225</v>
      </c>
      <c r="B191">
        <v>14</v>
      </c>
      <c r="C191" t="str">
        <f t="shared" si="26"/>
        <v>test.ImageData_14_</v>
      </c>
      <c r="D191">
        <v>5</v>
      </c>
      <c r="E191" s="4">
        <v>0.39979123173277664</v>
      </c>
      <c r="F191" s="4">
        <v>0.45905651669207426</v>
      </c>
      <c r="G191" s="4" t="str">
        <f t="shared" si="27"/>
        <v/>
      </c>
      <c r="H191" s="4" t="str">
        <f t="shared" si="28"/>
        <v/>
      </c>
      <c r="I191" s="4">
        <f t="shared" si="29"/>
        <v>0.39979123173277664</v>
      </c>
      <c r="J191" s="4" t="str">
        <f t="shared" si="30"/>
        <v/>
      </c>
      <c r="K191" s="4" t="str">
        <f t="shared" si="31"/>
        <v/>
      </c>
      <c r="L191" s="4" t="str">
        <f t="shared" si="32"/>
        <v/>
      </c>
      <c r="M191" s="4"/>
      <c r="N191" s="4"/>
      <c r="O191" s="4"/>
      <c r="P191" s="4"/>
      <c r="Q191" s="4"/>
      <c r="R191" s="4"/>
      <c r="S191" s="4"/>
      <c r="T191" s="4"/>
      <c r="U191" s="4"/>
    </row>
    <row r="192" spans="1:21">
      <c r="A192" t="s">
        <v>225</v>
      </c>
      <c r="B192">
        <v>14</v>
      </c>
      <c r="C192" t="str">
        <f t="shared" si="26"/>
        <v>test.ImageData_14_</v>
      </c>
      <c r="D192">
        <v>6</v>
      </c>
      <c r="E192" s="4">
        <v>0.58663883089770352</v>
      </c>
      <c r="F192" s="4">
        <v>0.46151802072698284</v>
      </c>
      <c r="G192" s="4" t="str">
        <f t="shared" si="27"/>
        <v/>
      </c>
      <c r="H192" s="4" t="str">
        <f t="shared" si="28"/>
        <v/>
      </c>
      <c r="I192" s="4">
        <f t="shared" si="29"/>
        <v>0.58663883089770352</v>
      </c>
      <c r="J192" s="4" t="str">
        <f t="shared" si="30"/>
        <v/>
      </c>
      <c r="K192" s="4" t="str">
        <f t="shared" si="31"/>
        <v/>
      </c>
      <c r="L192" s="4" t="str">
        <f t="shared" si="32"/>
        <v/>
      </c>
      <c r="M192" s="4"/>
      <c r="N192" s="4"/>
      <c r="O192" s="4"/>
      <c r="P192" s="4"/>
      <c r="Q192" s="4"/>
      <c r="R192" s="4"/>
      <c r="S192" s="4"/>
      <c r="T192" s="4"/>
      <c r="U192" s="4"/>
    </row>
    <row r="193" spans="1:21">
      <c r="A193" t="s">
        <v>225</v>
      </c>
      <c r="B193">
        <v>14</v>
      </c>
      <c r="C193" t="str">
        <f t="shared" si="26"/>
        <v>test.ImageData_14_</v>
      </c>
      <c r="D193">
        <v>7</v>
      </c>
      <c r="E193" s="4">
        <v>0.58872651356993733</v>
      </c>
      <c r="F193" s="4">
        <v>0.47046894449028687</v>
      </c>
      <c r="G193" s="4" t="str">
        <f t="shared" si="27"/>
        <v/>
      </c>
      <c r="H193" s="4" t="str">
        <f t="shared" si="28"/>
        <v/>
      </c>
      <c r="I193" s="4">
        <f t="shared" si="29"/>
        <v>0.58872651356993733</v>
      </c>
      <c r="J193" s="4" t="str">
        <f t="shared" si="30"/>
        <v/>
      </c>
      <c r="K193" s="4" t="str">
        <f t="shared" si="31"/>
        <v/>
      </c>
      <c r="L193" s="4" t="str">
        <f t="shared" si="32"/>
        <v/>
      </c>
      <c r="M193" s="4"/>
      <c r="N193" s="4"/>
      <c r="O193" s="4"/>
      <c r="P193" s="4"/>
      <c r="Q193" s="4"/>
      <c r="R193" s="4"/>
      <c r="S193" s="4"/>
      <c r="T193" s="4"/>
      <c r="U193" s="4"/>
    </row>
    <row r="194" spans="1:21">
      <c r="A194" t="s">
        <v>225</v>
      </c>
      <c r="B194">
        <v>14</v>
      </c>
      <c r="C194" t="str">
        <f t="shared" si="26"/>
        <v>test.ImageData_14_</v>
      </c>
      <c r="D194">
        <v>8</v>
      </c>
      <c r="E194" s="4">
        <v>0.58872651356993733</v>
      </c>
      <c r="F194" s="4">
        <v>0.47213325687752616</v>
      </c>
      <c r="G194" s="4" t="str">
        <f t="shared" si="27"/>
        <v/>
      </c>
      <c r="H194" s="4" t="str">
        <f t="shared" si="28"/>
        <v/>
      </c>
      <c r="I194" s="4">
        <f t="shared" si="29"/>
        <v>0.58872651356993733</v>
      </c>
      <c r="J194" s="4" t="str">
        <f t="shared" si="30"/>
        <v/>
      </c>
      <c r="K194" s="4" t="str">
        <f t="shared" si="31"/>
        <v/>
      </c>
      <c r="L194" s="4" t="str">
        <f t="shared" si="32"/>
        <v/>
      </c>
      <c r="M194" s="4"/>
      <c r="N194" s="4"/>
      <c r="O194" s="4"/>
      <c r="P194" s="4"/>
      <c r="Q194" s="4"/>
      <c r="R194" s="4"/>
      <c r="S194" s="4"/>
      <c r="T194" s="4"/>
      <c r="U194" s="4"/>
    </row>
    <row r="195" spans="1:21">
      <c r="A195" t="s">
        <v>225</v>
      </c>
      <c r="B195">
        <v>14</v>
      </c>
      <c r="C195" t="str">
        <f t="shared" ref="C195:C258" si="33">CONCATENATE(A195, "_",B195,"_")</f>
        <v>test.ImageData_14_</v>
      </c>
      <c r="D195">
        <v>9</v>
      </c>
      <c r="E195" s="4">
        <v>0.75782881002087688</v>
      </c>
      <c r="F195" s="4">
        <v>0.4736996685361044</v>
      </c>
      <c r="G195" s="4" t="str">
        <f t="shared" ref="G195:G258" si="34">IF($F195 &lt;= 0.2,$E195,"")</f>
        <v/>
      </c>
      <c r="H195" s="4" t="str">
        <f t="shared" ref="H195:H258" si="35">IF(AND($F195 &gt; 0.2,$F195 &lt;= 0.4),$E195,"")</f>
        <v/>
      </c>
      <c r="I195" s="4">
        <f t="shared" ref="I195:I258" si="36">IF(AND($F195 &gt; 0.4,$F195 &lt;= 0.6),$E195,"")</f>
        <v>0.75782881002087688</v>
      </c>
      <c r="J195" s="4" t="str">
        <f t="shared" ref="J195:J258" si="37">IF(AND($F195 &gt; 0.6,$F195 &lt;= 0.8),$E195,"")</f>
        <v/>
      </c>
      <c r="K195" s="4" t="str">
        <f t="shared" ref="K195:K258" si="38">IF(AND($F195 &gt; 0.8, $F195 &lt;=1.1),$E195,"")</f>
        <v/>
      </c>
      <c r="L195" s="4" t="str">
        <f t="shared" ref="L195:L258" si="39">IF(AND($F195 &gt; 1.1),$E195,"")</f>
        <v/>
      </c>
      <c r="M195" s="4"/>
      <c r="N195" s="4"/>
      <c r="O195" s="4"/>
      <c r="P195" s="4"/>
      <c r="Q195" s="4"/>
      <c r="R195" s="4"/>
      <c r="S195" s="4"/>
      <c r="T195" s="4"/>
      <c r="U195" s="4"/>
    </row>
    <row r="196" spans="1:21">
      <c r="A196" t="s">
        <v>225</v>
      </c>
      <c r="B196">
        <v>14</v>
      </c>
      <c r="C196" t="str">
        <f t="shared" si="33"/>
        <v>test.ImageData_14_</v>
      </c>
      <c r="D196">
        <v>10</v>
      </c>
      <c r="E196" s="4">
        <v>0.75782881002087688</v>
      </c>
      <c r="F196" s="4">
        <v>0.48293030866701164</v>
      </c>
      <c r="G196" s="4" t="str">
        <f t="shared" si="34"/>
        <v/>
      </c>
      <c r="H196" s="4" t="str">
        <f t="shared" si="35"/>
        <v/>
      </c>
      <c r="I196" s="4">
        <f t="shared" si="36"/>
        <v>0.75782881002087688</v>
      </c>
      <c r="J196" s="4" t="str">
        <f t="shared" si="37"/>
        <v/>
      </c>
      <c r="K196" s="4" t="str">
        <f t="shared" si="38"/>
        <v/>
      </c>
      <c r="L196" s="4" t="str">
        <f t="shared" si="39"/>
        <v/>
      </c>
      <c r="M196" s="4"/>
      <c r="N196" s="4"/>
      <c r="O196" s="4"/>
      <c r="P196" s="4"/>
      <c r="Q196" s="4"/>
      <c r="R196" s="4"/>
      <c r="S196" s="4"/>
      <c r="T196" s="4"/>
      <c r="U196" s="4"/>
    </row>
    <row r="197" spans="1:21">
      <c r="A197" t="s">
        <v>225</v>
      </c>
      <c r="B197">
        <v>14</v>
      </c>
      <c r="C197" t="str">
        <f t="shared" si="33"/>
        <v>test.ImageData_14_</v>
      </c>
      <c r="D197">
        <v>11</v>
      </c>
      <c r="E197" s="4">
        <v>0.75887265135699378</v>
      </c>
      <c r="F197" s="4">
        <v>0.49646858085900897</v>
      </c>
      <c r="G197" s="4" t="str">
        <f t="shared" si="34"/>
        <v/>
      </c>
      <c r="H197" s="4" t="str">
        <f t="shared" si="35"/>
        <v/>
      </c>
      <c r="I197" s="4">
        <f t="shared" si="36"/>
        <v>0.75887265135699378</v>
      </c>
      <c r="J197" s="4" t="str">
        <f t="shared" si="37"/>
        <v/>
      </c>
      <c r="K197" s="4" t="str">
        <f t="shared" si="38"/>
        <v/>
      </c>
      <c r="L197" s="4" t="str">
        <f t="shared" si="39"/>
        <v/>
      </c>
      <c r="M197" s="4"/>
      <c r="N197" s="4"/>
      <c r="O197" s="4"/>
      <c r="P197" s="4"/>
      <c r="Q197" s="4"/>
      <c r="R197" s="4"/>
      <c r="S197" s="4"/>
      <c r="T197" s="4"/>
      <c r="U197" s="4"/>
    </row>
    <row r="198" spans="1:21">
      <c r="A198" t="s">
        <v>225</v>
      </c>
      <c r="B198">
        <v>14</v>
      </c>
      <c r="C198" t="str">
        <f t="shared" si="33"/>
        <v>test.ImageData_14_</v>
      </c>
      <c r="D198">
        <v>12</v>
      </c>
      <c r="E198" s="4">
        <v>0.93110647181628392</v>
      </c>
      <c r="F198" s="4">
        <v>0.75695444818953583</v>
      </c>
      <c r="G198" s="4" t="str">
        <f t="shared" si="34"/>
        <v/>
      </c>
      <c r="H198" s="4" t="str">
        <f t="shared" si="35"/>
        <v/>
      </c>
      <c r="I198" s="4" t="str">
        <f t="shared" si="36"/>
        <v/>
      </c>
      <c r="J198" s="4">
        <f t="shared" si="37"/>
        <v>0.93110647181628392</v>
      </c>
      <c r="K198" s="4" t="str">
        <f t="shared" si="38"/>
        <v/>
      </c>
      <c r="L198" s="4" t="str">
        <f t="shared" si="39"/>
        <v/>
      </c>
      <c r="M198" s="4"/>
      <c r="N198" s="4"/>
      <c r="O198" s="4"/>
      <c r="P198" s="4"/>
      <c r="Q198" s="4"/>
      <c r="R198" s="4"/>
      <c r="S198" s="4"/>
      <c r="T198" s="4"/>
      <c r="U198" s="4"/>
    </row>
    <row r="199" spans="1:21">
      <c r="A199" t="s">
        <v>225</v>
      </c>
      <c r="B199">
        <v>14</v>
      </c>
      <c r="C199" t="str">
        <f t="shared" si="33"/>
        <v>test.ImageData_14_</v>
      </c>
      <c r="D199">
        <v>13</v>
      </c>
      <c r="E199" s="4">
        <v>0.94885177453027136</v>
      </c>
      <c r="F199" s="4">
        <v>0.79089802939819021</v>
      </c>
      <c r="G199" s="4" t="str">
        <f t="shared" si="34"/>
        <v/>
      </c>
      <c r="H199" s="4" t="str">
        <f t="shared" si="35"/>
        <v/>
      </c>
      <c r="I199" s="4" t="str">
        <f t="shared" si="36"/>
        <v/>
      </c>
      <c r="J199" s="4">
        <f t="shared" si="37"/>
        <v>0.94885177453027136</v>
      </c>
      <c r="K199" s="4" t="str">
        <f t="shared" si="38"/>
        <v/>
      </c>
      <c r="L199" s="4" t="str">
        <f t="shared" si="39"/>
        <v/>
      </c>
      <c r="M199" s="4"/>
      <c r="N199" s="4"/>
      <c r="O199" s="4"/>
      <c r="P199" s="4"/>
      <c r="Q199" s="4"/>
      <c r="R199" s="4"/>
      <c r="S199" s="4"/>
      <c r="T199" s="4"/>
      <c r="U199" s="4"/>
    </row>
    <row r="200" spans="1:21">
      <c r="A200" t="s">
        <v>225</v>
      </c>
      <c r="B200">
        <v>14</v>
      </c>
      <c r="C200" t="str">
        <f t="shared" si="33"/>
        <v>test.ImageData_14_</v>
      </c>
      <c r="D200">
        <v>14</v>
      </c>
      <c r="E200" s="4">
        <v>1</v>
      </c>
      <c r="F200" s="4">
        <v>0.79681403057299893</v>
      </c>
      <c r="G200" s="4" t="str">
        <f t="shared" si="34"/>
        <v/>
      </c>
      <c r="H200" s="4" t="str">
        <f t="shared" si="35"/>
        <v/>
      </c>
      <c r="I200" s="4" t="str">
        <f t="shared" si="36"/>
        <v/>
      </c>
      <c r="J200" s="4">
        <f t="shared" si="37"/>
        <v>1</v>
      </c>
      <c r="K200" s="4" t="str">
        <f t="shared" si="38"/>
        <v/>
      </c>
      <c r="L200" s="4" t="str">
        <f t="shared" si="39"/>
        <v/>
      </c>
      <c r="M200" s="4"/>
      <c r="N200" s="4"/>
      <c r="O200" s="4"/>
      <c r="P200" s="4"/>
      <c r="Q200" s="4"/>
      <c r="R200" s="4"/>
      <c r="S200" s="4"/>
      <c r="T200" s="4"/>
      <c r="U200" s="4"/>
    </row>
    <row r="201" spans="1:21">
      <c r="A201" t="s">
        <v>225</v>
      </c>
      <c r="B201">
        <v>14</v>
      </c>
      <c r="C201" t="str">
        <f t="shared" si="33"/>
        <v>test.ImageData_14_</v>
      </c>
      <c r="D201">
        <v>15</v>
      </c>
      <c r="E201" s="4">
        <v>1</v>
      </c>
      <c r="F201" s="4">
        <v>0.80783485545656708</v>
      </c>
      <c r="G201" s="4" t="str">
        <f t="shared" si="34"/>
        <v/>
      </c>
      <c r="H201" s="4" t="str">
        <f t="shared" si="35"/>
        <v/>
      </c>
      <c r="I201" s="4" t="str">
        <f t="shared" si="36"/>
        <v/>
      </c>
      <c r="J201" s="4" t="str">
        <f t="shared" si="37"/>
        <v/>
      </c>
      <c r="K201" s="4">
        <f t="shared" si="38"/>
        <v>1</v>
      </c>
      <c r="L201" s="4" t="str">
        <f t="shared" si="39"/>
        <v/>
      </c>
      <c r="M201" s="4"/>
      <c r="N201" s="4"/>
      <c r="O201" s="4"/>
      <c r="P201" s="4"/>
      <c r="Q201" s="4"/>
      <c r="R201" s="4"/>
      <c r="S201" s="4"/>
      <c r="T201" s="4"/>
      <c r="U201" s="4"/>
    </row>
    <row r="202" spans="1:21">
      <c r="A202" t="s">
        <v>225</v>
      </c>
      <c r="B202">
        <v>21</v>
      </c>
      <c r="C202" t="str">
        <f t="shared" si="33"/>
        <v>test.ImageData_21_</v>
      </c>
      <c r="D202">
        <v>1</v>
      </c>
      <c r="E202" s="4">
        <v>0.47368421052631576</v>
      </c>
      <c r="F202" s="4">
        <v>0.50695863125638407</v>
      </c>
      <c r="G202" s="4" t="str">
        <f t="shared" si="34"/>
        <v/>
      </c>
      <c r="H202" s="4" t="str">
        <f t="shared" si="35"/>
        <v/>
      </c>
      <c r="I202" s="4">
        <f t="shared" si="36"/>
        <v>0.47368421052631576</v>
      </c>
      <c r="J202" s="4" t="str">
        <f t="shared" si="37"/>
        <v/>
      </c>
      <c r="K202" s="4" t="str">
        <f t="shared" si="38"/>
        <v/>
      </c>
      <c r="L202" s="4" t="str">
        <f t="shared" si="39"/>
        <v/>
      </c>
      <c r="M202" s="4"/>
      <c r="N202" s="4"/>
      <c r="O202" s="4"/>
      <c r="P202" s="4"/>
      <c r="Q202" s="4"/>
      <c r="R202" s="4"/>
      <c r="S202" s="4"/>
      <c r="T202" s="4"/>
      <c r="U202" s="4"/>
    </row>
    <row r="203" spans="1:21">
      <c r="A203" t="s">
        <v>225</v>
      </c>
      <c r="B203">
        <v>21</v>
      </c>
      <c r="C203" t="str">
        <f t="shared" si="33"/>
        <v>test.ImageData_21_</v>
      </c>
      <c r="D203">
        <v>2</v>
      </c>
      <c r="E203" s="4">
        <v>0.85964912280701755</v>
      </c>
      <c r="F203" s="4">
        <v>0.5112359550561798</v>
      </c>
      <c r="G203" s="4" t="str">
        <f t="shared" si="34"/>
        <v/>
      </c>
      <c r="H203" s="4" t="str">
        <f t="shared" si="35"/>
        <v/>
      </c>
      <c r="I203" s="4">
        <f t="shared" si="36"/>
        <v>0.85964912280701755</v>
      </c>
      <c r="J203" s="4" t="str">
        <f t="shared" si="37"/>
        <v/>
      </c>
      <c r="K203" s="4" t="str">
        <f t="shared" si="38"/>
        <v/>
      </c>
      <c r="L203" s="4" t="str">
        <f t="shared" si="39"/>
        <v/>
      </c>
      <c r="M203" s="4"/>
      <c r="N203" s="4"/>
      <c r="O203" s="4"/>
      <c r="P203" s="4"/>
      <c r="Q203" s="4"/>
      <c r="R203" s="4"/>
      <c r="S203" s="4"/>
      <c r="T203" s="4"/>
      <c r="U203" s="4"/>
    </row>
    <row r="204" spans="1:21">
      <c r="A204" t="s">
        <v>225</v>
      </c>
      <c r="B204">
        <v>21</v>
      </c>
      <c r="C204" t="str">
        <f t="shared" si="33"/>
        <v>test.ImageData_21_</v>
      </c>
      <c r="D204">
        <v>3</v>
      </c>
      <c r="E204" s="4">
        <v>0.92982456140350878</v>
      </c>
      <c r="F204" s="4">
        <v>0.51289581205311541</v>
      </c>
      <c r="G204" s="4" t="str">
        <f t="shared" si="34"/>
        <v/>
      </c>
      <c r="H204" s="4" t="str">
        <f t="shared" si="35"/>
        <v/>
      </c>
      <c r="I204" s="4">
        <f t="shared" si="36"/>
        <v>0.92982456140350878</v>
      </c>
      <c r="J204" s="4" t="str">
        <f t="shared" si="37"/>
        <v/>
      </c>
      <c r="K204" s="4" t="str">
        <f t="shared" si="38"/>
        <v/>
      </c>
      <c r="L204" s="4" t="str">
        <f t="shared" si="39"/>
        <v/>
      </c>
      <c r="M204" s="4"/>
      <c r="N204" s="4"/>
      <c r="O204" s="4"/>
      <c r="P204" s="4"/>
      <c r="Q204" s="4"/>
      <c r="R204" s="4"/>
      <c r="S204" s="4"/>
      <c r="T204" s="4"/>
      <c r="U204" s="4"/>
    </row>
    <row r="205" spans="1:21">
      <c r="A205" t="s">
        <v>225</v>
      </c>
      <c r="B205">
        <v>21</v>
      </c>
      <c r="C205" t="str">
        <f t="shared" si="33"/>
        <v>test.ImageData_21_</v>
      </c>
      <c r="D205">
        <v>4</v>
      </c>
      <c r="E205" s="4">
        <v>1</v>
      </c>
      <c r="F205" s="4">
        <v>0.51366189989785493</v>
      </c>
      <c r="G205" s="4" t="str">
        <f t="shared" si="34"/>
        <v/>
      </c>
      <c r="H205" s="4" t="str">
        <f t="shared" si="35"/>
        <v/>
      </c>
      <c r="I205" s="4">
        <f t="shared" si="36"/>
        <v>1</v>
      </c>
      <c r="J205" s="4" t="str">
        <f t="shared" si="37"/>
        <v/>
      </c>
      <c r="K205" s="4" t="str">
        <f t="shared" si="38"/>
        <v/>
      </c>
      <c r="L205" s="4" t="str">
        <f t="shared" si="39"/>
        <v/>
      </c>
      <c r="M205" s="4"/>
      <c r="N205" s="4"/>
      <c r="O205" s="4"/>
      <c r="P205" s="4"/>
      <c r="Q205" s="4"/>
      <c r="R205" s="4"/>
      <c r="S205" s="4"/>
      <c r="T205" s="4"/>
      <c r="U205" s="4"/>
    </row>
    <row r="206" spans="1:21">
      <c r="A206" t="s">
        <v>226</v>
      </c>
      <c r="B206">
        <v>2</v>
      </c>
      <c r="C206" t="str">
        <f t="shared" si="33"/>
        <v>test.MapViewer_2_</v>
      </c>
      <c r="D206">
        <v>1</v>
      </c>
      <c r="E206" s="4">
        <v>0.72307692307692306</v>
      </c>
      <c r="F206" s="4">
        <v>0.59049381288308078</v>
      </c>
      <c r="G206" s="4" t="str">
        <f t="shared" si="34"/>
        <v/>
      </c>
      <c r="H206" s="4" t="str">
        <f t="shared" si="35"/>
        <v/>
      </c>
      <c r="I206" s="4">
        <f t="shared" si="36"/>
        <v>0.72307692307692306</v>
      </c>
      <c r="J206" s="4" t="str">
        <f t="shared" si="37"/>
        <v/>
      </c>
      <c r="K206" s="4" t="str">
        <f t="shared" si="38"/>
        <v/>
      </c>
      <c r="L206" s="4" t="str">
        <f t="shared" si="39"/>
        <v/>
      </c>
      <c r="M206" s="4"/>
      <c r="N206" s="4"/>
      <c r="O206" s="4"/>
      <c r="P206" s="4"/>
      <c r="Q206" s="4"/>
      <c r="R206" s="4"/>
      <c r="S206" s="4"/>
      <c r="T206" s="4"/>
      <c r="U206" s="4"/>
    </row>
    <row r="207" spans="1:21">
      <c r="A207" t="s">
        <v>226</v>
      </c>
      <c r="B207">
        <v>2</v>
      </c>
      <c r="C207" t="str">
        <f t="shared" si="33"/>
        <v>test.MapViewer_2_</v>
      </c>
      <c r="D207">
        <v>2</v>
      </c>
      <c r="E207" s="4">
        <v>0.96923076923076923</v>
      </c>
      <c r="F207" s="4">
        <v>0.88042095524459352</v>
      </c>
      <c r="G207" s="4" t="str">
        <f t="shared" si="34"/>
        <v/>
      </c>
      <c r="H207" s="4" t="str">
        <f t="shared" si="35"/>
        <v/>
      </c>
      <c r="I207" s="4" t="str">
        <f t="shared" si="36"/>
        <v/>
      </c>
      <c r="J207" s="4" t="str">
        <f t="shared" si="37"/>
        <v/>
      </c>
      <c r="K207" s="4">
        <f t="shared" si="38"/>
        <v>0.96923076923076923</v>
      </c>
      <c r="L207" s="4" t="str">
        <f t="shared" si="39"/>
        <v/>
      </c>
      <c r="M207" s="4"/>
      <c r="N207" s="4"/>
      <c r="O207" s="4"/>
      <c r="P207" s="4"/>
      <c r="Q207" s="4"/>
      <c r="R207" s="4"/>
      <c r="S207" s="4"/>
      <c r="T207" s="4"/>
      <c r="U207" s="4"/>
    </row>
    <row r="208" spans="1:21">
      <c r="A208" t="s">
        <v>226</v>
      </c>
      <c r="B208">
        <v>3</v>
      </c>
      <c r="C208" t="str">
        <f t="shared" si="33"/>
        <v>test.MapViewer_3_</v>
      </c>
      <c r="D208">
        <v>1</v>
      </c>
      <c r="E208" s="4">
        <v>4.7619047619047616E-2</v>
      </c>
      <c r="F208" s="4">
        <v>3.6426292278238674E-2</v>
      </c>
      <c r="G208" s="4">
        <f t="shared" si="34"/>
        <v>4.7619047619047616E-2</v>
      </c>
      <c r="H208" s="4" t="str">
        <f t="shared" si="35"/>
        <v/>
      </c>
      <c r="I208" s="4" t="str">
        <f t="shared" si="36"/>
        <v/>
      </c>
      <c r="J208" s="4" t="str">
        <f t="shared" si="37"/>
        <v/>
      </c>
      <c r="K208" s="4" t="str">
        <f t="shared" si="38"/>
        <v/>
      </c>
      <c r="L208" s="4" t="str">
        <f t="shared" si="39"/>
        <v/>
      </c>
      <c r="M208" s="4"/>
      <c r="N208" s="4"/>
      <c r="O208" s="4"/>
      <c r="P208" s="4"/>
      <c r="Q208" s="4"/>
      <c r="R208" s="4"/>
      <c r="S208" s="4"/>
      <c r="T208" s="4"/>
      <c r="U208" s="4"/>
    </row>
    <row r="209" spans="1:21">
      <c r="A209" t="s">
        <v>226</v>
      </c>
      <c r="B209">
        <v>3</v>
      </c>
      <c r="C209" t="str">
        <f t="shared" si="33"/>
        <v>test.MapViewer_3_</v>
      </c>
      <c r="D209">
        <v>2</v>
      </c>
      <c r="E209" s="4">
        <v>0.20408163265306123</v>
      </c>
      <c r="F209" s="4">
        <v>0.14276962348436503</v>
      </c>
      <c r="G209" s="4">
        <f t="shared" si="34"/>
        <v>0.20408163265306123</v>
      </c>
      <c r="H209" s="4" t="str">
        <f t="shared" si="35"/>
        <v/>
      </c>
      <c r="I209" s="4" t="str">
        <f t="shared" si="36"/>
        <v/>
      </c>
      <c r="J209" s="4" t="str">
        <f t="shared" si="37"/>
        <v/>
      </c>
      <c r="K209" s="4" t="str">
        <f t="shared" si="38"/>
        <v/>
      </c>
      <c r="L209" s="4" t="str">
        <f t="shared" si="39"/>
        <v/>
      </c>
      <c r="M209" s="4"/>
      <c r="N209" s="4"/>
      <c r="O209" s="4"/>
      <c r="P209" s="4"/>
      <c r="Q209" s="4"/>
      <c r="R209" s="4"/>
      <c r="S209" s="4"/>
      <c r="T209" s="4"/>
      <c r="U209" s="4"/>
    </row>
    <row r="210" spans="1:21">
      <c r="A210" t="s">
        <v>226</v>
      </c>
      <c r="B210">
        <v>3</v>
      </c>
      <c r="C210" t="str">
        <f t="shared" si="33"/>
        <v>test.MapViewer_3_</v>
      </c>
      <c r="D210">
        <v>3</v>
      </c>
      <c r="E210" s="4">
        <v>0.30612244897959184</v>
      </c>
      <c r="F210" s="4">
        <v>0.20776005105296746</v>
      </c>
      <c r="G210" s="4" t="str">
        <f t="shared" si="34"/>
        <v/>
      </c>
      <c r="H210" s="4">
        <f t="shared" si="35"/>
        <v>0.30612244897959184</v>
      </c>
      <c r="I210" s="4" t="str">
        <f t="shared" si="36"/>
        <v/>
      </c>
      <c r="J210" s="4" t="str">
        <f t="shared" si="37"/>
        <v/>
      </c>
      <c r="K210" s="4" t="str">
        <f t="shared" si="38"/>
        <v/>
      </c>
      <c r="L210" s="4" t="str">
        <f t="shared" si="39"/>
        <v/>
      </c>
      <c r="M210" s="4"/>
      <c r="N210" s="4"/>
      <c r="O210" s="4"/>
      <c r="P210" s="4"/>
      <c r="Q210" s="4"/>
      <c r="R210" s="4"/>
      <c r="S210" s="4"/>
      <c r="T210" s="4"/>
      <c r="U210" s="4"/>
    </row>
    <row r="211" spans="1:21">
      <c r="A211" t="s">
        <v>226</v>
      </c>
      <c r="B211">
        <v>3</v>
      </c>
      <c r="C211" t="str">
        <f t="shared" si="33"/>
        <v>test.MapViewer_3_</v>
      </c>
      <c r="D211">
        <v>4</v>
      </c>
      <c r="E211" s="4">
        <v>0.34693877551020408</v>
      </c>
      <c r="F211" s="4">
        <v>0.26218251435864709</v>
      </c>
      <c r="G211" s="4" t="str">
        <f t="shared" si="34"/>
        <v/>
      </c>
      <c r="H211" s="4">
        <f t="shared" si="35"/>
        <v>0.34693877551020408</v>
      </c>
      <c r="I211" s="4" t="str">
        <f t="shared" si="36"/>
        <v/>
      </c>
      <c r="J211" s="4" t="str">
        <f t="shared" si="37"/>
        <v/>
      </c>
      <c r="K211" s="4" t="str">
        <f t="shared" si="38"/>
        <v/>
      </c>
      <c r="L211" s="4" t="str">
        <f t="shared" si="39"/>
        <v/>
      </c>
      <c r="M211" s="4"/>
      <c r="N211" s="4"/>
      <c r="O211" s="4"/>
      <c r="P211" s="4"/>
      <c r="Q211" s="4"/>
      <c r="R211" s="4"/>
      <c r="S211" s="4"/>
      <c r="T211" s="4"/>
      <c r="U211" s="4"/>
    </row>
    <row r="212" spans="1:21">
      <c r="A212" t="s">
        <v>226</v>
      </c>
      <c r="B212">
        <v>3</v>
      </c>
      <c r="C212" t="str">
        <f t="shared" si="33"/>
        <v>test.MapViewer_3_</v>
      </c>
      <c r="D212">
        <v>5</v>
      </c>
      <c r="E212" s="4">
        <v>1</v>
      </c>
      <c r="F212" s="4">
        <v>0.91213784301212508</v>
      </c>
      <c r="G212" s="4" t="str">
        <f t="shared" si="34"/>
        <v/>
      </c>
      <c r="H212" s="4" t="str">
        <f t="shared" si="35"/>
        <v/>
      </c>
      <c r="I212" s="4" t="str">
        <f t="shared" si="36"/>
        <v/>
      </c>
      <c r="J212" s="4" t="str">
        <f t="shared" si="37"/>
        <v/>
      </c>
      <c r="K212" s="4">
        <f t="shared" si="38"/>
        <v>1</v>
      </c>
      <c r="L212" s="4" t="str">
        <f t="shared" si="39"/>
        <v/>
      </c>
      <c r="M212" s="4"/>
      <c r="N212" s="4"/>
      <c r="O212" s="4"/>
      <c r="P212" s="4"/>
      <c r="Q212" s="4"/>
      <c r="R212" s="4"/>
      <c r="S212" s="4"/>
      <c r="T212" s="4"/>
      <c r="U212" s="4"/>
    </row>
    <row r="213" spans="1:21">
      <c r="A213" t="s">
        <v>226</v>
      </c>
      <c r="B213">
        <v>3</v>
      </c>
      <c r="C213" t="str">
        <f t="shared" si="33"/>
        <v>test.MapViewer_3_</v>
      </c>
      <c r="D213">
        <v>6</v>
      </c>
      <c r="E213" s="4">
        <v>1</v>
      </c>
      <c r="F213" s="4">
        <v>0.96278238672622851</v>
      </c>
      <c r="G213" s="4" t="str">
        <f t="shared" si="34"/>
        <v/>
      </c>
      <c r="H213" s="4" t="str">
        <f t="shared" si="35"/>
        <v/>
      </c>
      <c r="I213" s="4" t="str">
        <f t="shared" si="36"/>
        <v/>
      </c>
      <c r="J213" s="4" t="str">
        <f t="shared" si="37"/>
        <v/>
      </c>
      <c r="K213" s="4">
        <f t="shared" si="38"/>
        <v>1</v>
      </c>
      <c r="L213" s="4" t="str">
        <f t="shared" si="39"/>
        <v/>
      </c>
      <c r="M213" s="4"/>
      <c r="N213" s="4"/>
      <c r="O213" s="4"/>
      <c r="P213" s="4"/>
      <c r="Q213" s="4"/>
      <c r="R213" s="4"/>
      <c r="S213" s="4"/>
      <c r="T213" s="4"/>
      <c r="U213" s="4"/>
    </row>
    <row r="214" spans="1:21">
      <c r="A214" t="s">
        <v>229</v>
      </c>
      <c r="B214">
        <v>3</v>
      </c>
      <c r="C214" t="str">
        <f t="shared" si="33"/>
        <v>test.TileRenderor_3_</v>
      </c>
      <c r="D214">
        <v>1</v>
      </c>
      <c r="E214" s="4">
        <v>0.95718654434250761</v>
      </c>
      <c r="F214" s="4">
        <v>0.87101012690680679</v>
      </c>
      <c r="G214" s="4" t="str">
        <f t="shared" si="34"/>
        <v/>
      </c>
      <c r="H214" s="4" t="str">
        <f t="shared" si="35"/>
        <v/>
      </c>
      <c r="I214" s="4" t="str">
        <f t="shared" si="36"/>
        <v/>
      </c>
      <c r="J214" s="4" t="str">
        <f t="shared" si="37"/>
        <v/>
      </c>
      <c r="K214" s="4">
        <f t="shared" si="38"/>
        <v>0.95718654434250761</v>
      </c>
      <c r="L214" s="4" t="str">
        <f t="shared" si="39"/>
        <v/>
      </c>
      <c r="M214" s="4"/>
      <c r="N214" s="4"/>
      <c r="O214" s="4"/>
      <c r="P214" s="4"/>
      <c r="Q214" s="4"/>
      <c r="R214" s="4"/>
      <c r="S214" s="4"/>
      <c r="T214" s="4"/>
      <c r="U214" s="4"/>
    </row>
    <row r="215" spans="1:21">
      <c r="A215" t="s">
        <v>229</v>
      </c>
      <c r="B215">
        <v>3</v>
      </c>
      <c r="C215" t="str">
        <f>CONCATENATE(A215, "_",B215,"_")</f>
        <v>test.TileRenderor_3_</v>
      </c>
      <c r="D215">
        <v>2</v>
      </c>
      <c r="E215" s="4">
        <v>1</v>
      </c>
      <c r="F215" s="4">
        <v>0.90562107422125371</v>
      </c>
      <c r="G215" s="4" t="str">
        <f t="shared" si="34"/>
        <v/>
      </c>
      <c r="H215" s="4" t="str">
        <f t="shared" si="35"/>
        <v/>
      </c>
      <c r="I215" s="4" t="str">
        <f t="shared" si="36"/>
        <v/>
      </c>
      <c r="J215" s="4" t="str">
        <f t="shared" si="37"/>
        <v/>
      </c>
      <c r="K215" s="4">
        <f t="shared" si="38"/>
        <v>1</v>
      </c>
      <c r="L215" s="4" t="str">
        <f t="shared" si="39"/>
        <v/>
      </c>
      <c r="M215" s="4"/>
      <c r="N215" s="4"/>
      <c r="O215" s="4"/>
      <c r="P215" s="4"/>
      <c r="Q215" s="4"/>
      <c r="R215" s="4"/>
      <c r="S215" s="4"/>
      <c r="T215" s="4"/>
      <c r="U215" s="4"/>
    </row>
    <row r="216" spans="1:21">
      <c r="A216" t="s">
        <v>230</v>
      </c>
      <c r="B216">
        <v>1</v>
      </c>
      <c r="C216" t="str">
        <f t="shared" si="33"/>
        <v>test.WorldController_1_</v>
      </c>
      <c r="D216">
        <v>1</v>
      </c>
      <c r="E216" s="4">
        <v>4.142011834319527E-2</v>
      </c>
      <c r="F216" s="4">
        <v>6.4931049409436642E-2</v>
      </c>
      <c r="G216" s="4">
        <f t="shared" si="34"/>
        <v>4.142011834319527E-2</v>
      </c>
      <c r="H216" s="4" t="str">
        <f t="shared" si="35"/>
        <v/>
      </c>
      <c r="I216" s="4" t="str">
        <f t="shared" si="36"/>
        <v/>
      </c>
      <c r="J216" s="4" t="str">
        <f t="shared" si="37"/>
        <v/>
      </c>
      <c r="K216" s="4" t="str">
        <f t="shared" si="38"/>
        <v/>
      </c>
      <c r="L216" s="4" t="str">
        <f t="shared" si="39"/>
        <v/>
      </c>
      <c r="M216" s="4"/>
      <c r="N216" s="4"/>
      <c r="O216" s="4"/>
      <c r="P216" s="4"/>
      <c r="Q216" s="4"/>
      <c r="R216" s="4"/>
      <c r="S216" s="4"/>
      <c r="T216" s="4"/>
      <c r="U216" s="4"/>
    </row>
    <row r="217" spans="1:21">
      <c r="A217" t="s">
        <v>230</v>
      </c>
      <c r="B217">
        <v>1</v>
      </c>
      <c r="C217" t="str">
        <f t="shared" si="33"/>
        <v>test.WorldController_1_</v>
      </c>
      <c r="D217">
        <v>2</v>
      </c>
      <c r="E217" s="4">
        <v>6.5088757396449703E-2</v>
      </c>
      <c r="F217" s="4">
        <v>7.9525075752890972E-2</v>
      </c>
      <c r="G217" s="4">
        <f t="shared" si="34"/>
        <v>6.5088757396449703E-2</v>
      </c>
      <c r="H217" s="4" t="str">
        <f t="shared" si="35"/>
        <v/>
      </c>
      <c r="I217" s="4" t="str">
        <f t="shared" si="36"/>
        <v/>
      </c>
      <c r="J217" s="4" t="str">
        <f t="shared" si="37"/>
        <v/>
      </c>
      <c r="K217" s="4" t="str">
        <f t="shared" si="38"/>
        <v/>
      </c>
      <c r="L217" s="4" t="str">
        <f t="shared" si="39"/>
        <v/>
      </c>
      <c r="M217" s="4"/>
      <c r="N217" s="4"/>
      <c r="O217" s="4"/>
      <c r="P217" s="4"/>
      <c r="Q217" s="4"/>
      <c r="R217" s="4"/>
      <c r="S217" s="4"/>
      <c r="T217" s="4"/>
      <c r="U217" s="4"/>
    </row>
    <row r="218" spans="1:21">
      <c r="A218" t="s">
        <v>230</v>
      </c>
      <c r="B218">
        <v>1</v>
      </c>
      <c r="C218" t="str">
        <f t="shared" si="33"/>
        <v>test.WorldController_1_</v>
      </c>
      <c r="D218">
        <v>3</v>
      </c>
      <c r="E218" s="4">
        <v>8.8757396449704137E-2</v>
      </c>
      <c r="F218" s="4">
        <v>9.7056459093438865E-2</v>
      </c>
      <c r="G218" s="4">
        <f t="shared" si="34"/>
        <v>8.8757396449704137E-2</v>
      </c>
      <c r="H218" s="4" t="str">
        <f t="shared" si="35"/>
        <v/>
      </c>
      <c r="I218" s="4" t="str">
        <f t="shared" si="36"/>
        <v/>
      </c>
      <c r="J218" s="4" t="str">
        <f t="shared" si="37"/>
        <v/>
      </c>
      <c r="K218" s="4" t="str">
        <f t="shared" si="38"/>
        <v/>
      </c>
      <c r="L218" s="4" t="str">
        <f t="shared" si="39"/>
        <v/>
      </c>
      <c r="M218" s="4"/>
      <c r="N218" s="4"/>
      <c r="O218" s="4"/>
      <c r="P218" s="4"/>
      <c r="Q218" s="4"/>
      <c r="R218" s="4"/>
      <c r="S218" s="4"/>
      <c r="T218" s="4"/>
      <c r="U218" s="4"/>
    </row>
    <row r="219" spans="1:21">
      <c r="A219" t="s">
        <v>230</v>
      </c>
      <c r="B219">
        <v>1</v>
      </c>
      <c r="C219" t="str">
        <f t="shared" si="33"/>
        <v>test.WorldController_1_</v>
      </c>
      <c r="D219">
        <v>4</v>
      </c>
      <c r="E219" s="4">
        <v>0.10650887573964497</v>
      </c>
      <c r="F219" s="4">
        <v>0.10076680477397811</v>
      </c>
      <c r="G219" s="4">
        <f t="shared" si="34"/>
        <v>0.10650887573964497</v>
      </c>
      <c r="H219" s="4" t="str">
        <f t="shared" si="35"/>
        <v/>
      </c>
      <c r="I219" s="4" t="str">
        <f t="shared" si="36"/>
        <v/>
      </c>
      <c r="J219" s="4" t="str">
        <f t="shared" si="37"/>
        <v/>
      </c>
      <c r="K219" s="4" t="str">
        <f t="shared" si="38"/>
        <v/>
      </c>
      <c r="L219" s="4" t="str">
        <f t="shared" si="39"/>
        <v/>
      </c>
      <c r="M219" s="4"/>
      <c r="N219" s="4"/>
      <c r="O219" s="4"/>
      <c r="P219" s="4"/>
      <c r="Q219" s="4"/>
      <c r="R219" s="4"/>
      <c r="S219" s="4"/>
      <c r="T219" s="4"/>
      <c r="U219" s="4"/>
    </row>
    <row r="220" spans="1:21">
      <c r="A220" t="s">
        <v>230</v>
      </c>
      <c r="B220">
        <v>1</v>
      </c>
      <c r="C220" t="str">
        <f t="shared" si="33"/>
        <v>test.WorldController_1_</v>
      </c>
      <c r="D220">
        <v>5</v>
      </c>
      <c r="E220" s="4">
        <v>0.1242603550295858</v>
      </c>
      <c r="F220" s="4">
        <v>0.11199060045760931</v>
      </c>
      <c r="G220" s="4">
        <f t="shared" si="34"/>
        <v>0.1242603550295858</v>
      </c>
      <c r="H220" s="4" t="str">
        <f t="shared" si="35"/>
        <v/>
      </c>
      <c r="I220" s="4" t="str">
        <f t="shared" si="36"/>
        <v/>
      </c>
      <c r="J220" s="4" t="str">
        <f t="shared" si="37"/>
        <v/>
      </c>
      <c r="K220" s="4" t="str">
        <f t="shared" si="38"/>
        <v/>
      </c>
      <c r="L220" s="4" t="str">
        <f t="shared" si="39"/>
        <v/>
      </c>
      <c r="M220" s="4"/>
      <c r="N220" s="4"/>
      <c r="O220" s="4"/>
      <c r="P220" s="4"/>
      <c r="Q220" s="4"/>
      <c r="R220" s="4"/>
      <c r="S220" s="4"/>
      <c r="T220" s="4"/>
      <c r="U220" s="4"/>
    </row>
    <row r="221" spans="1:21">
      <c r="A221" t="s">
        <v>230</v>
      </c>
      <c r="B221">
        <v>1</v>
      </c>
      <c r="C221" t="str">
        <f t="shared" si="33"/>
        <v>test.WorldController_1_</v>
      </c>
      <c r="D221">
        <v>6</v>
      </c>
      <c r="E221" s="4">
        <v>0.14201183431952663</v>
      </c>
      <c r="F221" s="4">
        <v>0.12751221322119843</v>
      </c>
      <c r="G221" s="4">
        <f t="shared" si="34"/>
        <v>0.14201183431952663</v>
      </c>
      <c r="H221" s="4" t="str">
        <f t="shared" si="35"/>
        <v/>
      </c>
      <c r="I221" s="4" t="str">
        <f t="shared" si="36"/>
        <v/>
      </c>
      <c r="J221" s="4" t="str">
        <f t="shared" si="37"/>
        <v/>
      </c>
      <c r="K221" s="4" t="str">
        <f t="shared" si="38"/>
        <v/>
      </c>
      <c r="L221" s="4" t="str">
        <f t="shared" si="39"/>
        <v/>
      </c>
      <c r="M221" s="4"/>
      <c r="N221" s="4"/>
      <c r="O221" s="4"/>
      <c r="P221" s="4"/>
      <c r="Q221" s="4"/>
      <c r="R221" s="4"/>
      <c r="S221" s="4"/>
      <c r="T221" s="4"/>
      <c r="U221" s="4"/>
    </row>
    <row r="222" spans="1:21">
      <c r="A222" t="s">
        <v>230</v>
      </c>
      <c r="B222">
        <v>1</v>
      </c>
      <c r="C222" t="str">
        <f t="shared" si="33"/>
        <v>test.WorldController_1_</v>
      </c>
      <c r="D222">
        <v>7</v>
      </c>
      <c r="E222" s="4">
        <v>0.23076923076923078</v>
      </c>
      <c r="F222" s="4">
        <v>0.1892585492548389</v>
      </c>
      <c r="G222" s="4">
        <f t="shared" si="34"/>
        <v>0.23076923076923078</v>
      </c>
      <c r="H222" s="4" t="str">
        <f t="shared" si="35"/>
        <v/>
      </c>
      <c r="I222" s="4" t="str">
        <f t="shared" si="36"/>
        <v/>
      </c>
      <c r="J222" s="4" t="str">
        <f t="shared" si="37"/>
        <v/>
      </c>
      <c r="K222" s="4" t="str">
        <f t="shared" si="38"/>
        <v/>
      </c>
      <c r="L222" s="4" t="str">
        <f t="shared" si="39"/>
        <v/>
      </c>
      <c r="M222" s="4"/>
      <c r="N222" s="4"/>
      <c r="O222" s="4"/>
      <c r="P222" s="4"/>
      <c r="Q222" s="4"/>
      <c r="R222" s="4"/>
      <c r="S222" s="4"/>
      <c r="T222" s="4"/>
      <c r="U222" s="4"/>
    </row>
    <row r="223" spans="1:21">
      <c r="A223" t="s">
        <v>230</v>
      </c>
      <c r="B223">
        <v>1</v>
      </c>
      <c r="C223" t="str">
        <f t="shared" si="33"/>
        <v>test.WorldController_1_</v>
      </c>
      <c r="D223">
        <v>8</v>
      </c>
      <c r="E223" s="4">
        <v>0.31952662721893493</v>
      </c>
      <c r="F223" s="4">
        <v>0.20561498979654938</v>
      </c>
      <c r="G223" s="4" t="str">
        <f t="shared" si="34"/>
        <v/>
      </c>
      <c r="H223" s="4">
        <f t="shared" si="35"/>
        <v>0.31952662721893493</v>
      </c>
      <c r="I223" s="4" t="str">
        <f t="shared" si="36"/>
        <v/>
      </c>
      <c r="J223" s="4" t="str">
        <f t="shared" si="37"/>
        <v/>
      </c>
      <c r="K223" s="4" t="str">
        <f t="shared" si="38"/>
        <v/>
      </c>
      <c r="L223" s="4" t="str">
        <f t="shared" si="39"/>
        <v/>
      </c>
      <c r="M223" s="4"/>
      <c r="N223" s="4"/>
      <c r="O223" s="4"/>
      <c r="P223" s="4"/>
      <c r="Q223" s="4"/>
      <c r="R223" s="4"/>
      <c r="S223" s="4"/>
      <c r="T223" s="4"/>
      <c r="U223" s="4"/>
    </row>
    <row r="224" spans="1:21">
      <c r="A224" t="s">
        <v>230</v>
      </c>
      <c r="B224">
        <v>1</v>
      </c>
      <c r="C224" t="str">
        <f t="shared" si="33"/>
        <v>test.WorldController_1_</v>
      </c>
      <c r="D224">
        <v>9</v>
      </c>
      <c r="E224" s="4">
        <v>0.40236686390532544</v>
      </c>
      <c r="F224" s="4">
        <v>0.21532372766062705</v>
      </c>
      <c r="G224" s="4" t="str">
        <f t="shared" si="34"/>
        <v/>
      </c>
      <c r="H224" s="4">
        <f t="shared" si="35"/>
        <v>0.40236686390532544</v>
      </c>
      <c r="I224" s="4" t="str">
        <f t="shared" si="36"/>
        <v/>
      </c>
      <c r="J224" s="4" t="str">
        <f t="shared" si="37"/>
        <v/>
      </c>
      <c r="K224" s="4" t="str">
        <f t="shared" si="38"/>
        <v/>
      </c>
      <c r="L224" s="4" t="str">
        <f t="shared" si="39"/>
        <v/>
      </c>
      <c r="M224" s="4"/>
      <c r="N224" s="4"/>
      <c r="O224" s="4"/>
      <c r="P224" s="4"/>
      <c r="Q224" s="4"/>
      <c r="R224" s="4"/>
      <c r="S224" s="4"/>
      <c r="T224" s="4"/>
      <c r="U224" s="4"/>
    </row>
    <row r="225" spans="1:21">
      <c r="A225" t="s">
        <v>230</v>
      </c>
      <c r="B225">
        <v>1</v>
      </c>
      <c r="C225" t="str">
        <f t="shared" si="33"/>
        <v>test.WorldController_1_</v>
      </c>
      <c r="D225">
        <v>10</v>
      </c>
      <c r="E225" s="4">
        <v>0.48520710059171596</v>
      </c>
      <c r="F225" s="4">
        <v>0.23016511038278401</v>
      </c>
      <c r="G225" s="4" t="str">
        <f t="shared" si="34"/>
        <v/>
      </c>
      <c r="H225" s="4">
        <f t="shared" si="35"/>
        <v>0.48520710059171596</v>
      </c>
      <c r="I225" s="4" t="str">
        <f t="shared" si="36"/>
        <v/>
      </c>
      <c r="J225" s="4" t="str">
        <f t="shared" si="37"/>
        <v/>
      </c>
      <c r="K225" s="4" t="str">
        <f t="shared" si="38"/>
        <v/>
      </c>
      <c r="L225" s="4" t="str">
        <f t="shared" si="39"/>
        <v/>
      </c>
      <c r="M225" s="4"/>
      <c r="N225" s="4"/>
      <c r="O225" s="4"/>
      <c r="P225" s="4"/>
      <c r="Q225" s="4"/>
      <c r="R225" s="4"/>
      <c r="S225" s="4"/>
      <c r="T225" s="4"/>
      <c r="U225" s="4"/>
    </row>
    <row r="226" spans="1:21">
      <c r="A226" t="s">
        <v>230</v>
      </c>
      <c r="B226">
        <v>1</v>
      </c>
      <c r="C226" t="str">
        <f t="shared" si="33"/>
        <v>test.WorldController_1_</v>
      </c>
      <c r="D226">
        <v>11</v>
      </c>
      <c r="E226" s="4">
        <v>0.6449704142011834</v>
      </c>
      <c r="F226" s="4">
        <v>0.24924247109022324</v>
      </c>
      <c r="G226" s="4" t="str">
        <f t="shared" si="34"/>
        <v/>
      </c>
      <c r="H226" s="4">
        <f t="shared" si="35"/>
        <v>0.6449704142011834</v>
      </c>
      <c r="I226" s="4" t="str">
        <f t="shared" si="36"/>
        <v/>
      </c>
      <c r="J226" s="4" t="str">
        <f t="shared" si="37"/>
        <v/>
      </c>
      <c r="K226" s="4" t="str">
        <f t="shared" si="38"/>
        <v/>
      </c>
      <c r="L226" s="4" t="str">
        <f t="shared" si="39"/>
        <v/>
      </c>
      <c r="M226" s="4"/>
      <c r="N226" s="4"/>
      <c r="O226" s="4"/>
      <c r="P226" s="4"/>
      <c r="Q226" s="4"/>
      <c r="R226" s="4"/>
      <c r="S226" s="4"/>
      <c r="T226" s="4"/>
      <c r="U226" s="4"/>
    </row>
    <row r="227" spans="1:21">
      <c r="A227" t="s">
        <v>230</v>
      </c>
      <c r="B227">
        <v>1</v>
      </c>
      <c r="C227" t="str">
        <f t="shared" si="33"/>
        <v>test.WorldController_1_</v>
      </c>
      <c r="D227">
        <v>12</v>
      </c>
      <c r="E227" s="4">
        <v>0.73372781065088755</v>
      </c>
      <c r="F227" s="4">
        <v>0.25273637993939768</v>
      </c>
      <c r="G227" s="4" t="str">
        <f t="shared" si="34"/>
        <v/>
      </c>
      <c r="H227" s="4">
        <f t="shared" si="35"/>
        <v>0.73372781065088755</v>
      </c>
      <c r="I227" s="4" t="str">
        <f t="shared" si="36"/>
        <v/>
      </c>
      <c r="J227" s="4" t="str">
        <f t="shared" si="37"/>
        <v/>
      </c>
      <c r="K227" s="4" t="str">
        <f t="shared" si="38"/>
        <v/>
      </c>
      <c r="L227" s="4" t="str">
        <f t="shared" si="39"/>
        <v/>
      </c>
      <c r="M227" s="4"/>
      <c r="N227" s="4"/>
      <c r="O227" s="4"/>
      <c r="P227" s="4"/>
      <c r="Q227" s="4"/>
      <c r="R227" s="4"/>
      <c r="S227" s="4"/>
      <c r="T227" s="4"/>
      <c r="U227" s="4"/>
    </row>
    <row r="228" spans="1:21">
      <c r="A228" t="s">
        <v>230</v>
      </c>
      <c r="B228">
        <v>1</v>
      </c>
      <c r="C228" t="str">
        <f t="shared" si="33"/>
        <v>test.WorldController_1_</v>
      </c>
      <c r="D228">
        <v>13</v>
      </c>
      <c r="E228" s="4">
        <v>0.74556213017751483</v>
      </c>
      <c r="F228" s="4">
        <v>0.26516603796920413</v>
      </c>
      <c r="G228" s="4" t="str">
        <f t="shared" si="34"/>
        <v/>
      </c>
      <c r="H228" s="4">
        <f t="shared" si="35"/>
        <v>0.74556213017751483</v>
      </c>
      <c r="I228" s="4" t="str">
        <f t="shared" si="36"/>
        <v/>
      </c>
      <c r="J228" s="4" t="str">
        <f t="shared" si="37"/>
        <v/>
      </c>
      <c r="K228" s="4" t="str">
        <f t="shared" si="38"/>
        <v/>
      </c>
      <c r="L228" s="4" t="str">
        <f t="shared" si="39"/>
        <v/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1">
      <c r="A229" t="s">
        <v>230</v>
      </c>
      <c r="B229">
        <v>1</v>
      </c>
      <c r="C229" t="str">
        <f t="shared" si="33"/>
        <v>test.WorldController_1_</v>
      </c>
      <c r="D229">
        <v>14</v>
      </c>
      <c r="E229" s="4">
        <v>0.90532544378698221</v>
      </c>
      <c r="F229" s="4">
        <v>0.26541339434790673</v>
      </c>
      <c r="G229" s="4" t="str">
        <f t="shared" si="34"/>
        <v/>
      </c>
      <c r="H229" s="4">
        <f t="shared" si="35"/>
        <v>0.90532544378698221</v>
      </c>
      <c r="I229" s="4" t="str">
        <f t="shared" si="36"/>
        <v/>
      </c>
      <c r="J229" s="4" t="str">
        <f t="shared" si="37"/>
        <v/>
      </c>
      <c r="K229" s="4" t="str">
        <f t="shared" si="38"/>
        <v/>
      </c>
      <c r="L229" s="4" t="str">
        <f t="shared" si="39"/>
        <v/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1">
      <c r="A230" t="s">
        <v>230</v>
      </c>
      <c r="B230">
        <v>1</v>
      </c>
      <c r="C230" t="str">
        <f t="shared" si="33"/>
        <v>test.WorldController_1_</v>
      </c>
      <c r="D230">
        <v>15</v>
      </c>
      <c r="E230" s="4">
        <v>0.91715976331360949</v>
      </c>
      <c r="F230" s="4">
        <v>0.27926535155525323</v>
      </c>
      <c r="G230" s="4" t="str">
        <f t="shared" si="34"/>
        <v/>
      </c>
      <c r="H230" s="4">
        <f t="shared" si="35"/>
        <v>0.91715976331360949</v>
      </c>
      <c r="I230" s="4" t="str">
        <f t="shared" si="36"/>
        <v/>
      </c>
      <c r="J230" s="4" t="str">
        <f t="shared" si="37"/>
        <v/>
      </c>
      <c r="K230" s="4" t="str">
        <f t="shared" si="38"/>
        <v/>
      </c>
      <c r="L230" s="4" t="str">
        <f t="shared" si="39"/>
        <v/>
      </c>
      <c r="M230" s="4"/>
      <c r="N230" s="4"/>
      <c r="O230" s="4"/>
      <c r="P230" s="4"/>
      <c r="Q230" s="4"/>
      <c r="R230" s="4"/>
      <c r="S230" s="4"/>
      <c r="T230" s="4"/>
      <c r="U230" s="4"/>
    </row>
    <row r="231" spans="1:21">
      <c r="A231" t="s">
        <v>230</v>
      </c>
      <c r="B231">
        <v>1</v>
      </c>
      <c r="C231" t="str">
        <f t="shared" si="33"/>
        <v>test.WorldController_1_</v>
      </c>
      <c r="D231">
        <v>16</v>
      </c>
      <c r="E231" s="4">
        <v>1</v>
      </c>
      <c r="F231" s="4">
        <v>0.31998639539917134</v>
      </c>
      <c r="G231" s="4" t="str">
        <f t="shared" si="34"/>
        <v/>
      </c>
      <c r="H231" s="4">
        <f t="shared" si="35"/>
        <v>1</v>
      </c>
      <c r="I231" s="4" t="str">
        <f t="shared" si="36"/>
        <v/>
      </c>
      <c r="J231" s="4" t="str">
        <f t="shared" si="37"/>
        <v/>
      </c>
      <c r="K231" s="4" t="str">
        <f t="shared" si="38"/>
        <v/>
      </c>
      <c r="L231" s="4" t="str">
        <f t="shared" si="39"/>
        <v/>
      </c>
      <c r="M231" s="4"/>
      <c r="N231" s="4"/>
      <c r="O231" s="4"/>
      <c r="P231" s="4"/>
      <c r="Q231" s="4"/>
      <c r="R231" s="4"/>
      <c r="S231" s="4"/>
      <c r="T231" s="4"/>
      <c r="U231" s="4"/>
    </row>
    <row r="232" spans="1:21">
      <c r="A232" t="s">
        <v>231</v>
      </c>
      <c r="B232">
        <v>4</v>
      </c>
      <c r="C232" t="str">
        <f t="shared" si="33"/>
        <v>test.TIFFFaxDecoder_4_</v>
      </c>
      <c r="D232">
        <v>1</v>
      </c>
      <c r="E232" s="4">
        <v>0.1038961038961039</v>
      </c>
      <c r="F232" s="4">
        <v>1.1486598967870817E-2</v>
      </c>
      <c r="G232" s="4">
        <f t="shared" si="34"/>
        <v>0.1038961038961039</v>
      </c>
      <c r="H232" s="4" t="str">
        <f t="shared" si="35"/>
        <v/>
      </c>
      <c r="I232" s="4" t="str">
        <f t="shared" si="36"/>
        <v/>
      </c>
      <c r="J232" s="4" t="str">
        <f t="shared" si="37"/>
        <v/>
      </c>
      <c r="K232" s="4" t="str">
        <f t="shared" si="38"/>
        <v/>
      </c>
      <c r="L232" s="4" t="str">
        <f t="shared" si="39"/>
        <v/>
      </c>
      <c r="M232" s="4"/>
      <c r="N232" s="4"/>
      <c r="O232" s="4"/>
      <c r="P232" s="4"/>
      <c r="Q232" s="4"/>
      <c r="R232" s="4"/>
      <c r="S232" s="4"/>
      <c r="T232" s="4"/>
      <c r="U232" s="4"/>
    </row>
    <row r="233" spans="1:21">
      <c r="A233" t="s">
        <v>231</v>
      </c>
      <c r="B233">
        <v>4</v>
      </c>
      <c r="C233" t="str">
        <f t="shared" si="33"/>
        <v>test.TIFFFaxDecoder_4_</v>
      </c>
      <c r="D233">
        <v>2</v>
      </c>
      <c r="E233" s="4">
        <v>0.25974025974025972</v>
      </c>
      <c r="F233" s="4">
        <v>0.11875034681760169</v>
      </c>
      <c r="G233" s="4">
        <f t="shared" si="34"/>
        <v>0.25974025974025972</v>
      </c>
      <c r="H233" s="4" t="str">
        <f t="shared" si="35"/>
        <v/>
      </c>
      <c r="I233" s="4" t="str">
        <f t="shared" si="36"/>
        <v/>
      </c>
      <c r="J233" s="4" t="str">
        <f t="shared" si="37"/>
        <v/>
      </c>
      <c r="K233" s="4" t="str">
        <f t="shared" si="38"/>
        <v/>
      </c>
      <c r="L233" s="4" t="str">
        <f t="shared" si="39"/>
        <v/>
      </c>
      <c r="M233" s="4"/>
      <c r="N233" s="4"/>
      <c r="O233" s="4"/>
      <c r="P233" s="4"/>
      <c r="Q233" s="4"/>
      <c r="R233" s="4"/>
      <c r="S233" s="4"/>
      <c r="T233" s="4"/>
      <c r="U233" s="4"/>
    </row>
    <row r="234" spans="1:21">
      <c r="A234" t="s">
        <v>231</v>
      </c>
      <c r="B234">
        <v>4</v>
      </c>
      <c r="C234" t="str">
        <f t="shared" si="33"/>
        <v>test.TIFFFaxDecoder_4_</v>
      </c>
      <c r="D234">
        <v>3</v>
      </c>
      <c r="E234" s="4">
        <v>0.53246753246753242</v>
      </c>
      <c r="F234" s="4">
        <v>0.30786304866544589</v>
      </c>
      <c r="G234" s="4" t="str">
        <f t="shared" si="34"/>
        <v/>
      </c>
      <c r="H234" s="4">
        <f t="shared" si="35"/>
        <v>0.53246753246753242</v>
      </c>
      <c r="I234" s="4" t="str">
        <f t="shared" si="36"/>
        <v/>
      </c>
      <c r="J234" s="4" t="str">
        <f t="shared" si="37"/>
        <v/>
      </c>
      <c r="K234" s="4" t="str">
        <f t="shared" si="38"/>
        <v/>
      </c>
      <c r="L234" s="4" t="str">
        <f t="shared" si="39"/>
        <v/>
      </c>
      <c r="M234" s="4"/>
      <c r="N234" s="4"/>
      <c r="O234" s="4"/>
      <c r="P234" s="4"/>
      <c r="Q234" s="4"/>
      <c r="R234" s="4"/>
      <c r="S234" s="4"/>
      <c r="T234" s="4"/>
      <c r="U234" s="4"/>
    </row>
    <row r="235" spans="1:21">
      <c r="A235" t="s">
        <v>231</v>
      </c>
      <c r="B235">
        <v>4</v>
      </c>
      <c r="C235" t="str">
        <f t="shared" si="33"/>
        <v>test.TIFFFaxDecoder_4_</v>
      </c>
      <c r="D235">
        <v>4</v>
      </c>
      <c r="E235" s="4">
        <v>0.55844155844155841</v>
      </c>
      <c r="F235" s="4">
        <v>0.31080406192775095</v>
      </c>
      <c r="G235" s="4" t="str">
        <f t="shared" si="34"/>
        <v/>
      </c>
      <c r="H235" s="4">
        <f t="shared" si="35"/>
        <v>0.55844155844155841</v>
      </c>
      <c r="I235" s="4" t="str">
        <f t="shared" si="36"/>
        <v/>
      </c>
      <c r="J235" s="4" t="str">
        <f t="shared" si="37"/>
        <v/>
      </c>
      <c r="K235" s="4" t="str">
        <f t="shared" si="38"/>
        <v/>
      </c>
      <c r="L235" s="4" t="str">
        <f t="shared" si="39"/>
        <v/>
      </c>
      <c r="M235" s="4"/>
      <c r="N235" s="4"/>
      <c r="O235" s="4"/>
      <c r="P235" s="4"/>
      <c r="Q235" s="4"/>
      <c r="R235" s="4"/>
      <c r="S235" s="4"/>
      <c r="T235" s="4"/>
      <c r="U235" s="4"/>
    </row>
    <row r="236" spans="1:21">
      <c r="A236" t="s">
        <v>231</v>
      </c>
      <c r="B236">
        <v>4</v>
      </c>
      <c r="C236" t="str">
        <f t="shared" si="33"/>
        <v>test.TIFFFaxDecoder_4_</v>
      </c>
      <c r="D236">
        <v>5</v>
      </c>
      <c r="E236" s="4">
        <v>0.62337662337662336</v>
      </c>
      <c r="F236" s="4">
        <v>0.33144664558015646</v>
      </c>
      <c r="G236" s="4" t="str">
        <f t="shared" si="34"/>
        <v/>
      </c>
      <c r="H236" s="4">
        <f t="shared" si="35"/>
        <v>0.62337662337662336</v>
      </c>
      <c r="I236" s="4" t="str">
        <f t="shared" si="36"/>
        <v/>
      </c>
      <c r="J236" s="4" t="str">
        <f t="shared" si="37"/>
        <v/>
      </c>
      <c r="K236" s="4" t="str">
        <f t="shared" si="38"/>
        <v/>
      </c>
      <c r="L236" s="4" t="str">
        <f t="shared" si="39"/>
        <v/>
      </c>
      <c r="M236" s="4"/>
      <c r="N236" s="4"/>
      <c r="O236" s="4"/>
      <c r="P236" s="4"/>
      <c r="Q236" s="4"/>
      <c r="R236" s="4"/>
      <c r="S236" s="4"/>
      <c r="T236" s="4"/>
      <c r="U236" s="4"/>
    </row>
    <row r="237" spans="1:21">
      <c r="A237" t="s">
        <v>231</v>
      </c>
      <c r="B237">
        <v>4</v>
      </c>
      <c r="C237" t="str">
        <f t="shared" si="33"/>
        <v>test.TIFFFaxDecoder_4_</v>
      </c>
      <c r="D237">
        <v>6</v>
      </c>
      <c r="E237" s="4">
        <v>0.74025974025974028</v>
      </c>
      <c r="F237" s="4">
        <v>0.49503357194384329</v>
      </c>
      <c r="G237" s="4" t="str">
        <f t="shared" si="34"/>
        <v/>
      </c>
      <c r="H237" s="4" t="str">
        <f t="shared" si="35"/>
        <v/>
      </c>
      <c r="I237" s="4">
        <f t="shared" si="36"/>
        <v>0.74025974025974028</v>
      </c>
      <c r="J237" s="4" t="str">
        <f t="shared" si="37"/>
        <v/>
      </c>
      <c r="K237" s="4" t="str">
        <f t="shared" si="38"/>
        <v/>
      </c>
      <c r="L237" s="4" t="str">
        <f t="shared" si="39"/>
        <v/>
      </c>
      <c r="M237" s="4"/>
      <c r="N237" s="4"/>
      <c r="O237" s="4"/>
      <c r="P237" s="4"/>
      <c r="Q237" s="4"/>
      <c r="R237" s="4"/>
      <c r="S237" s="4"/>
      <c r="T237" s="4"/>
      <c r="U237" s="4"/>
    </row>
    <row r="238" spans="1:21">
      <c r="A238" t="s">
        <v>231</v>
      </c>
      <c r="B238">
        <v>4</v>
      </c>
      <c r="C238" t="str">
        <f t="shared" si="33"/>
        <v>test.TIFFFaxDecoder_4_</v>
      </c>
      <c r="D238">
        <v>7</v>
      </c>
      <c r="E238" s="4">
        <v>0.94805194805194803</v>
      </c>
      <c r="F238" s="4">
        <v>0.76799289717551744</v>
      </c>
      <c r="G238" s="4" t="str">
        <f t="shared" si="34"/>
        <v/>
      </c>
      <c r="H238" s="4" t="str">
        <f t="shared" si="35"/>
        <v/>
      </c>
      <c r="I238" s="4" t="str">
        <f t="shared" si="36"/>
        <v/>
      </c>
      <c r="J238" s="4">
        <f t="shared" si="37"/>
        <v>0.94805194805194803</v>
      </c>
      <c r="K238" s="4" t="str">
        <f t="shared" si="38"/>
        <v/>
      </c>
      <c r="L238" s="4" t="str">
        <f t="shared" si="39"/>
        <v/>
      </c>
      <c r="M238" s="4"/>
      <c r="N238" s="4"/>
      <c r="O238" s="4"/>
      <c r="P238" s="4"/>
      <c r="Q238" s="4"/>
      <c r="R238" s="4"/>
      <c r="S238" s="4"/>
      <c r="T238" s="4"/>
      <c r="U238" s="4"/>
    </row>
    <row r="239" spans="1:21">
      <c r="A239" t="s">
        <v>231</v>
      </c>
      <c r="B239">
        <v>5</v>
      </c>
      <c r="C239" t="str">
        <f t="shared" si="33"/>
        <v>test.TIFFFaxDecoder_5_</v>
      </c>
      <c r="D239">
        <v>1</v>
      </c>
      <c r="E239" s="4">
        <v>0.29921259842519687</v>
      </c>
      <c r="F239" s="4">
        <v>0.19221331588418125</v>
      </c>
      <c r="G239" s="4">
        <f t="shared" si="34"/>
        <v>0.29921259842519687</v>
      </c>
      <c r="H239" s="4" t="str">
        <f t="shared" si="35"/>
        <v/>
      </c>
      <c r="I239" s="4" t="str">
        <f t="shared" si="36"/>
        <v/>
      </c>
      <c r="J239" s="4" t="str">
        <f t="shared" si="37"/>
        <v/>
      </c>
      <c r="K239" s="4" t="str">
        <f t="shared" si="38"/>
        <v/>
      </c>
      <c r="L239" s="4" t="str">
        <f t="shared" si="39"/>
        <v/>
      </c>
      <c r="M239" s="4"/>
      <c r="N239" s="4"/>
      <c r="O239" s="4"/>
      <c r="P239" s="4"/>
      <c r="Q239" s="4"/>
      <c r="R239" s="4"/>
      <c r="S239" s="4"/>
      <c r="T239" s="4"/>
      <c r="U239" s="4"/>
    </row>
    <row r="240" spans="1:21">
      <c r="A240" t="s">
        <v>231</v>
      </c>
      <c r="B240">
        <v>5</v>
      </c>
      <c r="C240" t="str">
        <f t="shared" si="33"/>
        <v>test.TIFFFaxDecoder_5_</v>
      </c>
      <c r="D240">
        <v>2</v>
      </c>
      <c r="E240" s="4">
        <v>0.32283464566929132</v>
      </c>
      <c r="F240" s="4">
        <v>0.20088336332406348</v>
      </c>
      <c r="G240" s="4" t="str">
        <f t="shared" si="34"/>
        <v/>
      </c>
      <c r="H240" s="4">
        <f t="shared" si="35"/>
        <v>0.32283464566929132</v>
      </c>
      <c r="I240" s="4" t="str">
        <f t="shared" si="36"/>
        <v/>
      </c>
      <c r="J240" s="4" t="str">
        <f t="shared" si="37"/>
        <v/>
      </c>
      <c r="K240" s="4" t="str">
        <f t="shared" si="38"/>
        <v/>
      </c>
      <c r="L240" s="4" t="str">
        <f t="shared" si="39"/>
        <v/>
      </c>
      <c r="M240" s="4"/>
      <c r="N240" s="4"/>
      <c r="O240" s="4"/>
      <c r="P240" s="4"/>
      <c r="Q240" s="4"/>
      <c r="R240" s="4"/>
      <c r="S240" s="4"/>
      <c r="T240" s="4"/>
      <c r="U240" s="4"/>
    </row>
    <row r="241" spans="1:21">
      <c r="A241" t="s">
        <v>231</v>
      </c>
      <c r="B241">
        <v>5</v>
      </c>
      <c r="C241" t="str">
        <f t="shared" si="33"/>
        <v>test.TIFFFaxDecoder_5_</v>
      </c>
      <c r="D241">
        <v>3</v>
      </c>
      <c r="E241" s="4">
        <v>0.36220472440944884</v>
      </c>
      <c r="F241" s="4">
        <v>0.20454768526091935</v>
      </c>
      <c r="G241" s="4" t="str">
        <f t="shared" si="34"/>
        <v/>
      </c>
      <c r="H241" s="4">
        <f t="shared" si="35"/>
        <v>0.36220472440944884</v>
      </c>
      <c r="I241" s="4" t="str">
        <f t="shared" si="36"/>
        <v/>
      </c>
      <c r="J241" s="4" t="str">
        <f t="shared" si="37"/>
        <v/>
      </c>
      <c r="K241" s="4" t="str">
        <f t="shared" si="38"/>
        <v/>
      </c>
      <c r="L241" s="4" t="str">
        <f t="shared" si="39"/>
        <v/>
      </c>
      <c r="M241" s="4"/>
      <c r="N241" s="4"/>
      <c r="O241" s="4"/>
      <c r="P241" s="4"/>
      <c r="Q241" s="4"/>
      <c r="R241" s="4"/>
      <c r="S241" s="4"/>
      <c r="T241" s="4"/>
      <c r="U241" s="4"/>
    </row>
    <row r="242" spans="1:21">
      <c r="A242" t="s">
        <v>231</v>
      </c>
      <c r="B242">
        <v>5</v>
      </c>
      <c r="C242" t="str">
        <f t="shared" si="33"/>
        <v>test.TIFFFaxDecoder_5_</v>
      </c>
      <c r="D242">
        <v>4</v>
      </c>
      <c r="E242" s="4">
        <v>0.38582677165354329</v>
      </c>
      <c r="F242" s="4">
        <v>0.21822345820382791</v>
      </c>
      <c r="G242" s="4" t="str">
        <f t="shared" si="34"/>
        <v/>
      </c>
      <c r="H242" s="4">
        <f t="shared" si="35"/>
        <v>0.38582677165354329</v>
      </c>
      <c r="I242" s="4" t="str">
        <f t="shared" si="36"/>
        <v/>
      </c>
      <c r="J242" s="4" t="str">
        <f t="shared" si="37"/>
        <v/>
      </c>
      <c r="K242" s="4" t="str">
        <f t="shared" si="38"/>
        <v/>
      </c>
      <c r="L242" s="4" t="str">
        <f t="shared" si="39"/>
        <v/>
      </c>
      <c r="M242" s="4"/>
      <c r="N242" s="4"/>
      <c r="O242" s="4"/>
      <c r="P242" s="4"/>
      <c r="Q242" s="4"/>
      <c r="R242" s="4"/>
      <c r="S242" s="4"/>
      <c r="T242" s="4"/>
      <c r="U242" s="4"/>
    </row>
    <row r="243" spans="1:21">
      <c r="A243" t="s">
        <v>231</v>
      </c>
      <c r="B243">
        <v>5</v>
      </c>
      <c r="C243" t="str">
        <f t="shared" si="33"/>
        <v>test.TIFFFaxDecoder_5_</v>
      </c>
      <c r="D243">
        <v>5</v>
      </c>
      <c r="E243" s="4">
        <v>0.45669291338582679</v>
      </c>
      <c r="F243" s="4">
        <v>0.31208899067560936</v>
      </c>
      <c r="G243" s="4" t="str">
        <f t="shared" si="34"/>
        <v/>
      </c>
      <c r="H243" s="4">
        <f t="shared" si="35"/>
        <v>0.45669291338582679</v>
      </c>
      <c r="I243" s="4" t="str">
        <f t="shared" si="36"/>
        <v/>
      </c>
      <c r="J243" s="4" t="str">
        <f t="shared" si="37"/>
        <v/>
      </c>
      <c r="K243" s="4" t="str">
        <f t="shared" si="38"/>
        <v/>
      </c>
      <c r="L243" s="4" t="str">
        <f t="shared" si="39"/>
        <v/>
      </c>
      <c r="M243" s="4"/>
      <c r="N243" s="4"/>
      <c r="O243" s="4"/>
      <c r="P243" s="4"/>
      <c r="Q243" s="4"/>
      <c r="R243" s="4"/>
      <c r="S243" s="4"/>
      <c r="T243" s="4"/>
      <c r="U243" s="4"/>
    </row>
    <row r="244" spans="1:21">
      <c r="A244" t="s">
        <v>231</v>
      </c>
      <c r="B244">
        <v>5</v>
      </c>
      <c r="C244" t="str">
        <f t="shared" si="33"/>
        <v>test.TIFFFaxDecoder_5_</v>
      </c>
      <c r="D244">
        <v>6</v>
      </c>
      <c r="E244" s="4">
        <v>0.58267716535433067</v>
      </c>
      <c r="F244" s="4">
        <v>0.48454114182888924</v>
      </c>
      <c r="G244" s="4" t="str">
        <f t="shared" si="34"/>
        <v/>
      </c>
      <c r="H244" s="4" t="str">
        <f t="shared" si="35"/>
        <v/>
      </c>
      <c r="I244" s="4">
        <f t="shared" si="36"/>
        <v>0.58267716535433067</v>
      </c>
      <c r="J244" s="4" t="str">
        <f t="shared" si="37"/>
        <v/>
      </c>
      <c r="K244" s="4" t="str">
        <f t="shared" si="38"/>
        <v/>
      </c>
      <c r="L244" s="4" t="str">
        <f t="shared" si="39"/>
        <v/>
      </c>
      <c r="M244" s="4"/>
      <c r="N244" s="4"/>
      <c r="O244" s="4"/>
      <c r="P244" s="4"/>
      <c r="Q244" s="4"/>
      <c r="R244" s="4"/>
      <c r="S244" s="4"/>
      <c r="T244" s="4"/>
      <c r="U244" s="4"/>
    </row>
    <row r="245" spans="1:21">
      <c r="A245" t="s">
        <v>231</v>
      </c>
      <c r="B245">
        <v>5</v>
      </c>
      <c r="C245" t="str">
        <f t="shared" si="33"/>
        <v>test.TIFFFaxDecoder_5_</v>
      </c>
      <c r="D245">
        <v>7</v>
      </c>
      <c r="E245" s="4">
        <v>0.83464566929133854</v>
      </c>
      <c r="F245" s="4">
        <v>0.56940945525928355</v>
      </c>
      <c r="G245" s="4" t="str">
        <f t="shared" si="34"/>
        <v/>
      </c>
      <c r="H245" s="4" t="str">
        <f t="shared" si="35"/>
        <v/>
      </c>
      <c r="I245" s="4">
        <f t="shared" si="36"/>
        <v>0.83464566929133854</v>
      </c>
      <c r="J245" s="4" t="str">
        <f t="shared" si="37"/>
        <v/>
      </c>
      <c r="K245" s="4" t="str">
        <f t="shared" si="38"/>
        <v/>
      </c>
      <c r="L245" s="4" t="str">
        <f t="shared" si="39"/>
        <v/>
      </c>
      <c r="M245" s="4"/>
      <c r="N245" s="4"/>
      <c r="O245" s="4"/>
      <c r="P245" s="4"/>
      <c r="Q245" s="4"/>
      <c r="R245" s="4"/>
      <c r="S245" s="4"/>
      <c r="T245" s="4"/>
      <c r="U245" s="4"/>
    </row>
    <row r="246" spans="1:21">
      <c r="A246" t="s">
        <v>231</v>
      </c>
      <c r="B246">
        <v>5</v>
      </c>
      <c r="C246" t="str">
        <f t="shared" si="33"/>
        <v>test.TIFFFaxDecoder_5_</v>
      </c>
      <c r="D246">
        <v>8</v>
      </c>
      <c r="E246" s="4">
        <v>0.96850393700787396</v>
      </c>
      <c r="F246" s="4">
        <v>0.63052511042041548</v>
      </c>
      <c r="G246" s="4" t="str">
        <f t="shared" si="34"/>
        <v/>
      </c>
      <c r="H246" s="4" t="str">
        <f t="shared" si="35"/>
        <v/>
      </c>
      <c r="I246" s="4" t="str">
        <f t="shared" si="36"/>
        <v/>
      </c>
      <c r="J246" s="4">
        <f t="shared" si="37"/>
        <v>0.96850393700787396</v>
      </c>
      <c r="K246" s="4" t="str">
        <f t="shared" si="38"/>
        <v/>
      </c>
      <c r="L246" s="4" t="str">
        <f t="shared" si="39"/>
        <v/>
      </c>
      <c r="M246" s="4"/>
      <c r="N246" s="4"/>
      <c r="O246" s="4"/>
      <c r="P246" s="4"/>
      <c r="Q246" s="4"/>
      <c r="R246" s="4"/>
      <c r="S246" s="4"/>
      <c r="T246" s="4"/>
      <c r="U246" s="4"/>
    </row>
    <row r="247" spans="1:21">
      <c r="A247" t="s">
        <v>231</v>
      </c>
      <c r="B247">
        <v>7</v>
      </c>
      <c r="C247" t="str">
        <f t="shared" si="33"/>
        <v>test.TIFFFaxDecoder_7_</v>
      </c>
      <c r="D247">
        <v>1</v>
      </c>
      <c r="E247" s="4">
        <v>0.30303030303030304</v>
      </c>
      <c r="F247" s="4">
        <v>0.27800000000000002</v>
      </c>
      <c r="G247" s="4" t="str">
        <f t="shared" si="34"/>
        <v/>
      </c>
      <c r="H247" s="4">
        <f t="shared" si="35"/>
        <v>0.30303030303030304</v>
      </c>
      <c r="I247" s="4" t="str">
        <f t="shared" si="36"/>
        <v/>
      </c>
      <c r="J247" s="4" t="str">
        <f t="shared" si="37"/>
        <v/>
      </c>
      <c r="K247" s="4" t="str">
        <f t="shared" si="38"/>
        <v/>
      </c>
      <c r="L247" s="4" t="str">
        <f t="shared" si="39"/>
        <v/>
      </c>
      <c r="M247" s="4"/>
      <c r="N247" s="4"/>
      <c r="O247" s="4"/>
      <c r="P247" s="4"/>
      <c r="Q247" s="4"/>
      <c r="R247" s="4"/>
      <c r="S247" s="4"/>
      <c r="T247" s="4"/>
      <c r="U247" s="4"/>
    </row>
    <row r="248" spans="1:21">
      <c r="A248" t="s">
        <v>231</v>
      </c>
      <c r="B248">
        <v>7</v>
      </c>
      <c r="C248" t="str">
        <f t="shared" si="33"/>
        <v>test.TIFFFaxDecoder_7_</v>
      </c>
      <c r="D248">
        <v>2</v>
      </c>
      <c r="E248" s="4">
        <v>0.36363636363636365</v>
      </c>
      <c r="F248" s="4">
        <v>0.35199999999999998</v>
      </c>
      <c r="G248" s="4" t="str">
        <f t="shared" si="34"/>
        <v/>
      </c>
      <c r="H248" s="4">
        <f t="shared" si="35"/>
        <v>0.36363636363636365</v>
      </c>
      <c r="I248" s="4" t="str">
        <f t="shared" si="36"/>
        <v/>
      </c>
      <c r="J248" s="4" t="str">
        <f t="shared" si="37"/>
        <v/>
      </c>
      <c r="K248" s="4" t="str">
        <f t="shared" si="38"/>
        <v/>
      </c>
      <c r="L248" s="4" t="str">
        <f t="shared" si="39"/>
        <v/>
      </c>
      <c r="M248" s="4"/>
      <c r="N248" s="4"/>
      <c r="O248" s="4"/>
      <c r="P248" s="4"/>
      <c r="Q248" s="4"/>
      <c r="R248" s="4"/>
      <c r="S248" s="4"/>
      <c r="T248" s="4"/>
      <c r="U248" s="4"/>
    </row>
    <row r="249" spans="1:21">
      <c r="A249" t="s">
        <v>231</v>
      </c>
      <c r="B249">
        <v>7</v>
      </c>
      <c r="C249" t="str">
        <f t="shared" si="33"/>
        <v>test.TIFFFaxDecoder_7_</v>
      </c>
      <c r="D249">
        <v>3</v>
      </c>
      <c r="E249" s="4">
        <v>0.63636363636363635</v>
      </c>
      <c r="F249" s="4">
        <v>0.85599999999999998</v>
      </c>
      <c r="G249" s="4" t="str">
        <f t="shared" si="34"/>
        <v/>
      </c>
      <c r="H249" s="4" t="str">
        <f t="shared" si="35"/>
        <v/>
      </c>
      <c r="I249" s="4" t="str">
        <f t="shared" si="36"/>
        <v/>
      </c>
      <c r="J249" s="4" t="str">
        <f t="shared" si="37"/>
        <v/>
      </c>
      <c r="K249" s="4">
        <f t="shared" si="38"/>
        <v>0.63636363636363635</v>
      </c>
      <c r="L249" s="4" t="str">
        <f t="shared" si="39"/>
        <v/>
      </c>
      <c r="M249" s="4"/>
      <c r="N249" s="4"/>
      <c r="O249" s="4"/>
      <c r="P249" s="4"/>
      <c r="Q249" s="4"/>
      <c r="R249" s="4"/>
      <c r="S249" s="4"/>
      <c r="T249" s="4"/>
      <c r="U249" s="4"/>
    </row>
    <row r="250" spans="1:21">
      <c r="A250" t="s">
        <v>231</v>
      </c>
      <c r="B250">
        <v>7</v>
      </c>
      <c r="C250" t="str">
        <f t="shared" si="33"/>
        <v>test.TIFFFaxDecoder_7_</v>
      </c>
      <c r="D250">
        <v>4</v>
      </c>
      <c r="E250" s="4">
        <v>1</v>
      </c>
      <c r="F250" s="4">
        <v>2.2130000000000001</v>
      </c>
      <c r="G250" s="4" t="str">
        <f t="shared" si="34"/>
        <v/>
      </c>
      <c r="H250" s="4" t="str">
        <f t="shared" si="35"/>
        <v/>
      </c>
      <c r="I250" s="4" t="str">
        <f t="shared" si="36"/>
        <v/>
      </c>
      <c r="J250" s="4" t="str">
        <f t="shared" si="37"/>
        <v/>
      </c>
      <c r="K250" s="4" t="str">
        <f t="shared" si="38"/>
        <v/>
      </c>
      <c r="L250" s="4">
        <f t="shared" si="39"/>
        <v>1</v>
      </c>
      <c r="M250" s="4"/>
      <c r="N250" s="4"/>
      <c r="O250" s="4"/>
      <c r="P250" s="4"/>
      <c r="Q250" s="4"/>
      <c r="R250" s="4"/>
      <c r="S250" s="4"/>
      <c r="T250" s="4"/>
      <c r="U250" s="4"/>
    </row>
    <row r="251" spans="1:21">
      <c r="A251" t="s">
        <v>231</v>
      </c>
      <c r="B251">
        <v>8</v>
      </c>
      <c r="C251" t="str">
        <f t="shared" si="33"/>
        <v>test.TIFFFaxDecoder_8_</v>
      </c>
      <c r="D251">
        <v>1</v>
      </c>
      <c r="E251" s="4">
        <v>0.38</v>
      </c>
      <c r="F251" s="4">
        <v>0.2904238618524333</v>
      </c>
      <c r="G251" s="4" t="str">
        <f t="shared" si="34"/>
        <v/>
      </c>
      <c r="H251" s="4">
        <f t="shared" si="35"/>
        <v>0.38</v>
      </c>
      <c r="I251" s="4" t="str">
        <f t="shared" si="36"/>
        <v/>
      </c>
      <c r="J251" s="4" t="str">
        <f t="shared" si="37"/>
        <v/>
      </c>
      <c r="K251" s="4" t="str">
        <f t="shared" si="38"/>
        <v/>
      </c>
      <c r="L251" s="4" t="str">
        <f t="shared" si="39"/>
        <v/>
      </c>
      <c r="M251" s="4"/>
      <c r="N251" s="4"/>
      <c r="O251" s="4"/>
      <c r="P251" s="4"/>
      <c r="Q251" s="4"/>
      <c r="R251" s="4"/>
      <c r="S251" s="4"/>
      <c r="T251" s="4"/>
      <c r="U251" s="4"/>
    </row>
    <row r="252" spans="1:21">
      <c r="A252" t="s">
        <v>231</v>
      </c>
      <c r="B252">
        <v>8</v>
      </c>
      <c r="C252" t="str">
        <f t="shared" si="33"/>
        <v>test.TIFFFaxDecoder_8_</v>
      </c>
      <c r="D252">
        <v>2</v>
      </c>
      <c r="E252" s="4">
        <v>0.56000000000000005</v>
      </c>
      <c r="F252" s="4">
        <v>0.48901098901098899</v>
      </c>
      <c r="G252" s="4" t="str">
        <f t="shared" si="34"/>
        <v/>
      </c>
      <c r="H252" s="4" t="str">
        <f t="shared" si="35"/>
        <v/>
      </c>
      <c r="I252" s="4">
        <f t="shared" si="36"/>
        <v>0.56000000000000005</v>
      </c>
      <c r="J252" s="4" t="str">
        <f t="shared" si="37"/>
        <v/>
      </c>
      <c r="K252" s="4" t="str">
        <f t="shared" si="38"/>
        <v/>
      </c>
      <c r="L252" s="4" t="str">
        <f t="shared" si="39"/>
        <v/>
      </c>
      <c r="M252" s="4"/>
      <c r="N252" s="4"/>
      <c r="O252" s="4"/>
      <c r="P252" s="4"/>
      <c r="Q252" s="4"/>
      <c r="R252" s="4"/>
      <c r="S252" s="4"/>
      <c r="T252" s="4"/>
      <c r="U252" s="4"/>
    </row>
    <row r="253" spans="1:21">
      <c r="A253" t="s">
        <v>231</v>
      </c>
      <c r="B253">
        <v>8</v>
      </c>
      <c r="C253" t="str">
        <f t="shared" si="33"/>
        <v>test.TIFFFaxDecoder_8_</v>
      </c>
      <c r="D253">
        <v>3</v>
      </c>
      <c r="E253" s="4">
        <v>0.68</v>
      </c>
      <c r="F253" s="4">
        <v>0.5266875981161695</v>
      </c>
      <c r="G253" s="4" t="str">
        <f t="shared" si="34"/>
        <v/>
      </c>
      <c r="H253" s="4" t="str">
        <f t="shared" si="35"/>
        <v/>
      </c>
      <c r="I253" s="4">
        <f t="shared" si="36"/>
        <v>0.68</v>
      </c>
      <c r="J253" s="4" t="str">
        <f t="shared" si="37"/>
        <v/>
      </c>
      <c r="K253" s="4" t="str">
        <f t="shared" si="38"/>
        <v/>
      </c>
      <c r="L253" s="4" t="str">
        <f t="shared" si="39"/>
        <v/>
      </c>
      <c r="M253" s="4"/>
      <c r="N253" s="4"/>
      <c r="O253" s="4"/>
      <c r="P253" s="4"/>
      <c r="Q253" s="4"/>
      <c r="R253" s="4"/>
      <c r="S253" s="4"/>
      <c r="T253" s="4"/>
      <c r="U253" s="4"/>
    </row>
    <row r="254" spans="1:21">
      <c r="A254" t="s">
        <v>231</v>
      </c>
      <c r="B254">
        <v>8</v>
      </c>
      <c r="C254" t="str">
        <f t="shared" si="33"/>
        <v>test.TIFFFaxDecoder_8_</v>
      </c>
      <c r="D254">
        <v>4</v>
      </c>
      <c r="E254" s="4">
        <v>0.88</v>
      </c>
      <c r="F254" s="4">
        <v>0.52825745682888536</v>
      </c>
      <c r="G254" s="4" t="str">
        <f t="shared" si="34"/>
        <v/>
      </c>
      <c r="H254" s="4" t="str">
        <f t="shared" si="35"/>
        <v/>
      </c>
      <c r="I254" s="4">
        <f t="shared" si="36"/>
        <v>0.88</v>
      </c>
      <c r="J254" s="4" t="str">
        <f t="shared" si="37"/>
        <v/>
      </c>
      <c r="K254" s="4" t="str">
        <f t="shared" si="38"/>
        <v/>
      </c>
      <c r="L254" s="4" t="str">
        <f t="shared" si="39"/>
        <v/>
      </c>
      <c r="M254" s="4"/>
      <c r="N254" s="4"/>
      <c r="O254" s="4"/>
      <c r="P254" s="4"/>
      <c r="Q254" s="4"/>
      <c r="R254" s="4"/>
      <c r="S254" s="4"/>
      <c r="T254" s="4"/>
      <c r="U254" s="4"/>
    </row>
    <row r="255" spans="1:21">
      <c r="A255" t="s">
        <v>231</v>
      </c>
      <c r="B255">
        <v>8</v>
      </c>
      <c r="C255" t="str">
        <f t="shared" si="33"/>
        <v>test.TIFFFaxDecoder_8_</v>
      </c>
      <c r="D255">
        <v>5</v>
      </c>
      <c r="E255" s="4">
        <v>1</v>
      </c>
      <c r="F255" s="4">
        <v>0.7009419152276295</v>
      </c>
      <c r="G255" s="4" t="str">
        <f t="shared" si="34"/>
        <v/>
      </c>
      <c r="H255" s="4" t="str">
        <f t="shared" si="35"/>
        <v/>
      </c>
      <c r="I255" s="4" t="str">
        <f t="shared" si="36"/>
        <v/>
      </c>
      <c r="J255" s="4">
        <f t="shared" si="37"/>
        <v>1</v>
      </c>
      <c r="K255" s="4" t="str">
        <f t="shared" si="38"/>
        <v/>
      </c>
      <c r="L255" s="4" t="str">
        <f t="shared" si="39"/>
        <v/>
      </c>
      <c r="M255" s="4"/>
      <c r="N255" s="4"/>
      <c r="O255" s="4"/>
      <c r="P255" s="4"/>
      <c r="Q255" s="4"/>
      <c r="R255" s="4"/>
      <c r="S255" s="4"/>
      <c r="T255" s="4"/>
      <c r="U255" s="4"/>
    </row>
    <row r="256" spans="1:21">
      <c r="A256" t="s">
        <v>231</v>
      </c>
      <c r="B256">
        <v>9</v>
      </c>
      <c r="C256" t="str">
        <f t="shared" si="33"/>
        <v>test.TIFFFaxDecoder_9_</v>
      </c>
      <c r="D256">
        <v>1</v>
      </c>
      <c r="E256" s="4">
        <v>0.19444444444444445</v>
      </c>
      <c r="F256" s="4">
        <v>0.24553151458137348</v>
      </c>
      <c r="G256" s="4" t="str">
        <f t="shared" si="34"/>
        <v/>
      </c>
      <c r="H256" s="4">
        <f t="shared" si="35"/>
        <v>0.19444444444444445</v>
      </c>
      <c r="I256" s="4" t="str">
        <f t="shared" si="36"/>
        <v/>
      </c>
      <c r="J256" s="4" t="str">
        <f t="shared" si="37"/>
        <v/>
      </c>
      <c r="K256" s="4" t="str">
        <f t="shared" si="38"/>
        <v/>
      </c>
      <c r="L256" s="4" t="str">
        <f t="shared" si="39"/>
        <v/>
      </c>
      <c r="M256" s="4"/>
      <c r="N256" s="4"/>
      <c r="O256" s="4"/>
      <c r="P256" s="4"/>
      <c r="Q256" s="4"/>
      <c r="R256" s="4"/>
      <c r="S256" s="4"/>
      <c r="T256" s="4"/>
      <c r="U256" s="4"/>
    </row>
    <row r="257" spans="1:21">
      <c r="A257" t="s">
        <v>231</v>
      </c>
      <c r="B257">
        <v>9</v>
      </c>
      <c r="C257" t="str">
        <f t="shared" si="33"/>
        <v>test.TIFFFaxDecoder_9_</v>
      </c>
      <c r="D257">
        <v>2</v>
      </c>
      <c r="E257" s="4">
        <v>0.30555555555555558</v>
      </c>
      <c r="F257" s="4">
        <v>0.24647224835371589</v>
      </c>
      <c r="G257" s="4" t="str">
        <f t="shared" si="34"/>
        <v/>
      </c>
      <c r="H257" s="4">
        <f t="shared" si="35"/>
        <v>0.30555555555555558</v>
      </c>
      <c r="I257" s="4" t="str">
        <f t="shared" si="36"/>
        <v/>
      </c>
      <c r="J257" s="4" t="str">
        <f t="shared" si="37"/>
        <v/>
      </c>
      <c r="K257" s="4" t="str">
        <f t="shared" si="38"/>
        <v/>
      </c>
      <c r="L257" s="4" t="str">
        <f t="shared" si="39"/>
        <v/>
      </c>
      <c r="M257" s="4"/>
      <c r="N257" s="4"/>
      <c r="O257" s="4"/>
      <c r="P257" s="4"/>
      <c r="Q257" s="4"/>
      <c r="R257" s="4"/>
      <c r="S257" s="4"/>
      <c r="T257" s="4"/>
      <c r="U257" s="4"/>
    </row>
    <row r="258" spans="1:21">
      <c r="A258" t="s">
        <v>231</v>
      </c>
      <c r="B258">
        <v>9</v>
      </c>
      <c r="C258" t="str">
        <f t="shared" si="33"/>
        <v>test.TIFFFaxDecoder_9_</v>
      </c>
      <c r="D258">
        <v>3</v>
      </c>
      <c r="E258" s="4">
        <v>0.33333333333333331</v>
      </c>
      <c r="F258" s="4">
        <v>0.24835371589840075</v>
      </c>
      <c r="G258" s="4" t="str">
        <f t="shared" si="34"/>
        <v/>
      </c>
      <c r="H258" s="4">
        <f t="shared" si="35"/>
        <v>0.33333333333333331</v>
      </c>
      <c r="I258" s="4" t="str">
        <f t="shared" si="36"/>
        <v/>
      </c>
      <c r="J258" s="4" t="str">
        <f t="shared" si="37"/>
        <v/>
      </c>
      <c r="K258" s="4" t="str">
        <f t="shared" si="38"/>
        <v/>
      </c>
      <c r="L258" s="4" t="str">
        <f t="shared" si="39"/>
        <v/>
      </c>
      <c r="M258" s="4"/>
      <c r="N258" s="4"/>
      <c r="O258" s="4"/>
      <c r="P258" s="4"/>
      <c r="Q258" s="4"/>
      <c r="R258" s="4"/>
      <c r="S258" s="4"/>
      <c r="T258" s="4"/>
      <c r="U258" s="4"/>
    </row>
    <row r="259" spans="1:21">
      <c r="A259" t="s">
        <v>231</v>
      </c>
      <c r="B259">
        <v>9</v>
      </c>
      <c r="C259" t="str">
        <f t="shared" ref="C259:C303" si="40">CONCATENATE(A259, "_",B259,"_")</f>
        <v>test.TIFFFaxDecoder_9_</v>
      </c>
      <c r="D259">
        <v>4</v>
      </c>
      <c r="E259" s="4">
        <v>0.47222222222222221</v>
      </c>
      <c r="F259" s="4">
        <v>0.29350893697083724</v>
      </c>
      <c r="G259" s="4" t="str">
        <f t="shared" ref="G259:G303" si="41">IF($F259 &lt;= 0.2,$E259,"")</f>
        <v/>
      </c>
      <c r="H259" s="4">
        <f t="shared" ref="H259:H303" si="42">IF(AND($F259 &gt; 0.2,$F259 &lt;= 0.4),$E259,"")</f>
        <v>0.47222222222222221</v>
      </c>
      <c r="I259" s="4" t="str">
        <f t="shared" ref="I259:I303" si="43">IF(AND($F259 &gt; 0.4,$F259 &lt;= 0.6),$E259,"")</f>
        <v/>
      </c>
      <c r="J259" s="4" t="str">
        <f t="shared" ref="J259:J303" si="44">IF(AND($F259 &gt; 0.6,$F259 &lt;= 0.8),$E259,"")</f>
        <v/>
      </c>
      <c r="K259" s="4" t="str">
        <f t="shared" ref="K259:K303" si="45">IF(AND($F259 &gt; 0.8, $F259 &lt;=1.1),$E259,"")</f>
        <v/>
      </c>
      <c r="L259" s="4" t="str">
        <f t="shared" ref="L259:L303" si="46">IF(AND($F259 &gt; 1.1),$E259,"")</f>
        <v/>
      </c>
      <c r="M259" s="4"/>
      <c r="N259" s="4"/>
      <c r="O259" s="4"/>
      <c r="P259" s="4"/>
      <c r="Q259" s="4"/>
      <c r="R259" s="4"/>
      <c r="S259" s="4"/>
      <c r="T259" s="4"/>
      <c r="U259" s="4"/>
    </row>
    <row r="260" spans="1:21">
      <c r="A260" t="s">
        <v>231</v>
      </c>
      <c r="B260">
        <v>9</v>
      </c>
      <c r="C260" t="str">
        <f t="shared" si="40"/>
        <v>test.TIFFFaxDecoder_9_</v>
      </c>
      <c r="D260">
        <v>5</v>
      </c>
      <c r="E260" s="4">
        <v>0.58333333333333337</v>
      </c>
      <c r="F260" s="4">
        <v>0.31702728127939794</v>
      </c>
      <c r="G260" s="4" t="str">
        <f t="shared" si="41"/>
        <v/>
      </c>
      <c r="H260" s="4">
        <f t="shared" si="42"/>
        <v>0.58333333333333337</v>
      </c>
      <c r="I260" s="4" t="str">
        <f t="shared" si="43"/>
        <v/>
      </c>
      <c r="J260" s="4" t="str">
        <f t="shared" si="44"/>
        <v/>
      </c>
      <c r="K260" s="4" t="str">
        <f t="shared" si="45"/>
        <v/>
      </c>
      <c r="L260" s="4" t="str">
        <f t="shared" si="46"/>
        <v/>
      </c>
      <c r="M260" s="4"/>
      <c r="N260" s="4"/>
      <c r="O260" s="4"/>
      <c r="P260" s="4"/>
      <c r="Q260" s="4"/>
      <c r="R260" s="4"/>
      <c r="S260" s="4"/>
      <c r="T260" s="4"/>
      <c r="U260" s="4"/>
    </row>
    <row r="261" spans="1:21">
      <c r="A261" t="s">
        <v>231</v>
      </c>
      <c r="B261">
        <v>9</v>
      </c>
      <c r="C261" t="str">
        <f t="shared" si="40"/>
        <v>test.TIFFFaxDecoder_9_</v>
      </c>
      <c r="D261">
        <v>6</v>
      </c>
      <c r="E261" s="4">
        <v>0.61111111111111116</v>
      </c>
      <c r="F261" s="4">
        <v>0.31890874882408277</v>
      </c>
      <c r="G261" s="4" t="str">
        <f t="shared" si="41"/>
        <v/>
      </c>
      <c r="H261" s="4">
        <f t="shared" si="42"/>
        <v>0.61111111111111116</v>
      </c>
      <c r="I261" s="4" t="str">
        <f t="shared" si="43"/>
        <v/>
      </c>
      <c r="J261" s="4" t="str">
        <f t="shared" si="44"/>
        <v/>
      </c>
      <c r="K261" s="4" t="str">
        <f t="shared" si="45"/>
        <v/>
      </c>
      <c r="L261" s="4" t="str">
        <f t="shared" si="46"/>
        <v/>
      </c>
      <c r="M261" s="4"/>
      <c r="N261" s="4"/>
      <c r="O261" s="4"/>
      <c r="P261" s="4"/>
      <c r="Q261" s="4"/>
      <c r="R261" s="4"/>
      <c r="S261" s="4"/>
      <c r="T261" s="4"/>
      <c r="U261" s="4"/>
    </row>
    <row r="262" spans="1:21">
      <c r="A262" t="s">
        <v>231</v>
      </c>
      <c r="B262">
        <v>9</v>
      </c>
      <c r="C262" t="str">
        <f t="shared" si="40"/>
        <v>test.TIFFFaxDecoder_9_</v>
      </c>
      <c r="D262">
        <v>7</v>
      </c>
      <c r="E262" s="4">
        <v>0.63888888888888884</v>
      </c>
      <c r="F262" s="4">
        <v>0.31984948259642521</v>
      </c>
      <c r="G262" s="4" t="str">
        <f t="shared" si="41"/>
        <v/>
      </c>
      <c r="H262" s="4">
        <f t="shared" si="42"/>
        <v>0.63888888888888884</v>
      </c>
      <c r="I262" s="4" t="str">
        <f t="shared" si="43"/>
        <v/>
      </c>
      <c r="J262" s="4" t="str">
        <f t="shared" si="44"/>
        <v/>
      </c>
      <c r="K262" s="4" t="str">
        <f t="shared" si="45"/>
        <v/>
      </c>
      <c r="L262" s="4" t="str">
        <f t="shared" si="46"/>
        <v/>
      </c>
      <c r="M262" s="4"/>
      <c r="N262" s="4"/>
      <c r="O262" s="4"/>
      <c r="P262" s="4"/>
      <c r="Q262" s="4"/>
      <c r="R262" s="4"/>
      <c r="S262" s="4"/>
      <c r="T262" s="4"/>
      <c r="U262" s="4"/>
    </row>
    <row r="263" spans="1:21">
      <c r="A263" t="s">
        <v>231</v>
      </c>
      <c r="B263">
        <v>9</v>
      </c>
      <c r="C263" t="str">
        <f t="shared" si="40"/>
        <v>test.TIFFFaxDecoder_9_</v>
      </c>
      <c r="D263">
        <v>8</v>
      </c>
      <c r="E263" s="4">
        <v>0.63888888888888884</v>
      </c>
      <c r="F263" s="4">
        <v>0.32361241768579491</v>
      </c>
      <c r="G263" s="4" t="str">
        <f t="shared" si="41"/>
        <v/>
      </c>
      <c r="H263" s="4">
        <f t="shared" si="42"/>
        <v>0.63888888888888884</v>
      </c>
      <c r="I263" s="4" t="str">
        <f t="shared" si="43"/>
        <v/>
      </c>
      <c r="J263" s="4" t="str">
        <f t="shared" si="44"/>
        <v/>
      </c>
      <c r="K263" s="4" t="str">
        <f t="shared" si="45"/>
        <v/>
      </c>
      <c r="L263" s="4" t="str">
        <f t="shared" si="46"/>
        <v/>
      </c>
      <c r="M263" s="4"/>
      <c r="N263" s="4"/>
      <c r="O263" s="4"/>
      <c r="P263" s="4"/>
      <c r="Q263" s="4"/>
      <c r="R263" s="4"/>
      <c r="S263" s="4"/>
      <c r="T263" s="4"/>
      <c r="U263" s="4"/>
    </row>
    <row r="264" spans="1:21">
      <c r="A264" t="s">
        <v>231</v>
      </c>
      <c r="B264">
        <v>9</v>
      </c>
      <c r="C264" t="str">
        <f t="shared" si="40"/>
        <v>test.TIFFFaxDecoder_9_</v>
      </c>
      <c r="D264">
        <v>9</v>
      </c>
      <c r="E264" s="4">
        <v>0.63888888888888884</v>
      </c>
      <c r="F264" s="4">
        <v>0.32831608654750705</v>
      </c>
      <c r="G264" s="4" t="str">
        <f t="shared" si="41"/>
        <v/>
      </c>
      <c r="H264" s="4">
        <f t="shared" si="42"/>
        <v>0.63888888888888884</v>
      </c>
      <c r="I264" s="4" t="str">
        <f t="shared" si="43"/>
        <v/>
      </c>
      <c r="J264" s="4" t="str">
        <f t="shared" si="44"/>
        <v/>
      </c>
      <c r="K264" s="4" t="str">
        <f t="shared" si="45"/>
        <v/>
      </c>
      <c r="L264" s="4" t="str">
        <f t="shared" si="46"/>
        <v/>
      </c>
      <c r="M264" s="4"/>
      <c r="N264" s="4"/>
      <c r="O264" s="4"/>
      <c r="P264" s="4"/>
      <c r="Q264" s="4"/>
      <c r="R264" s="4"/>
      <c r="S264" s="4"/>
      <c r="T264" s="4"/>
      <c r="U264" s="4"/>
    </row>
    <row r="265" spans="1:21">
      <c r="A265" t="s">
        <v>231</v>
      </c>
      <c r="B265">
        <v>9</v>
      </c>
      <c r="C265" t="str">
        <f t="shared" si="40"/>
        <v>test.TIFFFaxDecoder_9_</v>
      </c>
      <c r="D265">
        <v>10</v>
      </c>
      <c r="E265" s="4">
        <v>0.63888888888888884</v>
      </c>
      <c r="F265" s="4">
        <v>0.32925682031984949</v>
      </c>
      <c r="G265" s="4" t="str">
        <f t="shared" si="41"/>
        <v/>
      </c>
      <c r="H265" s="4">
        <f t="shared" si="42"/>
        <v>0.63888888888888884</v>
      </c>
      <c r="I265" s="4" t="str">
        <f t="shared" si="43"/>
        <v/>
      </c>
      <c r="J265" s="4" t="str">
        <f t="shared" si="44"/>
        <v/>
      </c>
      <c r="K265" s="4" t="str">
        <f t="shared" si="45"/>
        <v/>
      </c>
      <c r="L265" s="4" t="str">
        <f t="shared" si="46"/>
        <v/>
      </c>
      <c r="M265" s="4"/>
      <c r="N265" s="4"/>
      <c r="O265" s="4"/>
      <c r="P265" s="4"/>
      <c r="Q265" s="4"/>
      <c r="R265" s="4"/>
      <c r="S265" s="4"/>
      <c r="T265" s="4"/>
      <c r="U265" s="4"/>
    </row>
    <row r="266" spans="1:21">
      <c r="A266" t="s">
        <v>231</v>
      </c>
      <c r="B266">
        <v>9</v>
      </c>
      <c r="C266" t="str">
        <f t="shared" si="40"/>
        <v>test.TIFFFaxDecoder_9_</v>
      </c>
      <c r="D266">
        <v>11</v>
      </c>
      <c r="E266" s="4">
        <v>0.66666666666666663</v>
      </c>
      <c r="F266" s="4">
        <v>0.33019755409219192</v>
      </c>
      <c r="G266" s="4" t="str">
        <f t="shared" si="41"/>
        <v/>
      </c>
      <c r="H266" s="4">
        <f t="shared" si="42"/>
        <v>0.66666666666666663</v>
      </c>
      <c r="I266" s="4" t="str">
        <f t="shared" si="43"/>
        <v/>
      </c>
      <c r="J266" s="4" t="str">
        <f t="shared" si="44"/>
        <v/>
      </c>
      <c r="K266" s="4" t="str">
        <f t="shared" si="45"/>
        <v/>
      </c>
      <c r="L266" s="4" t="str">
        <f t="shared" si="46"/>
        <v/>
      </c>
      <c r="M266" s="4"/>
      <c r="N266" s="4"/>
      <c r="O266" s="4"/>
      <c r="P266" s="4"/>
      <c r="Q266" s="4"/>
      <c r="R266" s="4"/>
      <c r="S266" s="4"/>
      <c r="T266" s="4"/>
      <c r="U266" s="4"/>
    </row>
    <row r="267" spans="1:21">
      <c r="A267" t="s">
        <v>231</v>
      </c>
      <c r="B267">
        <v>9</v>
      </c>
      <c r="C267" t="str">
        <f t="shared" si="40"/>
        <v>test.TIFFFaxDecoder_9_</v>
      </c>
      <c r="D267">
        <v>12</v>
      </c>
      <c r="E267" s="4">
        <v>0.66666666666666663</v>
      </c>
      <c r="F267" s="4">
        <v>0.38476011288805267</v>
      </c>
      <c r="G267" s="4" t="str">
        <f t="shared" si="41"/>
        <v/>
      </c>
      <c r="H267" s="4">
        <f t="shared" si="42"/>
        <v>0.66666666666666663</v>
      </c>
      <c r="I267" s="4" t="str">
        <f t="shared" si="43"/>
        <v/>
      </c>
      <c r="J267" s="4" t="str">
        <f t="shared" si="44"/>
        <v/>
      </c>
      <c r="K267" s="4" t="str">
        <f t="shared" si="45"/>
        <v/>
      </c>
      <c r="L267" s="4" t="str">
        <f t="shared" si="46"/>
        <v/>
      </c>
      <c r="M267" s="4"/>
      <c r="N267" s="4"/>
      <c r="O267" s="4"/>
      <c r="P267" s="4"/>
      <c r="Q267" s="4"/>
      <c r="R267" s="4"/>
      <c r="S267" s="4"/>
      <c r="T267" s="4"/>
      <c r="U267" s="4"/>
    </row>
    <row r="268" spans="1:21">
      <c r="A268" t="s">
        <v>231</v>
      </c>
      <c r="B268">
        <v>9</v>
      </c>
      <c r="C268" t="str">
        <f t="shared" si="40"/>
        <v>test.TIFFFaxDecoder_9_</v>
      </c>
      <c r="D268">
        <v>13</v>
      </c>
      <c r="E268" s="4">
        <v>0.66666666666666663</v>
      </c>
      <c r="F268" s="4">
        <v>0.39698965192850422</v>
      </c>
      <c r="G268" s="4" t="str">
        <f t="shared" si="41"/>
        <v/>
      </c>
      <c r="H268" s="4">
        <f t="shared" si="42"/>
        <v>0.66666666666666663</v>
      </c>
      <c r="I268" s="4" t="str">
        <f t="shared" si="43"/>
        <v/>
      </c>
      <c r="J268" s="4" t="str">
        <f t="shared" si="44"/>
        <v/>
      </c>
      <c r="K268" s="4" t="str">
        <f t="shared" si="45"/>
        <v/>
      </c>
      <c r="L268" s="4" t="str">
        <f t="shared" si="46"/>
        <v/>
      </c>
      <c r="M268" s="4"/>
      <c r="N268" s="4"/>
      <c r="O268" s="4"/>
      <c r="P268" s="4"/>
      <c r="Q268" s="4"/>
      <c r="R268" s="4"/>
      <c r="S268" s="4"/>
      <c r="T268" s="4"/>
      <c r="U268" s="4"/>
    </row>
    <row r="269" spans="1:21">
      <c r="A269" t="s">
        <v>231</v>
      </c>
      <c r="B269">
        <v>9</v>
      </c>
      <c r="C269" t="str">
        <f t="shared" si="40"/>
        <v>test.TIFFFaxDecoder_9_</v>
      </c>
      <c r="D269">
        <v>14</v>
      </c>
      <c r="E269" s="4">
        <v>0.77777777777777779</v>
      </c>
      <c r="F269" s="4">
        <v>0.444967074317968</v>
      </c>
      <c r="G269" s="4" t="str">
        <f t="shared" si="41"/>
        <v/>
      </c>
      <c r="H269" s="4" t="str">
        <f t="shared" si="42"/>
        <v/>
      </c>
      <c r="I269" s="4">
        <f t="shared" si="43"/>
        <v>0.77777777777777779</v>
      </c>
      <c r="J269" s="4" t="str">
        <f t="shared" si="44"/>
        <v/>
      </c>
      <c r="K269" s="4" t="str">
        <f t="shared" si="45"/>
        <v/>
      </c>
      <c r="L269" s="4" t="str">
        <f t="shared" si="46"/>
        <v/>
      </c>
      <c r="M269" s="4"/>
      <c r="N269" s="4"/>
      <c r="O269" s="4"/>
      <c r="P269" s="4"/>
      <c r="Q269" s="4"/>
      <c r="R269" s="4"/>
      <c r="S269" s="4"/>
      <c r="T269" s="4"/>
      <c r="U269" s="4"/>
    </row>
    <row r="270" spans="1:21">
      <c r="A270" t="s">
        <v>231</v>
      </c>
      <c r="B270">
        <v>9</v>
      </c>
      <c r="C270" t="str">
        <f t="shared" si="40"/>
        <v>test.TIFFFaxDecoder_9_</v>
      </c>
      <c r="D270">
        <v>15</v>
      </c>
      <c r="E270" s="4">
        <v>0.94444444444444442</v>
      </c>
      <c r="F270" s="4">
        <v>0.62088428974600185</v>
      </c>
      <c r="G270" s="4" t="str">
        <f t="shared" si="41"/>
        <v/>
      </c>
      <c r="H270" s="4" t="str">
        <f t="shared" si="42"/>
        <v/>
      </c>
      <c r="I270" s="4" t="str">
        <f t="shared" si="43"/>
        <v/>
      </c>
      <c r="J270" s="4">
        <f t="shared" si="44"/>
        <v>0.94444444444444442</v>
      </c>
      <c r="K270" s="4" t="str">
        <f t="shared" si="45"/>
        <v/>
      </c>
      <c r="L270" s="4" t="str">
        <f t="shared" si="46"/>
        <v/>
      </c>
      <c r="M270" s="4"/>
      <c r="N270" s="4"/>
      <c r="O270" s="4"/>
      <c r="P270" s="4"/>
      <c r="Q270" s="4"/>
      <c r="R270" s="4"/>
      <c r="S270" s="4"/>
      <c r="T270" s="4"/>
      <c r="U270" s="4"/>
    </row>
    <row r="271" spans="1:21">
      <c r="A271" t="s">
        <v>231</v>
      </c>
      <c r="B271">
        <v>9</v>
      </c>
      <c r="C271" t="str">
        <f t="shared" si="40"/>
        <v>test.TIFFFaxDecoder_9_</v>
      </c>
      <c r="D271">
        <v>16</v>
      </c>
      <c r="E271" s="4">
        <v>0.97222222222222221</v>
      </c>
      <c r="F271" s="4">
        <v>0.62935089369708375</v>
      </c>
      <c r="G271" s="4" t="str">
        <f t="shared" si="41"/>
        <v/>
      </c>
      <c r="H271" s="4" t="str">
        <f t="shared" si="42"/>
        <v/>
      </c>
      <c r="I271" s="4" t="str">
        <f t="shared" si="43"/>
        <v/>
      </c>
      <c r="J271" s="4">
        <f t="shared" si="44"/>
        <v>0.97222222222222221</v>
      </c>
      <c r="K271" s="4" t="str">
        <f t="shared" si="45"/>
        <v/>
      </c>
      <c r="L271" s="4" t="str">
        <f t="shared" si="46"/>
        <v/>
      </c>
      <c r="M271" s="4"/>
      <c r="N271" s="4"/>
      <c r="O271" s="4"/>
      <c r="P271" s="4"/>
      <c r="Q271" s="4"/>
      <c r="R271" s="4"/>
      <c r="S271" s="4"/>
      <c r="T271" s="4"/>
      <c r="U271" s="4"/>
    </row>
    <row r="272" spans="1:21">
      <c r="A272" t="s">
        <v>231</v>
      </c>
      <c r="B272">
        <v>9</v>
      </c>
      <c r="C272" t="str">
        <f t="shared" si="40"/>
        <v>test.TIFFFaxDecoder_9_</v>
      </c>
      <c r="D272">
        <v>17</v>
      </c>
      <c r="E272" s="4">
        <v>0.97222222222222221</v>
      </c>
      <c r="F272" s="4">
        <v>0.63593603010348076</v>
      </c>
      <c r="G272" s="4" t="str">
        <f t="shared" si="41"/>
        <v/>
      </c>
      <c r="H272" s="4" t="str">
        <f t="shared" si="42"/>
        <v/>
      </c>
      <c r="I272" s="4" t="str">
        <f t="shared" si="43"/>
        <v/>
      </c>
      <c r="J272" s="4">
        <f t="shared" si="44"/>
        <v>0.97222222222222221</v>
      </c>
      <c r="K272" s="4" t="str">
        <f t="shared" si="45"/>
        <v/>
      </c>
      <c r="L272" s="4" t="str">
        <f t="shared" si="46"/>
        <v/>
      </c>
      <c r="M272" s="4"/>
      <c r="N272" s="4"/>
      <c r="O272" s="4"/>
      <c r="P272" s="4"/>
      <c r="Q272" s="4"/>
      <c r="R272" s="4"/>
      <c r="S272" s="4"/>
      <c r="T272" s="4"/>
      <c r="U272" s="4"/>
    </row>
    <row r="273" spans="1:21">
      <c r="A273" t="s">
        <v>231</v>
      </c>
      <c r="B273">
        <v>9</v>
      </c>
      <c r="C273" t="str">
        <f t="shared" si="40"/>
        <v>test.TIFFFaxDecoder_9_</v>
      </c>
      <c r="D273">
        <v>18</v>
      </c>
      <c r="E273" s="4">
        <v>1</v>
      </c>
      <c r="F273" s="4">
        <v>0.70460959548447788</v>
      </c>
      <c r="G273" s="4" t="str">
        <f t="shared" si="41"/>
        <v/>
      </c>
      <c r="H273" s="4" t="str">
        <f t="shared" si="42"/>
        <v/>
      </c>
      <c r="I273" s="4" t="str">
        <f t="shared" si="43"/>
        <v/>
      </c>
      <c r="J273" s="4">
        <f t="shared" si="44"/>
        <v>1</v>
      </c>
      <c r="K273" s="4" t="str">
        <f t="shared" si="45"/>
        <v/>
      </c>
      <c r="L273" s="4" t="str">
        <f t="shared" si="46"/>
        <v/>
      </c>
      <c r="M273" s="4"/>
      <c r="N273" s="4"/>
      <c r="O273" s="4"/>
      <c r="P273" s="4"/>
      <c r="Q273" s="4"/>
      <c r="R273" s="4"/>
      <c r="S273" s="4"/>
      <c r="T273" s="4"/>
      <c r="U273" s="4"/>
    </row>
    <row r="274" spans="1:21">
      <c r="A274" t="s">
        <v>231</v>
      </c>
      <c r="B274">
        <v>9</v>
      </c>
      <c r="C274" t="str">
        <f t="shared" si="40"/>
        <v>test.TIFFFaxDecoder_9_</v>
      </c>
      <c r="D274">
        <v>19</v>
      </c>
      <c r="E274" s="4">
        <v>1</v>
      </c>
      <c r="F274" s="4">
        <v>0.70837253057384764</v>
      </c>
      <c r="G274" s="4" t="str">
        <f t="shared" si="41"/>
        <v/>
      </c>
      <c r="H274" s="4" t="str">
        <f t="shared" si="42"/>
        <v/>
      </c>
      <c r="I274" s="4" t="str">
        <f t="shared" si="43"/>
        <v/>
      </c>
      <c r="J274" s="4">
        <f t="shared" si="44"/>
        <v>1</v>
      </c>
      <c r="K274" s="4" t="str">
        <f t="shared" si="45"/>
        <v/>
      </c>
      <c r="L274" s="4" t="str">
        <f t="shared" si="46"/>
        <v/>
      </c>
      <c r="M274" s="4"/>
      <c r="N274" s="4"/>
      <c r="O274" s="4"/>
      <c r="P274" s="4"/>
      <c r="Q274" s="4"/>
      <c r="R274" s="4"/>
      <c r="S274" s="4"/>
      <c r="T274" s="4"/>
      <c r="U274" s="4"/>
    </row>
    <row r="275" spans="1:21">
      <c r="A275" t="s">
        <v>231</v>
      </c>
      <c r="B275">
        <v>9</v>
      </c>
      <c r="C275" t="str">
        <f t="shared" si="40"/>
        <v>test.TIFFFaxDecoder_9_</v>
      </c>
      <c r="D275">
        <v>20</v>
      </c>
      <c r="E275" s="4">
        <v>1</v>
      </c>
      <c r="F275" s="4">
        <v>0.71589840075258704</v>
      </c>
      <c r="G275" s="4" t="str">
        <f t="shared" si="41"/>
        <v/>
      </c>
      <c r="H275" s="4" t="str">
        <f t="shared" si="42"/>
        <v/>
      </c>
      <c r="I275" s="4" t="str">
        <f t="shared" si="43"/>
        <v/>
      </c>
      <c r="J275" s="4">
        <f t="shared" si="44"/>
        <v>1</v>
      </c>
      <c r="K275" s="4" t="str">
        <f t="shared" si="45"/>
        <v/>
      </c>
      <c r="L275" s="4" t="str">
        <f t="shared" si="46"/>
        <v/>
      </c>
      <c r="M275" s="4"/>
      <c r="N275" s="4"/>
      <c r="O275" s="4"/>
      <c r="P275" s="4"/>
      <c r="Q275" s="4"/>
      <c r="R275" s="4"/>
      <c r="S275" s="4"/>
      <c r="T275" s="4"/>
      <c r="U275" s="4"/>
    </row>
    <row r="276" spans="1:21">
      <c r="A276" t="s">
        <v>231</v>
      </c>
      <c r="B276">
        <v>10</v>
      </c>
      <c r="C276" t="str">
        <f t="shared" si="40"/>
        <v>test.TIFFFaxDecoder_10_</v>
      </c>
      <c r="D276">
        <v>1</v>
      </c>
      <c r="E276" s="4">
        <v>0.73333333333333328</v>
      </c>
      <c r="F276" s="4">
        <v>0.92090395480225984</v>
      </c>
      <c r="G276" s="4" t="str">
        <f t="shared" si="41"/>
        <v/>
      </c>
      <c r="H276" s="4" t="str">
        <f t="shared" si="42"/>
        <v/>
      </c>
      <c r="I276" s="4" t="str">
        <f t="shared" si="43"/>
        <v/>
      </c>
      <c r="J276" s="4" t="str">
        <f t="shared" si="44"/>
        <v/>
      </c>
      <c r="K276" s="4">
        <f t="shared" si="45"/>
        <v>0.73333333333333328</v>
      </c>
      <c r="L276" s="4" t="str">
        <f t="shared" si="46"/>
        <v/>
      </c>
      <c r="M276" s="4"/>
      <c r="N276" s="4"/>
      <c r="O276" s="4"/>
      <c r="P276" s="4"/>
      <c r="Q276" s="4"/>
      <c r="R276" s="4"/>
      <c r="S276" s="4"/>
      <c r="T276" s="4"/>
      <c r="U276" s="4"/>
    </row>
    <row r="277" spans="1:21">
      <c r="A277" s="9" t="s">
        <v>231</v>
      </c>
      <c r="B277" s="9">
        <v>10</v>
      </c>
      <c r="C277" s="9" t="str">
        <f t="shared" si="40"/>
        <v>test.TIFFFaxDecoder_10_</v>
      </c>
      <c r="D277" s="9">
        <v>2</v>
      </c>
      <c r="E277" s="4">
        <v>0.8</v>
      </c>
      <c r="F277" s="4">
        <v>0.9418886198547215</v>
      </c>
      <c r="G277" s="4" t="str">
        <f t="shared" si="41"/>
        <v/>
      </c>
      <c r="H277" s="4" t="str">
        <f t="shared" si="42"/>
        <v/>
      </c>
      <c r="I277" s="4" t="str">
        <f t="shared" si="43"/>
        <v/>
      </c>
      <c r="J277" s="4" t="str">
        <f t="shared" si="44"/>
        <v/>
      </c>
      <c r="K277" s="4">
        <f t="shared" si="45"/>
        <v>0.8</v>
      </c>
      <c r="L277" s="4" t="str">
        <f t="shared" si="46"/>
        <v/>
      </c>
      <c r="M277" s="4"/>
      <c r="N277" s="4"/>
      <c r="O277" s="4"/>
      <c r="P277" s="4"/>
      <c r="Q277" s="4"/>
      <c r="R277" s="4"/>
      <c r="S277" s="4"/>
      <c r="T277" s="4"/>
      <c r="U277" s="4"/>
    </row>
    <row r="278" spans="1:21">
      <c r="A278" t="s">
        <v>231</v>
      </c>
      <c r="B278">
        <v>10</v>
      </c>
      <c r="C278" t="str">
        <f t="shared" si="40"/>
        <v>test.TIFFFaxDecoder_10_</v>
      </c>
      <c r="D278">
        <v>3</v>
      </c>
      <c r="E278" s="4">
        <v>0.93333333333333335</v>
      </c>
      <c r="F278" s="4">
        <v>0.94511702986279256</v>
      </c>
      <c r="G278" s="4" t="str">
        <f t="shared" si="41"/>
        <v/>
      </c>
      <c r="H278" s="4" t="str">
        <f t="shared" si="42"/>
        <v/>
      </c>
      <c r="I278" s="4" t="str">
        <f t="shared" si="43"/>
        <v/>
      </c>
      <c r="J278" s="4" t="str">
        <f t="shared" si="44"/>
        <v/>
      </c>
      <c r="K278" s="4">
        <f t="shared" si="45"/>
        <v>0.93333333333333335</v>
      </c>
      <c r="L278" s="4" t="str">
        <f t="shared" si="46"/>
        <v/>
      </c>
      <c r="M278" s="4"/>
      <c r="N278" s="4"/>
      <c r="O278" s="4"/>
      <c r="P278" s="4"/>
      <c r="Q278" s="4"/>
      <c r="R278" s="4"/>
      <c r="S278" s="4"/>
      <c r="T278" s="4"/>
      <c r="U278" s="4"/>
    </row>
    <row r="279" spans="1:21">
      <c r="A279" t="s">
        <v>231</v>
      </c>
      <c r="B279">
        <v>10</v>
      </c>
      <c r="C279" t="str">
        <f t="shared" si="40"/>
        <v>test.TIFFFaxDecoder_10_</v>
      </c>
      <c r="D279">
        <v>4</v>
      </c>
      <c r="E279" s="4">
        <v>0.93333333333333335</v>
      </c>
      <c r="F279" s="4">
        <v>0.94915254237288138</v>
      </c>
      <c r="G279" s="4" t="str">
        <f t="shared" si="41"/>
        <v/>
      </c>
      <c r="H279" s="4" t="str">
        <f t="shared" si="42"/>
        <v/>
      </c>
      <c r="I279" s="4" t="str">
        <f t="shared" si="43"/>
        <v/>
      </c>
      <c r="J279" s="4" t="str">
        <f t="shared" si="44"/>
        <v/>
      </c>
      <c r="K279" s="4">
        <f t="shared" si="45"/>
        <v>0.93333333333333335</v>
      </c>
      <c r="L279" s="4" t="str">
        <f t="shared" si="46"/>
        <v/>
      </c>
      <c r="M279" s="4"/>
      <c r="N279" s="4"/>
      <c r="O279" s="4"/>
      <c r="P279" s="4"/>
      <c r="Q279" s="4"/>
      <c r="R279" s="4"/>
      <c r="S279" s="4"/>
      <c r="T279" s="4"/>
      <c r="U279" s="4"/>
    </row>
    <row r="280" spans="1:21">
      <c r="A280" t="s">
        <v>231</v>
      </c>
      <c r="B280">
        <v>10</v>
      </c>
      <c r="C280" t="str">
        <f t="shared" si="40"/>
        <v>test.TIFFFaxDecoder_10_</v>
      </c>
      <c r="D280">
        <v>5</v>
      </c>
      <c r="E280" s="4">
        <v>1</v>
      </c>
      <c r="F280" s="4">
        <v>0.96045197740112997</v>
      </c>
      <c r="G280" s="4" t="str">
        <f t="shared" si="41"/>
        <v/>
      </c>
      <c r="H280" s="4" t="str">
        <f t="shared" si="42"/>
        <v/>
      </c>
      <c r="I280" s="4" t="str">
        <f t="shared" si="43"/>
        <v/>
      </c>
      <c r="J280" s="4" t="str">
        <f t="shared" si="44"/>
        <v/>
      </c>
      <c r="K280" s="4">
        <f t="shared" si="45"/>
        <v>1</v>
      </c>
      <c r="L280" s="4" t="str">
        <f t="shared" si="46"/>
        <v/>
      </c>
      <c r="M280" s="4"/>
      <c r="N280" s="4"/>
      <c r="O280" s="4"/>
      <c r="P280" s="4"/>
      <c r="Q280" s="4"/>
      <c r="R280" s="4"/>
      <c r="S280" s="4"/>
      <c r="T280" s="4"/>
      <c r="U280" s="4"/>
    </row>
    <row r="281" spans="1:21">
      <c r="A281" t="s">
        <v>231</v>
      </c>
      <c r="B281">
        <v>10</v>
      </c>
      <c r="C281" t="str">
        <f t="shared" si="40"/>
        <v>test.TIFFFaxDecoder_10_</v>
      </c>
      <c r="D281">
        <v>6</v>
      </c>
      <c r="E281" s="4">
        <v>1</v>
      </c>
      <c r="F281" s="4">
        <v>0.98547215496368035</v>
      </c>
      <c r="G281" s="4" t="str">
        <f t="shared" si="41"/>
        <v/>
      </c>
      <c r="H281" s="4" t="str">
        <f t="shared" si="42"/>
        <v/>
      </c>
      <c r="I281" s="4" t="str">
        <f t="shared" si="43"/>
        <v/>
      </c>
      <c r="J281" s="4" t="str">
        <f t="shared" si="44"/>
        <v/>
      </c>
      <c r="K281" s="4">
        <f t="shared" si="45"/>
        <v>1</v>
      </c>
      <c r="L281" s="4" t="str">
        <f t="shared" si="46"/>
        <v/>
      </c>
      <c r="M281" s="4"/>
      <c r="N281" s="4"/>
      <c r="O281" s="4"/>
      <c r="P281" s="4"/>
      <c r="Q281" s="4"/>
      <c r="R281" s="4"/>
      <c r="S281" s="4"/>
      <c r="T281" s="4"/>
      <c r="U281" s="4"/>
    </row>
    <row r="282" spans="1:21">
      <c r="A282" t="s">
        <v>231</v>
      </c>
      <c r="B282">
        <v>10</v>
      </c>
      <c r="C282" t="str">
        <f t="shared" si="40"/>
        <v>test.TIFFFaxDecoder_10_</v>
      </c>
      <c r="D282">
        <v>7</v>
      </c>
      <c r="E282" s="4">
        <v>1</v>
      </c>
      <c r="F282" s="4">
        <v>1.0032284100080711</v>
      </c>
      <c r="G282" s="4" t="str">
        <f t="shared" si="41"/>
        <v/>
      </c>
      <c r="H282" s="4" t="str">
        <f t="shared" si="42"/>
        <v/>
      </c>
      <c r="I282" s="4" t="str">
        <f t="shared" si="43"/>
        <v/>
      </c>
      <c r="J282" s="4" t="str">
        <f t="shared" si="44"/>
        <v/>
      </c>
      <c r="K282" s="4">
        <f t="shared" si="45"/>
        <v>1</v>
      </c>
      <c r="L282" s="4" t="str">
        <f t="shared" si="46"/>
        <v/>
      </c>
      <c r="M282" s="4"/>
      <c r="N282" s="4"/>
      <c r="O282" s="4"/>
      <c r="P282" s="4"/>
      <c r="Q282" s="4"/>
      <c r="R282" s="4"/>
      <c r="S282" s="4"/>
      <c r="T282" s="4"/>
      <c r="U282" s="4"/>
    </row>
    <row r="283" spans="1:21">
      <c r="A283" t="s">
        <v>231</v>
      </c>
      <c r="B283">
        <v>10</v>
      </c>
      <c r="C283" t="str">
        <f t="shared" si="40"/>
        <v>test.TIFFFaxDecoder_10_</v>
      </c>
      <c r="D283">
        <v>8</v>
      </c>
      <c r="E283" s="4">
        <v>1</v>
      </c>
      <c r="F283" s="4">
        <v>1.5254237288135593</v>
      </c>
      <c r="G283" s="4" t="str">
        <f t="shared" si="41"/>
        <v/>
      </c>
      <c r="H283" s="4" t="str">
        <f t="shared" si="42"/>
        <v/>
      </c>
      <c r="I283" s="4" t="str">
        <f t="shared" si="43"/>
        <v/>
      </c>
      <c r="J283" s="4" t="str">
        <f t="shared" si="44"/>
        <v/>
      </c>
      <c r="K283" s="4" t="str">
        <f t="shared" si="45"/>
        <v/>
      </c>
      <c r="L283" s="4">
        <f t="shared" si="46"/>
        <v>1</v>
      </c>
      <c r="M283" s="4"/>
      <c r="N283" s="4"/>
      <c r="O283" s="4"/>
      <c r="P283" s="4"/>
      <c r="Q283" s="4"/>
      <c r="R283" s="4"/>
      <c r="S283" s="4"/>
      <c r="T283" s="4"/>
      <c r="U283" s="4"/>
    </row>
    <row r="284" spans="1:21">
      <c r="A284" t="s">
        <v>598</v>
      </c>
      <c r="B284">
        <v>2</v>
      </c>
      <c r="C284" t="str">
        <f t="shared" si="40"/>
        <v>test.TIFFFaxEncoder_2_</v>
      </c>
      <c r="D284">
        <v>1</v>
      </c>
      <c r="E284" s="4">
        <v>0.352112676056338</v>
      </c>
      <c r="F284" s="4">
        <v>0.31899109792284869</v>
      </c>
      <c r="G284" s="4" t="str">
        <f t="shared" si="41"/>
        <v/>
      </c>
      <c r="H284" s="4">
        <f t="shared" si="42"/>
        <v>0.352112676056338</v>
      </c>
      <c r="I284" s="4" t="str">
        <f t="shared" si="43"/>
        <v/>
      </c>
      <c r="J284" s="4" t="str">
        <f t="shared" si="44"/>
        <v/>
      </c>
      <c r="K284" s="4" t="str">
        <f t="shared" si="45"/>
        <v/>
      </c>
      <c r="L284" s="4" t="str">
        <f t="shared" si="46"/>
        <v/>
      </c>
      <c r="M284" s="4"/>
      <c r="N284" s="4"/>
      <c r="O284" s="4"/>
      <c r="P284" s="4"/>
      <c r="Q284" s="4"/>
      <c r="R284" s="4"/>
      <c r="S284" s="4"/>
      <c r="T284" s="4"/>
      <c r="U284" s="4"/>
    </row>
    <row r="285" spans="1:21">
      <c r="A285" t="s">
        <v>598</v>
      </c>
      <c r="B285">
        <v>2</v>
      </c>
      <c r="C285" t="str">
        <f t="shared" si="40"/>
        <v>test.TIFFFaxEncoder_2_</v>
      </c>
      <c r="D285">
        <v>2</v>
      </c>
      <c r="E285" s="4">
        <v>0.63380281690140849</v>
      </c>
      <c r="F285" s="4">
        <v>0.44250741839762614</v>
      </c>
      <c r="G285" s="4" t="str">
        <f t="shared" si="41"/>
        <v/>
      </c>
      <c r="H285" s="4" t="str">
        <f t="shared" si="42"/>
        <v/>
      </c>
      <c r="I285" s="4">
        <f t="shared" si="43"/>
        <v>0.63380281690140849</v>
      </c>
      <c r="J285" s="4" t="str">
        <f t="shared" si="44"/>
        <v/>
      </c>
      <c r="K285" s="4" t="str">
        <f t="shared" si="45"/>
        <v/>
      </c>
      <c r="L285" s="4" t="str">
        <f t="shared" si="46"/>
        <v/>
      </c>
      <c r="M285" s="4"/>
      <c r="N285" s="4"/>
      <c r="O285" s="4"/>
      <c r="P285" s="4"/>
      <c r="Q285" s="4"/>
      <c r="R285" s="4"/>
      <c r="S285" s="4"/>
      <c r="T285" s="4"/>
      <c r="U285" s="4"/>
    </row>
    <row r="286" spans="1:21">
      <c r="A286" t="s">
        <v>598</v>
      </c>
      <c r="B286">
        <v>2</v>
      </c>
      <c r="C286" t="str">
        <f t="shared" si="40"/>
        <v>test.TIFFFaxEncoder_2_</v>
      </c>
      <c r="D286">
        <v>3</v>
      </c>
      <c r="E286" s="4">
        <v>0.70422535211267601</v>
      </c>
      <c r="F286" s="4">
        <v>0.44955489614243321</v>
      </c>
      <c r="G286" s="4" t="str">
        <f t="shared" si="41"/>
        <v/>
      </c>
      <c r="H286" s="4" t="str">
        <f t="shared" si="42"/>
        <v/>
      </c>
      <c r="I286" s="4">
        <f t="shared" si="43"/>
        <v>0.70422535211267601</v>
      </c>
      <c r="J286" s="4" t="str">
        <f t="shared" si="44"/>
        <v/>
      </c>
      <c r="K286" s="4" t="str">
        <f t="shared" si="45"/>
        <v/>
      </c>
      <c r="L286" s="4" t="str">
        <f t="shared" si="46"/>
        <v/>
      </c>
      <c r="M286" s="4"/>
      <c r="N286" s="4"/>
      <c r="O286" s="4"/>
      <c r="P286" s="4"/>
      <c r="Q286" s="4"/>
      <c r="R286" s="4"/>
      <c r="S286" s="4"/>
      <c r="T286" s="4"/>
      <c r="U286" s="4"/>
    </row>
    <row r="287" spans="1:21">
      <c r="A287" t="s">
        <v>598</v>
      </c>
      <c r="B287">
        <v>2</v>
      </c>
      <c r="C287" t="str">
        <f t="shared" si="40"/>
        <v>test.TIFFFaxEncoder_2_</v>
      </c>
      <c r="D287">
        <v>4</v>
      </c>
      <c r="E287" s="4">
        <v>0.84507042253521125</v>
      </c>
      <c r="F287" s="4">
        <v>0.51632047477744802</v>
      </c>
      <c r="G287" s="4" t="str">
        <f t="shared" si="41"/>
        <v/>
      </c>
      <c r="H287" s="4" t="str">
        <f t="shared" si="42"/>
        <v/>
      </c>
      <c r="I287" s="4">
        <f t="shared" si="43"/>
        <v>0.84507042253521125</v>
      </c>
      <c r="J287" s="4" t="str">
        <f t="shared" si="44"/>
        <v/>
      </c>
      <c r="K287" s="4" t="str">
        <f t="shared" si="45"/>
        <v/>
      </c>
      <c r="L287" s="4" t="str">
        <f t="shared" si="46"/>
        <v/>
      </c>
      <c r="M287" s="4"/>
      <c r="N287" s="4"/>
      <c r="O287" s="4"/>
      <c r="P287" s="4"/>
      <c r="Q287" s="4"/>
      <c r="R287" s="4"/>
      <c r="S287" s="4"/>
      <c r="T287" s="4"/>
      <c r="U287" s="4"/>
    </row>
    <row r="288" spans="1:21">
      <c r="A288" t="s">
        <v>598</v>
      </c>
      <c r="B288">
        <v>2</v>
      </c>
      <c r="C288" t="str">
        <f t="shared" si="40"/>
        <v>test.TIFFFaxEncoder_2_</v>
      </c>
      <c r="D288">
        <v>5</v>
      </c>
      <c r="E288" s="4">
        <v>1</v>
      </c>
      <c r="F288" s="4">
        <v>0.67952522255192882</v>
      </c>
      <c r="G288" s="4" t="str">
        <f t="shared" si="41"/>
        <v/>
      </c>
      <c r="H288" s="4" t="str">
        <f t="shared" si="42"/>
        <v/>
      </c>
      <c r="I288" s="4" t="str">
        <f t="shared" si="43"/>
        <v/>
      </c>
      <c r="J288" s="4">
        <f t="shared" si="44"/>
        <v>1</v>
      </c>
      <c r="K288" s="4" t="str">
        <f t="shared" si="45"/>
        <v/>
      </c>
      <c r="L288" s="4" t="str">
        <f t="shared" si="46"/>
        <v/>
      </c>
      <c r="M288" s="4"/>
      <c r="N288" s="4"/>
      <c r="O288" s="4"/>
      <c r="P288" s="4"/>
      <c r="Q288" s="4"/>
      <c r="R288" s="4"/>
      <c r="S288" s="4"/>
      <c r="T288" s="4"/>
      <c r="U288" s="4"/>
    </row>
    <row r="289" spans="1:21">
      <c r="A289" t="s">
        <v>598</v>
      </c>
      <c r="B289">
        <v>11</v>
      </c>
      <c r="C289" t="str">
        <f t="shared" si="40"/>
        <v>test.TIFFFaxEncoder_11_</v>
      </c>
      <c r="D289">
        <v>1</v>
      </c>
      <c r="E289" s="4">
        <v>0.4956521739130435</v>
      </c>
      <c r="F289" s="4">
        <v>0.6255499560035197</v>
      </c>
      <c r="G289" s="4" t="str">
        <f t="shared" si="41"/>
        <v/>
      </c>
      <c r="H289" s="4" t="str">
        <f t="shared" si="42"/>
        <v/>
      </c>
      <c r="I289" s="4" t="str">
        <f t="shared" si="43"/>
        <v/>
      </c>
      <c r="J289" s="4">
        <f t="shared" si="44"/>
        <v>0.4956521739130435</v>
      </c>
      <c r="K289" s="4" t="str">
        <f t="shared" si="45"/>
        <v/>
      </c>
      <c r="L289" s="4" t="str">
        <f t="shared" si="46"/>
        <v/>
      </c>
      <c r="M289" s="4"/>
      <c r="N289" s="4"/>
      <c r="O289" s="4"/>
      <c r="P289" s="4"/>
      <c r="Q289" s="4"/>
      <c r="R289" s="4"/>
      <c r="S289" s="4"/>
      <c r="T289" s="4"/>
      <c r="U289" s="4"/>
    </row>
    <row r="290" spans="1:21">
      <c r="A290" t="s">
        <v>598</v>
      </c>
      <c r="B290">
        <v>11</v>
      </c>
      <c r="C290" t="str">
        <f t="shared" si="40"/>
        <v>test.TIFFFaxEncoder_11_</v>
      </c>
      <c r="D290">
        <v>2</v>
      </c>
      <c r="E290" s="4">
        <v>0.58260869565217388</v>
      </c>
      <c r="F290" s="4">
        <v>0.67090632749380053</v>
      </c>
      <c r="G290" s="4" t="str">
        <f t="shared" si="41"/>
        <v/>
      </c>
      <c r="H290" s="4" t="str">
        <f t="shared" si="42"/>
        <v/>
      </c>
      <c r="I290" s="4" t="str">
        <f t="shared" si="43"/>
        <v/>
      </c>
      <c r="J290" s="4">
        <f t="shared" si="44"/>
        <v>0.58260869565217388</v>
      </c>
      <c r="K290" s="4" t="str">
        <f t="shared" si="45"/>
        <v/>
      </c>
      <c r="L290" s="4" t="str">
        <f t="shared" si="46"/>
        <v/>
      </c>
      <c r="M290" s="4"/>
      <c r="N290" s="4"/>
      <c r="O290" s="4"/>
      <c r="P290" s="4"/>
      <c r="Q290" s="4"/>
      <c r="R290" s="4"/>
      <c r="S290" s="4"/>
      <c r="T290" s="4"/>
      <c r="U290" s="4"/>
    </row>
    <row r="291" spans="1:21">
      <c r="A291" t="s">
        <v>598</v>
      </c>
      <c r="B291">
        <v>11</v>
      </c>
      <c r="C291" t="str">
        <f t="shared" si="40"/>
        <v>test.TIFFFaxEncoder_11_</v>
      </c>
      <c r="D291">
        <v>3</v>
      </c>
      <c r="E291" s="4">
        <v>0.66086956521739126</v>
      </c>
      <c r="F291" s="4">
        <v>0.70370370370370372</v>
      </c>
      <c r="G291" s="4" t="str">
        <f t="shared" si="41"/>
        <v/>
      </c>
      <c r="H291" s="4" t="str">
        <f t="shared" si="42"/>
        <v/>
      </c>
      <c r="I291" s="4" t="str">
        <f t="shared" si="43"/>
        <v/>
      </c>
      <c r="J291" s="4">
        <f t="shared" si="44"/>
        <v>0.66086956521739126</v>
      </c>
      <c r="K291" s="4" t="str">
        <f t="shared" si="45"/>
        <v/>
      </c>
      <c r="L291" s="4" t="str">
        <f t="shared" si="46"/>
        <v/>
      </c>
      <c r="M291" s="4"/>
      <c r="N291" s="4"/>
      <c r="O291" s="4"/>
      <c r="P291" s="4"/>
      <c r="Q291" s="4"/>
      <c r="R291" s="4"/>
      <c r="S291" s="4"/>
      <c r="T291" s="4"/>
      <c r="U291" s="4"/>
    </row>
    <row r="292" spans="1:21">
      <c r="A292" t="s">
        <v>598</v>
      </c>
      <c r="B292">
        <v>11</v>
      </c>
      <c r="C292" t="str">
        <f t="shared" si="40"/>
        <v>test.TIFFFaxEncoder_11_</v>
      </c>
      <c r="D292">
        <v>4</v>
      </c>
      <c r="E292" s="4">
        <v>0.78260869565217395</v>
      </c>
      <c r="F292" s="4">
        <v>0.70586353091752663</v>
      </c>
      <c r="G292" s="4" t="str">
        <f t="shared" si="41"/>
        <v/>
      </c>
      <c r="H292" s="4" t="str">
        <f t="shared" si="42"/>
        <v/>
      </c>
      <c r="I292" s="4" t="str">
        <f t="shared" si="43"/>
        <v/>
      </c>
      <c r="J292" s="4">
        <f t="shared" si="44"/>
        <v>0.78260869565217395</v>
      </c>
      <c r="K292" s="4" t="str">
        <f t="shared" si="45"/>
        <v/>
      </c>
      <c r="L292" s="4" t="str">
        <f t="shared" si="46"/>
        <v/>
      </c>
      <c r="M292" s="4"/>
      <c r="N292" s="4"/>
      <c r="O292" s="4"/>
      <c r="P292" s="4"/>
      <c r="Q292" s="4"/>
      <c r="R292" s="4"/>
      <c r="S292" s="4"/>
      <c r="T292" s="4"/>
      <c r="U292" s="4"/>
    </row>
    <row r="293" spans="1:21">
      <c r="A293" t="s">
        <v>598</v>
      </c>
      <c r="B293">
        <v>11</v>
      </c>
      <c r="C293" t="str">
        <f t="shared" si="40"/>
        <v>test.TIFFFaxEncoder_11_</v>
      </c>
      <c r="D293">
        <v>5</v>
      </c>
      <c r="E293" s="4">
        <v>0.78260869565217395</v>
      </c>
      <c r="F293" s="4">
        <v>0.74442044636429083</v>
      </c>
      <c r="G293" s="4" t="str">
        <f t="shared" si="41"/>
        <v/>
      </c>
      <c r="H293" s="4" t="str">
        <f t="shared" si="42"/>
        <v/>
      </c>
      <c r="I293" s="4" t="str">
        <f t="shared" si="43"/>
        <v/>
      </c>
      <c r="J293" s="4">
        <f t="shared" si="44"/>
        <v>0.78260869565217395</v>
      </c>
      <c r="K293" s="4" t="str">
        <f t="shared" si="45"/>
        <v/>
      </c>
      <c r="L293" s="4" t="str">
        <f t="shared" si="46"/>
        <v/>
      </c>
      <c r="M293" s="4"/>
      <c r="N293" s="4"/>
      <c r="O293" s="4"/>
      <c r="P293" s="4"/>
      <c r="Q293" s="4"/>
      <c r="R293" s="4"/>
      <c r="S293" s="4"/>
      <c r="T293" s="4"/>
      <c r="U293" s="4"/>
    </row>
    <row r="294" spans="1:21">
      <c r="A294" t="s">
        <v>598</v>
      </c>
      <c r="B294">
        <v>11</v>
      </c>
      <c r="C294" t="str">
        <f t="shared" si="40"/>
        <v>test.TIFFFaxEncoder_11_</v>
      </c>
      <c r="D294">
        <v>6</v>
      </c>
      <c r="E294" s="4">
        <v>0.89565217391304353</v>
      </c>
      <c r="F294" s="4">
        <v>0.74938004959603233</v>
      </c>
      <c r="G294" s="4" t="str">
        <f t="shared" si="41"/>
        <v/>
      </c>
      <c r="H294" s="4" t="str">
        <f t="shared" si="42"/>
        <v/>
      </c>
      <c r="I294" s="4" t="str">
        <f t="shared" si="43"/>
        <v/>
      </c>
      <c r="J294" s="4">
        <f t="shared" si="44"/>
        <v>0.89565217391304353</v>
      </c>
      <c r="K294" s="4" t="str">
        <f t="shared" si="45"/>
        <v/>
      </c>
      <c r="L294" s="4" t="str">
        <f t="shared" si="46"/>
        <v/>
      </c>
      <c r="M294" s="4"/>
      <c r="N294" s="4"/>
      <c r="O294" s="4"/>
      <c r="P294" s="4"/>
      <c r="Q294" s="4"/>
      <c r="R294" s="4"/>
      <c r="S294" s="4"/>
      <c r="T294" s="4"/>
      <c r="U294" s="4"/>
    </row>
    <row r="295" spans="1:21">
      <c r="A295" t="s">
        <v>598</v>
      </c>
      <c r="B295">
        <v>11</v>
      </c>
      <c r="C295" t="str">
        <f t="shared" si="40"/>
        <v>test.TIFFFaxEncoder_11_</v>
      </c>
      <c r="D295">
        <v>7</v>
      </c>
      <c r="E295" s="4">
        <v>0.99130434782608701</v>
      </c>
      <c r="F295" s="4">
        <v>0.75065994720422369</v>
      </c>
      <c r="G295" s="4" t="str">
        <f t="shared" si="41"/>
        <v/>
      </c>
      <c r="H295" s="4" t="str">
        <f t="shared" si="42"/>
        <v/>
      </c>
      <c r="I295" s="4" t="str">
        <f t="shared" si="43"/>
        <v/>
      </c>
      <c r="J295" s="4">
        <f t="shared" si="44"/>
        <v>0.99130434782608701</v>
      </c>
      <c r="K295" s="4" t="str">
        <f t="shared" si="45"/>
        <v/>
      </c>
      <c r="L295" s="4" t="str">
        <f t="shared" si="46"/>
        <v/>
      </c>
      <c r="M295" s="4"/>
      <c r="N295" s="4"/>
      <c r="O295" s="4"/>
      <c r="P295" s="4"/>
      <c r="Q295" s="4"/>
      <c r="R295" s="4"/>
      <c r="S295" s="4"/>
      <c r="T295" s="4"/>
      <c r="U295" s="4"/>
    </row>
    <row r="296" spans="1:21">
      <c r="A296" t="s">
        <v>598</v>
      </c>
      <c r="B296">
        <v>11</v>
      </c>
      <c r="C296" t="str">
        <f t="shared" si="40"/>
        <v>test.TIFFFaxEncoder_11_</v>
      </c>
      <c r="D296">
        <v>8</v>
      </c>
      <c r="E296" s="4">
        <v>0.99130434782608701</v>
      </c>
      <c r="F296" s="4">
        <v>0.75401967842572593</v>
      </c>
      <c r="G296" s="4" t="str">
        <f t="shared" si="41"/>
        <v/>
      </c>
      <c r="H296" s="4" t="str">
        <f t="shared" si="42"/>
        <v/>
      </c>
      <c r="I296" s="4" t="str">
        <f t="shared" si="43"/>
        <v/>
      </c>
      <c r="J296" s="4">
        <f t="shared" si="44"/>
        <v>0.99130434782608701</v>
      </c>
      <c r="K296" s="4" t="str">
        <f t="shared" si="45"/>
        <v/>
      </c>
      <c r="L296" s="4" t="str">
        <f t="shared" si="46"/>
        <v/>
      </c>
      <c r="M296" s="4"/>
      <c r="N296" s="4"/>
      <c r="O296" s="4"/>
      <c r="P296" s="4"/>
      <c r="Q296" s="4"/>
      <c r="R296" s="4"/>
      <c r="S296" s="4"/>
      <c r="T296" s="4"/>
      <c r="U296" s="4"/>
    </row>
    <row r="297" spans="1:21">
      <c r="A297" t="s">
        <v>598</v>
      </c>
      <c r="B297">
        <v>11</v>
      </c>
      <c r="C297" t="str">
        <f t="shared" si="40"/>
        <v>test.TIFFFaxEncoder_11_</v>
      </c>
      <c r="D297">
        <v>9</v>
      </c>
      <c r="E297" s="4">
        <v>1</v>
      </c>
      <c r="F297" s="4">
        <v>0.76521878249740016</v>
      </c>
      <c r="G297" s="4" t="str">
        <f t="shared" si="41"/>
        <v/>
      </c>
      <c r="H297" s="4" t="str">
        <f t="shared" si="42"/>
        <v/>
      </c>
      <c r="I297" s="4" t="str">
        <f t="shared" si="43"/>
        <v/>
      </c>
      <c r="J297" s="4">
        <f t="shared" si="44"/>
        <v>1</v>
      </c>
      <c r="K297" s="4" t="str">
        <f t="shared" si="45"/>
        <v/>
      </c>
      <c r="L297" s="4" t="str">
        <f t="shared" si="46"/>
        <v/>
      </c>
      <c r="M297" s="4"/>
      <c r="N297" s="4"/>
      <c r="O297" s="4"/>
      <c r="P297" s="4"/>
      <c r="Q297" s="4"/>
      <c r="R297" s="4"/>
      <c r="S297" s="4"/>
      <c r="T297" s="4"/>
      <c r="U297" s="4"/>
    </row>
    <row r="298" spans="1:21">
      <c r="A298" t="s">
        <v>598</v>
      </c>
      <c r="B298">
        <v>11</v>
      </c>
      <c r="C298" t="str">
        <f t="shared" si="40"/>
        <v>test.TIFFFaxEncoder_11_</v>
      </c>
      <c r="D298">
        <v>10</v>
      </c>
      <c r="E298" s="4">
        <v>1</v>
      </c>
      <c r="F298" s="4">
        <v>0.77289816814654833</v>
      </c>
      <c r="G298" s="4" t="str">
        <f t="shared" si="41"/>
        <v/>
      </c>
      <c r="H298" s="4" t="str">
        <f t="shared" si="42"/>
        <v/>
      </c>
      <c r="I298" s="4" t="str">
        <f t="shared" si="43"/>
        <v/>
      </c>
      <c r="J298" s="4">
        <f t="shared" si="44"/>
        <v>1</v>
      </c>
      <c r="K298" s="4" t="str">
        <f t="shared" si="45"/>
        <v/>
      </c>
      <c r="L298" s="4" t="str">
        <f t="shared" si="46"/>
        <v/>
      </c>
      <c r="M298" s="4"/>
      <c r="N298" s="4"/>
      <c r="O298" s="4"/>
      <c r="P298" s="4"/>
      <c r="Q298" s="4"/>
      <c r="R298" s="4"/>
      <c r="S298" s="4"/>
      <c r="T298" s="4"/>
      <c r="U298" s="4"/>
    </row>
    <row r="299" spans="1:21">
      <c r="A299" t="s">
        <v>598</v>
      </c>
      <c r="B299">
        <v>11</v>
      </c>
      <c r="C299" t="str">
        <f t="shared" si="40"/>
        <v>test.TIFFFaxEncoder_11_</v>
      </c>
      <c r="D299">
        <v>11</v>
      </c>
      <c r="E299" s="4">
        <v>1</v>
      </c>
      <c r="F299" s="4">
        <v>0.78145748340132792</v>
      </c>
      <c r="G299" s="4" t="str">
        <f t="shared" si="41"/>
        <v/>
      </c>
      <c r="H299" s="4" t="str">
        <f t="shared" si="42"/>
        <v/>
      </c>
      <c r="I299" s="4" t="str">
        <f t="shared" si="43"/>
        <v/>
      </c>
      <c r="J299" s="4">
        <f t="shared" si="44"/>
        <v>1</v>
      </c>
      <c r="K299" s="4" t="str">
        <f t="shared" si="45"/>
        <v/>
      </c>
      <c r="L299" s="4" t="str">
        <f t="shared" si="46"/>
        <v/>
      </c>
      <c r="M299" s="4"/>
      <c r="N299" s="4"/>
      <c r="O299" s="4"/>
      <c r="P299" s="4"/>
      <c r="Q299" s="4"/>
      <c r="R299" s="4"/>
      <c r="S299" s="4"/>
      <c r="T299" s="4"/>
      <c r="U299" s="4"/>
    </row>
    <row r="300" spans="1:21">
      <c r="A300" t="s">
        <v>598</v>
      </c>
      <c r="B300">
        <v>11</v>
      </c>
      <c r="C300" t="str">
        <f t="shared" si="40"/>
        <v>test.TIFFFaxEncoder_11_</v>
      </c>
      <c r="D300">
        <v>12</v>
      </c>
      <c r="E300" s="4">
        <v>1</v>
      </c>
      <c r="F300" s="4">
        <v>0.80929525637948962</v>
      </c>
      <c r="G300" s="4" t="str">
        <f t="shared" si="41"/>
        <v/>
      </c>
      <c r="H300" s="4" t="str">
        <f t="shared" si="42"/>
        <v/>
      </c>
      <c r="I300" s="4" t="str">
        <f t="shared" si="43"/>
        <v/>
      </c>
      <c r="J300" s="4" t="str">
        <f t="shared" si="44"/>
        <v/>
      </c>
      <c r="K300" s="4">
        <f>IF(AND($F300 &gt; 0.8, $F300 &lt;=1.1),$E300,"")</f>
        <v>1</v>
      </c>
      <c r="L300" s="4" t="str">
        <f t="shared" si="46"/>
        <v/>
      </c>
      <c r="M300" s="4"/>
      <c r="N300" s="4"/>
      <c r="O300" s="4"/>
      <c r="P300" s="4"/>
      <c r="Q300" s="4"/>
      <c r="R300" s="4"/>
      <c r="S300" s="4"/>
      <c r="T300" s="4"/>
      <c r="U300" s="4"/>
    </row>
    <row r="301" spans="1:21">
      <c r="A301" t="s">
        <v>598</v>
      </c>
      <c r="B301">
        <v>11</v>
      </c>
      <c r="C301" t="str">
        <f t="shared" si="40"/>
        <v>test.TIFFFaxEncoder_11_</v>
      </c>
      <c r="D301">
        <v>13</v>
      </c>
      <c r="E301" s="4">
        <v>1</v>
      </c>
      <c r="F301" s="4">
        <v>0.80977521798256136</v>
      </c>
      <c r="G301" s="4" t="str">
        <f t="shared" si="41"/>
        <v/>
      </c>
      <c r="H301" s="4" t="str">
        <f t="shared" si="42"/>
        <v/>
      </c>
      <c r="I301" s="4" t="str">
        <f t="shared" si="43"/>
        <v/>
      </c>
      <c r="J301" s="4" t="str">
        <f t="shared" si="44"/>
        <v/>
      </c>
      <c r="K301" s="4">
        <f t="shared" si="45"/>
        <v>1</v>
      </c>
      <c r="L301" s="4" t="str">
        <f t="shared" si="46"/>
        <v/>
      </c>
      <c r="M301" s="4"/>
      <c r="N301" s="4"/>
      <c r="O301" s="4"/>
      <c r="P301" s="4"/>
      <c r="Q301" s="4"/>
      <c r="R301" s="4"/>
      <c r="S301" s="4"/>
      <c r="T301" s="4"/>
      <c r="U301" s="4"/>
    </row>
    <row r="302" spans="1:21">
      <c r="A302" t="s">
        <v>598</v>
      </c>
      <c r="B302">
        <v>11</v>
      </c>
      <c r="C302" t="str">
        <f t="shared" si="40"/>
        <v>test.TIFFFaxEncoder_11_</v>
      </c>
      <c r="D302">
        <v>14</v>
      </c>
      <c r="E302" s="4">
        <v>1</v>
      </c>
      <c r="F302" s="4">
        <v>0.81465482761379093</v>
      </c>
      <c r="G302" s="4" t="str">
        <f t="shared" si="41"/>
        <v/>
      </c>
      <c r="H302" s="4" t="str">
        <f t="shared" si="42"/>
        <v/>
      </c>
      <c r="I302" s="4" t="str">
        <f t="shared" si="43"/>
        <v/>
      </c>
      <c r="J302" s="4" t="str">
        <f t="shared" si="44"/>
        <v/>
      </c>
      <c r="K302" s="4">
        <f t="shared" si="45"/>
        <v>1</v>
      </c>
      <c r="L302" s="4" t="str">
        <f t="shared" si="46"/>
        <v/>
      </c>
      <c r="M302" s="4"/>
      <c r="N302" s="4"/>
      <c r="O302" s="4"/>
      <c r="P302" s="4"/>
      <c r="Q302" s="4"/>
      <c r="R302" s="4"/>
      <c r="S302" s="4"/>
      <c r="T302" s="4"/>
      <c r="U302" s="4"/>
    </row>
    <row r="303" spans="1:21">
      <c r="A303" t="s">
        <v>598</v>
      </c>
      <c r="B303">
        <v>11</v>
      </c>
      <c r="C303" t="str">
        <f t="shared" si="40"/>
        <v>test.TIFFFaxEncoder_11_</v>
      </c>
      <c r="D303">
        <v>15</v>
      </c>
      <c r="E303" s="4">
        <v>1</v>
      </c>
      <c r="F303" s="4">
        <v>0.82449404047676189</v>
      </c>
      <c r="G303" s="4" t="str">
        <f t="shared" si="41"/>
        <v/>
      </c>
      <c r="H303" s="4" t="str">
        <f t="shared" si="42"/>
        <v/>
      </c>
      <c r="I303" s="4" t="str">
        <f t="shared" si="43"/>
        <v/>
      </c>
      <c r="J303" s="4" t="str">
        <f t="shared" si="44"/>
        <v/>
      </c>
      <c r="K303" s="4">
        <f t="shared" si="45"/>
        <v>1</v>
      </c>
      <c r="L303" s="4" t="str">
        <f t="shared" si="46"/>
        <v/>
      </c>
      <c r="M303" s="4"/>
      <c r="N303" s="4"/>
      <c r="O303" s="4"/>
      <c r="P303" s="4"/>
      <c r="Q303" s="4"/>
      <c r="R303" s="4"/>
      <c r="S303" s="4"/>
      <c r="T303" s="4"/>
      <c r="U303" s="4"/>
    </row>
    <row r="304" spans="1:21">
      <c r="A304" t="s">
        <v>598</v>
      </c>
      <c r="B304">
        <v>11</v>
      </c>
      <c r="C304" t="str">
        <f t="shared" ref="C304:C312" si="47">CONCATENATE(A304, "_",B304,"_")</f>
        <v>test.TIFFFaxEncoder_11_</v>
      </c>
      <c r="D304">
        <v>16</v>
      </c>
      <c r="E304" s="4">
        <v>1</v>
      </c>
      <c r="F304" s="4">
        <v>0.83905287576993837</v>
      </c>
      <c r="G304" s="4" t="str">
        <f t="shared" ref="G304:G312" si="48">IF($F304 &lt;= 0.2,$E304,"")</f>
        <v/>
      </c>
      <c r="H304" s="4" t="str">
        <f t="shared" ref="H304:H312" si="49">IF(AND($F304 &gt; 0.2,$F304 &lt;= 0.4),$E304,"")</f>
        <v/>
      </c>
      <c r="I304" s="4" t="str">
        <f t="shared" ref="I304:I312" si="50">IF(AND($F304 &gt; 0.4,$F304 &lt;= 0.6),$E304,"")</f>
        <v/>
      </c>
      <c r="J304" s="4" t="str">
        <f t="shared" ref="J304:J312" si="51">IF(AND($F304 &gt; 0.6,$F304 &lt;= 0.8),$E304,"")</f>
        <v/>
      </c>
      <c r="K304" s="4">
        <f t="shared" ref="K304:K312" si="52">IF(AND($F304 &gt; 0.8, $F304 &lt;=1.1),$E304,"")</f>
        <v>1</v>
      </c>
      <c r="L304" s="4" t="str">
        <f t="shared" ref="L304:L312" si="53">IF(AND($F304 &gt; 1.1),$E304,"")</f>
        <v/>
      </c>
      <c r="M304" s="4"/>
      <c r="N304" s="4"/>
      <c r="O304" s="4"/>
      <c r="P304" s="4"/>
      <c r="Q304" s="4"/>
      <c r="R304" s="4"/>
      <c r="S304" s="4"/>
      <c r="T304" s="4"/>
      <c r="U304" s="4"/>
    </row>
    <row r="305" spans="1:21">
      <c r="A305" t="s">
        <v>598</v>
      </c>
      <c r="B305">
        <v>11</v>
      </c>
      <c r="C305" t="str">
        <f t="shared" si="47"/>
        <v>test.TIFFFaxEncoder_11_</v>
      </c>
      <c r="D305">
        <v>17</v>
      </c>
      <c r="E305" s="4">
        <v>1</v>
      </c>
      <c r="F305" s="4">
        <v>0.8473722102231821</v>
      </c>
      <c r="G305" s="4" t="str">
        <f t="shared" si="48"/>
        <v/>
      </c>
      <c r="H305" s="4" t="str">
        <f t="shared" si="49"/>
        <v/>
      </c>
      <c r="I305" s="4" t="str">
        <f t="shared" si="50"/>
        <v/>
      </c>
      <c r="J305" s="4" t="str">
        <f t="shared" si="51"/>
        <v/>
      </c>
      <c r="K305" s="4">
        <f t="shared" si="52"/>
        <v>1</v>
      </c>
      <c r="L305" s="4" t="str">
        <f t="shared" si="53"/>
        <v/>
      </c>
      <c r="M305" s="4"/>
      <c r="N305" s="4"/>
      <c r="O305" s="4"/>
      <c r="P305" s="4"/>
      <c r="Q305" s="4"/>
      <c r="R305" s="4"/>
      <c r="S305" s="4"/>
      <c r="T305" s="4"/>
      <c r="U305" s="4"/>
    </row>
    <row r="306" spans="1:21">
      <c r="A306" t="s">
        <v>598</v>
      </c>
      <c r="B306">
        <v>11</v>
      </c>
      <c r="C306" t="str">
        <f t="shared" si="47"/>
        <v>test.TIFFFaxEncoder_11_</v>
      </c>
      <c r="D306">
        <v>18</v>
      </c>
      <c r="E306" s="4">
        <v>1</v>
      </c>
      <c r="F306" s="4">
        <v>0.85265178785697149</v>
      </c>
      <c r="G306" s="4" t="str">
        <f t="shared" si="48"/>
        <v/>
      </c>
      <c r="H306" s="4" t="str">
        <f t="shared" si="49"/>
        <v/>
      </c>
      <c r="I306" s="4" t="str">
        <f t="shared" si="50"/>
        <v/>
      </c>
      <c r="J306" s="4" t="str">
        <f t="shared" si="51"/>
        <v/>
      </c>
      <c r="K306" s="4">
        <f t="shared" si="52"/>
        <v>1</v>
      </c>
      <c r="L306" s="4" t="str">
        <f t="shared" si="53"/>
        <v/>
      </c>
      <c r="M306" s="4"/>
      <c r="N306" s="4"/>
      <c r="O306" s="4"/>
      <c r="P306" s="4"/>
      <c r="Q306" s="4"/>
      <c r="R306" s="4"/>
      <c r="S306" s="4"/>
      <c r="T306" s="4"/>
      <c r="U306" s="4"/>
    </row>
    <row r="307" spans="1:21">
      <c r="A307" t="s">
        <v>598</v>
      </c>
      <c r="B307">
        <v>11</v>
      </c>
      <c r="C307" t="str">
        <f t="shared" si="47"/>
        <v>test.TIFFFaxEncoder_11_</v>
      </c>
      <c r="D307">
        <v>19</v>
      </c>
      <c r="E307" s="4">
        <v>1</v>
      </c>
      <c r="F307" s="4">
        <v>0.85433165346772255</v>
      </c>
      <c r="G307" s="4" t="str">
        <f t="shared" si="48"/>
        <v/>
      </c>
      <c r="H307" s="4" t="str">
        <f t="shared" si="49"/>
        <v/>
      </c>
      <c r="I307" s="4" t="str">
        <f t="shared" si="50"/>
        <v/>
      </c>
      <c r="J307" s="4" t="str">
        <f t="shared" si="51"/>
        <v/>
      </c>
      <c r="K307" s="4">
        <f t="shared" si="52"/>
        <v>1</v>
      </c>
      <c r="L307" s="4" t="str">
        <f t="shared" si="53"/>
        <v/>
      </c>
      <c r="M307" s="4"/>
      <c r="N307" s="4"/>
      <c r="O307" s="4"/>
      <c r="P307" s="4"/>
      <c r="Q307" s="4"/>
      <c r="R307" s="4"/>
      <c r="S307" s="4"/>
      <c r="T307" s="4"/>
      <c r="U307" s="4"/>
    </row>
    <row r="308" spans="1:21">
      <c r="A308" t="s">
        <v>598</v>
      </c>
      <c r="B308">
        <v>11</v>
      </c>
      <c r="C308" t="str">
        <f t="shared" si="47"/>
        <v>test.TIFFFaxEncoder_11_</v>
      </c>
      <c r="D308">
        <v>20</v>
      </c>
      <c r="E308" s="4">
        <v>1</v>
      </c>
      <c r="F308" s="4">
        <v>0.86617070634349247</v>
      </c>
      <c r="G308" s="4" t="str">
        <f t="shared" si="48"/>
        <v/>
      </c>
      <c r="H308" s="4" t="str">
        <f t="shared" si="49"/>
        <v/>
      </c>
      <c r="I308" s="4" t="str">
        <f t="shared" si="50"/>
        <v/>
      </c>
      <c r="J308" s="4" t="str">
        <f t="shared" si="51"/>
        <v/>
      </c>
      <c r="K308" s="4">
        <f t="shared" si="52"/>
        <v>1</v>
      </c>
      <c r="L308" s="4" t="str">
        <f t="shared" si="53"/>
        <v/>
      </c>
      <c r="M308" s="4"/>
      <c r="N308" s="4"/>
      <c r="O308" s="4"/>
      <c r="P308" s="4"/>
      <c r="Q308" s="4"/>
      <c r="R308" s="4"/>
      <c r="S308" s="4"/>
      <c r="T308" s="4"/>
      <c r="U308" s="4"/>
    </row>
    <row r="309" spans="1:21">
      <c r="A309" t="s">
        <v>598</v>
      </c>
      <c r="B309">
        <v>11</v>
      </c>
      <c r="C309" t="str">
        <f t="shared" si="47"/>
        <v>test.TIFFFaxEncoder_11_</v>
      </c>
      <c r="D309">
        <v>21</v>
      </c>
      <c r="E309" s="4">
        <v>1</v>
      </c>
      <c r="F309" s="4">
        <v>0.8944084473242141</v>
      </c>
      <c r="G309" s="4" t="str">
        <f t="shared" si="48"/>
        <v/>
      </c>
      <c r="H309" s="4" t="str">
        <f t="shared" si="49"/>
        <v/>
      </c>
      <c r="I309" s="4" t="str">
        <f t="shared" si="50"/>
        <v/>
      </c>
      <c r="J309" s="4" t="str">
        <f t="shared" si="51"/>
        <v/>
      </c>
      <c r="K309" s="4">
        <f t="shared" si="52"/>
        <v>1</v>
      </c>
      <c r="L309" s="4" t="str">
        <f t="shared" si="53"/>
        <v/>
      </c>
      <c r="M309" s="4"/>
      <c r="N309" s="4"/>
      <c r="O309" s="4"/>
      <c r="P309" s="4"/>
      <c r="Q309" s="4"/>
      <c r="R309" s="4"/>
      <c r="S309" s="4"/>
      <c r="T309" s="4"/>
      <c r="U309" s="4"/>
    </row>
    <row r="310" spans="1:21">
      <c r="A310" t="s">
        <v>598</v>
      </c>
      <c r="B310">
        <v>11</v>
      </c>
      <c r="C310" t="str">
        <f t="shared" si="47"/>
        <v>test.TIFFFaxEncoder_11_</v>
      </c>
      <c r="D310">
        <v>22</v>
      </c>
      <c r="E310" s="4">
        <v>1</v>
      </c>
      <c r="F310" s="4">
        <v>0.90608751299896007</v>
      </c>
      <c r="G310" s="4" t="str">
        <f t="shared" si="48"/>
        <v/>
      </c>
      <c r="H310" s="4" t="str">
        <f t="shared" si="49"/>
        <v/>
      </c>
      <c r="I310" s="4" t="str">
        <f t="shared" si="50"/>
        <v/>
      </c>
      <c r="J310" s="4" t="str">
        <f t="shared" si="51"/>
        <v/>
      </c>
      <c r="K310" s="4">
        <f t="shared" si="52"/>
        <v>1</v>
      </c>
      <c r="L310" s="4" t="str">
        <f t="shared" si="53"/>
        <v/>
      </c>
      <c r="M310" s="4"/>
      <c r="N310" s="4"/>
      <c r="O310" s="4"/>
      <c r="P310" s="4"/>
      <c r="Q310" s="4"/>
      <c r="R310" s="4"/>
      <c r="S310" s="4"/>
      <c r="T310" s="4"/>
      <c r="U310" s="4"/>
    </row>
    <row r="311" spans="1:21">
      <c r="A311" t="s">
        <v>598</v>
      </c>
      <c r="B311">
        <v>11</v>
      </c>
      <c r="C311" t="str">
        <f t="shared" si="47"/>
        <v>test.TIFFFaxEncoder_11_</v>
      </c>
      <c r="D311">
        <v>23</v>
      </c>
      <c r="E311" s="4">
        <v>1</v>
      </c>
      <c r="F311" s="4">
        <v>0.91752659787217028</v>
      </c>
      <c r="G311" s="4" t="str">
        <f t="shared" si="48"/>
        <v/>
      </c>
      <c r="H311" s="4" t="str">
        <f t="shared" si="49"/>
        <v/>
      </c>
      <c r="I311" s="4" t="str">
        <f t="shared" si="50"/>
        <v/>
      </c>
      <c r="J311" s="4" t="str">
        <f t="shared" si="51"/>
        <v/>
      </c>
      <c r="K311" s="4">
        <f t="shared" si="52"/>
        <v>1</v>
      </c>
      <c r="L311" s="4" t="str">
        <f t="shared" si="53"/>
        <v/>
      </c>
      <c r="M311" s="4"/>
      <c r="N311" s="4"/>
      <c r="O311" s="4"/>
      <c r="P311" s="4"/>
      <c r="Q311" s="4"/>
      <c r="R311" s="4"/>
      <c r="S311" s="4"/>
      <c r="T311" s="4"/>
      <c r="U311" s="4"/>
    </row>
    <row r="312" spans="1:21">
      <c r="A312" t="s">
        <v>598</v>
      </c>
      <c r="B312">
        <v>11</v>
      </c>
      <c r="C312" t="str">
        <f t="shared" si="47"/>
        <v>test.TIFFFaxEncoder_11_</v>
      </c>
      <c r="D312">
        <v>24</v>
      </c>
      <c r="E312" s="4">
        <v>1</v>
      </c>
      <c r="F312" s="4">
        <v>0.94024478041756665</v>
      </c>
      <c r="G312" s="4" t="str">
        <f t="shared" si="48"/>
        <v/>
      </c>
      <c r="H312" s="4" t="str">
        <f t="shared" si="49"/>
        <v/>
      </c>
      <c r="I312" s="4" t="str">
        <f t="shared" si="50"/>
        <v/>
      </c>
      <c r="J312" s="4" t="str">
        <f t="shared" si="51"/>
        <v/>
      </c>
      <c r="K312" s="4">
        <f t="shared" si="52"/>
        <v>1</v>
      </c>
      <c r="L312" s="4" t="str">
        <f t="shared" si="53"/>
        <v/>
      </c>
      <c r="M312" s="4"/>
      <c r="N312" s="4"/>
      <c r="O312" s="4"/>
      <c r="P312" s="4"/>
      <c r="Q312" s="4"/>
      <c r="R312" s="4"/>
      <c r="S312" s="4"/>
      <c r="T312" s="4"/>
      <c r="U312" s="4"/>
    </row>
    <row r="313" spans="1:21">
      <c r="E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>
      <c r="E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>
      <c r="E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>
      <c r="E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>
      <c r="E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>
      <c r="E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>
      <c r="E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>
      <c r="E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5:21">
      <c r="E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5:21">
      <c r="E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5:21">
      <c r="E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5:21">
      <c r="E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5:21">
      <c r="E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5:21">
      <c r="E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5:21">
      <c r="E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5:21">
      <c r="E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5:21">
      <c r="E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5:21">
      <c r="E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5:21">
      <c r="E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5:21">
      <c r="E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5:21">
      <c r="E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5:21">
      <c r="E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5:21">
      <c r="E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5:21">
      <c r="E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5:21">
      <c r="E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5:21">
      <c r="E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5:21">
      <c r="E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5:21">
      <c r="E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5:21">
      <c r="E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5:21">
      <c r="E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5:21">
      <c r="E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5:21">
      <c r="E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5:21">
      <c r="E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5:21">
      <c r="E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5:21">
      <c r="E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5:21">
      <c r="E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5:21">
      <c r="E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5:21">
      <c r="E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5:21">
      <c r="E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5:21">
      <c r="E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5:21">
      <c r="E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5:21">
      <c r="E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5:21">
      <c r="E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5:21">
      <c r="E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5:21">
      <c r="E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5:21">
      <c r="E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5:21">
      <c r="E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5:21">
      <c r="E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5:21">
      <c r="E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5:21">
      <c r="E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5:21">
      <c r="E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5:21">
      <c r="E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5:21">
      <c r="E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5:21">
      <c r="E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5:21">
      <c r="E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5:21">
      <c r="E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5:21">
      <c r="E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5:21">
      <c r="E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5:21">
      <c r="E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5:21">
      <c r="E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5:21">
      <c r="E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5:21">
      <c r="E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5:21">
      <c r="E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5:21">
      <c r="E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5:21">
      <c r="E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5:21">
      <c r="E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5:21">
      <c r="E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5:21">
      <c r="E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5:21">
      <c r="E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5:21">
      <c r="E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5:21">
      <c r="E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5:21">
      <c r="E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5:21">
      <c r="E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5:21">
      <c r="E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5:21">
      <c r="E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5:21">
      <c r="E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5:21">
      <c r="E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5:21">
      <c r="E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5:21">
      <c r="E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5:21">
      <c r="E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5:21">
      <c r="E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5:21">
      <c r="E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5:21">
      <c r="E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5:21">
      <c r="E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5:21">
      <c r="E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5:21">
      <c r="E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5:21">
      <c r="E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5:21">
      <c r="E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5:21">
      <c r="E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5:21">
      <c r="E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5:21">
      <c r="E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5:21">
      <c r="E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5:21">
      <c r="E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5:21">
      <c r="E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5:21">
      <c r="E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5:21">
      <c r="E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5:21">
      <c r="E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5:21">
      <c r="E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5:21">
      <c r="E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5:21">
      <c r="E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5:21">
      <c r="E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5:21">
      <c r="E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5:21">
      <c r="E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5:21">
      <c r="E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5:21">
      <c r="E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5:21">
      <c r="E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5:21">
      <c r="E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5:21">
      <c r="E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5:21">
      <c r="E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5:21">
      <c r="E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5:21">
      <c r="E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5:21">
      <c r="E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5:21">
      <c r="E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5:21">
      <c r="E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5:21">
      <c r="E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5:21">
      <c r="E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5:21">
      <c r="E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5:21">
      <c r="E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5:21">
      <c r="E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5:21">
      <c r="E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5:21">
      <c r="E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5:21">
      <c r="E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5:21">
      <c r="E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5:21">
      <c r="E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5:21">
      <c r="E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5:21">
      <c r="E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5:21">
      <c r="E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5:21">
      <c r="E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5:21">
      <c r="E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5:21">
      <c r="E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5:21">
      <c r="E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5:21">
      <c r="E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5:21">
      <c r="E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5:21">
      <c r="E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5:21">
      <c r="E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5:21">
      <c r="E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5:21">
      <c r="E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5:21">
      <c r="E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5:21">
      <c r="E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5:21">
      <c r="E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5:21">
      <c r="E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5:21">
      <c r="E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5:21">
      <c r="E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5:21">
      <c r="E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5:21">
      <c r="E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5:21">
      <c r="E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5:21">
      <c r="E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5:21">
      <c r="E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5:21">
      <c r="E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5:21">
      <c r="E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5:21">
      <c r="E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5:21">
      <c r="E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5:21">
      <c r="E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5:21">
      <c r="E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5:21">
      <c r="E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5:21">
      <c r="E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5:21">
      <c r="E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5:21">
      <c r="E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5:21">
      <c r="E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5:21">
      <c r="E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5:21">
      <c r="E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5:21">
      <c r="E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5:21">
      <c r="E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5:21">
      <c r="E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5:21">
      <c r="E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5:21">
      <c r="E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5:21">
      <c r="E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5:21">
      <c r="E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5:21">
      <c r="E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5:21">
      <c r="E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5:21">
      <c r="E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5:21">
      <c r="E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5:21">
      <c r="E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5:21">
      <c r="E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5:21">
      <c r="E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5:21">
      <c r="E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5:21">
      <c r="E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5:21">
      <c r="E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5:21">
      <c r="E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5:21">
      <c r="E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5:21">
      <c r="E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5:21">
      <c r="E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5:21">
      <c r="E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5:21">
      <c r="E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5:21">
      <c r="E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5:21">
      <c r="E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5:21">
      <c r="E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5:21">
      <c r="E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5:21">
      <c r="E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5:21">
      <c r="E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5:21">
      <c r="E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5:21">
      <c r="E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5:21">
      <c r="E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5:21">
      <c r="E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5:21">
      <c r="E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5:21">
      <c r="E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5:21">
      <c r="E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5:21">
      <c r="E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5:21">
      <c r="E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5:21">
      <c r="E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5:21">
      <c r="E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5:21">
      <c r="E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5:21">
      <c r="E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5:21">
      <c r="E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5:21">
      <c r="E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5:21">
      <c r="E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5:21">
      <c r="E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5:21">
      <c r="E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5:21">
      <c r="E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opLeftCell="I1" workbookViewId="0">
      <selection activeCell="K32" sqref="K32:P32"/>
    </sheetView>
  </sheetViews>
  <sheetFormatPr baseColWidth="10" defaultRowHeight="15" x14ac:dyDescent="0"/>
  <sheetData>
    <row r="1" spans="1:17">
      <c r="A1" t="s">
        <v>698</v>
      </c>
    </row>
    <row r="2" spans="1:17">
      <c r="A2" t="s">
        <v>698</v>
      </c>
      <c r="B2" t="s">
        <v>950</v>
      </c>
      <c r="J2" t="s">
        <v>945</v>
      </c>
      <c r="K2" t="s">
        <v>950</v>
      </c>
    </row>
    <row r="3" spans="1:17">
      <c r="B3" t="s">
        <v>680</v>
      </c>
      <c r="K3" t="s">
        <v>680</v>
      </c>
    </row>
    <row r="4" spans="1:17">
      <c r="A4" t="s">
        <v>679</v>
      </c>
      <c r="B4">
        <v>0</v>
      </c>
      <c r="C4" t="s">
        <v>613</v>
      </c>
      <c r="D4" t="s">
        <v>612</v>
      </c>
      <c r="E4" t="s">
        <v>611</v>
      </c>
      <c r="F4" t="s">
        <v>610</v>
      </c>
      <c r="G4" t="s">
        <v>609</v>
      </c>
      <c r="J4" t="s">
        <v>679</v>
      </c>
      <c r="K4">
        <v>0</v>
      </c>
      <c r="L4" t="s">
        <v>613</v>
      </c>
      <c r="M4" t="s">
        <v>612</v>
      </c>
      <c r="N4" t="s">
        <v>611</v>
      </c>
      <c r="O4" t="s">
        <v>610</v>
      </c>
      <c r="P4" t="s">
        <v>609</v>
      </c>
    </row>
    <row r="5" spans="1:17">
      <c r="A5" t="s">
        <v>604</v>
      </c>
      <c r="B5">
        <v>26</v>
      </c>
      <c r="C5">
        <v>21</v>
      </c>
      <c r="D5">
        <v>5</v>
      </c>
      <c r="E5">
        <v>5</v>
      </c>
      <c r="F5">
        <v>1</v>
      </c>
      <c r="G5">
        <v>0</v>
      </c>
      <c r="H5" s="4">
        <f>G5/58</f>
        <v>0</v>
      </c>
      <c r="I5" s="4"/>
      <c r="J5" t="s">
        <v>604</v>
      </c>
      <c r="K5">
        <v>12</v>
      </c>
      <c r="L5">
        <v>5</v>
      </c>
      <c r="M5">
        <v>4</v>
      </c>
      <c r="N5">
        <v>6</v>
      </c>
      <c r="O5">
        <v>0</v>
      </c>
      <c r="P5">
        <v>0</v>
      </c>
      <c r="Q5" s="4">
        <f>P5/26</f>
        <v>0</v>
      </c>
    </row>
    <row r="6" spans="1:17">
      <c r="A6" t="s">
        <v>605</v>
      </c>
      <c r="B6">
        <v>16</v>
      </c>
      <c r="C6">
        <v>18</v>
      </c>
      <c r="D6">
        <v>7</v>
      </c>
      <c r="E6">
        <v>8</v>
      </c>
      <c r="F6">
        <v>3</v>
      </c>
      <c r="G6">
        <v>6</v>
      </c>
      <c r="H6" s="4">
        <f t="shared" ref="H6:H10" si="0">G6/58</f>
        <v>0.10344827586206896</v>
      </c>
      <c r="I6" s="4"/>
      <c r="J6" t="s">
        <v>605</v>
      </c>
      <c r="K6">
        <v>5</v>
      </c>
      <c r="L6">
        <v>3</v>
      </c>
      <c r="M6">
        <v>6</v>
      </c>
      <c r="N6">
        <v>8</v>
      </c>
      <c r="O6">
        <v>2</v>
      </c>
      <c r="P6">
        <v>3</v>
      </c>
      <c r="Q6" s="4">
        <f t="shared" ref="Q6:Q10" si="1">P6/26</f>
        <v>0.11538461538461539</v>
      </c>
    </row>
    <row r="7" spans="1:17">
      <c r="A7" t="s">
        <v>606</v>
      </c>
      <c r="B7">
        <v>11</v>
      </c>
      <c r="C7">
        <v>11</v>
      </c>
      <c r="D7">
        <v>8</v>
      </c>
      <c r="E7">
        <v>12</v>
      </c>
      <c r="F7">
        <v>2</v>
      </c>
      <c r="G7">
        <v>14</v>
      </c>
      <c r="H7" s="4">
        <f t="shared" si="0"/>
        <v>0.2413793103448276</v>
      </c>
      <c r="I7" s="4"/>
      <c r="J7" t="s">
        <v>606</v>
      </c>
      <c r="K7">
        <v>3</v>
      </c>
      <c r="L7">
        <v>0</v>
      </c>
      <c r="M7">
        <v>4</v>
      </c>
      <c r="N7">
        <v>8</v>
      </c>
      <c r="O7">
        <v>6</v>
      </c>
      <c r="P7">
        <v>6</v>
      </c>
      <c r="Q7" s="4">
        <f t="shared" si="1"/>
        <v>0.23076923076923078</v>
      </c>
    </row>
    <row r="8" spans="1:17">
      <c r="A8" t="s">
        <v>681</v>
      </c>
      <c r="B8">
        <v>7</v>
      </c>
      <c r="C8">
        <v>6</v>
      </c>
      <c r="D8">
        <v>6</v>
      </c>
      <c r="E8">
        <v>8</v>
      </c>
      <c r="F8">
        <v>9</v>
      </c>
      <c r="G8">
        <v>22</v>
      </c>
      <c r="H8" s="4">
        <f t="shared" si="0"/>
        <v>0.37931034482758619</v>
      </c>
      <c r="I8" s="4"/>
      <c r="J8" t="s">
        <v>681</v>
      </c>
      <c r="K8">
        <v>2</v>
      </c>
      <c r="L8">
        <v>0</v>
      </c>
      <c r="M8">
        <v>2</v>
      </c>
      <c r="N8">
        <v>4</v>
      </c>
      <c r="O8">
        <v>8</v>
      </c>
      <c r="P8">
        <v>11</v>
      </c>
      <c r="Q8" s="4">
        <f t="shared" si="1"/>
        <v>0.42307692307692307</v>
      </c>
    </row>
    <row r="9" spans="1:17">
      <c r="A9" t="s">
        <v>607</v>
      </c>
      <c r="B9">
        <v>0</v>
      </c>
      <c r="C9">
        <v>0</v>
      </c>
      <c r="D9">
        <v>1</v>
      </c>
      <c r="E9">
        <v>1</v>
      </c>
      <c r="F9">
        <v>0</v>
      </c>
      <c r="G9">
        <v>56</v>
      </c>
      <c r="H9" s="4">
        <f t="shared" si="0"/>
        <v>0.96551724137931039</v>
      </c>
      <c r="I9" s="4"/>
      <c r="J9" t="s">
        <v>607</v>
      </c>
      <c r="K9">
        <v>0</v>
      </c>
      <c r="L9">
        <v>0</v>
      </c>
      <c r="M9">
        <v>0</v>
      </c>
      <c r="N9">
        <v>1</v>
      </c>
      <c r="O9">
        <v>8</v>
      </c>
      <c r="P9">
        <v>18</v>
      </c>
      <c r="Q9" s="4">
        <f t="shared" si="1"/>
        <v>0.69230769230769229</v>
      </c>
    </row>
    <row r="10" spans="1:17">
      <c r="A10" t="s">
        <v>682</v>
      </c>
      <c r="B10">
        <v>0</v>
      </c>
      <c r="C10">
        <v>0</v>
      </c>
      <c r="D10">
        <v>0</v>
      </c>
      <c r="E10">
        <v>0</v>
      </c>
      <c r="F10">
        <v>0</v>
      </c>
      <c r="G10">
        <v>58</v>
      </c>
      <c r="H10" s="4">
        <f t="shared" si="0"/>
        <v>1</v>
      </c>
      <c r="I10" s="4"/>
      <c r="J10" t="s">
        <v>682</v>
      </c>
      <c r="K10">
        <v>0</v>
      </c>
      <c r="L10">
        <v>0</v>
      </c>
      <c r="M10">
        <v>0</v>
      </c>
      <c r="N10">
        <v>0</v>
      </c>
      <c r="O10">
        <v>8</v>
      </c>
      <c r="P10">
        <v>19</v>
      </c>
      <c r="Q10" s="4">
        <f t="shared" si="1"/>
        <v>0.73076923076923073</v>
      </c>
    </row>
    <row r="13" spans="1:17">
      <c r="A13" t="s">
        <v>699</v>
      </c>
      <c r="B13" t="s">
        <v>951</v>
      </c>
    </row>
    <row r="14" spans="1:17">
      <c r="B14" t="s">
        <v>680</v>
      </c>
      <c r="J14" t="s">
        <v>948</v>
      </c>
      <c r="K14" t="s">
        <v>951</v>
      </c>
    </row>
    <row r="15" spans="1:17">
      <c r="A15" t="s">
        <v>679</v>
      </c>
      <c r="B15">
        <v>0</v>
      </c>
      <c r="C15" t="s">
        <v>613</v>
      </c>
      <c r="D15" t="s">
        <v>612</v>
      </c>
      <c r="E15" t="s">
        <v>611</v>
      </c>
      <c r="F15" t="s">
        <v>610</v>
      </c>
      <c r="G15" t="s">
        <v>609</v>
      </c>
      <c r="J15" s="11"/>
      <c r="K15" s="11" t="s">
        <v>680</v>
      </c>
      <c r="L15" s="11"/>
      <c r="M15" s="11"/>
      <c r="N15" s="11"/>
      <c r="O15" s="11"/>
      <c r="P15" s="2"/>
    </row>
    <row r="16" spans="1:17">
      <c r="A16" t="s">
        <v>604</v>
      </c>
      <c r="B16">
        <v>25</v>
      </c>
      <c r="C16">
        <v>23</v>
      </c>
      <c r="D16">
        <v>4</v>
      </c>
      <c r="E16">
        <v>5</v>
      </c>
      <c r="F16">
        <v>1</v>
      </c>
      <c r="G16">
        <v>0</v>
      </c>
      <c r="J16" s="12" t="s">
        <v>679</v>
      </c>
      <c r="K16" s="12">
        <v>0</v>
      </c>
      <c r="L16" s="12" t="s">
        <v>613</v>
      </c>
      <c r="M16" s="12" t="s">
        <v>612</v>
      </c>
      <c r="N16" s="12" t="s">
        <v>611</v>
      </c>
      <c r="O16" s="12" t="s">
        <v>610</v>
      </c>
      <c r="P16" s="2" t="s">
        <v>609</v>
      </c>
    </row>
    <row r="17" spans="1:17">
      <c r="A17" t="s">
        <v>605</v>
      </c>
      <c r="B17">
        <v>16</v>
      </c>
      <c r="C17">
        <v>16</v>
      </c>
      <c r="D17">
        <v>10</v>
      </c>
      <c r="E17">
        <v>6</v>
      </c>
      <c r="F17">
        <v>4</v>
      </c>
      <c r="G17">
        <v>6</v>
      </c>
      <c r="H17">
        <f>14/58</f>
        <v>0.2413793103448276</v>
      </c>
      <c r="J17" s="2" t="s">
        <v>604</v>
      </c>
      <c r="K17" s="13">
        <v>12</v>
      </c>
      <c r="L17" s="13">
        <v>6</v>
      </c>
      <c r="M17" s="13">
        <v>3</v>
      </c>
      <c r="N17" s="13">
        <v>6</v>
      </c>
      <c r="O17" s="13">
        <v>0</v>
      </c>
      <c r="P17" s="13">
        <v>0</v>
      </c>
      <c r="Q17" s="4">
        <f>P17/26</f>
        <v>0</v>
      </c>
    </row>
    <row r="18" spans="1:17">
      <c r="A18" t="s">
        <v>606</v>
      </c>
      <c r="B18">
        <v>11</v>
      </c>
      <c r="C18">
        <v>8</v>
      </c>
      <c r="D18">
        <v>10</v>
      </c>
      <c r="E18">
        <v>12</v>
      </c>
      <c r="F18">
        <v>3</v>
      </c>
      <c r="G18">
        <v>14</v>
      </c>
      <c r="J18" s="2" t="s">
        <v>605</v>
      </c>
      <c r="K18" s="13">
        <v>5</v>
      </c>
      <c r="L18" s="13">
        <v>3</v>
      </c>
      <c r="M18" s="13">
        <v>6</v>
      </c>
      <c r="N18" s="13">
        <v>7</v>
      </c>
      <c r="O18" s="13">
        <v>3</v>
      </c>
      <c r="P18" s="13">
        <v>3</v>
      </c>
      <c r="Q18" s="4">
        <f t="shared" ref="Q18:Q22" si="2">P18/26</f>
        <v>0.11538461538461539</v>
      </c>
    </row>
    <row r="19" spans="1:17">
      <c r="A19" t="s">
        <v>681</v>
      </c>
      <c r="B19">
        <v>7</v>
      </c>
      <c r="C19">
        <v>4</v>
      </c>
      <c r="D19">
        <v>6</v>
      </c>
      <c r="E19">
        <v>9</v>
      </c>
      <c r="F19">
        <v>8</v>
      </c>
      <c r="G19">
        <v>24</v>
      </c>
      <c r="J19" s="2" t="s">
        <v>606</v>
      </c>
      <c r="K19" s="13">
        <v>3</v>
      </c>
      <c r="L19" s="13">
        <v>0</v>
      </c>
      <c r="M19" s="13">
        <v>3</v>
      </c>
      <c r="N19" s="13">
        <v>8</v>
      </c>
      <c r="O19" s="13">
        <v>7</v>
      </c>
      <c r="P19" s="13">
        <v>6</v>
      </c>
      <c r="Q19" s="4">
        <f t="shared" si="2"/>
        <v>0.23076923076923078</v>
      </c>
    </row>
    <row r="20" spans="1:17">
      <c r="A20" t="s">
        <v>607</v>
      </c>
      <c r="B20">
        <v>0</v>
      </c>
      <c r="C20">
        <v>0</v>
      </c>
      <c r="D20">
        <v>0</v>
      </c>
      <c r="E20">
        <v>0</v>
      </c>
      <c r="F20">
        <v>1</v>
      </c>
      <c r="G20">
        <v>57</v>
      </c>
      <c r="J20" s="2" t="s">
        <v>681</v>
      </c>
      <c r="K20" s="13">
        <v>2</v>
      </c>
      <c r="L20" s="13">
        <v>0</v>
      </c>
      <c r="M20" s="13">
        <v>1</v>
      </c>
      <c r="N20" s="13">
        <v>5</v>
      </c>
      <c r="O20" s="13">
        <v>8</v>
      </c>
      <c r="P20" s="13">
        <v>11</v>
      </c>
      <c r="Q20" s="4">
        <f t="shared" si="2"/>
        <v>0.42307692307692307</v>
      </c>
    </row>
    <row r="21" spans="1:17">
      <c r="A21" t="s">
        <v>682</v>
      </c>
      <c r="B21">
        <v>0</v>
      </c>
      <c r="C21">
        <v>0</v>
      </c>
      <c r="D21">
        <v>0</v>
      </c>
      <c r="E21">
        <v>0</v>
      </c>
      <c r="F21">
        <v>0</v>
      </c>
      <c r="G21">
        <v>58</v>
      </c>
      <c r="J21" s="11" t="s">
        <v>607</v>
      </c>
      <c r="K21" s="13">
        <v>0</v>
      </c>
      <c r="L21" s="13">
        <v>0</v>
      </c>
      <c r="M21" s="13">
        <v>0</v>
      </c>
      <c r="N21" s="13">
        <v>0</v>
      </c>
      <c r="O21" s="13">
        <v>8</v>
      </c>
      <c r="P21" s="13">
        <v>19</v>
      </c>
      <c r="Q21" s="4">
        <f t="shared" si="2"/>
        <v>0.73076923076923073</v>
      </c>
    </row>
    <row r="22" spans="1:17">
      <c r="J22" s="12" t="s">
        <v>682</v>
      </c>
      <c r="K22" s="13">
        <v>0</v>
      </c>
      <c r="L22" s="13">
        <v>0</v>
      </c>
      <c r="M22" s="13">
        <v>0</v>
      </c>
      <c r="N22" s="13">
        <v>0</v>
      </c>
      <c r="O22" s="13">
        <v>8</v>
      </c>
      <c r="P22" s="13">
        <v>19</v>
      </c>
      <c r="Q22" s="4">
        <f t="shared" si="2"/>
        <v>0.73076923076923073</v>
      </c>
    </row>
    <row r="24" spans="1:17">
      <c r="A24" t="s">
        <v>700</v>
      </c>
      <c r="B24" t="s">
        <v>952</v>
      </c>
      <c r="J24" t="s">
        <v>949</v>
      </c>
      <c r="K24" t="s">
        <v>952</v>
      </c>
    </row>
    <row r="25" spans="1:17">
      <c r="B25" t="s">
        <v>680</v>
      </c>
      <c r="K25" t="s">
        <v>680</v>
      </c>
    </row>
    <row r="26" spans="1:17">
      <c r="A26" t="s">
        <v>679</v>
      </c>
      <c r="B26">
        <v>0</v>
      </c>
      <c r="C26" t="s">
        <v>613</v>
      </c>
      <c r="D26" t="s">
        <v>612</v>
      </c>
      <c r="E26" t="s">
        <v>611</v>
      </c>
      <c r="F26" t="s">
        <v>610</v>
      </c>
      <c r="G26" t="s">
        <v>609</v>
      </c>
      <c r="J26" t="s">
        <v>679</v>
      </c>
      <c r="K26">
        <v>0</v>
      </c>
      <c r="L26" t="s">
        <v>613</v>
      </c>
      <c r="M26" t="s">
        <v>612</v>
      </c>
      <c r="N26" t="s">
        <v>611</v>
      </c>
      <c r="O26" t="s">
        <v>610</v>
      </c>
      <c r="P26" t="s">
        <v>609</v>
      </c>
    </row>
    <row r="27" spans="1:17">
      <c r="A27" t="s">
        <v>604</v>
      </c>
      <c r="B27">
        <v>26</v>
      </c>
      <c r="C27">
        <v>21</v>
      </c>
      <c r="D27">
        <v>6</v>
      </c>
      <c r="E27">
        <v>5</v>
      </c>
      <c r="F27">
        <v>0</v>
      </c>
      <c r="G27">
        <v>0</v>
      </c>
      <c r="J27" t="s">
        <v>604</v>
      </c>
      <c r="K27">
        <v>13</v>
      </c>
      <c r="L27">
        <v>6</v>
      </c>
      <c r="M27">
        <v>6</v>
      </c>
      <c r="N27">
        <v>2</v>
      </c>
      <c r="O27">
        <v>0</v>
      </c>
      <c r="P27">
        <v>0</v>
      </c>
    </row>
    <row r="28" spans="1:17">
      <c r="A28" t="s">
        <v>605</v>
      </c>
      <c r="B28">
        <v>17</v>
      </c>
      <c r="C28">
        <v>15</v>
      </c>
      <c r="D28">
        <v>10</v>
      </c>
      <c r="E28">
        <v>4</v>
      </c>
      <c r="F28">
        <v>6</v>
      </c>
      <c r="G28">
        <v>6</v>
      </c>
      <c r="J28" t="s">
        <v>605</v>
      </c>
      <c r="K28">
        <v>7</v>
      </c>
      <c r="L28">
        <v>3</v>
      </c>
      <c r="M28">
        <v>6</v>
      </c>
      <c r="N28">
        <v>7</v>
      </c>
      <c r="O28">
        <v>2</v>
      </c>
      <c r="P28">
        <v>2</v>
      </c>
    </row>
    <row r="29" spans="1:17">
      <c r="A29" t="s">
        <v>606</v>
      </c>
      <c r="B29">
        <v>11</v>
      </c>
      <c r="C29">
        <v>9</v>
      </c>
      <c r="D29">
        <v>10</v>
      </c>
      <c r="E29">
        <v>10</v>
      </c>
      <c r="F29">
        <v>4</v>
      </c>
      <c r="G29">
        <v>14</v>
      </c>
      <c r="J29" t="s">
        <v>606</v>
      </c>
      <c r="K29">
        <v>4</v>
      </c>
      <c r="L29">
        <v>0</v>
      </c>
      <c r="M29">
        <v>3</v>
      </c>
      <c r="N29">
        <v>7</v>
      </c>
      <c r="O29">
        <v>9</v>
      </c>
      <c r="P29">
        <v>4</v>
      </c>
    </row>
    <row r="30" spans="1:17">
      <c r="A30" t="s">
        <v>681</v>
      </c>
      <c r="B30">
        <v>8</v>
      </c>
      <c r="C30">
        <v>4</v>
      </c>
      <c r="D30">
        <v>6</v>
      </c>
      <c r="E30">
        <v>8</v>
      </c>
      <c r="F30">
        <v>7</v>
      </c>
      <c r="G30">
        <v>25</v>
      </c>
      <c r="J30" t="s">
        <v>681</v>
      </c>
      <c r="K30">
        <v>3</v>
      </c>
      <c r="L30">
        <v>0</v>
      </c>
      <c r="M30">
        <v>1</v>
      </c>
      <c r="N30">
        <v>3</v>
      </c>
      <c r="O30">
        <v>11</v>
      </c>
      <c r="P30">
        <v>9</v>
      </c>
    </row>
    <row r="31" spans="1:17">
      <c r="A31" t="s">
        <v>607</v>
      </c>
      <c r="B31">
        <v>0</v>
      </c>
      <c r="C31">
        <v>0</v>
      </c>
      <c r="D31">
        <v>1</v>
      </c>
      <c r="E31">
        <v>1</v>
      </c>
      <c r="F31">
        <v>3</v>
      </c>
      <c r="G31">
        <v>53</v>
      </c>
      <c r="J31" t="s">
        <v>607</v>
      </c>
      <c r="K31">
        <v>0</v>
      </c>
      <c r="L31">
        <v>0</v>
      </c>
      <c r="M31">
        <v>0</v>
      </c>
      <c r="N31">
        <v>0</v>
      </c>
      <c r="O31">
        <v>10</v>
      </c>
      <c r="P31">
        <v>17</v>
      </c>
    </row>
    <row r="32" spans="1:17">
      <c r="A32" t="s">
        <v>682</v>
      </c>
      <c r="B32">
        <v>0</v>
      </c>
      <c r="C32">
        <v>0</v>
      </c>
      <c r="D32">
        <v>0</v>
      </c>
      <c r="E32">
        <v>0</v>
      </c>
      <c r="F32">
        <v>0</v>
      </c>
      <c r="G32">
        <v>58</v>
      </c>
      <c r="J32" t="s">
        <v>682</v>
      </c>
      <c r="K32">
        <v>0</v>
      </c>
      <c r="L32">
        <v>0</v>
      </c>
      <c r="M32">
        <v>0</v>
      </c>
      <c r="N32">
        <v>0</v>
      </c>
      <c r="O32">
        <v>10</v>
      </c>
      <c r="P32">
        <v>17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0"/>
  <sheetViews>
    <sheetView topLeftCell="L3" workbookViewId="0">
      <selection activeCell="X8" sqref="X8:CC8"/>
    </sheetView>
  </sheetViews>
  <sheetFormatPr baseColWidth="10" defaultRowHeight="15" x14ac:dyDescent="0"/>
  <cols>
    <col min="1" max="1" width="25.33203125" bestFit="1" customWidth="1"/>
    <col min="3" max="3" width="28.5" bestFit="1" customWidth="1"/>
    <col min="6" max="7" width="10.83203125" style="4"/>
    <col min="24" max="24" width="14" customWidth="1"/>
    <col min="32" max="34" width="14.6640625" bestFit="1" customWidth="1"/>
    <col min="35" max="35" width="13" bestFit="1" customWidth="1"/>
    <col min="53" max="60" width="16.6640625" bestFit="1" customWidth="1"/>
    <col min="61" max="61" width="19.5" customWidth="1"/>
    <col min="63" max="63" width="17.6640625" bestFit="1" customWidth="1"/>
    <col min="66" max="66" width="22.1640625" customWidth="1"/>
    <col min="67" max="67" width="17.6640625" bestFit="1" customWidth="1"/>
    <col min="70" max="70" width="20" bestFit="1" customWidth="1"/>
    <col min="71" max="71" width="21.1640625" bestFit="1" customWidth="1"/>
    <col min="72" max="74" width="20.83203125" bestFit="1" customWidth="1"/>
    <col min="75" max="78" width="21.83203125" bestFit="1" customWidth="1"/>
    <col min="79" max="80" width="20.6640625" bestFit="1" customWidth="1"/>
  </cols>
  <sheetData>
    <row r="1" spans="1:81">
      <c r="A1" t="s">
        <v>3</v>
      </c>
      <c r="B1" t="s">
        <v>5</v>
      </c>
      <c r="C1" t="s">
        <v>608</v>
      </c>
      <c r="D1" t="s">
        <v>186</v>
      </c>
      <c r="E1" t="s">
        <v>232</v>
      </c>
      <c r="F1" s="4" t="s">
        <v>695</v>
      </c>
      <c r="G1" s="4" t="s">
        <v>604</v>
      </c>
      <c r="H1" t="s">
        <v>605</v>
      </c>
      <c r="I1" t="s">
        <v>606</v>
      </c>
      <c r="J1" t="s">
        <v>681</v>
      </c>
      <c r="K1" s="7" t="s">
        <v>607</v>
      </c>
      <c r="L1" s="7" t="s">
        <v>682</v>
      </c>
      <c r="M1" s="7"/>
      <c r="N1" s="7"/>
      <c r="O1" s="7"/>
      <c r="P1" s="7"/>
      <c r="Q1" s="7" t="s">
        <v>680</v>
      </c>
      <c r="R1" s="7"/>
      <c r="S1" s="7"/>
      <c r="T1" s="7"/>
      <c r="U1" s="7"/>
      <c r="W1" t="s">
        <v>182</v>
      </c>
      <c r="X1" t="s">
        <v>608</v>
      </c>
      <c r="Y1" t="s">
        <v>608</v>
      </c>
      <c r="Z1" t="s">
        <v>608</v>
      </c>
      <c r="AA1" t="s">
        <v>608</v>
      </c>
      <c r="AB1" t="s">
        <v>608</v>
      </c>
      <c r="AC1" t="s">
        <v>608</v>
      </c>
      <c r="AD1" t="s">
        <v>608</v>
      </c>
      <c r="AE1" t="s">
        <v>608</v>
      </c>
      <c r="AF1" t="s">
        <v>608</v>
      </c>
      <c r="AG1" t="s">
        <v>608</v>
      </c>
      <c r="AH1" t="s">
        <v>608</v>
      </c>
      <c r="AI1" t="s">
        <v>608</v>
      </c>
      <c r="AJ1" t="s">
        <v>608</v>
      </c>
      <c r="AK1" t="s">
        <v>608</v>
      </c>
      <c r="AL1" t="s">
        <v>608</v>
      </c>
      <c r="AM1" t="s">
        <v>608</v>
      </c>
      <c r="AN1" t="s">
        <v>608</v>
      </c>
      <c r="AO1" t="s">
        <v>608</v>
      </c>
      <c r="AP1" t="s">
        <v>608</v>
      </c>
      <c r="AQ1" t="s">
        <v>608</v>
      </c>
      <c r="AR1" t="s">
        <v>608</v>
      </c>
      <c r="AS1" t="s">
        <v>608</v>
      </c>
      <c r="AT1" t="s">
        <v>608</v>
      </c>
      <c r="AU1" t="s">
        <v>608</v>
      </c>
      <c r="AV1" t="s">
        <v>608</v>
      </c>
      <c r="AW1" t="s">
        <v>608</v>
      </c>
      <c r="AX1" t="s">
        <v>608</v>
      </c>
      <c r="AY1" t="s">
        <v>608</v>
      </c>
      <c r="AZ1" t="s">
        <v>608</v>
      </c>
      <c r="BA1" t="s">
        <v>608</v>
      </c>
      <c r="BB1" t="s">
        <v>608</v>
      </c>
      <c r="BC1" t="s">
        <v>608</v>
      </c>
      <c r="BD1" t="s">
        <v>608</v>
      </c>
      <c r="BE1" t="s">
        <v>608</v>
      </c>
      <c r="BF1" t="s">
        <v>608</v>
      </c>
      <c r="BG1" t="s">
        <v>608</v>
      </c>
      <c r="BH1" t="s">
        <v>608</v>
      </c>
      <c r="BI1" t="s">
        <v>608</v>
      </c>
      <c r="BJ1" t="s">
        <v>608</v>
      </c>
      <c r="BK1" t="s">
        <v>608</v>
      </c>
      <c r="BL1" t="s">
        <v>608</v>
      </c>
      <c r="BM1" t="s">
        <v>608</v>
      </c>
      <c r="BN1" t="s">
        <v>608</v>
      </c>
      <c r="BO1" t="s">
        <v>608</v>
      </c>
      <c r="BP1" t="s">
        <v>608</v>
      </c>
      <c r="BQ1" t="s">
        <v>608</v>
      </c>
      <c r="BR1" t="s">
        <v>608</v>
      </c>
      <c r="BS1" t="s">
        <v>608</v>
      </c>
      <c r="BT1" t="s">
        <v>608</v>
      </c>
      <c r="BU1" t="s">
        <v>608</v>
      </c>
      <c r="BV1" t="s">
        <v>608</v>
      </c>
      <c r="BW1" t="s">
        <v>608</v>
      </c>
      <c r="BX1" t="s">
        <v>608</v>
      </c>
      <c r="BY1" t="s">
        <v>608</v>
      </c>
      <c r="BZ1" t="s">
        <v>608</v>
      </c>
      <c r="CA1" t="s">
        <v>608</v>
      </c>
      <c r="CB1" t="s">
        <v>608</v>
      </c>
      <c r="CC1" t="s">
        <v>608</v>
      </c>
    </row>
    <row r="2" spans="1:81">
      <c r="A2" t="s">
        <v>188</v>
      </c>
      <c r="B2">
        <v>1</v>
      </c>
      <c r="C2" t="str">
        <f>CONCATENATE(A2, "_",B2,"_")</f>
        <v>test.BallonFactory_1_</v>
      </c>
      <c r="D2">
        <v>1</v>
      </c>
      <c r="E2" s="4">
        <v>0.90196078431372551</v>
      </c>
      <c r="F2" s="4">
        <v>0.97677558736159875</v>
      </c>
      <c r="G2" s="4" t="str">
        <f>IF($F2 &lt;= 0.2,$E2,"")</f>
        <v/>
      </c>
      <c r="H2" s="4" t="str">
        <f>IF(AND($F2 &gt; 0.2,$F2 &lt;= 0.4),$E2,"")</f>
        <v/>
      </c>
      <c r="I2" s="4" t="str">
        <f>IF(AND($F2 &gt; 0.4,$F2 &lt;= 0.6),$E2,"")</f>
        <v/>
      </c>
      <c r="J2" s="4" t="str">
        <f>IF(AND($F2 &gt; 0.6,$F2 &lt;= 0.8),$E2,"")</f>
        <v/>
      </c>
      <c r="K2" s="4">
        <f>IF(AND($F2 &gt; 0.8, $F2 &lt;=1.1),$E2,"")</f>
        <v>0.90196078431372551</v>
      </c>
      <c r="L2" s="4" t="str">
        <f>IF(AND($F2 &gt; 1.1),$E2,"")</f>
        <v/>
      </c>
      <c r="M2" s="4"/>
      <c r="N2" s="4" t="s">
        <v>683</v>
      </c>
      <c r="O2" s="4" t="s">
        <v>614</v>
      </c>
      <c r="P2" s="4" t="s">
        <v>679</v>
      </c>
      <c r="Q2" s="4">
        <v>0</v>
      </c>
      <c r="R2" s="4" t="s">
        <v>613</v>
      </c>
      <c r="S2" s="4" t="s">
        <v>612</v>
      </c>
      <c r="T2" s="4" t="s">
        <v>611</v>
      </c>
      <c r="U2" s="4" t="s">
        <v>610</v>
      </c>
      <c r="V2" t="s">
        <v>609</v>
      </c>
      <c r="W2">
        <f>COUNTA(X2:CC2)</f>
        <v>58</v>
      </c>
      <c r="X2" t="s">
        <v>619</v>
      </c>
      <c r="Y2" t="s">
        <v>620</v>
      </c>
      <c r="Z2" t="s">
        <v>621</v>
      </c>
      <c r="AA2" t="s">
        <v>622</v>
      </c>
      <c r="AB2" t="s">
        <v>623</v>
      </c>
      <c r="AC2" t="s">
        <v>624</v>
      </c>
      <c r="AD2" t="s">
        <v>625</v>
      </c>
      <c r="AE2" t="s">
        <v>626</v>
      </c>
      <c r="AF2" t="s">
        <v>627</v>
      </c>
      <c r="AG2" t="s">
        <v>628</v>
      </c>
      <c r="AH2" t="s">
        <v>629</v>
      </c>
      <c r="AI2" t="s">
        <v>617</v>
      </c>
      <c r="AJ2" t="s">
        <v>616</v>
      </c>
      <c r="AK2" t="s">
        <v>684</v>
      </c>
      <c r="AL2" t="s">
        <v>618</v>
      </c>
      <c r="AM2" t="s">
        <v>630</v>
      </c>
      <c r="AN2" t="s">
        <v>631</v>
      </c>
      <c r="AO2" t="s">
        <v>632</v>
      </c>
      <c r="AP2" t="s">
        <v>633</v>
      </c>
      <c r="AQ2" t="s">
        <v>634</v>
      </c>
      <c r="AR2" t="s">
        <v>635</v>
      </c>
      <c r="AS2" t="s">
        <v>636</v>
      </c>
      <c r="AT2" t="s">
        <v>637</v>
      </c>
      <c r="AU2" t="s">
        <v>638</v>
      </c>
      <c r="AV2" t="s">
        <v>639</v>
      </c>
      <c r="AW2" t="s">
        <v>640</v>
      </c>
      <c r="AX2" t="s">
        <v>641</v>
      </c>
      <c r="AY2" t="s">
        <v>642</v>
      </c>
      <c r="AZ2" t="s">
        <v>643</v>
      </c>
      <c r="BA2" t="s">
        <v>644</v>
      </c>
      <c r="BB2" t="s">
        <v>645</v>
      </c>
      <c r="BC2" t="s">
        <v>646</v>
      </c>
      <c r="BD2" t="s">
        <v>647</v>
      </c>
      <c r="BE2" t="s">
        <v>648</v>
      </c>
      <c r="BF2" t="s">
        <v>649</v>
      </c>
      <c r="BG2" t="s">
        <v>650</v>
      </c>
      <c r="BH2" t="s">
        <v>651</v>
      </c>
      <c r="BI2" t="s">
        <v>653</v>
      </c>
      <c r="BJ2" t="s">
        <v>654</v>
      </c>
      <c r="BK2" t="s">
        <v>696</v>
      </c>
      <c r="BL2" t="s">
        <v>655</v>
      </c>
      <c r="BM2" t="s">
        <v>656</v>
      </c>
      <c r="BN2" t="s">
        <v>657</v>
      </c>
      <c r="BO2" t="s">
        <v>658</v>
      </c>
      <c r="BP2" t="s">
        <v>661</v>
      </c>
      <c r="BQ2" t="s">
        <v>662</v>
      </c>
      <c r="BR2" t="s">
        <v>663</v>
      </c>
      <c r="BS2" t="s">
        <v>665</v>
      </c>
      <c r="BT2" t="s">
        <v>667</v>
      </c>
      <c r="BU2" t="s">
        <v>668</v>
      </c>
      <c r="BV2" t="s">
        <v>670</v>
      </c>
      <c r="BW2" t="s">
        <v>671</v>
      </c>
      <c r="BX2" t="s">
        <v>672</v>
      </c>
      <c r="BY2" t="s">
        <v>673</v>
      </c>
      <c r="BZ2" t="s">
        <v>674</v>
      </c>
      <c r="CA2" t="s">
        <v>675</v>
      </c>
      <c r="CB2" t="s">
        <v>676</v>
      </c>
      <c r="CC2" t="s">
        <v>677</v>
      </c>
    </row>
    <row r="3" spans="1:81">
      <c r="A3" t="s">
        <v>188</v>
      </c>
      <c r="B3">
        <v>1</v>
      </c>
      <c r="C3" t="str">
        <f t="shared" ref="C3:C66" si="0">CONCATENATE(A3, "_",B3,"_")</f>
        <v>test.BallonFactory_1_</v>
      </c>
      <c r="D3">
        <v>2</v>
      </c>
      <c r="E3" s="4">
        <v>0.96078431372549022</v>
      </c>
      <c r="F3" s="4">
        <v>0.99162840939778563</v>
      </c>
      <c r="G3" s="4" t="str">
        <f t="shared" ref="G3:G66" si="1">IF($F3 &lt;= 0.2,$E3,"")</f>
        <v/>
      </c>
      <c r="H3" s="4" t="str">
        <f t="shared" ref="H3:H66" si="2">IF(AND($F3 &gt; 0.2,$F3 &lt;= 0.4),$E3,"")</f>
        <v/>
      </c>
      <c r="I3" s="4" t="str">
        <f t="shared" ref="I3:I66" si="3">IF(AND($F3 &gt; 0.4,$F3 &lt;= 0.6),$E3,"")</f>
        <v/>
      </c>
      <c r="J3" s="4" t="str">
        <f t="shared" ref="J3:J66" si="4">IF(AND($F3 &gt; 0.6,$F3 &lt;= 0.8),$E3,"")</f>
        <v/>
      </c>
      <c r="K3" s="4">
        <f t="shared" ref="K3:K66" si="5">IF(AND($F3 &gt; 0.8, $F3 &lt;=1.1),$E3,"")</f>
        <v>0.96078431372549022</v>
      </c>
      <c r="L3" s="4" t="str">
        <f t="shared" ref="L3:L66" si="6">IF(AND($F3 &gt; 1.1),$E3,"")</f>
        <v/>
      </c>
      <c r="M3" s="4"/>
      <c r="N3" s="4">
        <f>SUM(T3:V3)/64</f>
        <v>9.375E-2</v>
      </c>
      <c r="O3" s="4">
        <f>SUM(Q3:V3)</f>
        <v>58</v>
      </c>
      <c r="P3" t="s">
        <v>604</v>
      </c>
      <c r="Q3" s="8">
        <f t="shared" ref="Q3:Q8" si="7">COUNTIF($X3:$CC3,"=0")</f>
        <v>26</v>
      </c>
      <c r="R3" s="8">
        <f t="shared" ref="R3:R8" si="8">COUNTIFS($X3:$CC3,"&gt;0",$X3:$CC3,"&lt;0.25")</f>
        <v>21</v>
      </c>
      <c r="S3" s="8">
        <f t="shared" ref="S3:S8" si="9">COUNTIFS($X3:$CC3,"&gt;=0.25",$X3:$CC3,"&lt;0.5")</f>
        <v>5</v>
      </c>
      <c r="T3" s="8">
        <f t="shared" ref="T3:T8" si="10">COUNTIFS($X3:$CC3,"&gt;=0.5",$X3:$CC3,"&lt;0.75")</f>
        <v>5</v>
      </c>
      <c r="U3" s="8">
        <f t="shared" ref="U3:U8" si="11">COUNTIFS($X3:$CC3,"&gt;=0.75",$X3:$CC3,"&lt;1")</f>
        <v>1</v>
      </c>
      <c r="V3" s="8">
        <f t="shared" ref="V3:V8" si="12">COUNTIF($X3:$CC3,"=1")</f>
        <v>0</v>
      </c>
      <c r="W3" t="s">
        <v>604</v>
      </c>
      <c r="X3">
        <f>DMAX($A$1:$L$522,$W3,X$1:X$2)</f>
        <v>0</v>
      </c>
      <c r="Y3">
        <f t="shared" ref="Y3:CC3" si="13">DMAX($A$1:$L$522,$W3,Y$1:Y$2)</f>
        <v>0</v>
      </c>
      <c r="Z3">
        <f t="shared" si="13"/>
        <v>0.22222222222222221</v>
      </c>
      <c r="AA3">
        <f t="shared" si="13"/>
        <v>0.2391304347826087</v>
      </c>
      <c r="AB3">
        <f t="shared" si="13"/>
        <v>0</v>
      </c>
      <c r="AC3">
        <f t="shared" si="13"/>
        <v>0</v>
      </c>
      <c r="AD3">
        <f t="shared" si="13"/>
        <v>0</v>
      </c>
      <c r="AE3">
        <f t="shared" si="13"/>
        <v>3.2786885245901641E-2</v>
      </c>
      <c r="AF3">
        <f t="shared" si="13"/>
        <v>0.75886524822695034</v>
      </c>
      <c r="AG3">
        <f t="shared" si="13"/>
        <v>4.7244094488188976E-2</v>
      </c>
      <c r="AH3">
        <f t="shared" si="13"/>
        <v>0.70297029702970293</v>
      </c>
      <c r="AI3">
        <f t="shared" si="13"/>
        <v>4.4642857142857144E-2</v>
      </c>
      <c r="AJ3">
        <f t="shared" si="13"/>
        <v>0</v>
      </c>
      <c r="AK3">
        <f t="shared" si="13"/>
        <v>0</v>
      </c>
      <c r="AL3">
        <f t="shared" si="13"/>
        <v>0.58620689655172409</v>
      </c>
      <c r="AM3">
        <f t="shared" si="13"/>
        <v>0.11979166666666667</v>
      </c>
      <c r="AN3">
        <f t="shared" si="13"/>
        <v>8.4745762711864406E-3</v>
      </c>
      <c r="AO3">
        <f t="shared" si="13"/>
        <v>0</v>
      </c>
      <c r="AP3">
        <f t="shared" si="13"/>
        <v>0.24848484848484848</v>
      </c>
      <c r="AQ3">
        <f t="shared" si="13"/>
        <v>0</v>
      </c>
      <c r="AR3">
        <f t="shared" si="13"/>
        <v>0</v>
      </c>
      <c r="AS3">
        <f t="shared" si="13"/>
        <v>0</v>
      </c>
      <c r="AT3">
        <f t="shared" si="13"/>
        <v>6.9767441860465115E-2</v>
      </c>
      <c r="AU3">
        <f t="shared" si="13"/>
        <v>9.6774193548387094E-2</v>
      </c>
      <c r="AV3">
        <f t="shared" si="13"/>
        <v>0.5178571428571429</v>
      </c>
      <c r="AW3">
        <f t="shared" si="13"/>
        <v>0.36046511627906974</v>
      </c>
      <c r="AX3">
        <f t="shared" si="13"/>
        <v>0.19565217391304349</v>
      </c>
      <c r="AY3">
        <f t="shared" si="13"/>
        <v>3.3333333333333333E-2</v>
      </c>
      <c r="AZ3">
        <f t="shared" si="13"/>
        <v>0</v>
      </c>
      <c r="BA3">
        <f t="shared" si="13"/>
        <v>0.23214285714285715</v>
      </c>
      <c r="BB3">
        <f t="shared" si="13"/>
        <v>0.2</v>
      </c>
      <c r="BC3">
        <f t="shared" si="13"/>
        <v>0.56617647058823528</v>
      </c>
      <c r="BD3">
        <f t="shared" si="13"/>
        <v>0</v>
      </c>
      <c r="BE3">
        <f t="shared" si="13"/>
        <v>0.2857142857142857</v>
      </c>
      <c r="BF3">
        <f t="shared" si="13"/>
        <v>0</v>
      </c>
      <c r="BG3">
        <f t="shared" si="13"/>
        <v>0.3888888888888889</v>
      </c>
      <c r="BH3">
        <f t="shared" si="13"/>
        <v>0.63953488372093026</v>
      </c>
      <c r="BI3">
        <f t="shared" si="13"/>
        <v>0.33962264150943394</v>
      </c>
      <c r="BJ3">
        <f t="shared" si="13"/>
        <v>6.7842605156037995E-3</v>
      </c>
      <c r="BK3">
        <f t="shared" si="13"/>
        <v>5.2192066805845511E-3</v>
      </c>
      <c r="BL3">
        <f t="shared" si="13"/>
        <v>8.4210526315789472E-3</v>
      </c>
      <c r="BM3">
        <f t="shared" si="13"/>
        <v>8.2372322899505763E-3</v>
      </c>
      <c r="BN3">
        <f t="shared" si="13"/>
        <v>0</v>
      </c>
      <c r="BO3">
        <f t="shared" si="13"/>
        <v>0</v>
      </c>
      <c r="BP3">
        <f t="shared" si="13"/>
        <v>0</v>
      </c>
      <c r="BQ3">
        <f t="shared" si="13"/>
        <v>0.26548672566371684</v>
      </c>
      <c r="BR3">
        <f t="shared" si="13"/>
        <v>0.18085106382978725</v>
      </c>
      <c r="BS3">
        <f t="shared" si="13"/>
        <v>0</v>
      </c>
      <c r="BT3">
        <f t="shared" si="13"/>
        <v>0</v>
      </c>
      <c r="BU3">
        <f t="shared" si="13"/>
        <v>0</v>
      </c>
      <c r="BV3">
        <f t="shared" si="13"/>
        <v>0</v>
      </c>
      <c r="BW3">
        <f t="shared" si="13"/>
        <v>0</v>
      </c>
      <c r="BX3">
        <f t="shared" si="13"/>
        <v>7.9545454545454544E-2</v>
      </c>
      <c r="BY3">
        <f t="shared" si="13"/>
        <v>0.125</v>
      </c>
      <c r="BZ3">
        <f t="shared" si="13"/>
        <v>0</v>
      </c>
      <c r="CA3">
        <f t="shared" si="13"/>
        <v>0</v>
      </c>
      <c r="CB3">
        <f t="shared" si="13"/>
        <v>0</v>
      </c>
      <c r="CC3">
        <f t="shared" si="13"/>
        <v>0</v>
      </c>
    </row>
    <row r="4" spans="1:81">
      <c r="A4" t="s">
        <v>188</v>
      </c>
      <c r="B4">
        <v>1</v>
      </c>
      <c r="C4" t="str">
        <f t="shared" si="0"/>
        <v>test.BallonFactory_1_</v>
      </c>
      <c r="D4">
        <v>3</v>
      </c>
      <c r="E4" s="4">
        <v>1</v>
      </c>
      <c r="F4" s="4">
        <v>0.99432892249527405</v>
      </c>
      <c r="G4" s="4" t="str">
        <f t="shared" si="1"/>
        <v/>
      </c>
      <c r="H4" s="4" t="str">
        <f t="shared" si="2"/>
        <v/>
      </c>
      <c r="I4" s="4" t="str">
        <f t="shared" si="3"/>
        <v/>
      </c>
      <c r="J4" s="4" t="str">
        <f t="shared" si="4"/>
        <v/>
      </c>
      <c r="K4" s="4">
        <f t="shared" si="5"/>
        <v>1</v>
      </c>
      <c r="L4" s="4" t="str">
        <f t="shared" si="6"/>
        <v/>
      </c>
      <c r="M4" s="4"/>
      <c r="N4" s="4">
        <f t="shared" ref="N4:N7" si="14">SUM(T4:V4)/64</f>
        <v>0.265625</v>
      </c>
      <c r="O4" s="4">
        <f t="shared" ref="O4:O7" si="15">SUM(Q4:V4)</f>
        <v>58</v>
      </c>
      <c r="P4" t="s">
        <v>605</v>
      </c>
      <c r="Q4" s="8">
        <f t="shared" si="7"/>
        <v>16</v>
      </c>
      <c r="R4" s="8">
        <f t="shared" si="8"/>
        <v>18</v>
      </c>
      <c r="S4" s="8">
        <f t="shared" si="9"/>
        <v>7</v>
      </c>
      <c r="T4" s="8">
        <f t="shared" si="10"/>
        <v>8</v>
      </c>
      <c r="U4" s="8">
        <f t="shared" si="11"/>
        <v>3</v>
      </c>
      <c r="V4" s="8">
        <f t="shared" si="12"/>
        <v>6</v>
      </c>
      <c r="W4" t="s">
        <v>605</v>
      </c>
      <c r="X4">
        <f>IF(X3&lt;DMAX($A$1:$L$522,$W4,X$1:X$2),DMAX($A$1:$L$522,$W4,X$1:X$2),X3)</f>
        <v>0</v>
      </c>
      <c r="Y4">
        <f t="shared" ref="Y4:CC7" si="16">IF(Y3&lt;DMAX($A$1:$L$522,$W4,Y$1:Y$2),DMAX($A$1:$L$522,$W4,Y$1:Y$2),Y3)</f>
        <v>0</v>
      </c>
      <c r="Z4">
        <f t="shared" si="16"/>
        <v>0.22222222222222221</v>
      </c>
      <c r="AA4">
        <f t="shared" si="16"/>
        <v>0.91304347826086951</v>
      </c>
      <c r="AB4">
        <f t="shared" si="16"/>
        <v>0.19354838709677419</v>
      </c>
      <c r="AC4">
        <f t="shared" si="16"/>
        <v>0.19354838709677419</v>
      </c>
      <c r="AD4">
        <f t="shared" si="16"/>
        <v>0.125</v>
      </c>
      <c r="AE4">
        <f t="shared" si="16"/>
        <v>3.2786885245901641E-2</v>
      </c>
      <c r="AF4">
        <f t="shared" si="16"/>
        <v>0.75886524822695034</v>
      </c>
      <c r="AG4">
        <f t="shared" si="16"/>
        <v>0.69291338582677164</v>
      </c>
      <c r="AH4">
        <f t="shared" si="16"/>
        <v>0.70297029702970293</v>
      </c>
      <c r="AI4">
        <f t="shared" si="16"/>
        <v>4.4642857142857144E-2</v>
      </c>
      <c r="AJ4">
        <f t="shared" si="16"/>
        <v>0</v>
      </c>
      <c r="AK4">
        <f t="shared" si="16"/>
        <v>0</v>
      </c>
      <c r="AL4">
        <f t="shared" si="16"/>
        <v>1</v>
      </c>
      <c r="AM4">
        <f t="shared" si="16"/>
        <v>0.68229166666666663</v>
      </c>
      <c r="AN4">
        <f t="shared" si="16"/>
        <v>8.4745762711864406E-3</v>
      </c>
      <c r="AO4">
        <f t="shared" si="16"/>
        <v>0.20454545454545456</v>
      </c>
      <c r="AP4">
        <f t="shared" si="16"/>
        <v>0.24848484848484848</v>
      </c>
      <c r="AQ4">
        <f t="shared" si="16"/>
        <v>0</v>
      </c>
      <c r="AR4">
        <f t="shared" si="16"/>
        <v>0</v>
      </c>
      <c r="AS4">
        <f t="shared" si="16"/>
        <v>0</v>
      </c>
      <c r="AT4">
        <f t="shared" si="16"/>
        <v>0.13953488372093023</v>
      </c>
      <c r="AU4">
        <f t="shared" si="16"/>
        <v>9.6774193548387094E-2</v>
      </c>
      <c r="AV4">
        <f t="shared" si="16"/>
        <v>0.5178571428571429</v>
      </c>
      <c r="AW4">
        <f t="shared" si="16"/>
        <v>0.36046511627906974</v>
      </c>
      <c r="AX4">
        <f t="shared" si="16"/>
        <v>0.45652173913043476</v>
      </c>
      <c r="AY4">
        <f t="shared" si="16"/>
        <v>0.2</v>
      </c>
      <c r="AZ4">
        <f t="shared" si="16"/>
        <v>0</v>
      </c>
      <c r="BA4">
        <f t="shared" si="16"/>
        <v>1</v>
      </c>
      <c r="BB4">
        <f t="shared" si="16"/>
        <v>0.8571428571428571</v>
      </c>
      <c r="BC4">
        <f t="shared" si="16"/>
        <v>1</v>
      </c>
      <c r="BD4">
        <f t="shared" si="16"/>
        <v>0</v>
      </c>
      <c r="BE4">
        <f t="shared" si="16"/>
        <v>0.47619047619047616</v>
      </c>
      <c r="BF4">
        <f t="shared" si="16"/>
        <v>0.73333333333333328</v>
      </c>
      <c r="BG4">
        <f t="shared" si="16"/>
        <v>0.66049382716049387</v>
      </c>
      <c r="BH4">
        <f t="shared" si="16"/>
        <v>1</v>
      </c>
      <c r="BI4">
        <f t="shared" si="16"/>
        <v>0.33962264150943394</v>
      </c>
      <c r="BJ4">
        <f t="shared" si="16"/>
        <v>6.7842605156037995E-3</v>
      </c>
      <c r="BK4">
        <f t="shared" si="16"/>
        <v>5.2192066805845511E-3</v>
      </c>
      <c r="BL4">
        <f t="shared" si="16"/>
        <v>8.4210526315789472E-3</v>
      </c>
      <c r="BM4">
        <f t="shared" si="16"/>
        <v>8.2372322899505763E-3</v>
      </c>
      <c r="BN4">
        <f t="shared" si="16"/>
        <v>0</v>
      </c>
      <c r="BO4">
        <f t="shared" si="16"/>
        <v>0</v>
      </c>
      <c r="BP4">
        <f t="shared" si="16"/>
        <v>0</v>
      </c>
      <c r="BQ4">
        <f t="shared" si="16"/>
        <v>0.51327433628318586</v>
      </c>
      <c r="BR4">
        <f t="shared" si="16"/>
        <v>1</v>
      </c>
      <c r="BS4">
        <f t="shared" si="16"/>
        <v>1</v>
      </c>
      <c r="BT4">
        <f t="shared" si="16"/>
        <v>0.44715447154471544</v>
      </c>
      <c r="BU4">
        <f t="shared" si="16"/>
        <v>0.30303030303030304</v>
      </c>
      <c r="BV4">
        <f t="shared" si="16"/>
        <v>0.66666666666666663</v>
      </c>
      <c r="BW4">
        <f t="shared" si="16"/>
        <v>0</v>
      </c>
      <c r="BX4">
        <f t="shared" si="16"/>
        <v>7.9545454545454544E-2</v>
      </c>
      <c r="BY4">
        <f t="shared" si="16"/>
        <v>0.125</v>
      </c>
      <c r="BZ4">
        <f t="shared" si="16"/>
        <v>0</v>
      </c>
      <c r="CA4">
        <f t="shared" si="16"/>
        <v>0.352112676056338</v>
      </c>
      <c r="CB4">
        <f t="shared" si="16"/>
        <v>0</v>
      </c>
      <c r="CC4">
        <f t="shared" si="16"/>
        <v>0</v>
      </c>
    </row>
    <row r="5" spans="1:81">
      <c r="A5" t="s">
        <v>188</v>
      </c>
      <c r="B5">
        <v>1</v>
      </c>
      <c r="C5" t="str">
        <f t="shared" si="0"/>
        <v>test.BallonFactory_1_</v>
      </c>
      <c r="D5">
        <v>4</v>
      </c>
      <c r="E5" s="4">
        <v>1</v>
      </c>
      <c r="F5" s="4">
        <v>1.3183904941938969</v>
      </c>
      <c r="G5" s="4" t="str">
        <f t="shared" si="1"/>
        <v/>
      </c>
      <c r="H5" s="4" t="str">
        <f t="shared" si="2"/>
        <v/>
      </c>
      <c r="I5" s="4" t="str">
        <f t="shared" si="3"/>
        <v/>
      </c>
      <c r="J5" s="4" t="str">
        <f t="shared" si="4"/>
        <v/>
      </c>
      <c r="K5" s="4" t="str">
        <f t="shared" si="5"/>
        <v/>
      </c>
      <c r="L5" s="4">
        <f t="shared" si="6"/>
        <v>1</v>
      </c>
      <c r="M5" s="4">
        <f>SUM(R5:V5)/64</f>
        <v>0.734375</v>
      </c>
      <c r="N5" s="4">
        <f t="shared" si="14"/>
        <v>0.4375</v>
      </c>
      <c r="O5" s="4">
        <f t="shared" si="15"/>
        <v>58</v>
      </c>
      <c r="P5" t="s">
        <v>606</v>
      </c>
      <c r="Q5" s="8">
        <f t="shared" si="7"/>
        <v>11</v>
      </c>
      <c r="R5" s="8">
        <f t="shared" si="8"/>
        <v>11</v>
      </c>
      <c r="S5" s="8">
        <f t="shared" si="9"/>
        <v>8</v>
      </c>
      <c r="T5" s="8">
        <f t="shared" si="10"/>
        <v>12</v>
      </c>
      <c r="U5" s="8">
        <f t="shared" si="11"/>
        <v>2</v>
      </c>
      <c r="V5" s="8">
        <f t="shared" si="12"/>
        <v>14</v>
      </c>
      <c r="W5" t="s">
        <v>606</v>
      </c>
      <c r="X5">
        <f>IF(X4&lt;DMAX($A$1:$L$522,$W5,X$1:X$2),DMAX($A$1:$L$522,$W5,X$1:X$2),X4)</f>
        <v>0</v>
      </c>
      <c r="Y5">
        <f t="shared" si="16"/>
        <v>0.5757575757575758</v>
      </c>
      <c r="Z5">
        <f t="shared" si="16"/>
        <v>0.22222222222222221</v>
      </c>
      <c r="AA5">
        <f t="shared" si="16"/>
        <v>1</v>
      </c>
      <c r="AB5">
        <f t="shared" si="16"/>
        <v>0.19354838709677419</v>
      </c>
      <c r="AC5">
        <f t="shared" si="16"/>
        <v>0.19354838709677419</v>
      </c>
      <c r="AD5">
        <f t="shared" si="16"/>
        <v>0.375</v>
      </c>
      <c r="AE5">
        <f t="shared" si="16"/>
        <v>3.2786885245901641E-2</v>
      </c>
      <c r="AF5">
        <f t="shared" si="16"/>
        <v>0.75886524822695034</v>
      </c>
      <c r="AG5">
        <f t="shared" si="16"/>
        <v>0.69291338582677164</v>
      </c>
      <c r="AH5">
        <f t="shared" si="16"/>
        <v>0.70297029702970293</v>
      </c>
      <c r="AI5">
        <f t="shared" si="16"/>
        <v>0.5</v>
      </c>
      <c r="AJ5">
        <f t="shared" si="16"/>
        <v>0</v>
      </c>
      <c r="AK5">
        <f t="shared" si="16"/>
        <v>0</v>
      </c>
      <c r="AL5">
        <f t="shared" si="16"/>
        <v>1</v>
      </c>
      <c r="AM5">
        <f t="shared" si="16"/>
        <v>0.68229166666666663</v>
      </c>
      <c r="AN5">
        <f t="shared" si="16"/>
        <v>8.4745762711864406E-3</v>
      </c>
      <c r="AO5">
        <f t="shared" si="16"/>
        <v>0.38636363636363635</v>
      </c>
      <c r="AP5">
        <f t="shared" si="16"/>
        <v>0.24848484848484848</v>
      </c>
      <c r="AQ5">
        <f t="shared" si="16"/>
        <v>0</v>
      </c>
      <c r="AR5">
        <f t="shared" si="16"/>
        <v>0</v>
      </c>
      <c r="AS5">
        <f t="shared" si="16"/>
        <v>0</v>
      </c>
      <c r="AT5">
        <f t="shared" si="16"/>
        <v>0.16279069767441862</v>
      </c>
      <c r="AU5">
        <f t="shared" si="16"/>
        <v>0.74193548387096775</v>
      </c>
      <c r="AV5">
        <f t="shared" si="16"/>
        <v>0.5178571428571429</v>
      </c>
      <c r="AW5">
        <f t="shared" si="16"/>
        <v>0.36046511627906974</v>
      </c>
      <c r="AX5">
        <f t="shared" si="16"/>
        <v>0.45652173913043476</v>
      </c>
      <c r="AY5">
        <f t="shared" si="16"/>
        <v>0.43333333333333335</v>
      </c>
      <c r="AZ5">
        <f t="shared" si="16"/>
        <v>0</v>
      </c>
      <c r="BA5">
        <f t="shared" si="16"/>
        <v>1</v>
      </c>
      <c r="BB5">
        <f t="shared" si="16"/>
        <v>1</v>
      </c>
      <c r="BC5">
        <f t="shared" si="16"/>
        <v>1</v>
      </c>
      <c r="BD5">
        <f t="shared" si="16"/>
        <v>0.36363636363636365</v>
      </c>
      <c r="BE5">
        <f t="shared" si="16"/>
        <v>0.47619047619047616</v>
      </c>
      <c r="BF5">
        <f t="shared" si="16"/>
        <v>1</v>
      </c>
      <c r="BG5">
        <f t="shared" si="16"/>
        <v>1</v>
      </c>
      <c r="BH5">
        <f t="shared" si="16"/>
        <v>1</v>
      </c>
      <c r="BI5">
        <f t="shared" si="16"/>
        <v>0.33962264150943394</v>
      </c>
      <c r="BJ5">
        <f t="shared" si="16"/>
        <v>6.7842605156037995E-3</v>
      </c>
      <c r="BK5">
        <f t="shared" si="16"/>
        <v>0.58872651356993733</v>
      </c>
      <c r="BL5">
        <f t="shared" si="16"/>
        <v>8.4210526315789472E-3</v>
      </c>
      <c r="BM5">
        <f t="shared" si="16"/>
        <v>8.2372322899505763E-3</v>
      </c>
      <c r="BN5">
        <f t="shared" si="16"/>
        <v>1</v>
      </c>
      <c r="BO5">
        <f t="shared" si="16"/>
        <v>1</v>
      </c>
      <c r="BP5">
        <f t="shared" si="16"/>
        <v>0.1</v>
      </c>
      <c r="BQ5">
        <f t="shared" si="16"/>
        <v>1</v>
      </c>
      <c r="BR5">
        <f t="shared" si="16"/>
        <v>1</v>
      </c>
      <c r="BS5">
        <f t="shared" si="16"/>
        <v>1</v>
      </c>
      <c r="BT5">
        <f t="shared" si="16"/>
        <v>0.57723577235772361</v>
      </c>
      <c r="BU5">
        <f t="shared" si="16"/>
        <v>0.66666666666666663</v>
      </c>
      <c r="BV5">
        <f t="shared" si="16"/>
        <v>0.77777777777777779</v>
      </c>
      <c r="BW5">
        <f t="shared" si="16"/>
        <v>0</v>
      </c>
      <c r="BX5">
        <f t="shared" si="16"/>
        <v>1</v>
      </c>
      <c r="BY5">
        <f t="shared" si="16"/>
        <v>0.5714285714285714</v>
      </c>
      <c r="BZ5">
        <f t="shared" si="16"/>
        <v>0</v>
      </c>
      <c r="CA5">
        <f t="shared" si="16"/>
        <v>0.70422535211267601</v>
      </c>
      <c r="CB5">
        <f t="shared" si="16"/>
        <v>0</v>
      </c>
      <c r="CC5">
        <f t="shared" si="16"/>
        <v>0</v>
      </c>
    </row>
    <row r="6" spans="1:81">
      <c r="A6" t="s">
        <v>188</v>
      </c>
      <c r="B6">
        <v>2</v>
      </c>
      <c r="C6" t="str">
        <f t="shared" si="0"/>
        <v>test.BallonFactory_2_</v>
      </c>
      <c r="D6">
        <v>1</v>
      </c>
      <c r="E6" s="4">
        <v>0.33333333333333331</v>
      </c>
      <c r="F6" s="4">
        <v>0.42180518319928506</v>
      </c>
      <c r="G6" s="4" t="str">
        <f t="shared" si="1"/>
        <v/>
      </c>
      <c r="H6" s="4" t="str">
        <f t="shared" si="2"/>
        <v/>
      </c>
      <c r="I6" s="4">
        <f t="shared" si="3"/>
        <v>0.33333333333333331</v>
      </c>
      <c r="J6" s="4" t="str">
        <f t="shared" si="4"/>
        <v/>
      </c>
      <c r="K6" s="4" t="str">
        <f t="shared" si="5"/>
        <v/>
      </c>
      <c r="L6" s="4" t="str">
        <f t="shared" si="6"/>
        <v/>
      </c>
      <c r="M6" s="4">
        <f>25/64</f>
        <v>0.390625</v>
      </c>
      <c r="N6" s="4">
        <f>SUM(T6:V6)/64</f>
        <v>0.609375</v>
      </c>
      <c r="O6" s="4">
        <f t="shared" si="15"/>
        <v>58</v>
      </c>
      <c r="P6" t="s">
        <v>681</v>
      </c>
      <c r="Q6" s="8">
        <f t="shared" si="7"/>
        <v>7</v>
      </c>
      <c r="R6" s="8">
        <f t="shared" si="8"/>
        <v>6</v>
      </c>
      <c r="S6" s="8">
        <f t="shared" si="9"/>
        <v>6</v>
      </c>
      <c r="T6" s="8">
        <f t="shared" si="10"/>
        <v>8</v>
      </c>
      <c r="U6" s="8">
        <f t="shared" si="11"/>
        <v>9</v>
      </c>
      <c r="V6" s="8">
        <f t="shared" si="12"/>
        <v>22</v>
      </c>
      <c r="W6" t="s">
        <v>681</v>
      </c>
      <c r="X6">
        <f>IF(X5&lt;DMAX($A$1:$L$522,$W6,X$1:X$2),DMAX($A$1:$L$522,$W6,X$1:X$2),X5)</f>
        <v>0</v>
      </c>
      <c r="Y6">
        <f t="shared" si="16"/>
        <v>0.96969696969696972</v>
      </c>
      <c r="Z6">
        <f t="shared" si="16"/>
        <v>0.22222222222222221</v>
      </c>
      <c r="AA6">
        <f t="shared" si="16"/>
        <v>1</v>
      </c>
      <c r="AB6">
        <f t="shared" si="16"/>
        <v>0.93548387096774188</v>
      </c>
      <c r="AC6">
        <f t="shared" si="16"/>
        <v>0.93548387096774188</v>
      </c>
      <c r="AD6">
        <f t="shared" si="16"/>
        <v>0.625</v>
      </c>
      <c r="AE6">
        <f t="shared" si="16"/>
        <v>3.2786885245901641E-2</v>
      </c>
      <c r="AF6">
        <f t="shared" si="16"/>
        <v>0.75886524822695034</v>
      </c>
      <c r="AG6">
        <f t="shared" si="16"/>
        <v>0.99212598425196852</v>
      </c>
      <c r="AH6">
        <f t="shared" si="16"/>
        <v>0.70297029702970293</v>
      </c>
      <c r="AI6">
        <f t="shared" si="16"/>
        <v>0.5</v>
      </c>
      <c r="AJ6">
        <f t="shared" si="16"/>
        <v>0</v>
      </c>
      <c r="AK6">
        <f t="shared" si="16"/>
        <v>0</v>
      </c>
      <c r="AL6">
        <f t="shared" si="16"/>
        <v>1</v>
      </c>
      <c r="AM6">
        <f t="shared" si="16"/>
        <v>0.68229166666666663</v>
      </c>
      <c r="AN6">
        <f t="shared" si="16"/>
        <v>1</v>
      </c>
      <c r="AO6">
        <f t="shared" si="16"/>
        <v>0.38636363636363635</v>
      </c>
      <c r="AP6">
        <f t="shared" si="16"/>
        <v>0.24848484848484848</v>
      </c>
      <c r="AQ6">
        <f t="shared" si="16"/>
        <v>0.84036144578313254</v>
      </c>
      <c r="AR6">
        <f t="shared" si="16"/>
        <v>0</v>
      </c>
      <c r="AS6">
        <f t="shared" si="16"/>
        <v>1</v>
      </c>
      <c r="AT6">
        <f t="shared" si="16"/>
        <v>0.2558139534883721</v>
      </c>
      <c r="AU6">
        <f t="shared" si="16"/>
        <v>1</v>
      </c>
      <c r="AV6">
        <f t="shared" si="16"/>
        <v>0.5178571428571429</v>
      </c>
      <c r="AW6">
        <f t="shared" si="16"/>
        <v>0.81395348837209303</v>
      </c>
      <c r="AX6">
        <f t="shared" si="16"/>
        <v>0.45652173913043476</v>
      </c>
      <c r="AY6">
        <f t="shared" si="16"/>
        <v>0.93333333333333335</v>
      </c>
      <c r="AZ6">
        <f t="shared" si="16"/>
        <v>0</v>
      </c>
      <c r="BA6">
        <f t="shared" si="16"/>
        <v>1</v>
      </c>
      <c r="BB6">
        <f t="shared" si="16"/>
        <v>1</v>
      </c>
      <c r="BC6">
        <f t="shared" si="16"/>
        <v>1</v>
      </c>
      <c r="BD6">
        <f t="shared" si="16"/>
        <v>0.54545454545454541</v>
      </c>
      <c r="BE6">
        <f t="shared" si="16"/>
        <v>1</v>
      </c>
      <c r="BF6">
        <f t="shared" si="16"/>
        <v>1</v>
      </c>
      <c r="BG6">
        <f t="shared" si="16"/>
        <v>1</v>
      </c>
      <c r="BH6">
        <f t="shared" si="16"/>
        <v>1</v>
      </c>
      <c r="BI6">
        <f t="shared" si="16"/>
        <v>0.33962264150943394</v>
      </c>
      <c r="BJ6">
        <f t="shared" si="16"/>
        <v>6.7842605156037995E-3</v>
      </c>
      <c r="BK6">
        <f t="shared" si="16"/>
        <v>0.9989561586638831</v>
      </c>
      <c r="BL6">
        <f t="shared" si="16"/>
        <v>8.4210526315789472E-3</v>
      </c>
      <c r="BM6">
        <f t="shared" si="16"/>
        <v>8.2372322899505763E-3</v>
      </c>
      <c r="BN6">
        <f t="shared" si="16"/>
        <v>1</v>
      </c>
      <c r="BO6">
        <f t="shared" si="16"/>
        <v>1</v>
      </c>
      <c r="BP6">
        <f t="shared" si="16"/>
        <v>0.6</v>
      </c>
      <c r="BQ6">
        <f t="shared" si="16"/>
        <v>1</v>
      </c>
      <c r="BR6">
        <f t="shared" si="16"/>
        <v>1</v>
      </c>
      <c r="BS6">
        <f t="shared" si="16"/>
        <v>1</v>
      </c>
      <c r="BT6">
        <f t="shared" si="16"/>
        <v>1</v>
      </c>
      <c r="BU6">
        <f t="shared" si="16"/>
        <v>0.66666666666666663</v>
      </c>
      <c r="BV6">
        <f t="shared" si="16"/>
        <v>1</v>
      </c>
      <c r="BW6">
        <f t="shared" si="16"/>
        <v>0</v>
      </c>
      <c r="BX6">
        <f t="shared" si="16"/>
        <v>1</v>
      </c>
      <c r="BY6">
        <f t="shared" si="16"/>
        <v>1</v>
      </c>
      <c r="BZ6">
        <f t="shared" si="16"/>
        <v>0.42857142857142855</v>
      </c>
      <c r="CA6">
        <f t="shared" si="16"/>
        <v>1</v>
      </c>
      <c r="CB6">
        <f t="shared" si="16"/>
        <v>0.323943661971831</v>
      </c>
      <c r="CC6">
        <f t="shared" si="16"/>
        <v>0</v>
      </c>
    </row>
    <row r="7" spans="1:81">
      <c r="A7" t="s">
        <v>188</v>
      </c>
      <c r="B7">
        <v>2</v>
      </c>
      <c r="C7" t="str">
        <f t="shared" si="0"/>
        <v>test.BallonFactory_2_</v>
      </c>
      <c r="D7">
        <v>2</v>
      </c>
      <c r="E7" s="4">
        <v>0.5757575757575758</v>
      </c>
      <c r="F7" s="4">
        <v>0.58534405719392313</v>
      </c>
      <c r="G7" s="4" t="str">
        <f t="shared" si="1"/>
        <v/>
      </c>
      <c r="H7" s="4" t="str">
        <f t="shared" si="2"/>
        <v/>
      </c>
      <c r="I7" s="4">
        <f t="shared" si="3"/>
        <v>0.5757575757575758</v>
      </c>
      <c r="J7" s="4" t="str">
        <f t="shared" si="4"/>
        <v/>
      </c>
      <c r="K7" s="4" t="str">
        <f t="shared" si="5"/>
        <v/>
      </c>
      <c r="L7" s="4" t="str">
        <f t="shared" si="6"/>
        <v/>
      </c>
      <c r="M7" s="4"/>
      <c r="N7" s="4">
        <f t="shared" si="14"/>
        <v>0.890625</v>
      </c>
      <c r="O7" s="4">
        <f t="shared" si="15"/>
        <v>58</v>
      </c>
      <c r="P7" s="7" t="s">
        <v>607</v>
      </c>
      <c r="Q7" s="8">
        <f t="shared" si="7"/>
        <v>0</v>
      </c>
      <c r="R7" s="8">
        <f t="shared" si="8"/>
        <v>0</v>
      </c>
      <c r="S7" s="8">
        <f t="shared" si="9"/>
        <v>1</v>
      </c>
      <c r="T7" s="8">
        <f t="shared" si="10"/>
        <v>1</v>
      </c>
      <c r="U7" s="8">
        <f t="shared" si="11"/>
        <v>0</v>
      </c>
      <c r="V7" s="8">
        <f t="shared" si="12"/>
        <v>56</v>
      </c>
      <c r="W7" s="7" t="s">
        <v>607</v>
      </c>
      <c r="X7">
        <f>IF(X6&lt;DMAX($A$1:$L$522,$W7,X$1:X$2),DMAX($A$1:$L$522,$W7,X$1:X$2),X6)</f>
        <v>1</v>
      </c>
      <c r="Y7">
        <f t="shared" si="16"/>
        <v>1</v>
      </c>
      <c r="Z7">
        <f t="shared" si="16"/>
        <v>0.61111111111111116</v>
      </c>
      <c r="AA7">
        <f t="shared" si="16"/>
        <v>1</v>
      </c>
      <c r="AB7">
        <f t="shared" si="16"/>
        <v>1</v>
      </c>
      <c r="AC7">
        <f t="shared" si="16"/>
        <v>1</v>
      </c>
      <c r="AD7">
        <f t="shared" si="16"/>
        <v>1</v>
      </c>
      <c r="AE7">
        <f t="shared" si="16"/>
        <v>1</v>
      </c>
      <c r="AF7">
        <f t="shared" si="16"/>
        <v>1</v>
      </c>
      <c r="AG7">
        <f t="shared" si="16"/>
        <v>1</v>
      </c>
      <c r="AH7">
        <f t="shared" si="16"/>
        <v>1</v>
      </c>
      <c r="AI7">
        <f t="shared" si="16"/>
        <v>1</v>
      </c>
      <c r="AJ7">
        <f t="shared" si="16"/>
        <v>1</v>
      </c>
      <c r="AK7">
        <f t="shared" si="16"/>
        <v>1</v>
      </c>
      <c r="AL7">
        <f t="shared" si="16"/>
        <v>1</v>
      </c>
      <c r="AM7">
        <f t="shared" si="16"/>
        <v>1</v>
      </c>
      <c r="AN7">
        <f t="shared" si="16"/>
        <v>1</v>
      </c>
      <c r="AO7">
        <f t="shared" si="16"/>
        <v>1</v>
      </c>
      <c r="AP7">
        <f t="shared" si="16"/>
        <v>1</v>
      </c>
      <c r="AQ7">
        <f t="shared" si="16"/>
        <v>1</v>
      </c>
      <c r="AR7">
        <f t="shared" si="16"/>
        <v>1</v>
      </c>
      <c r="AS7">
        <f t="shared" si="16"/>
        <v>1</v>
      </c>
      <c r="AT7">
        <f t="shared" si="16"/>
        <v>0.2558139534883721</v>
      </c>
      <c r="AU7">
        <f t="shared" si="16"/>
        <v>1</v>
      </c>
      <c r="AV7">
        <f t="shared" si="16"/>
        <v>1</v>
      </c>
      <c r="AW7">
        <f t="shared" si="16"/>
        <v>1</v>
      </c>
      <c r="AX7">
        <f t="shared" si="16"/>
        <v>1</v>
      </c>
      <c r="AY7">
        <f t="shared" si="16"/>
        <v>1</v>
      </c>
      <c r="AZ7">
        <f t="shared" ref="AZ7:CC8" si="17">IF(AZ6&lt;DMAX($A$1:$L$522,$W7,AZ$1:AZ$2),DMAX($A$1:$L$522,$W7,AZ$1:AZ$2),AZ6)</f>
        <v>1</v>
      </c>
      <c r="BA7">
        <f t="shared" si="17"/>
        <v>1</v>
      </c>
      <c r="BB7">
        <f t="shared" si="17"/>
        <v>1</v>
      </c>
      <c r="BC7">
        <f t="shared" si="17"/>
        <v>1</v>
      </c>
      <c r="BD7">
        <f t="shared" si="17"/>
        <v>1</v>
      </c>
      <c r="BE7">
        <f t="shared" si="17"/>
        <v>1</v>
      </c>
      <c r="BF7">
        <f t="shared" si="17"/>
        <v>1</v>
      </c>
      <c r="BG7">
        <f t="shared" si="17"/>
        <v>1</v>
      </c>
      <c r="BH7">
        <f t="shared" si="17"/>
        <v>1</v>
      </c>
      <c r="BI7">
        <f t="shared" si="17"/>
        <v>1</v>
      </c>
      <c r="BJ7">
        <f t="shared" si="17"/>
        <v>1</v>
      </c>
      <c r="BK7">
        <f t="shared" si="17"/>
        <v>1</v>
      </c>
      <c r="BL7">
        <f t="shared" si="17"/>
        <v>1</v>
      </c>
      <c r="BM7">
        <f t="shared" si="17"/>
        <v>1</v>
      </c>
      <c r="BN7">
        <f t="shared" si="17"/>
        <v>1</v>
      </c>
      <c r="BO7">
        <f t="shared" si="17"/>
        <v>1</v>
      </c>
      <c r="BP7">
        <f t="shared" si="17"/>
        <v>1</v>
      </c>
      <c r="BQ7">
        <f t="shared" si="17"/>
        <v>1</v>
      </c>
      <c r="BR7">
        <f t="shared" si="17"/>
        <v>1</v>
      </c>
      <c r="BS7">
        <f t="shared" si="17"/>
        <v>1</v>
      </c>
      <c r="BT7">
        <f t="shared" si="17"/>
        <v>1</v>
      </c>
      <c r="BU7">
        <f t="shared" si="17"/>
        <v>1</v>
      </c>
      <c r="BV7">
        <f t="shared" si="17"/>
        <v>1</v>
      </c>
      <c r="BW7">
        <f t="shared" si="17"/>
        <v>1</v>
      </c>
      <c r="BX7">
        <f t="shared" si="17"/>
        <v>1</v>
      </c>
      <c r="BY7">
        <f t="shared" si="17"/>
        <v>1</v>
      </c>
      <c r="BZ7">
        <f t="shared" si="17"/>
        <v>1</v>
      </c>
      <c r="CA7">
        <f t="shared" si="17"/>
        <v>1</v>
      </c>
      <c r="CB7">
        <f t="shared" si="17"/>
        <v>1</v>
      </c>
      <c r="CC7">
        <f t="shared" si="17"/>
        <v>1</v>
      </c>
    </row>
    <row r="8" spans="1:81">
      <c r="A8" t="s">
        <v>188</v>
      </c>
      <c r="B8">
        <v>2</v>
      </c>
      <c r="C8" t="str">
        <f t="shared" si="0"/>
        <v>test.BallonFactory_2_</v>
      </c>
      <c r="D8">
        <v>3</v>
      </c>
      <c r="E8" s="4">
        <v>0.60606060606060608</v>
      </c>
      <c r="F8" s="4">
        <v>0.65236818588025025</v>
      </c>
      <c r="G8" s="4" t="str">
        <f t="shared" si="1"/>
        <v/>
      </c>
      <c r="H8" s="4" t="str">
        <f t="shared" si="2"/>
        <v/>
      </c>
      <c r="I8" s="4" t="str">
        <f t="shared" si="3"/>
        <v/>
      </c>
      <c r="J8" s="4">
        <f t="shared" si="4"/>
        <v>0.60606060606060608</v>
      </c>
      <c r="K8" s="4" t="str">
        <f t="shared" si="5"/>
        <v/>
      </c>
      <c r="L8" s="4" t="str">
        <f t="shared" si="6"/>
        <v/>
      </c>
      <c r="M8" s="4"/>
      <c r="N8" s="4">
        <f>SUM(T8:V8)/64</f>
        <v>0.90625</v>
      </c>
      <c r="O8" s="4"/>
      <c r="P8" s="4" t="s">
        <v>682</v>
      </c>
      <c r="Q8" s="8">
        <f t="shared" si="7"/>
        <v>0</v>
      </c>
      <c r="R8" s="8">
        <f t="shared" si="8"/>
        <v>0</v>
      </c>
      <c r="S8" s="8">
        <f t="shared" si="9"/>
        <v>0</v>
      </c>
      <c r="T8" s="8">
        <f t="shared" si="10"/>
        <v>0</v>
      </c>
      <c r="U8" s="8">
        <f t="shared" si="11"/>
        <v>0</v>
      </c>
      <c r="V8" s="8">
        <f t="shared" si="12"/>
        <v>58</v>
      </c>
      <c r="W8" s="7" t="s">
        <v>682</v>
      </c>
      <c r="X8">
        <f>IF(X7&lt;DMAX($A$1:$L$522,$W8,X$1:X$2),DMAX($A$1:$L$522,$W8,X$1:X$2),X7)</f>
        <v>1</v>
      </c>
      <c r="Y8">
        <f t="shared" ref="Y8:AY8" si="18">IF(Y7&lt;DMAX($A$1:$L$522,$W8,Y$1:Y$2),DMAX($A$1:$L$522,$W8,Y$1:Y$2),Y7)</f>
        <v>1</v>
      </c>
      <c r="Z8">
        <f t="shared" si="18"/>
        <v>1</v>
      </c>
      <c r="AA8">
        <f t="shared" si="18"/>
        <v>1</v>
      </c>
      <c r="AB8">
        <f t="shared" si="18"/>
        <v>1</v>
      </c>
      <c r="AC8">
        <f t="shared" si="18"/>
        <v>1</v>
      </c>
      <c r="AD8">
        <f t="shared" si="18"/>
        <v>1</v>
      </c>
      <c r="AE8">
        <f t="shared" si="18"/>
        <v>1</v>
      </c>
      <c r="AF8">
        <f t="shared" si="18"/>
        <v>1</v>
      </c>
      <c r="AG8">
        <f t="shared" si="18"/>
        <v>1</v>
      </c>
      <c r="AH8">
        <f t="shared" si="18"/>
        <v>1</v>
      </c>
      <c r="AI8">
        <f t="shared" si="18"/>
        <v>1</v>
      </c>
      <c r="AJ8">
        <f t="shared" si="18"/>
        <v>1</v>
      </c>
      <c r="AK8">
        <f t="shared" si="18"/>
        <v>1</v>
      </c>
      <c r="AL8">
        <f t="shared" si="18"/>
        <v>1</v>
      </c>
      <c r="AM8">
        <f t="shared" si="18"/>
        <v>1</v>
      </c>
      <c r="AN8">
        <f t="shared" si="18"/>
        <v>1</v>
      </c>
      <c r="AO8">
        <f t="shared" si="18"/>
        <v>1</v>
      </c>
      <c r="AP8">
        <f t="shared" si="18"/>
        <v>1</v>
      </c>
      <c r="AQ8">
        <f t="shared" si="18"/>
        <v>1</v>
      </c>
      <c r="AR8">
        <f t="shared" si="18"/>
        <v>1</v>
      </c>
      <c r="AS8">
        <f t="shared" si="18"/>
        <v>1</v>
      </c>
      <c r="AT8">
        <f t="shared" si="18"/>
        <v>1</v>
      </c>
      <c r="AU8">
        <f t="shared" si="18"/>
        <v>1</v>
      </c>
      <c r="AV8">
        <f t="shared" si="18"/>
        <v>1</v>
      </c>
      <c r="AW8">
        <f t="shared" si="18"/>
        <v>1</v>
      </c>
      <c r="AX8">
        <f t="shared" si="18"/>
        <v>1</v>
      </c>
      <c r="AY8">
        <f t="shared" si="18"/>
        <v>1</v>
      </c>
      <c r="AZ8">
        <f t="shared" si="17"/>
        <v>1</v>
      </c>
      <c r="BA8">
        <f t="shared" si="17"/>
        <v>1</v>
      </c>
      <c r="BB8">
        <f t="shared" si="17"/>
        <v>1</v>
      </c>
      <c r="BC8">
        <f t="shared" si="17"/>
        <v>1</v>
      </c>
      <c r="BD8">
        <f t="shared" si="17"/>
        <v>1</v>
      </c>
      <c r="BE8">
        <f t="shared" si="17"/>
        <v>1</v>
      </c>
      <c r="BF8">
        <f t="shared" si="17"/>
        <v>1</v>
      </c>
      <c r="BG8">
        <f t="shared" si="17"/>
        <v>1</v>
      </c>
      <c r="BH8">
        <f t="shared" si="17"/>
        <v>1</v>
      </c>
      <c r="BI8">
        <f t="shared" si="17"/>
        <v>1</v>
      </c>
      <c r="BJ8">
        <f t="shared" si="17"/>
        <v>1</v>
      </c>
      <c r="BK8">
        <f t="shared" si="17"/>
        <v>1</v>
      </c>
      <c r="BL8">
        <f t="shared" si="17"/>
        <v>1</v>
      </c>
      <c r="BM8">
        <f t="shared" si="17"/>
        <v>1</v>
      </c>
      <c r="BN8">
        <f t="shared" si="17"/>
        <v>1</v>
      </c>
      <c r="BO8">
        <f t="shared" si="17"/>
        <v>1</v>
      </c>
      <c r="BP8">
        <f t="shared" si="17"/>
        <v>1</v>
      </c>
      <c r="BQ8">
        <f t="shared" si="17"/>
        <v>1</v>
      </c>
      <c r="BR8">
        <f t="shared" si="17"/>
        <v>1</v>
      </c>
      <c r="BS8">
        <f t="shared" si="17"/>
        <v>1</v>
      </c>
      <c r="BT8">
        <f t="shared" si="17"/>
        <v>1</v>
      </c>
      <c r="BU8">
        <f t="shared" si="17"/>
        <v>1</v>
      </c>
      <c r="BV8">
        <f t="shared" si="17"/>
        <v>1</v>
      </c>
      <c r="BW8">
        <f t="shared" si="17"/>
        <v>1</v>
      </c>
      <c r="BX8">
        <f t="shared" si="17"/>
        <v>1</v>
      </c>
      <c r="BY8">
        <f t="shared" si="17"/>
        <v>1</v>
      </c>
      <c r="BZ8">
        <f t="shared" si="17"/>
        <v>1</v>
      </c>
      <c r="CA8">
        <f t="shared" si="17"/>
        <v>1</v>
      </c>
      <c r="CB8">
        <f t="shared" si="17"/>
        <v>1</v>
      </c>
      <c r="CC8">
        <f t="shared" si="17"/>
        <v>1</v>
      </c>
    </row>
    <row r="9" spans="1:81">
      <c r="A9" t="s">
        <v>188</v>
      </c>
      <c r="B9">
        <v>2</v>
      </c>
      <c r="C9" t="str">
        <f t="shared" si="0"/>
        <v>test.BallonFactory_2_</v>
      </c>
      <c r="D9">
        <v>4</v>
      </c>
      <c r="E9" s="4">
        <v>0.78787878787878785</v>
      </c>
      <c r="F9" s="4">
        <v>0.69615728328865056</v>
      </c>
      <c r="G9" s="4" t="str">
        <f t="shared" si="1"/>
        <v/>
      </c>
      <c r="H9" s="4" t="str">
        <f t="shared" si="2"/>
        <v/>
      </c>
      <c r="I9" s="4" t="str">
        <f t="shared" si="3"/>
        <v/>
      </c>
      <c r="J9" s="4">
        <f t="shared" si="4"/>
        <v>0.78787878787878785</v>
      </c>
      <c r="K9" s="4" t="str">
        <f t="shared" si="5"/>
        <v/>
      </c>
      <c r="L9" s="4" t="str">
        <f t="shared" si="6"/>
        <v/>
      </c>
      <c r="M9" s="4"/>
      <c r="N9" s="4"/>
      <c r="O9" s="4"/>
      <c r="P9" s="4"/>
      <c r="Q9" s="4"/>
      <c r="R9" s="4"/>
      <c r="S9" s="4"/>
      <c r="T9" s="4"/>
      <c r="U9" s="4"/>
    </row>
    <row r="10" spans="1:81">
      <c r="A10" t="s">
        <v>188</v>
      </c>
      <c r="B10">
        <v>2</v>
      </c>
      <c r="C10" t="str">
        <f t="shared" si="0"/>
        <v>test.BallonFactory_2_</v>
      </c>
      <c r="D10">
        <v>5</v>
      </c>
      <c r="E10" s="4">
        <v>0.78787878787878785</v>
      </c>
      <c r="F10" s="4">
        <v>0.77122430741733694</v>
      </c>
      <c r="G10" s="4" t="str">
        <f t="shared" si="1"/>
        <v/>
      </c>
      <c r="H10" s="4" t="str">
        <f t="shared" si="2"/>
        <v/>
      </c>
      <c r="I10" s="4" t="str">
        <f t="shared" si="3"/>
        <v/>
      </c>
      <c r="J10" s="4">
        <f t="shared" si="4"/>
        <v>0.78787878787878785</v>
      </c>
      <c r="K10" s="4" t="str">
        <f t="shared" si="5"/>
        <v/>
      </c>
      <c r="L10" s="4" t="str">
        <f t="shared" si="6"/>
        <v/>
      </c>
      <c r="M10" s="4"/>
      <c r="N10" s="4"/>
      <c r="O10" s="4"/>
      <c r="P10" s="4"/>
      <c r="Q10" s="4"/>
      <c r="R10" s="4"/>
      <c r="S10" s="4"/>
      <c r="T10" s="4"/>
      <c r="U10" s="4"/>
    </row>
    <row r="11" spans="1:81">
      <c r="A11" t="s">
        <v>188</v>
      </c>
      <c r="B11">
        <v>2</v>
      </c>
      <c r="C11" t="str">
        <f t="shared" si="0"/>
        <v>test.BallonFactory_2_</v>
      </c>
      <c r="D11">
        <v>6</v>
      </c>
      <c r="E11" s="4">
        <v>0.93939393939393945</v>
      </c>
      <c r="F11" s="4">
        <v>0.78641644325290438</v>
      </c>
      <c r="G11" s="4" t="str">
        <f t="shared" si="1"/>
        <v/>
      </c>
      <c r="H11" s="4" t="str">
        <f t="shared" si="2"/>
        <v/>
      </c>
      <c r="I11" s="4" t="str">
        <f t="shared" si="3"/>
        <v/>
      </c>
      <c r="J11" s="4">
        <f t="shared" si="4"/>
        <v>0.93939393939393945</v>
      </c>
      <c r="K11" s="4" t="str">
        <f t="shared" si="5"/>
        <v/>
      </c>
      <c r="L11" s="4" t="str">
        <f t="shared" si="6"/>
        <v/>
      </c>
      <c r="M11" s="4"/>
      <c r="N11" s="4"/>
      <c r="O11" s="4"/>
      <c r="P11" s="4"/>
      <c r="Q11" s="4"/>
      <c r="R11" s="4"/>
      <c r="S11" s="4"/>
      <c r="T11" s="4"/>
      <c r="U11" s="4"/>
    </row>
    <row r="12" spans="1:81">
      <c r="A12" t="s">
        <v>188</v>
      </c>
      <c r="B12">
        <v>2</v>
      </c>
      <c r="C12" t="str">
        <f t="shared" si="0"/>
        <v>test.BallonFactory_2_</v>
      </c>
      <c r="D12">
        <v>7</v>
      </c>
      <c r="E12" s="4">
        <v>0.96969696969696972</v>
      </c>
      <c r="F12" s="4">
        <v>0.78999106344950853</v>
      </c>
      <c r="G12" s="4" t="str">
        <f t="shared" si="1"/>
        <v/>
      </c>
      <c r="H12" s="4" t="str">
        <f t="shared" si="2"/>
        <v/>
      </c>
      <c r="I12" s="4" t="str">
        <f t="shared" si="3"/>
        <v/>
      </c>
      <c r="J12" s="4">
        <f t="shared" si="4"/>
        <v>0.96969696969696972</v>
      </c>
      <c r="K12" s="4" t="str">
        <f t="shared" si="5"/>
        <v/>
      </c>
      <c r="L12" s="4" t="str">
        <f t="shared" si="6"/>
        <v/>
      </c>
      <c r="M12" s="4"/>
      <c r="N12" s="4"/>
      <c r="O12" s="4"/>
      <c r="P12" s="4"/>
      <c r="Q12" s="4"/>
      <c r="R12" s="4"/>
      <c r="S12" s="4"/>
      <c r="T12" s="4"/>
      <c r="U12" s="4"/>
    </row>
    <row r="13" spans="1:81">
      <c r="A13" t="s">
        <v>188</v>
      </c>
      <c r="B13">
        <v>2</v>
      </c>
      <c r="C13" t="str">
        <f t="shared" si="0"/>
        <v>test.BallonFactory_2_</v>
      </c>
      <c r="D13">
        <v>8</v>
      </c>
      <c r="E13" s="4">
        <v>0.96969696969696972</v>
      </c>
      <c r="F13" s="4">
        <v>0.84361036639857012</v>
      </c>
      <c r="G13" s="4" t="str">
        <f t="shared" si="1"/>
        <v/>
      </c>
      <c r="H13" s="4" t="str">
        <f t="shared" si="2"/>
        <v/>
      </c>
      <c r="I13" s="4" t="str">
        <f t="shared" si="3"/>
        <v/>
      </c>
      <c r="J13" s="4" t="str">
        <f t="shared" si="4"/>
        <v/>
      </c>
      <c r="K13" s="4">
        <f t="shared" si="5"/>
        <v>0.96969696969696972</v>
      </c>
      <c r="L13" s="4" t="str">
        <f t="shared" si="6"/>
        <v/>
      </c>
      <c r="M13" s="4"/>
      <c r="N13" s="4"/>
      <c r="O13" s="4"/>
      <c r="P13" s="4"/>
      <c r="Q13" s="4"/>
      <c r="R13" s="4"/>
      <c r="S13" s="4"/>
      <c r="T13" s="4"/>
      <c r="U13" s="4"/>
    </row>
    <row r="14" spans="1:81">
      <c r="A14" t="s">
        <v>188</v>
      </c>
      <c r="B14">
        <v>2</v>
      </c>
      <c r="C14" t="str">
        <f t="shared" si="0"/>
        <v>test.BallonFactory_2_</v>
      </c>
      <c r="D14">
        <v>9</v>
      </c>
      <c r="E14" s="4">
        <v>1</v>
      </c>
      <c r="F14" s="4">
        <v>0.86863270777479895</v>
      </c>
      <c r="G14" s="4" t="str">
        <f t="shared" si="1"/>
        <v/>
      </c>
      <c r="H14" s="4" t="str">
        <f t="shared" si="2"/>
        <v/>
      </c>
      <c r="I14" s="4" t="str">
        <f t="shared" si="3"/>
        <v/>
      </c>
      <c r="J14" s="4" t="str">
        <f t="shared" si="4"/>
        <v/>
      </c>
      <c r="K14" s="4">
        <f t="shared" si="5"/>
        <v>1</v>
      </c>
      <c r="L14" s="4" t="str">
        <f t="shared" si="6"/>
        <v/>
      </c>
      <c r="M14" s="4"/>
      <c r="N14" s="4"/>
      <c r="O14" s="4"/>
      <c r="P14" s="4"/>
      <c r="Q14" s="4"/>
      <c r="R14" s="4"/>
      <c r="S14" s="4"/>
      <c r="T14" s="4"/>
      <c r="U14" s="4"/>
    </row>
    <row r="15" spans="1:81">
      <c r="A15" t="s">
        <v>188</v>
      </c>
      <c r="B15">
        <v>2</v>
      </c>
      <c r="C15" t="str">
        <f t="shared" si="0"/>
        <v>test.BallonFactory_2_</v>
      </c>
      <c r="D15">
        <v>10</v>
      </c>
      <c r="E15" s="4">
        <v>1</v>
      </c>
      <c r="F15" s="4">
        <v>0.87042001787310097</v>
      </c>
      <c r="G15" s="4" t="str">
        <f t="shared" si="1"/>
        <v/>
      </c>
      <c r="H15" s="4" t="str">
        <f t="shared" si="2"/>
        <v/>
      </c>
      <c r="I15" s="4" t="str">
        <f t="shared" si="3"/>
        <v/>
      </c>
      <c r="J15" s="4" t="str">
        <f t="shared" si="4"/>
        <v/>
      </c>
      <c r="K15" s="4">
        <f t="shared" si="5"/>
        <v>1</v>
      </c>
      <c r="L15" s="4" t="str">
        <f t="shared" si="6"/>
        <v/>
      </c>
      <c r="M15" s="4"/>
      <c r="N15" s="4"/>
      <c r="O15" s="4"/>
      <c r="P15" s="4"/>
      <c r="Q15" s="4"/>
      <c r="R15" s="4"/>
      <c r="S15" s="4"/>
      <c r="T15" s="4"/>
      <c r="U15" s="4"/>
    </row>
    <row r="16" spans="1:81">
      <c r="A16" t="s">
        <v>188</v>
      </c>
      <c r="B16">
        <v>2</v>
      </c>
      <c r="C16" t="str">
        <f t="shared" si="0"/>
        <v>test.BallonFactory_2_</v>
      </c>
      <c r="D16">
        <v>11</v>
      </c>
      <c r="E16" s="4">
        <v>1</v>
      </c>
      <c r="F16" s="4">
        <v>0.87846291331546023</v>
      </c>
      <c r="G16" s="4" t="str">
        <f t="shared" si="1"/>
        <v/>
      </c>
      <c r="H16" s="4" t="str">
        <f t="shared" si="2"/>
        <v/>
      </c>
      <c r="I16" s="4" t="str">
        <f t="shared" si="3"/>
        <v/>
      </c>
      <c r="J16" s="4" t="str">
        <f t="shared" si="4"/>
        <v/>
      </c>
      <c r="K16" s="4">
        <f t="shared" si="5"/>
        <v>1</v>
      </c>
      <c r="L16" s="4" t="str">
        <f t="shared" si="6"/>
        <v/>
      </c>
      <c r="M16" s="4"/>
      <c r="N16" s="4"/>
      <c r="O16" s="4"/>
      <c r="P16" s="4"/>
      <c r="Q16" s="4"/>
      <c r="R16" s="4"/>
      <c r="S16" s="4"/>
      <c r="T16" s="4"/>
      <c r="U16" s="4"/>
    </row>
    <row r="17" spans="1:21">
      <c r="A17" t="s">
        <v>188</v>
      </c>
      <c r="B17">
        <v>2</v>
      </c>
      <c r="C17" t="str">
        <f t="shared" si="0"/>
        <v>test.BallonFactory_2_</v>
      </c>
      <c r="D17">
        <v>12</v>
      </c>
      <c r="E17" s="4">
        <v>1</v>
      </c>
      <c r="F17" s="4">
        <v>0.93029490616621979</v>
      </c>
      <c r="G17" s="4" t="str">
        <f t="shared" si="1"/>
        <v/>
      </c>
      <c r="H17" s="4" t="str">
        <f t="shared" si="2"/>
        <v/>
      </c>
      <c r="I17" s="4" t="str">
        <f t="shared" si="3"/>
        <v/>
      </c>
      <c r="J17" s="4" t="str">
        <f t="shared" si="4"/>
        <v/>
      </c>
      <c r="K17" s="4">
        <f t="shared" si="5"/>
        <v>1</v>
      </c>
      <c r="L17" s="4" t="str">
        <f t="shared" si="6"/>
        <v/>
      </c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t="s">
        <v>188</v>
      </c>
      <c r="B18">
        <v>2</v>
      </c>
      <c r="C18" t="str">
        <f t="shared" si="0"/>
        <v>test.BallonFactory_2_</v>
      </c>
      <c r="D18">
        <v>13</v>
      </c>
      <c r="E18" s="4">
        <v>1</v>
      </c>
      <c r="F18" s="4">
        <v>0.93208221626452192</v>
      </c>
      <c r="G18" s="4" t="str">
        <f t="shared" si="1"/>
        <v/>
      </c>
      <c r="H18" s="4" t="str">
        <f t="shared" si="2"/>
        <v/>
      </c>
      <c r="I18" s="4" t="str">
        <f t="shared" si="3"/>
        <v/>
      </c>
      <c r="J18" s="4" t="str">
        <f t="shared" si="4"/>
        <v/>
      </c>
      <c r="K18" s="4">
        <f t="shared" si="5"/>
        <v>1</v>
      </c>
      <c r="L18" s="4" t="str">
        <f t="shared" si="6"/>
        <v/>
      </c>
      <c r="M18" s="4"/>
      <c r="N18" s="4"/>
      <c r="O18" s="4"/>
      <c r="P18" s="4"/>
      <c r="Q18" s="4"/>
      <c r="R18" s="4"/>
      <c r="S18" s="4"/>
      <c r="T18" s="4"/>
      <c r="U18" s="4"/>
    </row>
    <row r="19" spans="1:21">
      <c r="A19" t="s">
        <v>188</v>
      </c>
      <c r="B19">
        <v>2</v>
      </c>
      <c r="C19" t="str">
        <f t="shared" si="0"/>
        <v>test.BallonFactory_2_</v>
      </c>
      <c r="D19">
        <v>14</v>
      </c>
      <c r="E19" s="4">
        <v>1</v>
      </c>
      <c r="F19" s="4">
        <v>0.93655049151027703</v>
      </c>
      <c r="G19" s="4" t="str">
        <f t="shared" si="1"/>
        <v/>
      </c>
      <c r="H19" s="4" t="str">
        <f t="shared" si="2"/>
        <v/>
      </c>
      <c r="I19" s="4" t="str">
        <f t="shared" si="3"/>
        <v/>
      </c>
      <c r="J19" s="4" t="str">
        <f t="shared" si="4"/>
        <v/>
      </c>
      <c r="K19" s="4">
        <f t="shared" si="5"/>
        <v>1</v>
      </c>
      <c r="L19" s="4" t="str">
        <f t="shared" si="6"/>
        <v/>
      </c>
      <c r="M19" s="4"/>
      <c r="N19" s="4"/>
      <c r="O19" s="4"/>
      <c r="P19" s="4"/>
      <c r="Q19" s="4"/>
      <c r="R19" s="4"/>
      <c r="S19" s="4"/>
      <c r="T19" s="4"/>
      <c r="U19" s="4"/>
    </row>
    <row r="20" spans="1:21">
      <c r="A20" t="s">
        <v>188</v>
      </c>
      <c r="B20">
        <v>2</v>
      </c>
      <c r="C20" t="str">
        <f t="shared" si="0"/>
        <v>test.BallonFactory_2_</v>
      </c>
      <c r="D20">
        <v>15</v>
      </c>
      <c r="E20" s="4">
        <v>1</v>
      </c>
      <c r="F20" s="4">
        <v>1.0080428954423593</v>
      </c>
      <c r="G20" s="4" t="str">
        <f t="shared" si="1"/>
        <v/>
      </c>
      <c r="H20" s="4" t="str">
        <f t="shared" si="2"/>
        <v/>
      </c>
      <c r="I20" s="4" t="str">
        <f t="shared" si="3"/>
        <v/>
      </c>
      <c r="J20" s="4" t="str">
        <f t="shared" si="4"/>
        <v/>
      </c>
      <c r="K20" s="4">
        <f t="shared" si="5"/>
        <v>1</v>
      </c>
      <c r="L20" s="4" t="str">
        <f t="shared" si="6"/>
        <v/>
      </c>
      <c r="M20" s="4"/>
      <c r="N20" s="4"/>
      <c r="O20" s="4"/>
      <c r="P20" s="4"/>
      <c r="Q20" s="4"/>
      <c r="R20" s="4"/>
      <c r="S20" s="4"/>
      <c r="T20" s="4"/>
      <c r="U20" s="4"/>
    </row>
    <row r="21" spans="1:21">
      <c r="A21" t="s">
        <v>188</v>
      </c>
      <c r="B21">
        <v>6</v>
      </c>
      <c r="C21" t="str">
        <f t="shared" si="0"/>
        <v>test.BallonFactory_6_</v>
      </c>
      <c r="D21">
        <v>1</v>
      </c>
      <c r="E21" s="4">
        <v>0.22222222222222221</v>
      </c>
      <c r="F21" s="4">
        <v>0.11761083743842364</v>
      </c>
      <c r="G21" s="4">
        <f t="shared" si="1"/>
        <v>0.22222222222222221</v>
      </c>
      <c r="H21" s="4" t="str">
        <f t="shared" si="2"/>
        <v/>
      </c>
      <c r="I21" s="4" t="str">
        <f t="shared" si="3"/>
        <v/>
      </c>
      <c r="J21" s="4" t="str">
        <f t="shared" si="4"/>
        <v/>
      </c>
      <c r="K21" s="4" t="str">
        <f t="shared" si="5"/>
        <v/>
      </c>
      <c r="L21" s="4" t="str">
        <f t="shared" si="6"/>
        <v/>
      </c>
      <c r="M21" s="4"/>
      <c r="N21" s="4"/>
      <c r="O21" s="4"/>
      <c r="P21" s="4"/>
      <c r="Q21" s="4"/>
      <c r="R21" s="4"/>
      <c r="S21" s="4"/>
      <c r="T21" s="4"/>
      <c r="U21" s="4"/>
    </row>
    <row r="22" spans="1:21">
      <c r="A22" t="s">
        <v>188</v>
      </c>
      <c r="B22">
        <v>6</v>
      </c>
      <c r="C22" t="str">
        <f t="shared" si="0"/>
        <v>test.BallonFactory_6_</v>
      </c>
      <c r="D22">
        <v>2</v>
      </c>
      <c r="E22" s="4">
        <v>0.55555555555555558</v>
      </c>
      <c r="F22" s="4">
        <v>0.8854679802955665</v>
      </c>
      <c r="G22" s="4" t="str">
        <f t="shared" si="1"/>
        <v/>
      </c>
      <c r="H22" s="4" t="str">
        <f t="shared" si="2"/>
        <v/>
      </c>
      <c r="I22" s="4" t="str">
        <f t="shared" si="3"/>
        <v/>
      </c>
      <c r="J22" s="4" t="str">
        <f t="shared" si="4"/>
        <v/>
      </c>
      <c r="K22" s="4">
        <f t="shared" si="5"/>
        <v>0.55555555555555558</v>
      </c>
      <c r="L22" s="4" t="str">
        <f t="shared" si="6"/>
        <v/>
      </c>
      <c r="M22" s="4"/>
      <c r="N22" s="4"/>
      <c r="O22" s="4"/>
      <c r="P22" s="4"/>
      <c r="Q22" s="4"/>
      <c r="R22" s="4"/>
      <c r="S22" s="4"/>
      <c r="T22" s="4"/>
      <c r="U22" s="4"/>
    </row>
    <row r="23" spans="1:21">
      <c r="A23" t="s">
        <v>188</v>
      </c>
      <c r="B23">
        <v>6</v>
      </c>
      <c r="C23" t="str">
        <f t="shared" si="0"/>
        <v>test.BallonFactory_6_</v>
      </c>
      <c r="D23">
        <v>3</v>
      </c>
      <c r="E23" s="4">
        <v>0.61111111111111116</v>
      </c>
      <c r="F23" s="4">
        <v>0.9821428571428571</v>
      </c>
      <c r="G23" s="4" t="str">
        <f t="shared" si="1"/>
        <v/>
      </c>
      <c r="H23" s="4" t="str">
        <f t="shared" si="2"/>
        <v/>
      </c>
      <c r="I23" s="4" t="str">
        <f t="shared" si="3"/>
        <v/>
      </c>
      <c r="J23" s="4" t="str">
        <f t="shared" si="4"/>
        <v/>
      </c>
      <c r="K23" s="4">
        <f t="shared" si="5"/>
        <v>0.61111111111111116</v>
      </c>
      <c r="L23" s="4" t="str">
        <f t="shared" si="6"/>
        <v/>
      </c>
      <c r="M23" s="4"/>
      <c r="N23" s="4"/>
      <c r="O23" s="4"/>
      <c r="P23" s="4"/>
      <c r="Q23" s="4"/>
      <c r="R23" s="4"/>
      <c r="S23" s="4"/>
      <c r="T23" s="4"/>
      <c r="U23" s="4"/>
    </row>
    <row r="24" spans="1:21">
      <c r="A24" t="s">
        <v>188</v>
      </c>
      <c r="B24">
        <v>6</v>
      </c>
      <c r="C24" t="str">
        <f t="shared" si="0"/>
        <v>test.BallonFactory_6_</v>
      </c>
      <c r="D24">
        <v>4</v>
      </c>
      <c r="E24" s="4">
        <v>0.88888888888888884</v>
      </c>
      <c r="F24" s="4">
        <v>1.2044334975369457</v>
      </c>
      <c r="G24" s="4" t="str">
        <f t="shared" si="1"/>
        <v/>
      </c>
      <c r="H24" s="4" t="str">
        <f t="shared" si="2"/>
        <v/>
      </c>
      <c r="I24" s="4" t="str">
        <f t="shared" si="3"/>
        <v/>
      </c>
      <c r="J24" s="4" t="str">
        <f t="shared" si="4"/>
        <v/>
      </c>
      <c r="K24" s="4" t="str">
        <f t="shared" si="5"/>
        <v/>
      </c>
      <c r="L24" s="4">
        <f t="shared" si="6"/>
        <v>0.88888888888888884</v>
      </c>
      <c r="M24" s="4"/>
      <c r="N24" s="4"/>
      <c r="O24" s="4"/>
      <c r="P24" s="4"/>
      <c r="Q24" s="4"/>
      <c r="R24" s="4"/>
      <c r="S24" s="4"/>
      <c r="T24" s="4"/>
      <c r="U24" s="4"/>
    </row>
    <row r="25" spans="1:21">
      <c r="A25" t="s">
        <v>188</v>
      </c>
      <c r="B25">
        <v>6</v>
      </c>
      <c r="C25" t="str">
        <f t="shared" si="0"/>
        <v>test.BallonFactory_6_</v>
      </c>
      <c r="D25">
        <v>5</v>
      </c>
      <c r="E25" s="4">
        <v>1</v>
      </c>
      <c r="F25" s="4">
        <v>1.3041871921182266</v>
      </c>
      <c r="G25" s="4" t="str">
        <f t="shared" si="1"/>
        <v/>
      </c>
      <c r="H25" s="4" t="str">
        <f t="shared" si="2"/>
        <v/>
      </c>
      <c r="I25" s="4" t="str">
        <f t="shared" si="3"/>
        <v/>
      </c>
      <c r="J25" s="4" t="str">
        <f t="shared" si="4"/>
        <v/>
      </c>
      <c r="K25" s="4" t="str">
        <f t="shared" si="5"/>
        <v/>
      </c>
      <c r="L25" s="4">
        <f t="shared" si="6"/>
        <v>1</v>
      </c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t="s">
        <v>188</v>
      </c>
      <c r="B26">
        <v>9</v>
      </c>
      <c r="C26" t="str">
        <f t="shared" si="0"/>
        <v>test.BallonFactory_9_</v>
      </c>
      <c r="D26">
        <v>1</v>
      </c>
      <c r="E26" s="4">
        <v>6.5217391304347824E-2</v>
      </c>
      <c r="F26" s="4">
        <v>7.7297034516285848E-2</v>
      </c>
      <c r="G26" s="4">
        <f t="shared" si="1"/>
        <v>6.5217391304347824E-2</v>
      </c>
      <c r="H26" s="4" t="str">
        <f t="shared" si="2"/>
        <v/>
      </c>
      <c r="I26" s="4" t="str">
        <f t="shared" si="3"/>
        <v/>
      </c>
      <c r="J26" s="4" t="str">
        <f t="shared" si="4"/>
        <v/>
      </c>
      <c r="K26" s="4" t="str">
        <f t="shared" si="5"/>
        <v/>
      </c>
      <c r="L26" s="4" t="str">
        <f t="shared" si="6"/>
        <v/>
      </c>
      <c r="M26" s="4"/>
      <c r="N26" s="4"/>
      <c r="O26" s="4"/>
      <c r="P26" s="4"/>
      <c r="Q26" s="4"/>
      <c r="R26" s="4"/>
      <c r="S26" s="4"/>
      <c r="T26" s="4"/>
      <c r="U26" s="4"/>
    </row>
    <row r="27" spans="1:21">
      <c r="A27" t="s">
        <v>188</v>
      </c>
      <c r="B27">
        <v>9</v>
      </c>
      <c r="C27" t="str">
        <f t="shared" si="0"/>
        <v>test.BallonFactory_9_</v>
      </c>
      <c r="D27">
        <v>2</v>
      </c>
      <c r="E27" s="4">
        <v>6.5217391304347824E-2</v>
      </c>
      <c r="F27" s="4">
        <v>7.8269324258629078E-2</v>
      </c>
      <c r="G27" s="4">
        <f t="shared" si="1"/>
        <v>6.5217391304347824E-2</v>
      </c>
      <c r="H27" s="4" t="str">
        <f t="shared" si="2"/>
        <v/>
      </c>
      <c r="I27" s="4" t="str">
        <f t="shared" si="3"/>
        <v/>
      </c>
      <c r="J27" s="4" t="str">
        <f t="shared" si="4"/>
        <v/>
      </c>
      <c r="K27" s="4" t="str">
        <f t="shared" si="5"/>
        <v/>
      </c>
      <c r="L27" s="4" t="str">
        <f t="shared" si="6"/>
        <v/>
      </c>
      <c r="M27" s="4"/>
      <c r="N27" s="4"/>
      <c r="O27" s="4"/>
      <c r="P27" s="4"/>
      <c r="Q27" s="4"/>
      <c r="R27" s="4"/>
      <c r="S27" s="4"/>
      <c r="T27" s="4"/>
      <c r="U27" s="4"/>
    </row>
    <row r="28" spans="1:21">
      <c r="A28" t="s">
        <v>188</v>
      </c>
      <c r="B28">
        <v>9</v>
      </c>
      <c r="C28" t="str">
        <f t="shared" si="0"/>
        <v>test.BallonFactory_9_</v>
      </c>
      <c r="D28">
        <v>3</v>
      </c>
      <c r="E28" s="4">
        <v>6.5217391304347824E-2</v>
      </c>
      <c r="F28" s="4">
        <v>7.8755469129800679E-2</v>
      </c>
      <c r="G28" s="4">
        <f t="shared" si="1"/>
        <v>6.5217391304347824E-2</v>
      </c>
      <c r="H28" s="4" t="str">
        <f t="shared" si="2"/>
        <v/>
      </c>
      <c r="I28" s="4" t="str">
        <f t="shared" si="3"/>
        <v/>
      </c>
      <c r="J28" s="4" t="str">
        <f t="shared" si="4"/>
        <v/>
      </c>
      <c r="K28" s="4" t="str">
        <f t="shared" si="5"/>
        <v/>
      </c>
      <c r="L28" s="4" t="str">
        <f t="shared" si="6"/>
        <v/>
      </c>
      <c r="M28" s="4"/>
      <c r="N28" s="4"/>
      <c r="O28" s="4"/>
      <c r="P28" s="4"/>
      <c r="Q28" s="4"/>
      <c r="R28" s="4"/>
      <c r="S28" s="4"/>
      <c r="T28" s="4"/>
      <c r="U28" s="4"/>
    </row>
    <row r="29" spans="1:21">
      <c r="A29" t="s">
        <v>188</v>
      </c>
      <c r="B29">
        <v>9</v>
      </c>
      <c r="C29" t="str">
        <f t="shared" si="0"/>
        <v>test.BallonFactory_9_</v>
      </c>
      <c r="D29">
        <v>4</v>
      </c>
      <c r="E29" s="4">
        <v>0.15217391304347827</v>
      </c>
      <c r="F29" s="4">
        <v>0.16091395235780262</v>
      </c>
      <c r="G29" s="4">
        <f t="shared" si="1"/>
        <v>0.15217391304347827</v>
      </c>
      <c r="H29" s="4" t="str">
        <f t="shared" si="2"/>
        <v/>
      </c>
      <c r="I29" s="4" t="str">
        <f t="shared" si="3"/>
        <v/>
      </c>
      <c r="J29" s="4" t="str">
        <f t="shared" si="4"/>
        <v/>
      </c>
      <c r="K29" s="4" t="str">
        <f t="shared" si="5"/>
        <v/>
      </c>
      <c r="L29" s="4" t="str">
        <f t="shared" si="6"/>
        <v/>
      </c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t="s">
        <v>188</v>
      </c>
      <c r="B30">
        <v>9</v>
      </c>
      <c r="C30" t="str">
        <f t="shared" si="0"/>
        <v>test.BallonFactory_9_</v>
      </c>
      <c r="D30">
        <v>5</v>
      </c>
      <c r="E30" s="4">
        <v>0.2391304347826087</v>
      </c>
      <c r="F30" s="4">
        <v>0.16528925619834711</v>
      </c>
      <c r="G30" s="4">
        <f t="shared" si="1"/>
        <v>0.2391304347826087</v>
      </c>
      <c r="H30" s="4" t="str">
        <f t="shared" si="2"/>
        <v/>
      </c>
      <c r="I30" s="4" t="str">
        <f t="shared" si="3"/>
        <v/>
      </c>
      <c r="J30" s="4" t="str">
        <f t="shared" si="4"/>
        <v/>
      </c>
      <c r="K30" s="4" t="str">
        <f t="shared" si="5"/>
        <v/>
      </c>
      <c r="L30" s="4" t="str">
        <f t="shared" si="6"/>
        <v/>
      </c>
      <c r="M30" s="4"/>
      <c r="N30" s="4"/>
      <c r="O30" s="4"/>
      <c r="P30" s="4"/>
      <c r="Q30" s="4"/>
      <c r="R30" s="4"/>
      <c r="S30" s="4"/>
      <c r="T30" s="4"/>
      <c r="U30" s="4"/>
    </row>
    <row r="31" spans="1:21">
      <c r="A31" t="s">
        <v>188</v>
      </c>
      <c r="B31">
        <v>9</v>
      </c>
      <c r="C31" t="str">
        <f t="shared" si="0"/>
        <v>test.BallonFactory_9_</v>
      </c>
      <c r="D31">
        <v>6</v>
      </c>
      <c r="E31" s="4">
        <v>0.5</v>
      </c>
      <c r="F31" s="4">
        <v>0.33884297520661155</v>
      </c>
      <c r="G31" s="4" t="str">
        <f t="shared" si="1"/>
        <v/>
      </c>
      <c r="H31" s="4">
        <f t="shared" si="2"/>
        <v>0.5</v>
      </c>
      <c r="I31" s="4" t="str">
        <f t="shared" si="3"/>
        <v/>
      </c>
      <c r="J31" s="4" t="str">
        <f t="shared" si="4"/>
        <v/>
      </c>
      <c r="K31" s="4" t="str">
        <f t="shared" si="5"/>
        <v/>
      </c>
      <c r="L31" s="4" t="str">
        <f t="shared" si="6"/>
        <v/>
      </c>
      <c r="M31" s="4"/>
      <c r="N31" s="4"/>
      <c r="O31" s="4"/>
      <c r="P31" s="4"/>
      <c r="Q31" s="4"/>
      <c r="R31" s="4"/>
      <c r="S31" s="4"/>
      <c r="T31" s="4"/>
      <c r="U31" s="4"/>
    </row>
    <row r="32" spans="1:21">
      <c r="A32" t="s">
        <v>188</v>
      </c>
      <c r="B32">
        <v>9</v>
      </c>
      <c r="C32" t="str">
        <f t="shared" si="0"/>
        <v>test.BallonFactory_9_</v>
      </c>
      <c r="D32">
        <v>7</v>
      </c>
      <c r="E32" s="4">
        <v>0.65217391304347827</v>
      </c>
      <c r="F32" s="4">
        <v>0.34078755469129801</v>
      </c>
      <c r="G32" s="4" t="str">
        <f t="shared" si="1"/>
        <v/>
      </c>
      <c r="H32" s="4">
        <f t="shared" si="2"/>
        <v>0.65217391304347827</v>
      </c>
      <c r="I32" s="4" t="str">
        <f t="shared" si="3"/>
        <v/>
      </c>
      <c r="J32" s="4" t="str">
        <f t="shared" si="4"/>
        <v/>
      </c>
      <c r="K32" s="4" t="str">
        <f t="shared" si="5"/>
        <v/>
      </c>
      <c r="L32" s="4" t="str">
        <f t="shared" si="6"/>
        <v/>
      </c>
      <c r="M32" s="4"/>
      <c r="N32" s="4"/>
      <c r="O32" s="4"/>
      <c r="P32" s="4"/>
      <c r="Q32" s="4"/>
      <c r="R32" s="4"/>
      <c r="S32" s="4"/>
      <c r="T32" s="4"/>
      <c r="U32" s="4"/>
    </row>
    <row r="33" spans="1:21">
      <c r="A33" t="s">
        <v>188</v>
      </c>
      <c r="B33">
        <v>9</v>
      </c>
      <c r="C33" t="str">
        <f t="shared" si="0"/>
        <v>test.BallonFactory_9_</v>
      </c>
      <c r="D33">
        <v>8</v>
      </c>
      <c r="E33" s="4">
        <v>0.91304347826086951</v>
      </c>
      <c r="F33" s="4">
        <v>0.34856587263004374</v>
      </c>
      <c r="G33" s="4" t="str">
        <f t="shared" si="1"/>
        <v/>
      </c>
      <c r="H33" s="4">
        <f t="shared" si="2"/>
        <v>0.91304347826086951</v>
      </c>
      <c r="I33" s="4" t="str">
        <f t="shared" si="3"/>
        <v/>
      </c>
      <c r="J33" s="4" t="str">
        <f t="shared" si="4"/>
        <v/>
      </c>
      <c r="K33" s="4" t="str">
        <f t="shared" si="5"/>
        <v/>
      </c>
      <c r="L33" s="4" t="str">
        <f t="shared" si="6"/>
        <v/>
      </c>
      <c r="M33" s="4"/>
      <c r="N33" s="4"/>
      <c r="O33" s="4"/>
      <c r="P33" s="4"/>
      <c r="Q33" s="4"/>
      <c r="R33" s="4"/>
      <c r="S33" s="4"/>
      <c r="T33" s="4"/>
      <c r="U33" s="4"/>
    </row>
    <row r="34" spans="1:21">
      <c r="A34" t="s">
        <v>188</v>
      </c>
      <c r="B34">
        <v>9</v>
      </c>
      <c r="C34" t="str">
        <f t="shared" si="0"/>
        <v>test.BallonFactory_9_</v>
      </c>
      <c r="D34">
        <v>9</v>
      </c>
      <c r="E34" s="4">
        <v>1</v>
      </c>
      <c r="F34" s="4">
        <v>0.40398638794360719</v>
      </c>
      <c r="G34" s="4" t="str">
        <f t="shared" si="1"/>
        <v/>
      </c>
      <c r="H34" s="4" t="str">
        <f t="shared" si="2"/>
        <v/>
      </c>
      <c r="I34" s="4">
        <f t="shared" si="3"/>
        <v>1</v>
      </c>
      <c r="J34" s="4" t="str">
        <f t="shared" si="4"/>
        <v/>
      </c>
      <c r="K34" s="4" t="str">
        <f t="shared" si="5"/>
        <v/>
      </c>
      <c r="L34" s="4" t="str">
        <f t="shared" si="6"/>
        <v/>
      </c>
      <c r="M34" s="4"/>
      <c r="N34" s="4"/>
      <c r="O34" s="4"/>
      <c r="P34" s="4"/>
      <c r="Q34" s="4"/>
      <c r="R34" s="4"/>
      <c r="S34" s="4"/>
      <c r="T34" s="4"/>
      <c r="U34" s="4"/>
    </row>
    <row r="35" spans="1:21">
      <c r="A35" t="s">
        <v>188</v>
      </c>
      <c r="B35">
        <v>9</v>
      </c>
      <c r="C35" t="str">
        <f t="shared" si="0"/>
        <v>test.BallonFactory_9_</v>
      </c>
      <c r="D35">
        <v>10</v>
      </c>
      <c r="E35" s="4">
        <v>1</v>
      </c>
      <c r="F35" s="4">
        <v>0.41079241614000972</v>
      </c>
      <c r="G35" s="4" t="str">
        <f t="shared" si="1"/>
        <v/>
      </c>
      <c r="H35" s="4" t="str">
        <f t="shared" si="2"/>
        <v/>
      </c>
      <c r="I35" s="4">
        <f t="shared" si="3"/>
        <v>1</v>
      </c>
      <c r="J35" s="4" t="str">
        <f t="shared" si="4"/>
        <v/>
      </c>
      <c r="K35" s="4" t="str">
        <f t="shared" si="5"/>
        <v/>
      </c>
      <c r="L35" s="4" t="str">
        <f t="shared" si="6"/>
        <v/>
      </c>
      <c r="M35" s="4"/>
      <c r="N35" s="4"/>
      <c r="O35" s="4"/>
      <c r="P35" s="4"/>
      <c r="Q35" s="4"/>
      <c r="R35" s="4"/>
      <c r="S35" s="4"/>
      <c r="T35" s="4"/>
      <c r="U35" s="4"/>
    </row>
    <row r="36" spans="1:21">
      <c r="A36" t="s">
        <v>219</v>
      </c>
      <c r="B36">
        <v>2</v>
      </c>
      <c r="C36" t="str">
        <f t="shared" si="0"/>
        <v>test.Base64_2_</v>
      </c>
      <c r="D36">
        <v>1</v>
      </c>
      <c r="E36" s="4">
        <v>0.19354838709677419</v>
      </c>
      <c r="F36" s="4">
        <v>0.31687612208258525</v>
      </c>
      <c r="G36" s="4" t="str">
        <f t="shared" si="1"/>
        <v/>
      </c>
      <c r="H36" s="4">
        <f t="shared" si="2"/>
        <v>0.19354838709677419</v>
      </c>
      <c r="I36" s="4" t="str">
        <f t="shared" si="3"/>
        <v/>
      </c>
      <c r="J36" s="4" t="str">
        <f t="shared" si="4"/>
        <v/>
      </c>
      <c r="K36" s="4" t="str">
        <f t="shared" si="5"/>
        <v/>
      </c>
      <c r="L36" s="4" t="str">
        <f t="shared" si="6"/>
        <v/>
      </c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t="s">
        <v>219</v>
      </c>
      <c r="B37">
        <v>2</v>
      </c>
      <c r="C37" t="str">
        <f t="shared" si="0"/>
        <v>test.Base64_2_</v>
      </c>
      <c r="D37">
        <v>2</v>
      </c>
      <c r="E37" s="4">
        <v>0.70967741935483875</v>
      </c>
      <c r="F37" s="4">
        <v>0.69210053859964094</v>
      </c>
      <c r="G37" s="4" t="str">
        <f t="shared" si="1"/>
        <v/>
      </c>
      <c r="H37" s="4" t="str">
        <f t="shared" si="2"/>
        <v/>
      </c>
      <c r="I37" s="4" t="str">
        <f t="shared" si="3"/>
        <v/>
      </c>
      <c r="J37" s="4">
        <f t="shared" si="4"/>
        <v>0.70967741935483875</v>
      </c>
      <c r="K37" s="4" t="str">
        <f t="shared" si="5"/>
        <v/>
      </c>
      <c r="L37" s="4" t="str">
        <f t="shared" si="6"/>
        <v/>
      </c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t="s">
        <v>219</v>
      </c>
      <c r="B38">
        <v>2</v>
      </c>
      <c r="C38" t="str">
        <f t="shared" si="0"/>
        <v>test.Base64_2_</v>
      </c>
      <c r="D38">
        <v>3</v>
      </c>
      <c r="E38" s="4">
        <v>0.93548387096774188</v>
      </c>
      <c r="F38" s="4">
        <v>0.69299820466786355</v>
      </c>
      <c r="G38" s="4" t="str">
        <f t="shared" si="1"/>
        <v/>
      </c>
      <c r="H38" s="4" t="str">
        <f t="shared" si="2"/>
        <v/>
      </c>
      <c r="I38" s="4" t="str">
        <f t="shared" si="3"/>
        <v/>
      </c>
      <c r="J38" s="4">
        <f t="shared" si="4"/>
        <v>0.93548387096774188</v>
      </c>
      <c r="K38" s="4" t="str">
        <f t="shared" si="5"/>
        <v/>
      </c>
      <c r="L38" s="4" t="str">
        <f t="shared" si="6"/>
        <v/>
      </c>
      <c r="M38" s="4"/>
      <c r="N38" s="4"/>
      <c r="O38" s="4"/>
      <c r="P38" s="4"/>
      <c r="Q38" s="4"/>
      <c r="R38" s="4"/>
      <c r="S38" s="4"/>
      <c r="T38" s="4"/>
      <c r="U38" s="4"/>
    </row>
    <row r="39" spans="1:21">
      <c r="A39" t="s">
        <v>219</v>
      </c>
      <c r="B39">
        <v>2</v>
      </c>
      <c r="C39" t="str">
        <f t="shared" si="0"/>
        <v>test.Base64_2_</v>
      </c>
      <c r="D39">
        <v>4</v>
      </c>
      <c r="E39" s="4">
        <v>1</v>
      </c>
      <c r="F39" s="4">
        <v>1.0053859964093357</v>
      </c>
      <c r="G39" s="4" t="str">
        <f t="shared" si="1"/>
        <v/>
      </c>
      <c r="H39" s="4" t="str">
        <f t="shared" si="2"/>
        <v/>
      </c>
      <c r="I39" s="4" t="str">
        <f t="shared" si="3"/>
        <v/>
      </c>
      <c r="J39" s="4" t="str">
        <f t="shared" si="4"/>
        <v/>
      </c>
      <c r="K39" s="4">
        <f t="shared" si="5"/>
        <v>1</v>
      </c>
      <c r="L39" s="4" t="str">
        <f t="shared" si="6"/>
        <v/>
      </c>
      <c r="M39" s="4"/>
      <c r="N39" s="4"/>
      <c r="O39" s="4"/>
      <c r="P39" s="4"/>
      <c r="Q39" s="4"/>
      <c r="R39" s="4"/>
      <c r="S39" s="4"/>
      <c r="T39" s="4"/>
      <c r="U39" s="4"/>
    </row>
    <row r="40" spans="1:21">
      <c r="A40" t="s">
        <v>219</v>
      </c>
      <c r="B40">
        <v>4</v>
      </c>
      <c r="C40" t="str">
        <f t="shared" si="0"/>
        <v>test.Base64_4_</v>
      </c>
      <c r="D40">
        <v>1</v>
      </c>
      <c r="E40" s="4">
        <v>0.19354838709677419</v>
      </c>
      <c r="F40" s="4">
        <v>0.31810035842293904</v>
      </c>
      <c r="G40" s="4" t="str">
        <f t="shared" si="1"/>
        <v/>
      </c>
      <c r="H40" s="4">
        <f t="shared" si="2"/>
        <v>0.19354838709677419</v>
      </c>
      <c r="I40" s="4" t="str">
        <f t="shared" si="3"/>
        <v/>
      </c>
      <c r="J40" s="4" t="str">
        <f t="shared" si="4"/>
        <v/>
      </c>
      <c r="K40" s="4" t="str">
        <f t="shared" si="5"/>
        <v/>
      </c>
      <c r="L40" s="4" t="str">
        <f t="shared" si="6"/>
        <v/>
      </c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t="s">
        <v>219</v>
      </c>
      <c r="B41">
        <v>4</v>
      </c>
      <c r="C41" t="str">
        <f t="shared" si="0"/>
        <v>test.Base64_4_</v>
      </c>
      <c r="D41">
        <v>2</v>
      </c>
      <c r="E41" s="4">
        <v>0.54838709677419351</v>
      </c>
      <c r="F41" s="4">
        <v>0.68548387096774188</v>
      </c>
      <c r="G41" s="4" t="str">
        <f t="shared" si="1"/>
        <v/>
      </c>
      <c r="H41" s="4" t="str">
        <f t="shared" si="2"/>
        <v/>
      </c>
      <c r="I41" s="4" t="str">
        <f t="shared" si="3"/>
        <v/>
      </c>
      <c r="J41" s="4">
        <f t="shared" si="4"/>
        <v>0.54838709677419351</v>
      </c>
      <c r="K41" s="4" t="str">
        <f t="shared" si="5"/>
        <v/>
      </c>
      <c r="L41" s="4" t="str">
        <f t="shared" si="6"/>
        <v/>
      </c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t="s">
        <v>219</v>
      </c>
      <c r="B42">
        <v>4</v>
      </c>
      <c r="C42" t="str">
        <f t="shared" si="0"/>
        <v>test.Base64_4_</v>
      </c>
      <c r="D42">
        <v>3</v>
      </c>
      <c r="E42" s="4">
        <v>0.93548387096774188</v>
      </c>
      <c r="F42" s="4">
        <v>0.69086021505376349</v>
      </c>
      <c r="G42" s="4" t="str">
        <f t="shared" si="1"/>
        <v/>
      </c>
      <c r="H42" s="4" t="str">
        <f t="shared" si="2"/>
        <v/>
      </c>
      <c r="I42" s="4" t="str">
        <f t="shared" si="3"/>
        <v/>
      </c>
      <c r="J42" s="4">
        <f t="shared" si="4"/>
        <v>0.93548387096774188</v>
      </c>
      <c r="K42" s="4" t="str">
        <f t="shared" si="5"/>
        <v/>
      </c>
      <c r="L42" s="4" t="str">
        <f t="shared" si="6"/>
        <v/>
      </c>
      <c r="M42" s="4"/>
      <c r="N42" s="4"/>
      <c r="O42" s="4"/>
      <c r="P42" s="4"/>
      <c r="Q42" s="4"/>
      <c r="R42" s="4"/>
      <c r="S42" s="4"/>
      <c r="T42" s="4"/>
      <c r="U42" s="4"/>
    </row>
    <row r="43" spans="1:21">
      <c r="A43" t="s">
        <v>219</v>
      </c>
      <c r="B43">
        <v>4</v>
      </c>
      <c r="C43" t="str">
        <f t="shared" si="0"/>
        <v>test.Base64_4_</v>
      </c>
      <c r="D43">
        <v>4</v>
      </c>
      <c r="E43" s="4">
        <v>1</v>
      </c>
      <c r="F43" s="4">
        <v>0.99551971326164879</v>
      </c>
      <c r="G43" s="4" t="str">
        <f t="shared" si="1"/>
        <v/>
      </c>
      <c r="H43" s="4" t="str">
        <f t="shared" si="2"/>
        <v/>
      </c>
      <c r="I43" s="4" t="str">
        <f t="shared" si="3"/>
        <v/>
      </c>
      <c r="J43" s="4" t="str">
        <f t="shared" si="4"/>
        <v/>
      </c>
      <c r="K43" s="4">
        <f t="shared" si="5"/>
        <v>1</v>
      </c>
      <c r="L43" s="4" t="str">
        <f t="shared" si="6"/>
        <v/>
      </c>
      <c r="M43" s="4"/>
      <c r="N43" s="4"/>
      <c r="O43" s="4"/>
      <c r="P43" s="4"/>
      <c r="Q43" s="4"/>
      <c r="R43" s="4"/>
      <c r="S43" s="4"/>
      <c r="T43" s="4"/>
      <c r="U43" s="4"/>
    </row>
    <row r="44" spans="1:21">
      <c r="A44" t="s">
        <v>219</v>
      </c>
      <c r="B44">
        <v>13</v>
      </c>
      <c r="C44" t="str">
        <f t="shared" si="0"/>
        <v>test.Base64_13_</v>
      </c>
      <c r="D44">
        <v>1</v>
      </c>
      <c r="E44" s="4">
        <v>0.125</v>
      </c>
      <c r="F44" s="4">
        <v>0.28205128205128205</v>
      </c>
      <c r="G44" s="4" t="str">
        <f t="shared" si="1"/>
        <v/>
      </c>
      <c r="H44" s="4">
        <f t="shared" si="2"/>
        <v>0.125</v>
      </c>
      <c r="I44" s="4" t="str">
        <f t="shared" si="3"/>
        <v/>
      </c>
      <c r="J44" s="4" t="str">
        <f t="shared" si="4"/>
        <v/>
      </c>
      <c r="K44" s="4" t="str">
        <f t="shared" si="5"/>
        <v/>
      </c>
      <c r="L44" s="4" t="str">
        <f t="shared" si="6"/>
        <v/>
      </c>
      <c r="M44" s="4"/>
      <c r="N44" s="4"/>
      <c r="O44" s="4"/>
      <c r="P44" s="4"/>
      <c r="Q44" s="4"/>
      <c r="R44" s="4"/>
      <c r="S44" s="4"/>
      <c r="T44" s="4"/>
      <c r="U44" s="4"/>
    </row>
    <row r="45" spans="1:21">
      <c r="A45" t="s">
        <v>219</v>
      </c>
      <c r="B45">
        <v>13</v>
      </c>
      <c r="C45" t="str">
        <f t="shared" si="0"/>
        <v>test.Base64_13_</v>
      </c>
      <c r="D45">
        <v>2</v>
      </c>
      <c r="E45" s="4">
        <v>0.375</v>
      </c>
      <c r="F45" s="4">
        <v>0.52991452991452992</v>
      </c>
      <c r="G45" s="4" t="str">
        <f t="shared" si="1"/>
        <v/>
      </c>
      <c r="H45" s="4" t="str">
        <f t="shared" si="2"/>
        <v/>
      </c>
      <c r="I45" s="4">
        <f t="shared" si="3"/>
        <v>0.375</v>
      </c>
      <c r="J45" s="4" t="str">
        <f t="shared" si="4"/>
        <v/>
      </c>
      <c r="K45" s="4" t="str">
        <f t="shared" si="5"/>
        <v/>
      </c>
      <c r="L45" s="4" t="str">
        <f t="shared" si="6"/>
        <v/>
      </c>
      <c r="M45" s="4"/>
      <c r="N45" s="4"/>
      <c r="O45" s="4"/>
      <c r="P45" s="4"/>
      <c r="Q45" s="4"/>
      <c r="R45" s="4"/>
      <c r="S45" s="4"/>
      <c r="T45" s="4"/>
      <c r="U45" s="4"/>
    </row>
    <row r="46" spans="1:21">
      <c r="A46" t="s">
        <v>219</v>
      </c>
      <c r="B46">
        <v>13</v>
      </c>
      <c r="C46" t="str">
        <f t="shared" si="0"/>
        <v>test.Base64_13_</v>
      </c>
      <c r="D46">
        <v>3</v>
      </c>
      <c r="E46" s="4">
        <v>0.625</v>
      </c>
      <c r="F46" s="4">
        <v>0.76638176638176636</v>
      </c>
      <c r="G46" s="4" t="str">
        <f t="shared" si="1"/>
        <v/>
      </c>
      <c r="H46" s="4" t="str">
        <f t="shared" si="2"/>
        <v/>
      </c>
      <c r="I46" s="4" t="str">
        <f t="shared" si="3"/>
        <v/>
      </c>
      <c r="J46" s="4">
        <f t="shared" si="4"/>
        <v>0.625</v>
      </c>
      <c r="K46" s="4" t="str">
        <f t="shared" si="5"/>
        <v/>
      </c>
      <c r="L46" s="4" t="str">
        <f t="shared" si="6"/>
        <v/>
      </c>
      <c r="M46" s="4"/>
      <c r="N46" s="4"/>
      <c r="O46" s="4"/>
      <c r="P46" s="4"/>
      <c r="Q46" s="4"/>
      <c r="R46" s="4"/>
      <c r="S46" s="4"/>
      <c r="T46" s="4"/>
      <c r="U46" s="4"/>
    </row>
    <row r="47" spans="1:21">
      <c r="A47" t="s">
        <v>219</v>
      </c>
      <c r="B47">
        <v>13</v>
      </c>
      <c r="C47" t="str">
        <f t="shared" si="0"/>
        <v>test.Base64_13_</v>
      </c>
      <c r="D47">
        <v>4</v>
      </c>
      <c r="E47" s="4">
        <v>0.875</v>
      </c>
      <c r="F47" s="4">
        <v>0.98860398860398857</v>
      </c>
      <c r="G47" s="4" t="str">
        <f t="shared" si="1"/>
        <v/>
      </c>
      <c r="H47" s="4" t="str">
        <f t="shared" si="2"/>
        <v/>
      </c>
      <c r="I47" s="4" t="str">
        <f t="shared" si="3"/>
        <v/>
      </c>
      <c r="J47" s="4" t="str">
        <f t="shared" si="4"/>
        <v/>
      </c>
      <c r="K47" s="4">
        <f t="shared" si="5"/>
        <v>0.875</v>
      </c>
      <c r="L47" s="4" t="str">
        <f t="shared" si="6"/>
        <v/>
      </c>
      <c r="M47" s="4"/>
      <c r="N47" s="4"/>
      <c r="O47" s="4"/>
      <c r="P47" s="4"/>
      <c r="Q47" s="4"/>
      <c r="R47" s="4"/>
      <c r="S47" s="4"/>
      <c r="T47" s="4"/>
      <c r="U47" s="4"/>
    </row>
    <row r="48" spans="1:21">
      <c r="A48" t="s">
        <v>219</v>
      </c>
      <c r="B48">
        <v>13</v>
      </c>
      <c r="C48" t="str">
        <f t="shared" si="0"/>
        <v>test.Base64_13_</v>
      </c>
      <c r="D48">
        <v>5</v>
      </c>
      <c r="E48" s="4">
        <v>1</v>
      </c>
      <c r="F48" s="4">
        <v>0.9971509971509972</v>
      </c>
      <c r="G48" s="4" t="str">
        <f t="shared" si="1"/>
        <v/>
      </c>
      <c r="H48" s="4" t="str">
        <f t="shared" si="2"/>
        <v/>
      </c>
      <c r="I48" s="4" t="str">
        <f t="shared" si="3"/>
        <v/>
      </c>
      <c r="J48" s="4" t="str">
        <f t="shared" si="4"/>
        <v/>
      </c>
      <c r="K48" s="4">
        <f t="shared" si="5"/>
        <v>1</v>
      </c>
      <c r="L48" s="4" t="str">
        <f t="shared" si="6"/>
        <v/>
      </c>
      <c r="M48" s="4"/>
      <c r="N48" s="4"/>
      <c r="O48" s="4"/>
      <c r="P48" s="4"/>
      <c r="Q48" s="4"/>
      <c r="R48" s="4"/>
      <c r="S48" s="4"/>
      <c r="T48" s="4"/>
      <c r="U48" s="4"/>
    </row>
    <row r="49" spans="1:21">
      <c r="A49" t="s">
        <v>219</v>
      </c>
      <c r="B49">
        <v>16</v>
      </c>
      <c r="C49" t="str">
        <f t="shared" si="0"/>
        <v>test.Base64_16_</v>
      </c>
      <c r="D49">
        <v>1</v>
      </c>
      <c r="E49" s="4">
        <v>1.6393442622950821E-2</v>
      </c>
      <c r="F49" s="4">
        <v>1.0451045104510451E-2</v>
      </c>
      <c r="G49" s="4">
        <f t="shared" si="1"/>
        <v>1.6393442622950821E-2</v>
      </c>
      <c r="H49" s="4" t="str">
        <f t="shared" si="2"/>
        <v/>
      </c>
      <c r="I49" s="4" t="str">
        <f t="shared" si="3"/>
        <v/>
      </c>
      <c r="J49" s="4" t="str">
        <f t="shared" si="4"/>
        <v/>
      </c>
      <c r="K49" s="4" t="str">
        <f t="shared" si="5"/>
        <v/>
      </c>
      <c r="L49" s="4" t="str">
        <f t="shared" si="6"/>
        <v/>
      </c>
      <c r="M49" s="4"/>
      <c r="N49" s="4"/>
      <c r="O49" s="4"/>
      <c r="P49" s="4"/>
      <c r="Q49" s="4"/>
      <c r="R49" s="4"/>
      <c r="S49" s="4"/>
      <c r="T49" s="4"/>
      <c r="U49" s="4"/>
    </row>
    <row r="50" spans="1:21">
      <c r="A50" t="s">
        <v>219</v>
      </c>
      <c r="B50">
        <v>16</v>
      </c>
      <c r="C50" t="str">
        <f t="shared" si="0"/>
        <v>test.Base64_16_</v>
      </c>
      <c r="D50">
        <v>2</v>
      </c>
      <c r="E50" s="4">
        <v>3.2786885245901641E-2</v>
      </c>
      <c r="F50" s="4">
        <v>1.5493215988265493E-2</v>
      </c>
      <c r="G50" s="4">
        <f t="shared" si="1"/>
        <v>3.2786885245901641E-2</v>
      </c>
      <c r="H50" s="4" t="str">
        <f t="shared" si="2"/>
        <v/>
      </c>
      <c r="I50" s="4" t="str">
        <f t="shared" si="3"/>
        <v/>
      </c>
      <c r="J50" s="4" t="str">
        <f t="shared" si="4"/>
        <v/>
      </c>
      <c r="K50" s="4" t="str">
        <f t="shared" si="5"/>
        <v/>
      </c>
      <c r="L50" s="4" t="str">
        <f t="shared" si="6"/>
        <v/>
      </c>
      <c r="M50" s="4"/>
      <c r="N50" s="4"/>
      <c r="O50" s="4"/>
      <c r="P50" s="4"/>
      <c r="Q50" s="4"/>
      <c r="R50" s="4"/>
      <c r="S50" s="4"/>
      <c r="T50" s="4"/>
      <c r="U50" s="4"/>
    </row>
    <row r="51" spans="1:21">
      <c r="A51" t="s">
        <v>219</v>
      </c>
      <c r="B51">
        <v>16</v>
      </c>
      <c r="C51" t="str">
        <f t="shared" si="0"/>
        <v>test.Base64_16_</v>
      </c>
      <c r="D51">
        <v>3</v>
      </c>
      <c r="E51" s="4">
        <v>0.90710382513661203</v>
      </c>
      <c r="F51" s="4">
        <v>0.93413091309130913</v>
      </c>
      <c r="G51" s="4" t="str">
        <f t="shared" si="1"/>
        <v/>
      </c>
      <c r="H51" s="4" t="str">
        <f t="shared" si="2"/>
        <v/>
      </c>
      <c r="I51" s="4" t="str">
        <f t="shared" si="3"/>
        <v/>
      </c>
      <c r="J51" s="4" t="str">
        <f t="shared" si="4"/>
        <v/>
      </c>
      <c r="K51" s="4">
        <f t="shared" si="5"/>
        <v>0.90710382513661203</v>
      </c>
      <c r="L51" s="4" t="str">
        <f t="shared" si="6"/>
        <v/>
      </c>
      <c r="M51" s="4"/>
      <c r="N51" s="4"/>
      <c r="O51" s="4"/>
      <c r="P51" s="4"/>
      <c r="Q51" s="4"/>
      <c r="R51" s="4"/>
      <c r="S51" s="4"/>
      <c r="T51" s="4"/>
      <c r="U51" s="4"/>
    </row>
    <row r="52" spans="1:21">
      <c r="A52" t="s">
        <v>219</v>
      </c>
      <c r="B52">
        <v>16</v>
      </c>
      <c r="C52" t="str">
        <f t="shared" si="0"/>
        <v>test.Base64_16_</v>
      </c>
      <c r="D52">
        <v>4</v>
      </c>
      <c r="E52" s="4">
        <v>1</v>
      </c>
      <c r="F52" s="4">
        <v>0.99312431243124311</v>
      </c>
      <c r="G52" s="4" t="str">
        <f t="shared" si="1"/>
        <v/>
      </c>
      <c r="H52" s="4" t="str">
        <f t="shared" si="2"/>
        <v/>
      </c>
      <c r="I52" s="4" t="str">
        <f t="shared" si="3"/>
        <v/>
      </c>
      <c r="J52" s="4" t="str">
        <f t="shared" si="4"/>
        <v/>
      </c>
      <c r="K52" s="4">
        <f t="shared" si="5"/>
        <v>1</v>
      </c>
      <c r="L52" s="4" t="str">
        <f t="shared" si="6"/>
        <v/>
      </c>
      <c r="M52" s="4"/>
      <c r="N52" s="4"/>
      <c r="O52" s="4"/>
      <c r="P52" s="4"/>
      <c r="Q52" s="4"/>
      <c r="R52" s="4"/>
      <c r="S52" s="4"/>
      <c r="T52" s="4"/>
      <c r="U52" s="4"/>
    </row>
    <row r="53" spans="1:21">
      <c r="A53" t="s">
        <v>219</v>
      </c>
      <c r="B53">
        <v>18</v>
      </c>
      <c r="C53" t="str">
        <f t="shared" si="0"/>
        <v>test.Base64_18_</v>
      </c>
      <c r="D53">
        <v>1</v>
      </c>
      <c r="E53" s="4">
        <v>2.1276595744680851E-2</v>
      </c>
      <c r="F53" s="4">
        <v>1.3348714568226764E-2</v>
      </c>
      <c r="G53" s="4">
        <f t="shared" si="1"/>
        <v>2.1276595744680851E-2</v>
      </c>
      <c r="H53" s="4" t="str">
        <f t="shared" si="2"/>
        <v/>
      </c>
      <c r="I53" s="4" t="str">
        <f t="shared" si="3"/>
        <v/>
      </c>
      <c r="J53" s="4" t="str">
        <f t="shared" si="4"/>
        <v/>
      </c>
      <c r="K53" s="4" t="str">
        <f t="shared" si="5"/>
        <v/>
      </c>
      <c r="L53" s="4" t="str">
        <f t="shared" si="6"/>
        <v/>
      </c>
      <c r="M53" s="4"/>
      <c r="N53" s="4"/>
      <c r="O53" s="4"/>
      <c r="P53" s="4"/>
      <c r="Q53" s="4"/>
      <c r="R53" s="4"/>
      <c r="S53" s="4"/>
      <c r="T53" s="4"/>
      <c r="U53" s="4"/>
    </row>
    <row r="54" spans="1:21">
      <c r="A54" t="s">
        <v>219</v>
      </c>
      <c r="B54">
        <v>18</v>
      </c>
      <c r="C54" t="str">
        <f t="shared" si="0"/>
        <v>test.Base64_18_</v>
      </c>
      <c r="D54">
        <v>2</v>
      </c>
      <c r="E54" s="4">
        <v>4.2553191489361701E-2</v>
      </c>
      <c r="F54" s="4">
        <v>2.3319050758075149E-2</v>
      </c>
      <c r="G54" s="4">
        <f t="shared" si="1"/>
        <v>4.2553191489361701E-2</v>
      </c>
      <c r="H54" s="4" t="str">
        <f t="shared" si="2"/>
        <v/>
      </c>
      <c r="I54" s="4" t="str">
        <f t="shared" si="3"/>
        <v/>
      </c>
      <c r="J54" s="4" t="str">
        <f t="shared" si="4"/>
        <v/>
      </c>
      <c r="K54" s="4" t="str">
        <f t="shared" si="5"/>
        <v/>
      </c>
      <c r="L54" s="4" t="str">
        <f t="shared" si="6"/>
        <v/>
      </c>
      <c r="M54" s="4"/>
      <c r="N54" s="4"/>
      <c r="O54" s="4"/>
      <c r="P54" s="4"/>
      <c r="Q54" s="4"/>
      <c r="R54" s="4"/>
      <c r="S54" s="4"/>
      <c r="T54" s="4"/>
      <c r="U54" s="4"/>
    </row>
    <row r="55" spans="1:21">
      <c r="A55" t="s">
        <v>219</v>
      </c>
      <c r="B55">
        <v>18</v>
      </c>
      <c r="C55" t="str">
        <f t="shared" si="0"/>
        <v>test.Base64_18_</v>
      </c>
      <c r="D55">
        <v>3</v>
      </c>
      <c r="E55" s="4">
        <v>0.12056737588652482</v>
      </c>
      <c r="F55" s="4">
        <v>5.6114040870138431E-2</v>
      </c>
      <c r="G55" s="4">
        <f t="shared" si="1"/>
        <v>0.12056737588652482</v>
      </c>
      <c r="H55" s="4" t="str">
        <f t="shared" si="2"/>
        <v/>
      </c>
      <c r="I55" s="4" t="str">
        <f t="shared" si="3"/>
        <v/>
      </c>
      <c r="J55" s="4" t="str">
        <f t="shared" si="4"/>
        <v/>
      </c>
      <c r="K55" s="4" t="str">
        <f t="shared" si="5"/>
        <v/>
      </c>
      <c r="L55" s="4" t="str">
        <f t="shared" si="6"/>
        <v/>
      </c>
      <c r="M55" s="4"/>
      <c r="N55" s="4"/>
      <c r="O55" s="4"/>
      <c r="P55" s="4"/>
      <c r="Q55" s="4"/>
      <c r="R55" s="4"/>
      <c r="S55" s="4"/>
      <c r="T55" s="4"/>
      <c r="U55" s="4"/>
    </row>
    <row r="56" spans="1:21">
      <c r="A56" t="s">
        <v>219</v>
      </c>
      <c r="B56">
        <v>18</v>
      </c>
      <c r="C56" t="str">
        <f t="shared" si="0"/>
        <v>test.Base64_18_</v>
      </c>
      <c r="D56">
        <v>4</v>
      </c>
      <c r="E56" s="4">
        <v>0.16312056737588654</v>
      </c>
      <c r="F56" s="4">
        <v>6.9627554383651938E-2</v>
      </c>
      <c r="G56" s="4">
        <f t="shared" si="1"/>
        <v>0.16312056737588654</v>
      </c>
      <c r="H56" s="4" t="str">
        <f t="shared" si="2"/>
        <v/>
      </c>
      <c r="I56" s="4" t="str">
        <f t="shared" si="3"/>
        <v/>
      </c>
      <c r="J56" s="4" t="str">
        <f t="shared" si="4"/>
        <v/>
      </c>
      <c r="K56" s="4" t="str">
        <f t="shared" si="5"/>
        <v/>
      </c>
      <c r="L56" s="4" t="str">
        <f t="shared" si="6"/>
        <v/>
      </c>
      <c r="M56" s="4"/>
      <c r="N56" s="4"/>
      <c r="O56" s="4"/>
      <c r="P56" s="4"/>
      <c r="Q56" s="4"/>
      <c r="R56" s="4"/>
      <c r="S56" s="4"/>
      <c r="T56" s="4"/>
      <c r="U56" s="4"/>
    </row>
    <row r="57" spans="1:21">
      <c r="A57" t="s">
        <v>219</v>
      </c>
      <c r="B57">
        <v>18</v>
      </c>
      <c r="C57" t="str">
        <f t="shared" si="0"/>
        <v>test.Base64_18_</v>
      </c>
      <c r="D57">
        <v>5</v>
      </c>
      <c r="E57" s="4">
        <v>0.24822695035460993</v>
      </c>
      <c r="F57" s="4">
        <v>9.2040210942649969E-2</v>
      </c>
      <c r="G57" s="4">
        <f t="shared" si="1"/>
        <v>0.24822695035460993</v>
      </c>
      <c r="H57" s="4" t="str">
        <f t="shared" si="2"/>
        <v/>
      </c>
      <c r="I57" s="4" t="str">
        <f t="shared" si="3"/>
        <v/>
      </c>
      <c r="J57" s="4" t="str">
        <f t="shared" si="4"/>
        <v/>
      </c>
      <c r="K57" s="4" t="str">
        <f t="shared" si="5"/>
        <v/>
      </c>
      <c r="L57" s="4" t="str">
        <f t="shared" si="6"/>
        <v/>
      </c>
      <c r="M57" s="4"/>
      <c r="N57" s="4"/>
      <c r="O57" s="4"/>
      <c r="P57" s="4"/>
      <c r="Q57" s="4"/>
      <c r="R57" s="4"/>
      <c r="S57" s="4"/>
      <c r="T57" s="4"/>
      <c r="U57" s="4"/>
    </row>
    <row r="58" spans="1:21">
      <c r="A58" t="s">
        <v>219</v>
      </c>
      <c r="B58">
        <v>18</v>
      </c>
      <c r="C58" t="str">
        <f t="shared" si="0"/>
        <v>test.Base64_18_</v>
      </c>
      <c r="D58">
        <v>6</v>
      </c>
      <c r="E58" s="4">
        <v>0.26950354609929078</v>
      </c>
      <c r="F58" s="4">
        <v>9.8879367172050092E-2</v>
      </c>
      <c r="G58" s="4">
        <f t="shared" si="1"/>
        <v>0.26950354609929078</v>
      </c>
      <c r="H58" s="4" t="str">
        <f t="shared" si="2"/>
        <v/>
      </c>
      <c r="I58" s="4" t="str">
        <f t="shared" si="3"/>
        <v/>
      </c>
      <c r="J58" s="4" t="str">
        <f t="shared" si="4"/>
        <v/>
      </c>
      <c r="K58" s="4" t="str">
        <f t="shared" si="5"/>
        <v/>
      </c>
      <c r="L58" s="4" t="str">
        <f t="shared" si="6"/>
        <v/>
      </c>
      <c r="M58" s="4"/>
      <c r="N58" s="4"/>
      <c r="O58" s="4"/>
      <c r="P58" s="4"/>
      <c r="Q58" s="4"/>
      <c r="R58" s="4"/>
      <c r="S58" s="4"/>
      <c r="T58" s="4"/>
      <c r="U58" s="4"/>
    </row>
    <row r="59" spans="1:21">
      <c r="A59" t="s">
        <v>219</v>
      </c>
      <c r="B59">
        <v>18</v>
      </c>
      <c r="C59" t="str">
        <f t="shared" si="0"/>
        <v>test.Base64_18_</v>
      </c>
      <c r="D59">
        <v>7</v>
      </c>
      <c r="E59" s="4">
        <v>0.29078014184397161</v>
      </c>
      <c r="F59" s="4">
        <v>9.9620962425840481E-2</v>
      </c>
      <c r="G59" s="4">
        <f t="shared" si="1"/>
        <v>0.29078014184397161</v>
      </c>
      <c r="H59" s="4" t="str">
        <f t="shared" si="2"/>
        <v/>
      </c>
      <c r="I59" s="4" t="str">
        <f t="shared" si="3"/>
        <v/>
      </c>
      <c r="J59" s="4" t="str">
        <f t="shared" si="4"/>
        <v/>
      </c>
      <c r="K59" s="4" t="str">
        <f t="shared" si="5"/>
        <v/>
      </c>
      <c r="L59" s="4" t="str">
        <f t="shared" si="6"/>
        <v/>
      </c>
      <c r="M59" s="4"/>
      <c r="N59" s="4"/>
      <c r="O59" s="4"/>
      <c r="P59" s="4"/>
      <c r="Q59" s="4"/>
      <c r="R59" s="4"/>
      <c r="S59" s="4"/>
      <c r="T59" s="4"/>
      <c r="U59" s="4"/>
    </row>
    <row r="60" spans="1:21">
      <c r="A60" t="s">
        <v>219</v>
      </c>
      <c r="B60">
        <v>18</v>
      </c>
      <c r="C60" t="str">
        <f t="shared" si="0"/>
        <v>test.Base64_18_</v>
      </c>
      <c r="D60">
        <v>8</v>
      </c>
      <c r="E60" s="4">
        <v>0.31205673758865249</v>
      </c>
      <c r="F60" s="4">
        <v>0.10168094924192485</v>
      </c>
      <c r="G60" s="4">
        <f t="shared" si="1"/>
        <v>0.31205673758865249</v>
      </c>
      <c r="H60" s="4" t="str">
        <f t="shared" si="2"/>
        <v/>
      </c>
      <c r="I60" s="4" t="str">
        <f t="shared" si="3"/>
        <v/>
      </c>
      <c r="J60" s="4" t="str">
        <f t="shared" si="4"/>
        <v/>
      </c>
      <c r="K60" s="4" t="str">
        <f t="shared" si="5"/>
        <v/>
      </c>
      <c r="L60" s="4" t="str">
        <f t="shared" si="6"/>
        <v/>
      </c>
      <c r="M60" s="4"/>
      <c r="N60" s="4"/>
      <c r="O60" s="4"/>
      <c r="P60" s="4"/>
      <c r="Q60" s="4"/>
      <c r="R60" s="4"/>
      <c r="S60" s="4"/>
      <c r="T60" s="4"/>
      <c r="U60" s="4"/>
    </row>
    <row r="61" spans="1:21">
      <c r="A61" t="s">
        <v>219</v>
      </c>
      <c r="B61">
        <v>18</v>
      </c>
      <c r="C61" t="str">
        <f t="shared" si="0"/>
        <v>test.Base64_18_</v>
      </c>
      <c r="D61">
        <v>9</v>
      </c>
      <c r="E61" s="4">
        <v>0.33333333333333331</v>
      </c>
      <c r="F61" s="4">
        <v>0.10374093605800923</v>
      </c>
      <c r="G61" s="4">
        <f t="shared" si="1"/>
        <v>0.33333333333333331</v>
      </c>
      <c r="H61" s="4" t="str">
        <f t="shared" si="2"/>
        <v/>
      </c>
      <c r="I61" s="4" t="str">
        <f t="shared" si="3"/>
        <v/>
      </c>
      <c r="J61" s="4" t="str">
        <f t="shared" si="4"/>
        <v/>
      </c>
      <c r="K61" s="4" t="str">
        <f t="shared" si="5"/>
        <v/>
      </c>
      <c r="L61" s="4" t="str">
        <f t="shared" si="6"/>
        <v/>
      </c>
      <c r="M61" s="4"/>
      <c r="N61" s="4"/>
      <c r="O61" s="4"/>
      <c r="P61" s="4"/>
      <c r="Q61" s="4"/>
      <c r="R61" s="4"/>
      <c r="S61" s="4"/>
      <c r="T61" s="4"/>
      <c r="U61" s="4"/>
    </row>
    <row r="62" spans="1:21">
      <c r="A62" t="s">
        <v>219</v>
      </c>
      <c r="B62">
        <v>18</v>
      </c>
      <c r="C62" t="str">
        <f t="shared" si="0"/>
        <v>test.Base64_18_</v>
      </c>
      <c r="D62">
        <v>10</v>
      </c>
      <c r="E62" s="4">
        <v>0.33333333333333331</v>
      </c>
      <c r="F62" s="4">
        <v>0.10505932762030323</v>
      </c>
      <c r="G62" s="4">
        <f t="shared" si="1"/>
        <v>0.33333333333333331</v>
      </c>
      <c r="H62" s="4" t="str">
        <f t="shared" si="2"/>
        <v/>
      </c>
      <c r="I62" s="4" t="str">
        <f t="shared" si="3"/>
        <v/>
      </c>
      <c r="J62" s="4" t="str">
        <f t="shared" si="4"/>
        <v/>
      </c>
      <c r="K62" s="4" t="str">
        <f t="shared" si="5"/>
        <v/>
      </c>
      <c r="L62" s="4" t="str">
        <f t="shared" si="6"/>
        <v/>
      </c>
      <c r="M62" s="4"/>
      <c r="N62" s="4"/>
      <c r="O62" s="4"/>
      <c r="P62" s="4"/>
      <c r="Q62" s="4"/>
      <c r="R62" s="4"/>
      <c r="S62" s="4"/>
      <c r="T62" s="4"/>
      <c r="U62" s="4"/>
    </row>
    <row r="63" spans="1:21">
      <c r="A63" t="s">
        <v>219</v>
      </c>
      <c r="B63">
        <v>18</v>
      </c>
      <c r="C63" t="str">
        <f t="shared" si="0"/>
        <v>test.Base64_18_</v>
      </c>
      <c r="D63">
        <v>11</v>
      </c>
      <c r="E63" s="4">
        <v>0.33333333333333331</v>
      </c>
      <c r="F63" s="4">
        <v>0.1061305207646671</v>
      </c>
      <c r="G63" s="4">
        <f t="shared" si="1"/>
        <v>0.33333333333333331</v>
      </c>
      <c r="H63" s="4" t="str">
        <f t="shared" si="2"/>
        <v/>
      </c>
      <c r="I63" s="4" t="str">
        <f t="shared" si="3"/>
        <v/>
      </c>
      <c r="J63" s="4" t="str">
        <f t="shared" si="4"/>
        <v/>
      </c>
      <c r="K63" s="4" t="str">
        <f t="shared" si="5"/>
        <v/>
      </c>
      <c r="L63" s="4" t="str">
        <f t="shared" si="6"/>
        <v/>
      </c>
      <c r="M63" s="4"/>
      <c r="N63" s="4"/>
      <c r="O63" s="4"/>
      <c r="P63" s="4"/>
      <c r="Q63" s="4"/>
      <c r="R63" s="4"/>
      <c r="S63" s="4"/>
      <c r="T63" s="4"/>
      <c r="U63" s="4"/>
    </row>
    <row r="64" spans="1:21">
      <c r="A64" t="s">
        <v>219</v>
      </c>
      <c r="B64">
        <v>18</v>
      </c>
      <c r="C64" t="str">
        <f t="shared" si="0"/>
        <v>test.Base64_18_</v>
      </c>
      <c r="D64">
        <v>12</v>
      </c>
      <c r="E64" s="4">
        <v>0.36170212765957449</v>
      </c>
      <c r="F64" s="4">
        <v>0.10637771918259722</v>
      </c>
      <c r="G64" s="4">
        <f t="shared" si="1"/>
        <v>0.36170212765957449</v>
      </c>
      <c r="H64" s="4" t="str">
        <f t="shared" si="2"/>
        <v/>
      </c>
      <c r="I64" s="4" t="str">
        <f t="shared" si="3"/>
        <v/>
      </c>
      <c r="J64" s="4" t="str">
        <f t="shared" si="4"/>
        <v/>
      </c>
      <c r="K64" s="4" t="str">
        <f t="shared" si="5"/>
        <v/>
      </c>
      <c r="L64" s="4" t="str">
        <f t="shared" si="6"/>
        <v/>
      </c>
      <c r="M64" s="4"/>
      <c r="N64" s="4"/>
      <c r="O64" s="4"/>
      <c r="P64" s="4"/>
      <c r="Q64" s="4"/>
      <c r="R64" s="4"/>
      <c r="S64" s="4"/>
      <c r="T64" s="4"/>
      <c r="U64" s="4"/>
    </row>
    <row r="65" spans="1:21">
      <c r="A65" t="s">
        <v>219</v>
      </c>
      <c r="B65">
        <v>18</v>
      </c>
      <c r="C65" t="str">
        <f t="shared" si="0"/>
        <v>test.Base64_18_</v>
      </c>
      <c r="D65">
        <v>13</v>
      </c>
      <c r="E65" s="4">
        <v>0.36170212765957449</v>
      </c>
      <c r="F65" s="4">
        <v>0.10777851021753461</v>
      </c>
      <c r="G65" s="4">
        <f t="shared" si="1"/>
        <v>0.36170212765957449</v>
      </c>
      <c r="H65" s="4" t="str">
        <f t="shared" si="2"/>
        <v/>
      </c>
      <c r="I65" s="4" t="str">
        <f t="shared" si="3"/>
        <v/>
      </c>
      <c r="J65" s="4" t="str">
        <f t="shared" si="4"/>
        <v/>
      </c>
      <c r="K65" s="4" t="str">
        <f t="shared" si="5"/>
        <v/>
      </c>
      <c r="L65" s="4" t="str">
        <f t="shared" si="6"/>
        <v/>
      </c>
      <c r="M65" s="4"/>
      <c r="N65" s="4"/>
      <c r="O65" s="4"/>
      <c r="P65" s="4"/>
      <c r="Q65" s="4"/>
      <c r="R65" s="4"/>
      <c r="S65" s="4"/>
      <c r="T65" s="4"/>
      <c r="U65" s="4"/>
    </row>
    <row r="66" spans="1:21">
      <c r="A66" t="s">
        <v>219</v>
      </c>
      <c r="B66">
        <v>18</v>
      </c>
      <c r="C66" t="str">
        <f t="shared" si="0"/>
        <v>test.Base64_18_</v>
      </c>
      <c r="D66">
        <v>14</v>
      </c>
      <c r="E66" s="4">
        <v>0.36170212765957449</v>
      </c>
      <c r="F66" s="4">
        <v>0.10794330916282135</v>
      </c>
      <c r="G66" s="4">
        <f t="shared" si="1"/>
        <v>0.36170212765957449</v>
      </c>
      <c r="H66" s="4" t="str">
        <f t="shared" si="2"/>
        <v/>
      </c>
      <c r="I66" s="4" t="str">
        <f t="shared" si="3"/>
        <v/>
      </c>
      <c r="J66" s="4" t="str">
        <f t="shared" si="4"/>
        <v/>
      </c>
      <c r="K66" s="4" t="str">
        <f t="shared" si="5"/>
        <v/>
      </c>
      <c r="L66" s="4" t="str">
        <f t="shared" si="6"/>
        <v/>
      </c>
      <c r="M66" s="4"/>
      <c r="N66" s="4"/>
      <c r="O66" s="4"/>
      <c r="P66" s="4"/>
      <c r="Q66" s="4"/>
      <c r="R66" s="4"/>
      <c r="S66" s="4"/>
      <c r="T66" s="4"/>
      <c r="U66" s="4"/>
    </row>
    <row r="67" spans="1:21">
      <c r="A67" t="s">
        <v>219</v>
      </c>
      <c r="B67">
        <v>18</v>
      </c>
      <c r="C67" t="str">
        <f t="shared" ref="C67:C130" si="19">CONCATENATE(A67, "_",B67,"_")</f>
        <v>test.Base64_18_</v>
      </c>
      <c r="D67">
        <v>15</v>
      </c>
      <c r="E67" s="4">
        <v>0.36170212765957449</v>
      </c>
      <c r="F67" s="4">
        <v>0.11165128543177323</v>
      </c>
      <c r="G67" s="4">
        <f t="shared" ref="G67:G130" si="20">IF($F67 &lt;= 0.2,$E67,"")</f>
        <v>0.36170212765957449</v>
      </c>
      <c r="H67" s="4" t="str">
        <f t="shared" ref="H67:H130" si="21">IF(AND($F67 &gt; 0.2,$F67 &lt;= 0.4),$E67,"")</f>
        <v/>
      </c>
      <c r="I67" s="4" t="str">
        <f t="shared" ref="I67:I130" si="22">IF(AND($F67 &gt; 0.4,$F67 &lt;= 0.6),$E67,"")</f>
        <v/>
      </c>
      <c r="J67" s="4" t="str">
        <f t="shared" ref="J67:J130" si="23">IF(AND($F67 &gt; 0.6,$F67 &lt;= 0.8),$E67,"")</f>
        <v/>
      </c>
      <c r="K67" s="4" t="str">
        <f t="shared" ref="K67:K130" si="24">IF(AND($F67 &gt; 0.8, $F67 &lt;=1.1),$E67,"")</f>
        <v/>
      </c>
      <c r="L67" s="4" t="str">
        <f t="shared" ref="L67:L130" si="25">IF(AND($F67 &gt; 1.1),$E67,"")</f>
        <v/>
      </c>
      <c r="M67" s="4"/>
      <c r="N67" s="4"/>
      <c r="O67" s="4"/>
      <c r="P67" s="4"/>
      <c r="Q67" s="4"/>
      <c r="R67" s="4"/>
      <c r="S67" s="4"/>
      <c r="T67" s="4"/>
      <c r="U67" s="4"/>
    </row>
    <row r="68" spans="1:21">
      <c r="A68" t="s">
        <v>219</v>
      </c>
      <c r="B68">
        <v>18</v>
      </c>
      <c r="C68" t="str">
        <f t="shared" si="19"/>
        <v>test.Base64_18_</v>
      </c>
      <c r="D68">
        <v>16</v>
      </c>
      <c r="E68" s="4">
        <v>0.36170212765957449</v>
      </c>
      <c r="F68" s="4">
        <v>0.11354647330257087</v>
      </c>
      <c r="G68" s="4">
        <f t="shared" si="20"/>
        <v>0.36170212765957449</v>
      </c>
      <c r="H68" s="4" t="str">
        <f t="shared" si="21"/>
        <v/>
      </c>
      <c r="I68" s="4" t="str">
        <f t="shared" si="22"/>
        <v/>
      </c>
      <c r="J68" s="4" t="str">
        <f t="shared" si="23"/>
        <v/>
      </c>
      <c r="K68" s="4" t="str">
        <f t="shared" si="24"/>
        <v/>
      </c>
      <c r="L68" s="4" t="str">
        <f t="shared" si="25"/>
        <v/>
      </c>
      <c r="M68" s="4"/>
      <c r="N68" s="4"/>
      <c r="O68" s="4"/>
      <c r="P68" s="4"/>
      <c r="Q68" s="4"/>
      <c r="R68" s="4"/>
      <c r="S68" s="4"/>
      <c r="T68" s="4"/>
      <c r="U68" s="4"/>
    </row>
    <row r="69" spans="1:21">
      <c r="A69" t="s">
        <v>219</v>
      </c>
      <c r="B69">
        <v>18</v>
      </c>
      <c r="C69" t="str">
        <f t="shared" si="19"/>
        <v>test.Base64_18_</v>
      </c>
      <c r="D69">
        <v>17</v>
      </c>
      <c r="E69" s="4">
        <v>0.36170212765957449</v>
      </c>
      <c r="F69" s="4">
        <v>0.11379367172050099</v>
      </c>
      <c r="G69" s="4">
        <f t="shared" si="20"/>
        <v>0.36170212765957449</v>
      </c>
      <c r="H69" s="4" t="str">
        <f t="shared" si="21"/>
        <v/>
      </c>
      <c r="I69" s="4" t="str">
        <f t="shared" si="22"/>
        <v/>
      </c>
      <c r="J69" s="4" t="str">
        <f t="shared" si="23"/>
        <v/>
      </c>
      <c r="K69" s="4" t="str">
        <f t="shared" si="24"/>
        <v/>
      </c>
      <c r="L69" s="4" t="str">
        <f t="shared" si="25"/>
        <v/>
      </c>
      <c r="M69" s="4"/>
      <c r="N69" s="4"/>
      <c r="O69" s="4"/>
      <c r="P69" s="4"/>
      <c r="Q69" s="4"/>
      <c r="R69" s="4"/>
      <c r="S69" s="4"/>
      <c r="T69" s="4"/>
      <c r="U69" s="4"/>
    </row>
    <row r="70" spans="1:21">
      <c r="A70" t="s">
        <v>219</v>
      </c>
      <c r="B70">
        <v>18</v>
      </c>
      <c r="C70" t="str">
        <f t="shared" si="19"/>
        <v>test.Base64_18_</v>
      </c>
      <c r="D70">
        <v>18</v>
      </c>
      <c r="E70" s="4">
        <v>0.36170212765957449</v>
      </c>
      <c r="F70" s="4">
        <v>0.11865524060646011</v>
      </c>
      <c r="G70" s="4">
        <f t="shared" si="20"/>
        <v>0.36170212765957449</v>
      </c>
      <c r="H70" s="4" t="str">
        <f t="shared" si="21"/>
        <v/>
      </c>
      <c r="I70" s="4" t="str">
        <f t="shared" si="22"/>
        <v/>
      </c>
      <c r="J70" s="4" t="str">
        <f t="shared" si="23"/>
        <v/>
      </c>
      <c r="K70" s="4" t="str">
        <f t="shared" si="24"/>
        <v/>
      </c>
      <c r="L70" s="4" t="str">
        <f t="shared" si="25"/>
        <v/>
      </c>
      <c r="M70" s="4"/>
      <c r="N70" s="4"/>
      <c r="O70" s="4"/>
      <c r="P70" s="4"/>
      <c r="Q70" s="4"/>
      <c r="R70" s="4"/>
      <c r="S70" s="4"/>
      <c r="T70" s="4"/>
      <c r="U70" s="4"/>
    </row>
    <row r="71" spans="1:21">
      <c r="A71" t="s">
        <v>219</v>
      </c>
      <c r="B71">
        <v>18</v>
      </c>
      <c r="C71" t="str">
        <f t="shared" si="19"/>
        <v>test.Base64_18_</v>
      </c>
      <c r="D71">
        <v>19</v>
      </c>
      <c r="E71" s="4">
        <v>0.46099290780141844</v>
      </c>
      <c r="F71" s="4">
        <v>0.14494067237969677</v>
      </c>
      <c r="G71" s="4">
        <f t="shared" si="20"/>
        <v>0.46099290780141844</v>
      </c>
      <c r="H71" s="4" t="str">
        <f t="shared" si="21"/>
        <v/>
      </c>
      <c r="I71" s="4" t="str">
        <f t="shared" si="22"/>
        <v/>
      </c>
      <c r="J71" s="4" t="str">
        <f t="shared" si="23"/>
        <v/>
      </c>
      <c r="K71" s="4" t="str">
        <f t="shared" si="24"/>
        <v/>
      </c>
      <c r="L71" s="4" t="str">
        <f t="shared" si="25"/>
        <v/>
      </c>
      <c r="M71" s="4"/>
      <c r="N71" s="4"/>
      <c r="O71" s="4"/>
      <c r="P71" s="4"/>
      <c r="Q71" s="4"/>
      <c r="R71" s="4"/>
      <c r="S71" s="4"/>
      <c r="T71" s="4"/>
      <c r="U71" s="4"/>
    </row>
    <row r="72" spans="1:21">
      <c r="A72" t="s">
        <v>219</v>
      </c>
      <c r="B72">
        <v>18</v>
      </c>
      <c r="C72" t="str">
        <f t="shared" si="19"/>
        <v>test.Base64_18_</v>
      </c>
      <c r="D72">
        <v>20</v>
      </c>
      <c r="E72" s="4">
        <v>0.5957446808510638</v>
      </c>
      <c r="F72" s="4">
        <v>0.1524390243902439</v>
      </c>
      <c r="G72" s="4">
        <f t="shared" si="20"/>
        <v>0.5957446808510638</v>
      </c>
      <c r="H72" s="4" t="str">
        <f t="shared" si="21"/>
        <v/>
      </c>
      <c r="I72" s="4" t="str">
        <f t="shared" si="22"/>
        <v/>
      </c>
      <c r="J72" s="4" t="str">
        <f t="shared" si="23"/>
        <v/>
      </c>
      <c r="K72" s="4" t="str">
        <f t="shared" si="24"/>
        <v/>
      </c>
      <c r="L72" s="4" t="str">
        <f t="shared" si="25"/>
        <v/>
      </c>
      <c r="M72" s="4"/>
      <c r="N72" s="4"/>
      <c r="O72" s="4"/>
      <c r="P72" s="4"/>
      <c r="Q72" s="4"/>
      <c r="R72" s="4"/>
      <c r="S72" s="4"/>
      <c r="T72" s="4"/>
      <c r="U72" s="4"/>
    </row>
    <row r="73" spans="1:21">
      <c r="A73" t="s">
        <v>219</v>
      </c>
      <c r="B73">
        <v>18</v>
      </c>
      <c r="C73" t="str">
        <f t="shared" si="19"/>
        <v>test.Base64_18_</v>
      </c>
      <c r="D73">
        <v>21</v>
      </c>
      <c r="E73" s="4">
        <v>0.5957446808510638</v>
      </c>
      <c r="F73" s="4">
        <v>0.15400461437046803</v>
      </c>
      <c r="G73" s="4">
        <f t="shared" si="20"/>
        <v>0.5957446808510638</v>
      </c>
      <c r="H73" s="4" t="str">
        <f t="shared" si="21"/>
        <v/>
      </c>
      <c r="I73" s="4" t="str">
        <f t="shared" si="22"/>
        <v/>
      </c>
      <c r="J73" s="4" t="str">
        <f t="shared" si="23"/>
        <v/>
      </c>
      <c r="K73" s="4" t="str">
        <f t="shared" si="24"/>
        <v/>
      </c>
      <c r="L73" s="4" t="str">
        <f t="shared" si="25"/>
        <v/>
      </c>
      <c r="M73" s="4"/>
      <c r="N73" s="4"/>
      <c r="O73" s="4"/>
      <c r="P73" s="4"/>
      <c r="Q73" s="4"/>
      <c r="R73" s="4"/>
      <c r="S73" s="4"/>
      <c r="T73" s="4"/>
      <c r="U73" s="4"/>
    </row>
    <row r="74" spans="1:21">
      <c r="A74" t="s">
        <v>219</v>
      </c>
      <c r="B74">
        <v>18</v>
      </c>
      <c r="C74" t="str">
        <f t="shared" si="19"/>
        <v>test.Base64_18_</v>
      </c>
      <c r="D74">
        <v>22</v>
      </c>
      <c r="E74" s="4">
        <v>0.63120567375886527</v>
      </c>
      <c r="F74" s="4">
        <v>0.16117336849044167</v>
      </c>
      <c r="G74" s="4">
        <f t="shared" si="20"/>
        <v>0.63120567375886527</v>
      </c>
      <c r="H74" s="4" t="str">
        <f t="shared" si="21"/>
        <v/>
      </c>
      <c r="I74" s="4" t="str">
        <f t="shared" si="22"/>
        <v/>
      </c>
      <c r="J74" s="4" t="str">
        <f t="shared" si="23"/>
        <v/>
      </c>
      <c r="K74" s="4" t="str">
        <f t="shared" si="24"/>
        <v/>
      </c>
      <c r="L74" s="4" t="str">
        <f t="shared" si="25"/>
        <v/>
      </c>
      <c r="M74" s="4"/>
      <c r="N74" s="4"/>
      <c r="O74" s="4"/>
      <c r="P74" s="4"/>
      <c r="Q74" s="4"/>
      <c r="R74" s="4"/>
      <c r="S74" s="4"/>
      <c r="T74" s="4"/>
      <c r="U74" s="4"/>
    </row>
    <row r="75" spans="1:21">
      <c r="A75" t="s">
        <v>219</v>
      </c>
      <c r="B75">
        <v>18</v>
      </c>
      <c r="C75" t="str">
        <f t="shared" si="19"/>
        <v>test.Base64_18_</v>
      </c>
      <c r="D75">
        <v>23</v>
      </c>
      <c r="E75" s="4">
        <v>0.72340425531914898</v>
      </c>
      <c r="F75" s="4">
        <v>0.16240936058009228</v>
      </c>
      <c r="G75" s="4">
        <f t="shared" si="20"/>
        <v>0.72340425531914898</v>
      </c>
      <c r="H75" s="4" t="str">
        <f t="shared" si="21"/>
        <v/>
      </c>
      <c r="I75" s="4" t="str">
        <f t="shared" si="22"/>
        <v/>
      </c>
      <c r="J75" s="4" t="str">
        <f t="shared" si="23"/>
        <v/>
      </c>
      <c r="K75" s="4" t="str">
        <f t="shared" si="24"/>
        <v/>
      </c>
      <c r="L75" s="4" t="str">
        <f t="shared" si="25"/>
        <v/>
      </c>
      <c r="M75" s="4"/>
      <c r="N75" s="4"/>
      <c r="O75" s="4"/>
      <c r="P75" s="4"/>
      <c r="Q75" s="4"/>
      <c r="R75" s="4"/>
      <c r="S75" s="4"/>
      <c r="T75" s="4"/>
      <c r="U75" s="4"/>
    </row>
    <row r="76" spans="1:21">
      <c r="A76" t="s">
        <v>219</v>
      </c>
      <c r="B76">
        <v>18</v>
      </c>
      <c r="C76" t="str">
        <f t="shared" si="19"/>
        <v>test.Base64_18_</v>
      </c>
      <c r="D76">
        <v>24</v>
      </c>
      <c r="E76" s="4">
        <v>0.72340425531914898</v>
      </c>
      <c r="F76" s="4">
        <v>0.16521094264996705</v>
      </c>
      <c r="G76" s="4">
        <f t="shared" si="20"/>
        <v>0.72340425531914898</v>
      </c>
      <c r="H76" s="4" t="str">
        <f t="shared" si="21"/>
        <v/>
      </c>
      <c r="I76" s="4" t="str">
        <f t="shared" si="22"/>
        <v/>
      </c>
      <c r="J76" s="4" t="str">
        <f t="shared" si="23"/>
        <v/>
      </c>
      <c r="K76" s="4" t="str">
        <f t="shared" si="24"/>
        <v/>
      </c>
      <c r="L76" s="4" t="str">
        <f t="shared" si="25"/>
        <v/>
      </c>
      <c r="M76" s="4"/>
      <c r="N76" s="4"/>
      <c r="O76" s="4"/>
      <c r="P76" s="4"/>
      <c r="Q76" s="4"/>
      <c r="R76" s="4"/>
      <c r="S76" s="4"/>
      <c r="T76" s="4"/>
      <c r="U76" s="4"/>
    </row>
    <row r="77" spans="1:21">
      <c r="A77" t="s">
        <v>219</v>
      </c>
      <c r="B77">
        <v>18</v>
      </c>
      <c r="C77" t="str">
        <f t="shared" si="19"/>
        <v>test.Base64_18_</v>
      </c>
      <c r="D77">
        <v>25</v>
      </c>
      <c r="E77" s="4">
        <v>0.72340425531914898</v>
      </c>
      <c r="F77" s="4">
        <v>0.16784772577455503</v>
      </c>
      <c r="G77" s="4">
        <f t="shared" si="20"/>
        <v>0.72340425531914898</v>
      </c>
      <c r="H77" s="4" t="str">
        <f t="shared" si="21"/>
        <v/>
      </c>
      <c r="I77" s="4" t="str">
        <f t="shared" si="22"/>
        <v/>
      </c>
      <c r="J77" s="4" t="str">
        <f t="shared" si="23"/>
        <v/>
      </c>
      <c r="K77" s="4" t="str">
        <f t="shared" si="24"/>
        <v/>
      </c>
      <c r="L77" s="4" t="str">
        <f t="shared" si="25"/>
        <v/>
      </c>
      <c r="M77" s="4"/>
      <c r="N77" s="4"/>
      <c r="O77" s="4"/>
      <c r="P77" s="4"/>
      <c r="Q77" s="4"/>
      <c r="R77" s="4"/>
      <c r="S77" s="4"/>
      <c r="T77" s="4"/>
      <c r="U77" s="4"/>
    </row>
    <row r="78" spans="1:21">
      <c r="A78" t="s">
        <v>219</v>
      </c>
      <c r="B78">
        <v>18</v>
      </c>
      <c r="C78" t="str">
        <f t="shared" si="19"/>
        <v>test.Base64_18_</v>
      </c>
      <c r="D78">
        <v>26</v>
      </c>
      <c r="E78" s="4">
        <v>0.75886524822695034</v>
      </c>
      <c r="F78" s="4">
        <v>0.17320369149637443</v>
      </c>
      <c r="G78" s="4">
        <f t="shared" si="20"/>
        <v>0.75886524822695034</v>
      </c>
      <c r="H78" s="4" t="str">
        <f t="shared" si="21"/>
        <v/>
      </c>
      <c r="I78" s="4" t="str">
        <f t="shared" si="22"/>
        <v/>
      </c>
      <c r="J78" s="4" t="str">
        <f t="shared" si="23"/>
        <v/>
      </c>
      <c r="K78" s="4" t="str">
        <f t="shared" si="24"/>
        <v/>
      </c>
      <c r="L78" s="4" t="str">
        <f t="shared" si="25"/>
        <v/>
      </c>
      <c r="M78" s="4"/>
      <c r="N78" s="4"/>
      <c r="O78" s="4"/>
      <c r="P78" s="4"/>
      <c r="Q78" s="4"/>
      <c r="R78" s="4"/>
      <c r="S78" s="4"/>
      <c r="T78" s="4"/>
      <c r="U78" s="4"/>
    </row>
    <row r="79" spans="1:21">
      <c r="A79" t="s">
        <v>219</v>
      </c>
      <c r="B79">
        <v>18</v>
      </c>
      <c r="C79" t="str">
        <f t="shared" si="19"/>
        <v>test.Base64_18_</v>
      </c>
      <c r="D79">
        <v>27</v>
      </c>
      <c r="E79" s="4">
        <v>0.75886524822695034</v>
      </c>
      <c r="F79" s="4">
        <v>0.17666446934739619</v>
      </c>
      <c r="G79" s="4">
        <f t="shared" si="20"/>
        <v>0.75886524822695034</v>
      </c>
      <c r="H79" s="4" t="str">
        <f t="shared" si="21"/>
        <v/>
      </c>
      <c r="I79" s="4" t="str">
        <f t="shared" si="22"/>
        <v/>
      </c>
      <c r="J79" s="4" t="str">
        <f t="shared" si="23"/>
        <v/>
      </c>
      <c r="K79" s="4" t="str">
        <f t="shared" si="24"/>
        <v/>
      </c>
      <c r="L79" s="4" t="str">
        <f t="shared" si="25"/>
        <v/>
      </c>
      <c r="M79" s="4"/>
      <c r="N79" s="4"/>
      <c r="O79" s="4"/>
      <c r="P79" s="4"/>
      <c r="Q79" s="4"/>
      <c r="R79" s="4"/>
      <c r="S79" s="4"/>
      <c r="T79" s="4"/>
      <c r="U79" s="4"/>
    </row>
    <row r="80" spans="1:21">
      <c r="A80" t="s">
        <v>219</v>
      </c>
      <c r="B80">
        <v>18</v>
      </c>
      <c r="C80" t="str">
        <f t="shared" si="19"/>
        <v>test.Base64_18_</v>
      </c>
      <c r="D80">
        <v>28</v>
      </c>
      <c r="E80" s="4">
        <v>0.75886524822695034</v>
      </c>
      <c r="F80" s="4">
        <v>0.17921885299934082</v>
      </c>
      <c r="G80" s="4">
        <f t="shared" si="20"/>
        <v>0.75886524822695034</v>
      </c>
      <c r="H80" s="4" t="str">
        <f t="shared" si="21"/>
        <v/>
      </c>
      <c r="I80" s="4" t="str">
        <f t="shared" si="22"/>
        <v/>
      </c>
      <c r="J80" s="4" t="str">
        <f t="shared" si="23"/>
        <v/>
      </c>
      <c r="K80" s="4" t="str">
        <f t="shared" si="24"/>
        <v/>
      </c>
      <c r="L80" s="4" t="str">
        <f t="shared" si="25"/>
        <v/>
      </c>
      <c r="M80" s="4"/>
      <c r="N80" s="4"/>
      <c r="O80" s="4"/>
      <c r="P80" s="4"/>
      <c r="Q80" s="4"/>
      <c r="R80" s="4"/>
      <c r="S80" s="4"/>
      <c r="T80" s="4"/>
      <c r="U80" s="4"/>
    </row>
    <row r="81" spans="1:21">
      <c r="A81" t="s">
        <v>219</v>
      </c>
      <c r="B81">
        <v>18</v>
      </c>
      <c r="C81" t="str">
        <f t="shared" si="19"/>
        <v>test.Base64_18_</v>
      </c>
      <c r="D81">
        <v>29</v>
      </c>
      <c r="E81" s="4">
        <v>0.75886524822695034</v>
      </c>
      <c r="F81" s="4">
        <v>0.18136123928806855</v>
      </c>
      <c r="G81" s="4">
        <f t="shared" si="20"/>
        <v>0.75886524822695034</v>
      </c>
      <c r="H81" s="4" t="str">
        <f t="shared" si="21"/>
        <v/>
      </c>
      <c r="I81" s="4" t="str">
        <f t="shared" si="22"/>
        <v/>
      </c>
      <c r="J81" s="4" t="str">
        <f t="shared" si="23"/>
        <v/>
      </c>
      <c r="K81" s="4" t="str">
        <f t="shared" si="24"/>
        <v/>
      </c>
      <c r="L81" s="4" t="str">
        <f t="shared" si="25"/>
        <v/>
      </c>
      <c r="M81" s="4"/>
      <c r="N81" s="4"/>
      <c r="O81" s="4"/>
      <c r="P81" s="4"/>
      <c r="Q81" s="4"/>
      <c r="R81" s="4"/>
      <c r="S81" s="4"/>
      <c r="T81" s="4"/>
      <c r="U81" s="4"/>
    </row>
    <row r="82" spans="1:21">
      <c r="A82" t="s">
        <v>219</v>
      </c>
      <c r="B82">
        <v>18</v>
      </c>
      <c r="C82" t="str">
        <f t="shared" si="19"/>
        <v>test.Base64_18_</v>
      </c>
      <c r="D82">
        <v>30</v>
      </c>
      <c r="E82" s="4">
        <v>0.75886524822695034</v>
      </c>
      <c r="F82" s="4">
        <v>0.1970995385629532</v>
      </c>
      <c r="G82" s="4">
        <f t="shared" si="20"/>
        <v>0.75886524822695034</v>
      </c>
      <c r="H82" s="4" t="str">
        <f t="shared" si="21"/>
        <v/>
      </c>
      <c r="I82" s="4" t="str">
        <f t="shared" si="22"/>
        <v/>
      </c>
      <c r="J82" s="4" t="str">
        <f t="shared" si="23"/>
        <v/>
      </c>
      <c r="K82" s="4" t="str">
        <f t="shared" si="24"/>
        <v/>
      </c>
      <c r="L82" s="4" t="str">
        <f t="shared" si="25"/>
        <v/>
      </c>
      <c r="M82" s="4"/>
      <c r="N82" s="4"/>
      <c r="O82" s="4"/>
      <c r="P82" s="4"/>
      <c r="Q82" s="4"/>
      <c r="R82" s="4"/>
      <c r="S82" s="4"/>
      <c r="T82" s="4"/>
      <c r="U82" s="4"/>
    </row>
    <row r="83" spans="1:21">
      <c r="A83" t="s">
        <v>219</v>
      </c>
      <c r="B83">
        <v>18</v>
      </c>
      <c r="C83" t="str">
        <f t="shared" si="19"/>
        <v>test.Base64_18_</v>
      </c>
      <c r="D83">
        <v>31</v>
      </c>
      <c r="E83" s="4">
        <v>0.75886524822695034</v>
      </c>
      <c r="F83" s="4">
        <v>0.27364864864864863</v>
      </c>
      <c r="G83" s="4" t="str">
        <f t="shared" si="20"/>
        <v/>
      </c>
      <c r="H83" s="4">
        <f t="shared" si="21"/>
        <v>0.75886524822695034</v>
      </c>
      <c r="I83" s="4" t="str">
        <f t="shared" si="22"/>
        <v/>
      </c>
      <c r="J83" s="4" t="str">
        <f t="shared" si="23"/>
        <v/>
      </c>
      <c r="K83" s="4" t="str">
        <f t="shared" si="24"/>
        <v/>
      </c>
      <c r="L83" s="4" t="str">
        <f t="shared" si="25"/>
        <v/>
      </c>
      <c r="M83" s="4"/>
      <c r="N83" s="4"/>
      <c r="O83" s="4"/>
      <c r="P83" s="4"/>
      <c r="Q83" s="4"/>
      <c r="R83" s="4"/>
      <c r="S83" s="4"/>
      <c r="T83" s="4"/>
      <c r="U83" s="4"/>
    </row>
    <row r="84" spans="1:21">
      <c r="A84" t="s">
        <v>219</v>
      </c>
      <c r="B84">
        <v>18</v>
      </c>
      <c r="C84" t="str">
        <f t="shared" si="19"/>
        <v>test.Base64_18_</v>
      </c>
      <c r="D84">
        <v>32</v>
      </c>
      <c r="E84" s="4">
        <v>0.75886524822695034</v>
      </c>
      <c r="F84" s="4">
        <v>0.27883981542518127</v>
      </c>
      <c r="G84" s="4" t="str">
        <f t="shared" si="20"/>
        <v/>
      </c>
      <c r="H84" s="4">
        <f t="shared" si="21"/>
        <v>0.75886524822695034</v>
      </c>
      <c r="I84" s="4" t="str">
        <f t="shared" si="22"/>
        <v/>
      </c>
      <c r="J84" s="4" t="str">
        <f t="shared" si="23"/>
        <v/>
      </c>
      <c r="K84" s="4" t="str">
        <f t="shared" si="24"/>
        <v/>
      </c>
      <c r="L84" s="4" t="str">
        <f t="shared" si="25"/>
        <v/>
      </c>
      <c r="M84" s="4"/>
      <c r="N84" s="4"/>
      <c r="O84" s="4"/>
      <c r="P84" s="4"/>
      <c r="Q84" s="4"/>
      <c r="R84" s="4"/>
      <c r="S84" s="4"/>
      <c r="T84" s="4"/>
      <c r="U84" s="4"/>
    </row>
    <row r="85" spans="1:21">
      <c r="A85" t="s">
        <v>219</v>
      </c>
      <c r="B85">
        <v>18</v>
      </c>
      <c r="C85" t="str">
        <f t="shared" si="19"/>
        <v>test.Base64_18_</v>
      </c>
      <c r="D85">
        <v>33</v>
      </c>
      <c r="E85" s="4">
        <v>0.75886524822695034</v>
      </c>
      <c r="F85" s="4">
        <v>0.28089980224126565</v>
      </c>
      <c r="G85" s="4" t="str">
        <f t="shared" si="20"/>
        <v/>
      </c>
      <c r="H85" s="4">
        <f t="shared" si="21"/>
        <v>0.75886524822695034</v>
      </c>
      <c r="I85" s="4" t="str">
        <f t="shared" si="22"/>
        <v/>
      </c>
      <c r="J85" s="4" t="str">
        <f t="shared" si="23"/>
        <v/>
      </c>
      <c r="K85" s="4" t="str">
        <f t="shared" si="24"/>
        <v/>
      </c>
      <c r="L85" s="4" t="str">
        <f t="shared" si="25"/>
        <v/>
      </c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t="s">
        <v>219</v>
      </c>
      <c r="B86">
        <v>18</v>
      </c>
      <c r="C86" t="str">
        <f t="shared" si="19"/>
        <v>test.Base64_18_</v>
      </c>
      <c r="D86">
        <v>34</v>
      </c>
      <c r="E86" s="4">
        <v>0.75886524822695034</v>
      </c>
      <c r="F86" s="4">
        <v>0.28724456163480555</v>
      </c>
      <c r="G86" s="4" t="str">
        <f t="shared" si="20"/>
        <v/>
      </c>
      <c r="H86" s="4">
        <f t="shared" si="21"/>
        <v>0.75886524822695034</v>
      </c>
      <c r="I86" s="4" t="str">
        <f t="shared" si="22"/>
        <v/>
      </c>
      <c r="J86" s="4" t="str">
        <f t="shared" si="23"/>
        <v/>
      </c>
      <c r="K86" s="4" t="str">
        <f t="shared" si="24"/>
        <v/>
      </c>
      <c r="L86" s="4" t="str">
        <f t="shared" si="25"/>
        <v/>
      </c>
      <c r="M86" s="4"/>
      <c r="N86" s="4"/>
      <c r="O86" s="4"/>
      <c r="P86" s="4"/>
      <c r="Q86" s="4"/>
      <c r="R86" s="4"/>
      <c r="S86" s="4"/>
      <c r="T86" s="4"/>
      <c r="U86" s="4"/>
    </row>
    <row r="87" spans="1:21">
      <c r="A87" t="s">
        <v>219</v>
      </c>
      <c r="B87">
        <v>18</v>
      </c>
      <c r="C87" t="str">
        <f t="shared" si="19"/>
        <v>test.Base64_18_</v>
      </c>
      <c r="D87">
        <v>35</v>
      </c>
      <c r="E87" s="4">
        <v>0.75886524822695034</v>
      </c>
      <c r="F87" s="4">
        <v>0.29408371786420567</v>
      </c>
      <c r="G87" s="4" t="str">
        <f t="shared" si="20"/>
        <v/>
      </c>
      <c r="H87" s="4">
        <f t="shared" si="21"/>
        <v>0.75886524822695034</v>
      </c>
      <c r="I87" s="4" t="str">
        <f t="shared" si="22"/>
        <v/>
      </c>
      <c r="J87" s="4" t="str">
        <f t="shared" si="23"/>
        <v/>
      </c>
      <c r="K87" s="4" t="str">
        <f t="shared" si="24"/>
        <v/>
      </c>
      <c r="L87" s="4" t="str">
        <f t="shared" si="25"/>
        <v/>
      </c>
      <c r="M87" s="4"/>
      <c r="N87" s="4"/>
      <c r="O87" s="4"/>
      <c r="P87" s="4"/>
      <c r="Q87" s="4"/>
      <c r="R87" s="4"/>
      <c r="S87" s="4"/>
      <c r="T87" s="4"/>
      <c r="U87" s="4"/>
    </row>
    <row r="88" spans="1:21">
      <c r="A88" t="s">
        <v>219</v>
      </c>
      <c r="B88">
        <v>18</v>
      </c>
      <c r="C88" t="str">
        <f t="shared" si="19"/>
        <v>test.Base64_18_</v>
      </c>
      <c r="D88">
        <v>36</v>
      </c>
      <c r="E88" s="4">
        <v>0.75886524822695034</v>
      </c>
      <c r="F88" s="4">
        <v>0.30207646671061306</v>
      </c>
      <c r="G88" s="4" t="str">
        <f t="shared" si="20"/>
        <v/>
      </c>
      <c r="H88" s="4">
        <f t="shared" si="21"/>
        <v>0.75886524822695034</v>
      </c>
      <c r="I88" s="4" t="str">
        <f t="shared" si="22"/>
        <v/>
      </c>
      <c r="J88" s="4" t="str">
        <f t="shared" si="23"/>
        <v/>
      </c>
      <c r="K88" s="4" t="str">
        <f t="shared" si="24"/>
        <v/>
      </c>
      <c r="L88" s="4" t="str">
        <f t="shared" si="25"/>
        <v/>
      </c>
      <c r="M88" s="4"/>
      <c r="N88" s="4"/>
      <c r="O88" s="4"/>
      <c r="P88" s="4"/>
      <c r="Q88" s="4"/>
      <c r="R88" s="4"/>
      <c r="S88" s="4"/>
      <c r="T88" s="4"/>
      <c r="U88" s="4"/>
    </row>
    <row r="89" spans="1:21">
      <c r="A89" t="s">
        <v>219</v>
      </c>
      <c r="B89">
        <v>18</v>
      </c>
      <c r="C89" t="str">
        <f t="shared" si="19"/>
        <v>test.Base64_18_</v>
      </c>
      <c r="D89">
        <v>37</v>
      </c>
      <c r="E89" s="4">
        <v>0.75886524822695034</v>
      </c>
      <c r="F89" s="4">
        <v>0.376977587343441</v>
      </c>
      <c r="G89" s="4" t="str">
        <f t="shared" si="20"/>
        <v/>
      </c>
      <c r="H89" s="4">
        <f t="shared" si="21"/>
        <v>0.75886524822695034</v>
      </c>
      <c r="I89" s="4" t="str">
        <f t="shared" si="22"/>
        <v/>
      </c>
      <c r="J89" s="4" t="str">
        <f t="shared" si="23"/>
        <v/>
      </c>
      <c r="K89" s="4" t="str">
        <f t="shared" si="24"/>
        <v/>
      </c>
      <c r="L89" s="4" t="str">
        <f t="shared" si="25"/>
        <v/>
      </c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t="s">
        <v>219</v>
      </c>
      <c r="B90">
        <v>18</v>
      </c>
      <c r="C90" t="str">
        <f t="shared" si="19"/>
        <v>test.Base64_18_</v>
      </c>
      <c r="D90">
        <v>38</v>
      </c>
      <c r="E90" s="4">
        <v>0.75886524822695034</v>
      </c>
      <c r="F90" s="4">
        <v>0.39461107448912325</v>
      </c>
      <c r="G90" s="4" t="str">
        <f t="shared" si="20"/>
        <v/>
      </c>
      <c r="H90" s="4">
        <f t="shared" si="21"/>
        <v>0.75886524822695034</v>
      </c>
      <c r="I90" s="4" t="str">
        <f t="shared" si="22"/>
        <v/>
      </c>
      <c r="J90" s="4" t="str">
        <f t="shared" si="23"/>
        <v/>
      </c>
      <c r="K90" s="4" t="str">
        <f t="shared" si="24"/>
        <v/>
      </c>
      <c r="L90" s="4" t="str">
        <f t="shared" si="25"/>
        <v/>
      </c>
      <c r="M90" s="4"/>
      <c r="N90" s="4"/>
      <c r="O90" s="4"/>
      <c r="P90" s="4"/>
      <c r="Q90" s="4"/>
      <c r="R90" s="4"/>
      <c r="S90" s="4"/>
      <c r="T90" s="4"/>
      <c r="U90" s="4"/>
    </row>
    <row r="91" spans="1:21">
      <c r="A91" t="s">
        <v>219</v>
      </c>
      <c r="B91">
        <v>18</v>
      </c>
      <c r="C91" t="str">
        <f t="shared" si="19"/>
        <v>test.Base64_18_</v>
      </c>
      <c r="D91">
        <v>39</v>
      </c>
      <c r="E91" s="4">
        <v>0.75886524822695034</v>
      </c>
      <c r="F91" s="4">
        <v>0.5126895187870798</v>
      </c>
      <c r="G91" s="4" t="str">
        <f t="shared" si="20"/>
        <v/>
      </c>
      <c r="H91" s="4" t="str">
        <f t="shared" si="21"/>
        <v/>
      </c>
      <c r="I91" s="4">
        <f t="shared" si="22"/>
        <v>0.75886524822695034</v>
      </c>
      <c r="J91" s="4" t="str">
        <f t="shared" si="23"/>
        <v/>
      </c>
      <c r="K91" s="4" t="str">
        <f t="shared" si="24"/>
        <v/>
      </c>
      <c r="L91" s="4" t="str">
        <f t="shared" si="25"/>
        <v/>
      </c>
      <c r="M91" s="4"/>
      <c r="N91" s="4"/>
      <c r="O91" s="4"/>
      <c r="P91" s="4"/>
      <c r="Q91" s="4"/>
      <c r="R91" s="4"/>
      <c r="S91" s="4"/>
      <c r="T91" s="4"/>
      <c r="U91" s="4"/>
    </row>
    <row r="92" spans="1:21">
      <c r="A92" t="s">
        <v>219</v>
      </c>
      <c r="B92">
        <v>18</v>
      </c>
      <c r="C92" t="str">
        <f t="shared" si="19"/>
        <v>test.Base64_18_</v>
      </c>
      <c r="D92">
        <v>40</v>
      </c>
      <c r="E92" s="4">
        <v>1</v>
      </c>
      <c r="F92" s="4">
        <v>0.8146011865524061</v>
      </c>
      <c r="G92" s="4" t="str">
        <f t="shared" si="20"/>
        <v/>
      </c>
      <c r="H92" s="4" t="str">
        <f t="shared" si="21"/>
        <v/>
      </c>
      <c r="I92" s="4" t="str">
        <f t="shared" si="22"/>
        <v/>
      </c>
      <c r="J92" s="4" t="str">
        <f t="shared" si="23"/>
        <v/>
      </c>
      <c r="K92" s="4">
        <f t="shared" si="24"/>
        <v>1</v>
      </c>
      <c r="L92" s="4" t="str">
        <f t="shared" si="25"/>
        <v/>
      </c>
      <c r="M92" s="4"/>
      <c r="N92" s="4"/>
      <c r="O92" s="4"/>
      <c r="P92" s="4"/>
      <c r="Q92" s="4"/>
      <c r="R92" s="4"/>
      <c r="S92" s="4"/>
      <c r="T92" s="4"/>
      <c r="U92" s="4"/>
    </row>
    <row r="93" spans="1:21">
      <c r="A93" t="s">
        <v>219</v>
      </c>
      <c r="B93">
        <v>18</v>
      </c>
      <c r="C93" t="str">
        <f t="shared" si="19"/>
        <v>test.Base64_18_</v>
      </c>
      <c r="D93">
        <v>41</v>
      </c>
      <c r="E93" s="4">
        <v>1</v>
      </c>
      <c r="F93" s="4">
        <v>0.81905075807514827</v>
      </c>
      <c r="G93" s="4" t="str">
        <f t="shared" si="20"/>
        <v/>
      </c>
      <c r="H93" s="4" t="str">
        <f t="shared" si="21"/>
        <v/>
      </c>
      <c r="I93" s="4" t="str">
        <f t="shared" si="22"/>
        <v/>
      </c>
      <c r="J93" s="4" t="str">
        <f t="shared" si="23"/>
        <v/>
      </c>
      <c r="K93" s="4">
        <f t="shared" si="24"/>
        <v>1</v>
      </c>
      <c r="L93" s="4" t="str">
        <f t="shared" si="25"/>
        <v/>
      </c>
      <c r="M93" s="4"/>
      <c r="N93" s="4"/>
      <c r="O93" s="4"/>
      <c r="P93" s="4"/>
      <c r="Q93" s="4"/>
      <c r="R93" s="4"/>
      <c r="S93" s="4"/>
      <c r="T93" s="4"/>
      <c r="U93" s="4"/>
    </row>
    <row r="94" spans="1:21">
      <c r="A94" t="s">
        <v>219</v>
      </c>
      <c r="B94">
        <v>18</v>
      </c>
      <c r="C94" t="str">
        <f t="shared" si="19"/>
        <v>test.Base64_18_</v>
      </c>
      <c r="D94">
        <v>42</v>
      </c>
      <c r="E94" s="4">
        <v>1</v>
      </c>
      <c r="F94" s="4">
        <v>0.8199571522742255</v>
      </c>
      <c r="G94" s="4" t="str">
        <f t="shared" si="20"/>
        <v/>
      </c>
      <c r="H94" s="4" t="str">
        <f t="shared" si="21"/>
        <v/>
      </c>
      <c r="I94" s="4" t="str">
        <f t="shared" si="22"/>
        <v/>
      </c>
      <c r="J94" s="4" t="str">
        <f t="shared" si="23"/>
        <v/>
      </c>
      <c r="K94" s="4">
        <f t="shared" si="24"/>
        <v>1</v>
      </c>
      <c r="L94" s="4" t="str">
        <f t="shared" si="25"/>
        <v/>
      </c>
      <c r="M94" s="4"/>
      <c r="N94" s="4"/>
      <c r="O94" s="4"/>
      <c r="P94" s="4"/>
      <c r="Q94" s="4"/>
      <c r="R94" s="4"/>
      <c r="S94" s="4"/>
      <c r="T94" s="4"/>
      <c r="U94" s="4"/>
    </row>
    <row r="95" spans="1:21">
      <c r="A95" t="s">
        <v>219</v>
      </c>
      <c r="B95">
        <v>18</v>
      </c>
      <c r="C95" t="str">
        <f t="shared" si="19"/>
        <v>test.Base64_18_</v>
      </c>
      <c r="D95">
        <v>43</v>
      </c>
      <c r="E95" s="4">
        <v>1</v>
      </c>
      <c r="F95" s="4">
        <v>0.84360580092287407</v>
      </c>
      <c r="G95" s="4" t="str">
        <f t="shared" si="20"/>
        <v/>
      </c>
      <c r="H95" s="4" t="str">
        <f t="shared" si="21"/>
        <v/>
      </c>
      <c r="I95" s="4" t="str">
        <f t="shared" si="22"/>
        <v/>
      </c>
      <c r="J95" s="4" t="str">
        <f t="shared" si="23"/>
        <v/>
      </c>
      <c r="K95" s="4">
        <f t="shared" si="24"/>
        <v>1</v>
      </c>
      <c r="L95" s="4" t="str">
        <f t="shared" si="25"/>
        <v/>
      </c>
      <c r="M95" s="4"/>
      <c r="N95" s="4"/>
      <c r="O95" s="4"/>
      <c r="P95" s="4"/>
      <c r="Q95" s="4"/>
      <c r="R95" s="4"/>
      <c r="S95" s="4"/>
      <c r="T95" s="4"/>
      <c r="U95" s="4"/>
    </row>
    <row r="96" spans="1:21">
      <c r="A96" t="s">
        <v>219</v>
      </c>
      <c r="B96">
        <v>18</v>
      </c>
      <c r="C96" t="str">
        <f t="shared" si="19"/>
        <v>test.Base64_18_</v>
      </c>
      <c r="D96">
        <v>44</v>
      </c>
      <c r="E96" s="4">
        <v>1</v>
      </c>
      <c r="F96" s="4">
        <v>0.9489123269611075</v>
      </c>
      <c r="G96" s="4" t="str">
        <f t="shared" si="20"/>
        <v/>
      </c>
      <c r="H96" s="4" t="str">
        <f t="shared" si="21"/>
        <v/>
      </c>
      <c r="I96" s="4" t="str">
        <f t="shared" si="22"/>
        <v/>
      </c>
      <c r="J96" s="4" t="str">
        <f t="shared" si="23"/>
        <v/>
      </c>
      <c r="K96" s="4">
        <f t="shared" si="24"/>
        <v>1</v>
      </c>
      <c r="L96" s="4" t="str">
        <f t="shared" si="25"/>
        <v/>
      </c>
      <c r="M96" s="4"/>
      <c r="N96" s="4"/>
      <c r="O96" s="4"/>
      <c r="P96" s="4"/>
      <c r="Q96" s="4"/>
      <c r="R96" s="4"/>
      <c r="S96" s="4"/>
      <c r="T96" s="4"/>
      <c r="U96" s="4"/>
    </row>
    <row r="97" spans="1:21">
      <c r="A97" t="s">
        <v>219</v>
      </c>
      <c r="B97">
        <v>18</v>
      </c>
      <c r="C97" t="str">
        <f t="shared" si="19"/>
        <v>test.Base64_18_</v>
      </c>
      <c r="D97">
        <v>45</v>
      </c>
      <c r="E97" s="4">
        <v>1</v>
      </c>
      <c r="F97" s="4">
        <v>1.0361733684904417</v>
      </c>
      <c r="G97" s="4" t="str">
        <f t="shared" si="20"/>
        <v/>
      </c>
      <c r="H97" s="4" t="str">
        <f t="shared" si="21"/>
        <v/>
      </c>
      <c r="I97" s="4" t="str">
        <f t="shared" si="22"/>
        <v/>
      </c>
      <c r="J97" s="4" t="str">
        <f t="shared" si="23"/>
        <v/>
      </c>
      <c r="K97" s="4">
        <f t="shared" si="24"/>
        <v>1</v>
      </c>
      <c r="L97" s="4" t="str">
        <f t="shared" si="25"/>
        <v/>
      </c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t="s">
        <v>219</v>
      </c>
      <c r="B98">
        <v>18</v>
      </c>
      <c r="C98" t="str">
        <f t="shared" si="19"/>
        <v>test.Base64_18_</v>
      </c>
      <c r="D98">
        <v>46</v>
      </c>
      <c r="E98" s="4">
        <v>1</v>
      </c>
      <c r="F98" s="4">
        <v>1.0446605141727092</v>
      </c>
      <c r="G98" s="4" t="str">
        <f t="shared" si="20"/>
        <v/>
      </c>
      <c r="H98" s="4" t="str">
        <f t="shared" si="21"/>
        <v/>
      </c>
      <c r="I98" s="4" t="str">
        <f t="shared" si="22"/>
        <v/>
      </c>
      <c r="J98" s="4" t="str">
        <f t="shared" si="23"/>
        <v/>
      </c>
      <c r="K98" s="4">
        <f t="shared" si="24"/>
        <v>1</v>
      </c>
      <c r="L98" s="4" t="str">
        <f t="shared" si="25"/>
        <v/>
      </c>
      <c r="M98" s="4"/>
      <c r="N98" s="4"/>
      <c r="O98" s="4"/>
      <c r="P98" s="4"/>
      <c r="Q98" s="4"/>
      <c r="R98" s="4"/>
      <c r="S98" s="4"/>
      <c r="T98" s="4"/>
      <c r="U98" s="4"/>
    </row>
    <row r="99" spans="1:21">
      <c r="A99" t="s">
        <v>219</v>
      </c>
      <c r="B99">
        <v>19</v>
      </c>
      <c r="C99" t="str">
        <f t="shared" si="19"/>
        <v>test.Base64_19_</v>
      </c>
      <c r="D99">
        <v>1</v>
      </c>
      <c r="E99" s="4">
        <v>2.3622047244094488E-2</v>
      </c>
      <c r="F99" s="4">
        <v>1.3678235786731181E-2</v>
      </c>
      <c r="G99" s="4">
        <f t="shared" si="20"/>
        <v>2.3622047244094488E-2</v>
      </c>
      <c r="H99" s="4" t="str">
        <f t="shared" si="21"/>
        <v/>
      </c>
      <c r="I99" s="4" t="str">
        <f t="shared" si="22"/>
        <v/>
      </c>
      <c r="J99" s="4" t="str">
        <f t="shared" si="23"/>
        <v/>
      </c>
      <c r="K99" s="4" t="str">
        <f t="shared" si="24"/>
        <v/>
      </c>
      <c r="L99" s="4" t="str">
        <f t="shared" si="25"/>
        <v/>
      </c>
      <c r="M99" s="4"/>
      <c r="N99" s="4"/>
      <c r="O99" s="4"/>
      <c r="P99" s="4"/>
      <c r="Q99" s="4"/>
      <c r="R99" s="4"/>
      <c r="S99" s="4"/>
      <c r="T99" s="4"/>
      <c r="U99" s="4"/>
    </row>
    <row r="100" spans="1:21">
      <c r="A100" t="s">
        <v>219</v>
      </c>
      <c r="B100">
        <v>19</v>
      </c>
      <c r="C100" t="str">
        <f t="shared" si="19"/>
        <v>test.Base64_19_</v>
      </c>
      <c r="D100">
        <v>2</v>
      </c>
      <c r="E100" s="4">
        <v>4.7244094488188976E-2</v>
      </c>
      <c r="F100" s="4">
        <v>2.6053782450916534E-2</v>
      </c>
      <c r="G100" s="4">
        <f t="shared" si="20"/>
        <v>4.7244094488188976E-2</v>
      </c>
      <c r="H100" s="4" t="str">
        <f t="shared" si="21"/>
        <v/>
      </c>
      <c r="I100" s="4" t="str">
        <f t="shared" si="22"/>
        <v/>
      </c>
      <c r="J100" s="4" t="str">
        <f t="shared" si="23"/>
        <v/>
      </c>
      <c r="K100" s="4" t="str">
        <f t="shared" si="24"/>
        <v/>
      </c>
      <c r="L100" s="4" t="str">
        <f t="shared" si="25"/>
        <v/>
      </c>
      <c r="M100" s="4"/>
      <c r="N100" s="4"/>
      <c r="O100" s="4"/>
      <c r="P100" s="4"/>
      <c r="Q100" s="4"/>
      <c r="R100" s="4"/>
      <c r="S100" s="4"/>
      <c r="T100" s="4"/>
      <c r="U100" s="4"/>
    </row>
    <row r="101" spans="1:21">
      <c r="A101" t="s">
        <v>219</v>
      </c>
      <c r="B101">
        <v>19</v>
      </c>
      <c r="C101" t="str">
        <f t="shared" si="19"/>
        <v>test.Base64_19_</v>
      </c>
      <c r="D101">
        <v>3</v>
      </c>
      <c r="E101" s="4">
        <v>0.65354330708661412</v>
      </c>
      <c r="F101" s="4">
        <v>0.20526658602400669</v>
      </c>
      <c r="G101" s="4" t="str">
        <f t="shared" si="20"/>
        <v/>
      </c>
      <c r="H101" s="4">
        <f t="shared" si="21"/>
        <v>0.65354330708661412</v>
      </c>
      <c r="I101" s="4" t="str">
        <f t="shared" si="22"/>
        <v/>
      </c>
      <c r="J101" s="4" t="str">
        <f t="shared" si="23"/>
        <v/>
      </c>
      <c r="K101" s="4" t="str">
        <f t="shared" si="24"/>
        <v/>
      </c>
      <c r="L101" s="4" t="str">
        <f t="shared" si="25"/>
        <v/>
      </c>
      <c r="M101" s="4"/>
      <c r="N101" s="4"/>
      <c r="O101" s="4"/>
      <c r="P101" s="4"/>
      <c r="Q101" s="4"/>
      <c r="R101" s="4"/>
      <c r="S101" s="4"/>
      <c r="T101" s="4"/>
      <c r="U101" s="4"/>
    </row>
    <row r="102" spans="1:21">
      <c r="A102" t="s">
        <v>219</v>
      </c>
      <c r="B102">
        <v>19</v>
      </c>
      <c r="C102" t="str">
        <f t="shared" si="19"/>
        <v>test.Base64_19_</v>
      </c>
      <c r="D102">
        <v>4</v>
      </c>
      <c r="E102" s="4">
        <v>0.69291338582677164</v>
      </c>
      <c r="F102" s="4">
        <v>0.22052665860240067</v>
      </c>
      <c r="G102" s="4" t="str">
        <f t="shared" si="20"/>
        <v/>
      </c>
      <c r="H102" s="4">
        <f t="shared" si="21"/>
        <v>0.69291338582677164</v>
      </c>
      <c r="I102" s="4" t="str">
        <f t="shared" si="22"/>
        <v/>
      </c>
      <c r="J102" s="4" t="str">
        <f t="shared" si="23"/>
        <v/>
      </c>
      <c r="K102" s="4" t="str">
        <f t="shared" si="24"/>
        <v/>
      </c>
      <c r="L102" s="4" t="str">
        <f t="shared" si="25"/>
        <v/>
      </c>
      <c r="M102" s="4"/>
      <c r="N102" s="4"/>
      <c r="O102" s="4"/>
      <c r="P102" s="4"/>
      <c r="Q102" s="4"/>
      <c r="R102" s="4"/>
      <c r="S102" s="4"/>
      <c r="T102" s="4"/>
      <c r="U102" s="4"/>
    </row>
    <row r="103" spans="1:21">
      <c r="A103" t="s">
        <v>219</v>
      </c>
      <c r="B103">
        <v>19</v>
      </c>
      <c r="C103" t="str">
        <f t="shared" si="19"/>
        <v>test.Base64_19_</v>
      </c>
      <c r="D103">
        <v>5</v>
      </c>
      <c r="E103" s="4">
        <v>0.73228346456692917</v>
      </c>
      <c r="F103" s="4">
        <v>0.70168419093700563</v>
      </c>
      <c r="G103" s="4" t="str">
        <f t="shared" si="20"/>
        <v/>
      </c>
      <c r="H103" s="4" t="str">
        <f t="shared" si="21"/>
        <v/>
      </c>
      <c r="I103" s="4" t="str">
        <f t="shared" si="22"/>
        <v/>
      </c>
      <c r="J103" s="4">
        <f t="shared" si="23"/>
        <v>0.73228346456692917</v>
      </c>
      <c r="K103" s="4" t="str">
        <f t="shared" si="24"/>
        <v/>
      </c>
      <c r="L103" s="4" t="str">
        <f t="shared" si="25"/>
        <v/>
      </c>
      <c r="M103" s="4"/>
      <c r="N103" s="4"/>
      <c r="O103" s="4"/>
      <c r="P103" s="4"/>
      <c r="Q103" s="4"/>
      <c r="R103" s="4"/>
      <c r="S103" s="4"/>
      <c r="T103" s="4"/>
      <c r="U103" s="4"/>
    </row>
    <row r="104" spans="1:21">
      <c r="A104" t="s">
        <v>219</v>
      </c>
      <c r="B104">
        <v>19</v>
      </c>
      <c r="C104" t="str">
        <f t="shared" si="19"/>
        <v>test.Base64_19_</v>
      </c>
      <c r="D104">
        <v>6</v>
      </c>
      <c r="E104" s="4">
        <v>0.99212598425196852</v>
      </c>
      <c r="F104" s="4">
        <v>0.77956639062063837</v>
      </c>
      <c r="G104" s="4" t="str">
        <f t="shared" si="20"/>
        <v/>
      </c>
      <c r="H104" s="4" t="str">
        <f t="shared" si="21"/>
        <v/>
      </c>
      <c r="I104" s="4" t="str">
        <f t="shared" si="22"/>
        <v/>
      </c>
      <c r="J104" s="4">
        <f t="shared" si="23"/>
        <v>0.99212598425196852</v>
      </c>
      <c r="K104" s="4" t="str">
        <f t="shared" si="24"/>
        <v/>
      </c>
      <c r="L104" s="4" t="str">
        <f t="shared" si="25"/>
        <v/>
      </c>
      <c r="M104" s="4"/>
      <c r="N104" s="4"/>
      <c r="O104" s="4"/>
      <c r="P104" s="4"/>
      <c r="Q104" s="4"/>
      <c r="R104" s="4"/>
      <c r="S104" s="4"/>
      <c r="T104" s="4"/>
      <c r="U104" s="4"/>
    </row>
    <row r="105" spans="1:21">
      <c r="A105" t="s">
        <v>219</v>
      </c>
      <c r="B105">
        <v>19</v>
      </c>
      <c r="C105" t="str">
        <f t="shared" si="19"/>
        <v>test.Base64_19_</v>
      </c>
      <c r="D105">
        <v>7</v>
      </c>
      <c r="E105" s="4">
        <v>1</v>
      </c>
      <c r="F105" s="4">
        <v>0.80580627151763284</v>
      </c>
      <c r="G105" s="4" t="str">
        <f t="shared" si="20"/>
        <v/>
      </c>
      <c r="H105" s="4" t="str">
        <f t="shared" si="21"/>
        <v/>
      </c>
      <c r="I105" s="4" t="str">
        <f t="shared" si="22"/>
        <v/>
      </c>
      <c r="J105" s="4" t="str">
        <f t="shared" si="23"/>
        <v/>
      </c>
      <c r="K105" s="4">
        <f t="shared" si="24"/>
        <v>1</v>
      </c>
      <c r="L105" s="4" t="str">
        <f t="shared" si="25"/>
        <v/>
      </c>
      <c r="M105" s="4"/>
      <c r="N105" s="4"/>
      <c r="O105" s="4"/>
      <c r="P105" s="4"/>
      <c r="Q105" s="4"/>
      <c r="R105" s="4"/>
      <c r="S105" s="4"/>
      <c r="T105" s="4"/>
      <c r="U105" s="4"/>
    </row>
    <row r="106" spans="1:21">
      <c r="A106" t="s">
        <v>219</v>
      </c>
      <c r="B106">
        <v>19</v>
      </c>
      <c r="C106" t="str">
        <f t="shared" si="19"/>
        <v>test.Base64_19_</v>
      </c>
      <c r="D106">
        <v>8</v>
      </c>
      <c r="E106" s="4">
        <v>1</v>
      </c>
      <c r="F106" s="4">
        <v>0.80664371452498373</v>
      </c>
      <c r="G106" s="4" t="str">
        <f t="shared" si="20"/>
        <v/>
      </c>
      <c r="H106" s="4" t="str">
        <f t="shared" si="21"/>
        <v/>
      </c>
      <c r="I106" s="4" t="str">
        <f t="shared" si="22"/>
        <v/>
      </c>
      <c r="J106" s="4" t="str">
        <f t="shared" si="23"/>
        <v/>
      </c>
      <c r="K106" s="4">
        <f t="shared" si="24"/>
        <v>1</v>
      </c>
      <c r="L106" s="4" t="str">
        <f t="shared" si="25"/>
        <v/>
      </c>
      <c r="M106" s="4"/>
      <c r="N106" s="4"/>
      <c r="O106" s="4"/>
      <c r="P106" s="4"/>
      <c r="Q106" s="4"/>
      <c r="R106" s="4"/>
      <c r="S106" s="4"/>
      <c r="T106" s="4"/>
      <c r="U106" s="4"/>
    </row>
    <row r="107" spans="1:21">
      <c r="A107" t="s">
        <v>219</v>
      </c>
      <c r="B107">
        <v>19</v>
      </c>
      <c r="C107" t="str">
        <f t="shared" si="19"/>
        <v>test.Base64_19_</v>
      </c>
      <c r="D107">
        <v>9</v>
      </c>
      <c r="E107" s="4">
        <v>1</v>
      </c>
      <c r="F107" s="4">
        <v>0.80980738810830932</v>
      </c>
      <c r="G107" s="4" t="str">
        <f t="shared" si="20"/>
        <v/>
      </c>
      <c r="H107" s="4" t="str">
        <f t="shared" si="21"/>
        <v/>
      </c>
      <c r="I107" s="4" t="str">
        <f t="shared" si="22"/>
        <v/>
      </c>
      <c r="J107" s="4" t="str">
        <f t="shared" si="23"/>
        <v/>
      </c>
      <c r="K107" s="4">
        <f t="shared" si="24"/>
        <v>1</v>
      </c>
      <c r="L107" s="4" t="str">
        <f t="shared" si="25"/>
        <v/>
      </c>
      <c r="M107" s="4"/>
      <c r="N107" s="4"/>
      <c r="O107" s="4"/>
      <c r="P107" s="4"/>
      <c r="Q107" s="4"/>
      <c r="R107" s="4"/>
      <c r="S107" s="4"/>
      <c r="T107" s="4"/>
      <c r="U107" s="4"/>
    </row>
    <row r="108" spans="1:21">
      <c r="A108" t="s">
        <v>219</v>
      </c>
      <c r="B108">
        <v>19</v>
      </c>
      <c r="C108" t="str">
        <f t="shared" si="19"/>
        <v>test.Base64_19_</v>
      </c>
      <c r="D108">
        <v>10</v>
      </c>
      <c r="E108" s="4">
        <v>1</v>
      </c>
      <c r="F108" s="4">
        <v>0.81418070159114175</v>
      </c>
      <c r="G108" s="4" t="str">
        <f t="shared" si="20"/>
        <v/>
      </c>
      <c r="H108" s="4" t="str">
        <f t="shared" si="21"/>
        <v/>
      </c>
      <c r="I108" s="4" t="str">
        <f t="shared" si="22"/>
        <v/>
      </c>
      <c r="J108" s="4" t="str">
        <f t="shared" si="23"/>
        <v/>
      </c>
      <c r="K108" s="4">
        <f t="shared" si="24"/>
        <v>1</v>
      </c>
      <c r="L108" s="4" t="str">
        <f t="shared" si="25"/>
        <v/>
      </c>
      <c r="M108" s="4"/>
      <c r="N108" s="4"/>
      <c r="O108" s="4"/>
      <c r="P108" s="4"/>
      <c r="Q108" s="4"/>
      <c r="R108" s="4"/>
      <c r="S108" s="4"/>
      <c r="T108" s="4"/>
      <c r="U108" s="4"/>
    </row>
    <row r="109" spans="1:21">
      <c r="A109" t="s">
        <v>219</v>
      </c>
      <c r="B109">
        <v>19</v>
      </c>
      <c r="C109" t="str">
        <f t="shared" si="19"/>
        <v>test.Base64_19_</v>
      </c>
      <c r="D109">
        <v>11</v>
      </c>
      <c r="E109" s="4">
        <v>1</v>
      </c>
      <c r="F109" s="4">
        <v>0.81753047362054532</v>
      </c>
      <c r="G109" s="4" t="str">
        <f t="shared" si="20"/>
        <v/>
      </c>
      <c r="H109" s="4" t="str">
        <f t="shared" si="21"/>
        <v/>
      </c>
      <c r="I109" s="4" t="str">
        <f t="shared" si="22"/>
        <v/>
      </c>
      <c r="J109" s="4" t="str">
        <f t="shared" si="23"/>
        <v/>
      </c>
      <c r="K109" s="4">
        <f t="shared" si="24"/>
        <v>1</v>
      </c>
      <c r="L109" s="4" t="str">
        <f t="shared" si="25"/>
        <v/>
      </c>
      <c r="M109" s="4"/>
      <c r="N109" s="4"/>
      <c r="O109" s="4"/>
      <c r="P109" s="4"/>
      <c r="Q109" s="4"/>
      <c r="R109" s="4"/>
      <c r="S109" s="4"/>
      <c r="T109" s="4"/>
      <c r="U109" s="4"/>
    </row>
    <row r="110" spans="1:21">
      <c r="A110" t="s">
        <v>219</v>
      </c>
      <c r="B110">
        <v>19</v>
      </c>
      <c r="C110" t="str">
        <f t="shared" si="19"/>
        <v>test.Base64_19_</v>
      </c>
      <c r="D110">
        <v>12</v>
      </c>
      <c r="E110" s="4">
        <v>1</v>
      </c>
      <c r="F110" s="4">
        <v>0.81836791662789621</v>
      </c>
      <c r="G110" s="4" t="str">
        <f t="shared" si="20"/>
        <v/>
      </c>
      <c r="H110" s="4" t="str">
        <f t="shared" si="21"/>
        <v/>
      </c>
      <c r="I110" s="4" t="str">
        <f t="shared" si="22"/>
        <v/>
      </c>
      <c r="J110" s="4" t="str">
        <f t="shared" si="23"/>
        <v/>
      </c>
      <c r="K110" s="4">
        <f t="shared" si="24"/>
        <v>1</v>
      </c>
      <c r="L110" s="4" t="str">
        <f t="shared" si="25"/>
        <v/>
      </c>
      <c r="M110" s="4"/>
      <c r="N110" s="4"/>
      <c r="O110" s="4"/>
      <c r="P110" s="4"/>
      <c r="Q110" s="4"/>
      <c r="R110" s="4"/>
      <c r="S110" s="4"/>
      <c r="T110" s="4"/>
      <c r="U110" s="4"/>
    </row>
    <row r="111" spans="1:21">
      <c r="A111" t="s">
        <v>219</v>
      </c>
      <c r="B111">
        <v>19</v>
      </c>
      <c r="C111" t="str">
        <f t="shared" si="19"/>
        <v>test.Base64_19_</v>
      </c>
      <c r="D111">
        <v>13</v>
      </c>
      <c r="E111" s="4">
        <v>1</v>
      </c>
      <c r="F111" s="4">
        <v>0.81957755652740305</v>
      </c>
      <c r="G111" s="4" t="str">
        <f t="shared" si="20"/>
        <v/>
      </c>
      <c r="H111" s="4" t="str">
        <f t="shared" si="21"/>
        <v/>
      </c>
      <c r="I111" s="4" t="str">
        <f t="shared" si="22"/>
        <v/>
      </c>
      <c r="J111" s="4" t="str">
        <f t="shared" si="23"/>
        <v/>
      </c>
      <c r="K111" s="4">
        <f t="shared" si="24"/>
        <v>1</v>
      </c>
      <c r="L111" s="4" t="str">
        <f t="shared" si="25"/>
        <v/>
      </c>
      <c r="M111" s="4"/>
      <c r="N111" s="4"/>
      <c r="O111" s="4"/>
      <c r="P111" s="4"/>
      <c r="Q111" s="4"/>
      <c r="R111" s="4"/>
      <c r="S111" s="4"/>
      <c r="T111" s="4"/>
      <c r="U111" s="4"/>
    </row>
    <row r="112" spans="1:21">
      <c r="A112" t="s">
        <v>219</v>
      </c>
      <c r="B112">
        <v>19</v>
      </c>
      <c r="C112" t="str">
        <f t="shared" si="19"/>
        <v>test.Base64_19_</v>
      </c>
      <c r="D112">
        <v>14</v>
      </c>
      <c r="E112" s="4">
        <v>1</v>
      </c>
      <c r="F112" s="4">
        <v>0.82134549176514371</v>
      </c>
      <c r="G112" s="4" t="str">
        <f t="shared" si="20"/>
        <v/>
      </c>
      <c r="H112" s="4" t="str">
        <f t="shared" si="21"/>
        <v/>
      </c>
      <c r="I112" s="4" t="str">
        <f t="shared" si="22"/>
        <v/>
      </c>
      <c r="J112" s="4" t="str">
        <f t="shared" si="23"/>
        <v/>
      </c>
      <c r="K112" s="4">
        <f t="shared" si="24"/>
        <v>1</v>
      </c>
      <c r="L112" s="4" t="str">
        <f t="shared" si="25"/>
        <v/>
      </c>
      <c r="M112" s="4"/>
      <c r="N112" s="4"/>
      <c r="O112" s="4"/>
      <c r="P112" s="4"/>
      <c r="Q112" s="4"/>
      <c r="R112" s="4"/>
      <c r="S112" s="4"/>
      <c r="T112" s="4"/>
      <c r="U112" s="4"/>
    </row>
    <row r="113" spans="1:21">
      <c r="A113" t="s">
        <v>219</v>
      </c>
      <c r="B113">
        <v>19</v>
      </c>
      <c r="C113" t="str">
        <f t="shared" si="19"/>
        <v>test.Base64_19_</v>
      </c>
      <c r="D113">
        <v>15</v>
      </c>
      <c r="E113" s="4">
        <v>1</v>
      </c>
      <c r="F113" s="4">
        <v>0.82543965757885918</v>
      </c>
      <c r="G113" s="4" t="str">
        <f t="shared" si="20"/>
        <v/>
      </c>
      <c r="H113" s="4" t="str">
        <f t="shared" si="21"/>
        <v/>
      </c>
      <c r="I113" s="4" t="str">
        <f t="shared" si="22"/>
        <v/>
      </c>
      <c r="J113" s="4" t="str">
        <f t="shared" si="23"/>
        <v/>
      </c>
      <c r="K113" s="4">
        <f t="shared" si="24"/>
        <v>1</v>
      </c>
      <c r="L113" s="4" t="str">
        <f t="shared" si="25"/>
        <v/>
      </c>
      <c r="M113" s="4"/>
      <c r="N113" s="4"/>
      <c r="O113" s="4"/>
      <c r="P113" s="4"/>
      <c r="Q113" s="4"/>
      <c r="R113" s="4"/>
      <c r="S113" s="4"/>
      <c r="T113" s="4"/>
      <c r="U113" s="4"/>
    </row>
    <row r="114" spans="1:21">
      <c r="A114" t="s">
        <v>219</v>
      </c>
      <c r="B114">
        <v>19</v>
      </c>
      <c r="C114" t="str">
        <f t="shared" si="19"/>
        <v>test.Base64_19_</v>
      </c>
      <c r="D114">
        <v>16</v>
      </c>
      <c r="E114" s="4">
        <v>1</v>
      </c>
      <c r="F114" s="4">
        <v>0.83958313948078533</v>
      </c>
      <c r="G114" s="4" t="str">
        <f t="shared" si="20"/>
        <v/>
      </c>
      <c r="H114" s="4" t="str">
        <f t="shared" si="21"/>
        <v/>
      </c>
      <c r="I114" s="4" t="str">
        <f t="shared" si="22"/>
        <v/>
      </c>
      <c r="J114" s="4" t="str">
        <f t="shared" si="23"/>
        <v/>
      </c>
      <c r="K114" s="4">
        <f t="shared" si="24"/>
        <v>1</v>
      </c>
      <c r="L114" s="4" t="str">
        <f t="shared" si="25"/>
        <v/>
      </c>
      <c r="M114" s="4"/>
      <c r="N114" s="4"/>
      <c r="O114" s="4"/>
      <c r="P114" s="4"/>
      <c r="Q114" s="4"/>
      <c r="R114" s="4"/>
      <c r="S114" s="4"/>
      <c r="T114" s="4"/>
      <c r="U114" s="4"/>
    </row>
    <row r="115" spans="1:21">
      <c r="A115" t="s">
        <v>219</v>
      </c>
      <c r="B115">
        <v>19</v>
      </c>
      <c r="C115" t="str">
        <f t="shared" si="19"/>
        <v>test.Base64_19_</v>
      </c>
      <c r="D115">
        <v>17</v>
      </c>
      <c r="E115" s="4">
        <v>1</v>
      </c>
      <c r="F115" s="4">
        <v>0.88443286498557738</v>
      </c>
      <c r="G115" s="4" t="str">
        <f t="shared" si="20"/>
        <v/>
      </c>
      <c r="H115" s="4" t="str">
        <f t="shared" si="21"/>
        <v/>
      </c>
      <c r="I115" s="4" t="str">
        <f t="shared" si="22"/>
        <v/>
      </c>
      <c r="J115" s="4" t="str">
        <f t="shared" si="23"/>
        <v/>
      </c>
      <c r="K115" s="4">
        <f t="shared" si="24"/>
        <v>1</v>
      </c>
      <c r="L115" s="4" t="str">
        <f t="shared" si="25"/>
        <v/>
      </c>
      <c r="M115" s="4"/>
      <c r="N115" s="4"/>
      <c r="O115" s="4"/>
      <c r="P115" s="4"/>
      <c r="Q115" s="4"/>
      <c r="R115" s="4"/>
      <c r="S115" s="4"/>
      <c r="T115" s="4"/>
      <c r="U115" s="4"/>
    </row>
    <row r="116" spans="1:21">
      <c r="A116" t="s">
        <v>219</v>
      </c>
      <c r="B116">
        <v>19</v>
      </c>
      <c r="C116" t="str">
        <f t="shared" si="19"/>
        <v>test.Base64_19_</v>
      </c>
      <c r="D116">
        <v>18</v>
      </c>
      <c r="E116" s="4">
        <v>1</v>
      </c>
      <c r="F116" s="4">
        <v>0.93533078998790364</v>
      </c>
      <c r="G116" s="4" t="str">
        <f t="shared" si="20"/>
        <v/>
      </c>
      <c r="H116" s="4" t="str">
        <f t="shared" si="21"/>
        <v/>
      </c>
      <c r="I116" s="4" t="str">
        <f t="shared" si="22"/>
        <v/>
      </c>
      <c r="J116" s="4" t="str">
        <f t="shared" si="23"/>
        <v/>
      </c>
      <c r="K116" s="4">
        <f t="shared" si="24"/>
        <v>1</v>
      </c>
      <c r="L116" s="4" t="str">
        <f t="shared" si="25"/>
        <v/>
      </c>
      <c r="M116" s="4"/>
      <c r="N116" s="4"/>
      <c r="O116" s="4"/>
      <c r="P116" s="4"/>
      <c r="Q116" s="4"/>
      <c r="R116" s="4"/>
      <c r="S116" s="4"/>
      <c r="T116" s="4"/>
      <c r="U116" s="4"/>
    </row>
    <row r="117" spans="1:21">
      <c r="A117" t="s">
        <v>219</v>
      </c>
      <c r="B117">
        <v>19</v>
      </c>
      <c r="C117" t="str">
        <f t="shared" si="19"/>
        <v>test.Base64_19_</v>
      </c>
      <c r="D117">
        <v>19</v>
      </c>
      <c r="E117" s="4">
        <v>1</v>
      </c>
      <c r="F117" s="4">
        <v>0.94333302316925649</v>
      </c>
      <c r="G117" s="4" t="str">
        <f t="shared" si="20"/>
        <v/>
      </c>
      <c r="H117" s="4" t="str">
        <f t="shared" si="21"/>
        <v/>
      </c>
      <c r="I117" s="4" t="str">
        <f t="shared" si="22"/>
        <v/>
      </c>
      <c r="J117" s="4" t="str">
        <f t="shared" si="23"/>
        <v/>
      </c>
      <c r="K117" s="4">
        <f t="shared" si="24"/>
        <v>1</v>
      </c>
      <c r="L117" s="4" t="str">
        <f t="shared" si="25"/>
        <v/>
      </c>
      <c r="M117" s="4"/>
      <c r="N117" s="4"/>
      <c r="O117" s="4"/>
      <c r="P117" s="4"/>
      <c r="Q117" s="4"/>
      <c r="R117" s="4"/>
      <c r="S117" s="4"/>
      <c r="T117" s="4"/>
      <c r="U117" s="4"/>
    </row>
    <row r="118" spans="1:21">
      <c r="A118" t="s">
        <v>219</v>
      </c>
      <c r="B118">
        <v>19</v>
      </c>
      <c r="C118" t="str">
        <f t="shared" si="19"/>
        <v>test.Base64_19_</v>
      </c>
      <c r="D118">
        <v>20</v>
      </c>
      <c r="E118" s="4">
        <v>1</v>
      </c>
      <c r="F118" s="4">
        <v>0.94444961384572435</v>
      </c>
      <c r="G118" s="4" t="str">
        <f t="shared" si="20"/>
        <v/>
      </c>
      <c r="H118" s="4" t="str">
        <f t="shared" si="21"/>
        <v/>
      </c>
      <c r="I118" s="4" t="str">
        <f t="shared" si="22"/>
        <v/>
      </c>
      <c r="J118" s="4" t="str">
        <f t="shared" si="23"/>
        <v/>
      </c>
      <c r="K118" s="4">
        <f t="shared" si="24"/>
        <v>1</v>
      </c>
      <c r="L118" s="4" t="str">
        <f t="shared" si="25"/>
        <v/>
      </c>
      <c r="M118" s="4"/>
      <c r="N118" s="4"/>
      <c r="O118" s="4"/>
      <c r="P118" s="4"/>
      <c r="Q118" s="4"/>
      <c r="R118" s="4"/>
      <c r="S118" s="4"/>
      <c r="T118" s="4"/>
      <c r="U118" s="4"/>
    </row>
    <row r="119" spans="1:21">
      <c r="A119" t="s">
        <v>219</v>
      </c>
      <c r="B119">
        <v>19</v>
      </c>
      <c r="C119" t="str">
        <f t="shared" si="19"/>
        <v>test.Base64_19_</v>
      </c>
      <c r="D119">
        <v>21</v>
      </c>
      <c r="E119" s="4">
        <v>1</v>
      </c>
      <c r="F119" s="4">
        <v>0.95468502838001301</v>
      </c>
      <c r="G119" s="4" t="str">
        <f t="shared" si="20"/>
        <v/>
      </c>
      <c r="H119" s="4" t="str">
        <f t="shared" si="21"/>
        <v/>
      </c>
      <c r="I119" s="4" t="str">
        <f t="shared" si="22"/>
        <v/>
      </c>
      <c r="J119" s="4" t="str">
        <f t="shared" si="23"/>
        <v/>
      </c>
      <c r="K119" s="4">
        <f t="shared" si="24"/>
        <v>1</v>
      </c>
      <c r="L119" s="4" t="str">
        <f t="shared" si="25"/>
        <v/>
      </c>
      <c r="M119" s="4"/>
      <c r="N119" s="4"/>
      <c r="O119" s="4"/>
      <c r="P119" s="4"/>
      <c r="Q119" s="4"/>
      <c r="R119" s="4"/>
      <c r="S119" s="4"/>
      <c r="T119" s="4"/>
      <c r="U119" s="4"/>
    </row>
    <row r="120" spans="1:21">
      <c r="A120" t="s">
        <v>219</v>
      </c>
      <c r="B120">
        <v>19</v>
      </c>
      <c r="C120" t="str">
        <f t="shared" si="19"/>
        <v>test.Base64_19_</v>
      </c>
      <c r="D120">
        <v>22</v>
      </c>
      <c r="E120" s="4">
        <v>1</v>
      </c>
      <c r="F120" s="4">
        <v>0.9578487019633386</v>
      </c>
      <c r="G120" s="4" t="str">
        <f t="shared" si="20"/>
        <v/>
      </c>
      <c r="H120" s="4" t="str">
        <f t="shared" si="21"/>
        <v/>
      </c>
      <c r="I120" s="4" t="str">
        <f t="shared" si="22"/>
        <v/>
      </c>
      <c r="J120" s="4" t="str">
        <f t="shared" si="23"/>
        <v/>
      </c>
      <c r="K120" s="4">
        <f t="shared" si="24"/>
        <v>1</v>
      </c>
      <c r="L120" s="4" t="str">
        <f t="shared" si="25"/>
        <v/>
      </c>
      <c r="M120" s="4"/>
      <c r="N120" s="4"/>
      <c r="O120" s="4"/>
      <c r="P120" s="4"/>
      <c r="Q120" s="4"/>
      <c r="R120" s="4"/>
      <c r="S120" s="4"/>
      <c r="T120" s="4"/>
      <c r="U120" s="4"/>
    </row>
    <row r="121" spans="1:21">
      <c r="A121" t="s">
        <v>219</v>
      </c>
      <c r="B121">
        <v>19</v>
      </c>
      <c r="C121" t="str">
        <f t="shared" si="19"/>
        <v>test.Base64_19_</v>
      </c>
      <c r="D121">
        <v>23</v>
      </c>
      <c r="E121" s="4">
        <v>1</v>
      </c>
      <c r="F121" s="4">
        <v>0.9678049688285103</v>
      </c>
      <c r="G121" s="4" t="str">
        <f t="shared" si="20"/>
        <v/>
      </c>
      <c r="H121" s="4" t="str">
        <f t="shared" si="21"/>
        <v/>
      </c>
      <c r="I121" s="4" t="str">
        <f t="shared" si="22"/>
        <v/>
      </c>
      <c r="J121" s="4" t="str">
        <f t="shared" si="23"/>
        <v/>
      </c>
      <c r="K121" s="4">
        <f t="shared" si="24"/>
        <v>1</v>
      </c>
      <c r="L121" s="4" t="str">
        <f t="shared" si="25"/>
        <v/>
      </c>
      <c r="M121" s="4"/>
      <c r="N121" s="4"/>
      <c r="O121" s="4"/>
      <c r="P121" s="4"/>
      <c r="Q121" s="4"/>
      <c r="R121" s="4"/>
      <c r="S121" s="4"/>
      <c r="T121" s="4"/>
      <c r="U121" s="4"/>
    </row>
    <row r="122" spans="1:21">
      <c r="A122" t="s">
        <v>219</v>
      </c>
      <c r="B122">
        <v>19</v>
      </c>
      <c r="C122" t="str">
        <f t="shared" si="19"/>
        <v>test.Base64_19_</v>
      </c>
      <c r="D122">
        <v>24</v>
      </c>
      <c r="E122" s="4">
        <v>1</v>
      </c>
      <c r="F122" s="4">
        <v>0.98380943519121611</v>
      </c>
      <c r="G122" s="4" t="str">
        <f t="shared" si="20"/>
        <v/>
      </c>
      <c r="H122" s="4" t="str">
        <f t="shared" si="21"/>
        <v/>
      </c>
      <c r="I122" s="4" t="str">
        <f t="shared" si="22"/>
        <v/>
      </c>
      <c r="J122" s="4" t="str">
        <f t="shared" si="23"/>
        <v/>
      </c>
      <c r="K122" s="4">
        <f t="shared" si="24"/>
        <v>1</v>
      </c>
      <c r="L122" s="4" t="str">
        <f t="shared" si="25"/>
        <v/>
      </c>
      <c r="M122" s="4"/>
      <c r="N122" s="4"/>
      <c r="O122" s="4"/>
      <c r="P122" s="4"/>
      <c r="Q122" s="4"/>
      <c r="R122" s="4"/>
      <c r="S122" s="4"/>
      <c r="T122" s="4"/>
      <c r="U122" s="4"/>
    </row>
    <row r="123" spans="1:21">
      <c r="A123" t="s">
        <v>219</v>
      </c>
      <c r="B123">
        <v>19</v>
      </c>
      <c r="C123" t="str">
        <f t="shared" si="19"/>
        <v>test.Base64_19_</v>
      </c>
      <c r="D123">
        <v>25</v>
      </c>
      <c r="E123" s="4">
        <v>1</v>
      </c>
      <c r="F123" s="4">
        <v>1.044477528612636</v>
      </c>
      <c r="G123" s="4" t="str">
        <f t="shared" si="20"/>
        <v/>
      </c>
      <c r="H123" s="4" t="str">
        <f t="shared" si="21"/>
        <v/>
      </c>
      <c r="I123" s="4" t="str">
        <f t="shared" si="22"/>
        <v/>
      </c>
      <c r="J123" s="4" t="str">
        <f t="shared" si="23"/>
        <v/>
      </c>
      <c r="K123" s="4">
        <f t="shared" si="24"/>
        <v>1</v>
      </c>
      <c r="L123" s="4" t="str">
        <f t="shared" si="25"/>
        <v/>
      </c>
      <c r="M123" s="4"/>
      <c r="N123" s="4"/>
      <c r="O123" s="4"/>
      <c r="P123" s="4"/>
      <c r="Q123" s="4"/>
      <c r="R123" s="4"/>
      <c r="S123" s="4"/>
      <c r="T123" s="4"/>
      <c r="U123" s="4"/>
    </row>
    <row r="124" spans="1:21">
      <c r="A124" t="s">
        <v>219</v>
      </c>
      <c r="B124">
        <v>19</v>
      </c>
      <c r="C124" t="str">
        <f t="shared" si="19"/>
        <v>test.Base64_19_</v>
      </c>
      <c r="D124">
        <v>26</v>
      </c>
      <c r="E124" s="4">
        <v>1</v>
      </c>
      <c r="F124" s="4">
        <v>1.0501535312180144</v>
      </c>
      <c r="G124" s="4" t="str">
        <f t="shared" si="20"/>
        <v/>
      </c>
      <c r="H124" s="4" t="str">
        <f t="shared" si="21"/>
        <v/>
      </c>
      <c r="I124" s="4" t="str">
        <f t="shared" si="22"/>
        <v/>
      </c>
      <c r="J124" s="4" t="str">
        <f t="shared" si="23"/>
        <v/>
      </c>
      <c r="K124" s="4">
        <f t="shared" si="24"/>
        <v>1</v>
      </c>
      <c r="L124" s="4" t="str">
        <f t="shared" si="25"/>
        <v/>
      </c>
      <c r="M124" s="4"/>
      <c r="N124" s="4"/>
      <c r="O124" s="4"/>
      <c r="P124" s="4"/>
      <c r="Q124" s="4"/>
      <c r="R124" s="4"/>
      <c r="S124" s="4"/>
      <c r="T124" s="4"/>
      <c r="U124" s="4"/>
    </row>
    <row r="125" spans="1:21">
      <c r="A125" t="s">
        <v>219</v>
      </c>
      <c r="B125">
        <v>19</v>
      </c>
      <c r="C125" t="str">
        <f t="shared" si="19"/>
        <v>test.Base64_19_</v>
      </c>
      <c r="D125">
        <v>27</v>
      </c>
      <c r="E125" s="4">
        <v>1</v>
      </c>
      <c r="F125" s="4">
        <v>1.0539685493626127</v>
      </c>
      <c r="G125" s="4" t="str">
        <f t="shared" si="20"/>
        <v/>
      </c>
      <c r="H125" s="4" t="str">
        <f t="shared" si="21"/>
        <v/>
      </c>
      <c r="I125" s="4" t="str">
        <f t="shared" si="22"/>
        <v/>
      </c>
      <c r="J125" s="4" t="str">
        <f t="shared" si="23"/>
        <v/>
      </c>
      <c r="K125" s="4">
        <f t="shared" si="24"/>
        <v>1</v>
      </c>
      <c r="L125" s="4" t="str">
        <f t="shared" si="25"/>
        <v/>
      </c>
      <c r="M125" s="4"/>
      <c r="N125" s="4"/>
      <c r="O125" s="4"/>
      <c r="P125" s="4"/>
      <c r="Q125" s="4"/>
      <c r="R125" s="4"/>
      <c r="S125" s="4"/>
      <c r="T125" s="4"/>
      <c r="U125" s="4"/>
    </row>
    <row r="126" spans="1:21">
      <c r="A126" t="s">
        <v>219</v>
      </c>
      <c r="B126">
        <v>19</v>
      </c>
      <c r="C126" t="str">
        <f t="shared" si="19"/>
        <v>test.Base64_19_</v>
      </c>
      <c r="D126">
        <v>28</v>
      </c>
      <c r="E126" s="4">
        <v>1</v>
      </c>
      <c r="F126" s="4">
        <v>1.0541546478086907</v>
      </c>
      <c r="G126" s="4" t="str">
        <f t="shared" si="20"/>
        <v/>
      </c>
      <c r="H126" s="4" t="str">
        <f t="shared" si="21"/>
        <v/>
      </c>
      <c r="I126" s="4" t="str">
        <f t="shared" si="22"/>
        <v/>
      </c>
      <c r="J126" s="4" t="str">
        <f t="shared" si="23"/>
        <v/>
      </c>
      <c r="K126" s="4">
        <f t="shared" si="24"/>
        <v>1</v>
      </c>
      <c r="L126" s="4" t="str">
        <f t="shared" si="25"/>
        <v/>
      </c>
      <c r="M126" s="4"/>
      <c r="N126" s="4"/>
      <c r="O126" s="4"/>
      <c r="P126" s="4"/>
      <c r="Q126" s="4"/>
      <c r="R126" s="4"/>
      <c r="S126" s="4"/>
      <c r="T126" s="4"/>
      <c r="U126" s="4"/>
    </row>
    <row r="127" spans="1:21">
      <c r="A127" t="s">
        <v>219</v>
      </c>
      <c r="B127">
        <v>20</v>
      </c>
      <c r="C127" t="str">
        <f t="shared" si="19"/>
        <v>test.Base64_20_</v>
      </c>
      <c r="D127">
        <v>1</v>
      </c>
      <c r="E127" s="4">
        <v>0.19801980198019803</v>
      </c>
      <c r="F127" s="4">
        <v>8.9277049975739931E-2</v>
      </c>
      <c r="G127" s="4">
        <f t="shared" si="20"/>
        <v>0.19801980198019803</v>
      </c>
      <c r="H127" s="4" t="str">
        <f t="shared" si="21"/>
        <v/>
      </c>
      <c r="I127" s="4" t="str">
        <f t="shared" si="22"/>
        <v/>
      </c>
      <c r="J127" s="4" t="str">
        <f t="shared" si="23"/>
        <v/>
      </c>
      <c r="K127" s="4" t="str">
        <f t="shared" si="24"/>
        <v/>
      </c>
      <c r="L127" s="4" t="str">
        <f t="shared" si="25"/>
        <v/>
      </c>
      <c r="M127" s="4"/>
      <c r="N127" s="4"/>
      <c r="O127" s="4"/>
      <c r="P127" s="4"/>
      <c r="Q127" s="4"/>
      <c r="R127" s="4"/>
      <c r="S127" s="4"/>
      <c r="T127" s="4"/>
      <c r="U127" s="4"/>
    </row>
    <row r="128" spans="1:21">
      <c r="A128" t="s">
        <v>219</v>
      </c>
      <c r="B128">
        <v>20</v>
      </c>
      <c r="C128" t="str">
        <f t="shared" si="19"/>
        <v>test.Base64_20_</v>
      </c>
      <c r="D128">
        <v>2</v>
      </c>
      <c r="E128" s="4">
        <v>0.22772277227722773</v>
      </c>
      <c r="F128" s="4">
        <v>0.10367135694646612</v>
      </c>
      <c r="G128" s="4">
        <f t="shared" si="20"/>
        <v>0.22772277227722773</v>
      </c>
      <c r="H128" s="4" t="str">
        <f t="shared" si="21"/>
        <v/>
      </c>
      <c r="I128" s="4" t="str">
        <f t="shared" si="22"/>
        <v/>
      </c>
      <c r="J128" s="4" t="str">
        <f t="shared" si="23"/>
        <v/>
      </c>
      <c r="K128" s="4" t="str">
        <f t="shared" si="24"/>
        <v/>
      </c>
      <c r="L128" s="4" t="str">
        <f t="shared" si="25"/>
        <v/>
      </c>
      <c r="M128" s="4"/>
      <c r="N128" s="4"/>
      <c r="O128" s="4"/>
      <c r="P128" s="4"/>
      <c r="Q128" s="4"/>
      <c r="R128" s="4"/>
      <c r="S128" s="4"/>
      <c r="T128" s="4"/>
      <c r="U128" s="4"/>
    </row>
    <row r="129" spans="1:21">
      <c r="A129" t="s">
        <v>219</v>
      </c>
      <c r="B129">
        <v>20</v>
      </c>
      <c r="C129" t="str">
        <f t="shared" si="19"/>
        <v>test.Base64_20_</v>
      </c>
      <c r="D129">
        <v>3</v>
      </c>
      <c r="E129" s="4">
        <v>0.25742574257425743</v>
      </c>
      <c r="F129" s="4">
        <v>0.10528869480834546</v>
      </c>
      <c r="G129" s="4">
        <f t="shared" si="20"/>
        <v>0.25742574257425743</v>
      </c>
      <c r="H129" s="4" t="str">
        <f t="shared" si="21"/>
        <v/>
      </c>
      <c r="I129" s="4" t="str">
        <f t="shared" si="22"/>
        <v/>
      </c>
      <c r="J129" s="4" t="str">
        <f t="shared" si="23"/>
        <v/>
      </c>
      <c r="K129" s="4" t="str">
        <f t="shared" si="24"/>
        <v/>
      </c>
      <c r="L129" s="4" t="str">
        <f t="shared" si="25"/>
        <v/>
      </c>
      <c r="M129" s="4"/>
      <c r="N129" s="4"/>
      <c r="O129" s="4"/>
      <c r="P129" s="4"/>
      <c r="Q129" s="4"/>
      <c r="R129" s="4"/>
      <c r="S129" s="4"/>
      <c r="T129" s="4"/>
      <c r="U129" s="4"/>
    </row>
    <row r="130" spans="1:21">
      <c r="A130" t="s">
        <v>219</v>
      </c>
      <c r="B130">
        <v>20</v>
      </c>
      <c r="C130" t="str">
        <f t="shared" si="19"/>
        <v>test.Base64_20_</v>
      </c>
      <c r="D130">
        <v>4</v>
      </c>
      <c r="E130" s="4">
        <v>0.28712871287128711</v>
      </c>
      <c r="F130" s="4">
        <v>0.1091703056768559</v>
      </c>
      <c r="G130" s="4">
        <f t="shared" si="20"/>
        <v>0.28712871287128711</v>
      </c>
      <c r="H130" s="4" t="str">
        <f t="shared" si="21"/>
        <v/>
      </c>
      <c r="I130" s="4" t="str">
        <f t="shared" si="22"/>
        <v/>
      </c>
      <c r="J130" s="4" t="str">
        <f t="shared" si="23"/>
        <v/>
      </c>
      <c r="K130" s="4" t="str">
        <f t="shared" si="24"/>
        <v/>
      </c>
      <c r="L130" s="4" t="str">
        <f t="shared" si="25"/>
        <v/>
      </c>
      <c r="M130" s="4"/>
      <c r="N130" s="4"/>
      <c r="O130" s="4"/>
      <c r="P130" s="4"/>
      <c r="Q130" s="4"/>
      <c r="R130" s="4"/>
      <c r="S130" s="4"/>
      <c r="T130" s="4"/>
      <c r="U130" s="4"/>
    </row>
    <row r="131" spans="1:21">
      <c r="A131" t="s">
        <v>219</v>
      </c>
      <c r="B131">
        <v>20</v>
      </c>
      <c r="C131" t="str">
        <f t="shared" ref="C131:C194" si="26">CONCATENATE(A131, "_",B131,"_")</f>
        <v>test.Base64_20_</v>
      </c>
      <c r="D131">
        <v>5</v>
      </c>
      <c r="E131" s="4">
        <v>0.44554455445544555</v>
      </c>
      <c r="F131" s="4">
        <v>0.11369885169011806</v>
      </c>
      <c r="G131" s="4">
        <f t="shared" ref="G131:G194" si="27">IF($F131 &lt;= 0.2,$E131,"")</f>
        <v>0.44554455445544555</v>
      </c>
      <c r="H131" s="4" t="str">
        <f t="shared" ref="H131:H194" si="28">IF(AND($F131 &gt; 0.2,$F131 &lt;= 0.4),$E131,"")</f>
        <v/>
      </c>
      <c r="I131" s="4" t="str">
        <f t="shared" ref="I131:I194" si="29">IF(AND($F131 &gt; 0.4,$F131 &lt;= 0.6),$E131,"")</f>
        <v/>
      </c>
      <c r="J131" s="4" t="str">
        <f t="shared" ref="J131:J194" si="30">IF(AND($F131 &gt; 0.6,$F131 &lt;= 0.8),$E131,"")</f>
        <v/>
      </c>
      <c r="K131" s="4" t="str">
        <f t="shared" ref="K131:K194" si="31">IF(AND($F131 &gt; 0.8, $F131 &lt;=1.1),$E131,"")</f>
        <v/>
      </c>
      <c r="L131" s="4" t="str">
        <f t="shared" ref="L131:L194" si="32">IF(AND($F131 &gt; 1.1),$E131,"")</f>
        <v/>
      </c>
      <c r="M131" s="4"/>
      <c r="N131" s="4"/>
      <c r="O131" s="4"/>
      <c r="P131" s="4"/>
      <c r="Q131" s="4"/>
      <c r="R131" s="4"/>
      <c r="S131" s="4"/>
      <c r="T131" s="4"/>
      <c r="U131" s="4"/>
    </row>
    <row r="132" spans="1:21">
      <c r="A132" t="s">
        <v>219</v>
      </c>
      <c r="B132">
        <v>20</v>
      </c>
      <c r="C132" t="str">
        <f t="shared" si="26"/>
        <v>test.Base64_20_</v>
      </c>
      <c r="D132">
        <v>6</v>
      </c>
      <c r="E132" s="4">
        <v>0.44554455445544555</v>
      </c>
      <c r="F132" s="4">
        <v>0.11741872877244056</v>
      </c>
      <c r="G132" s="4">
        <f t="shared" si="27"/>
        <v>0.44554455445544555</v>
      </c>
      <c r="H132" s="4" t="str">
        <f t="shared" si="28"/>
        <v/>
      </c>
      <c r="I132" s="4" t="str">
        <f t="shared" si="29"/>
        <v/>
      </c>
      <c r="J132" s="4" t="str">
        <f t="shared" si="30"/>
        <v/>
      </c>
      <c r="K132" s="4" t="str">
        <f t="shared" si="31"/>
        <v/>
      </c>
      <c r="L132" s="4" t="str">
        <f t="shared" si="32"/>
        <v/>
      </c>
      <c r="M132" s="4"/>
      <c r="N132" s="4"/>
      <c r="O132" s="4"/>
      <c r="P132" s="4"/>
      <c r="Q132" s="4"/>
      <c r="R132" s="4"/>
      <c r="S132" s="4"/>
      <c r="T132" s="4"/>
      <c r="U132" s="4"/>
    </row>
    <row r="133" spans="1:21">
      <c r="A133" t="s">
        <v>219</v>
      </c>
      <c r="B133">
        <v>20</v>
      </c>
      <c r="C133" t="str">
        <f t="shared" si="26"/>
        <v>test.Base64_20_</v>
      </c>
      <c r="D133">
        <v>7</v>
      </c>
      <c r="E133" s="4">
        <v>0.52475247524752477</v>
      </c>
      <c r="F133" s="4">
        <v>0.11822739770338024</v>
      </c>
      <c r="G133" s="4">
        <f t="shared" si="27"/>
        <v>0.52475247524752477</v>
      </c>
      <c r="H133" s="4" t="str">
        <f t="shared" si="28"/>
        <v/>
      </c>
      <c r="I133" s="4" t="str">
        <f t="shared" si="29"/>
        <v/>
      </c>
      <c r="J133" s="4" t="str">
        <f t="shared" si="30"/>
        <v/>
      </c>
      <c r="K133" s="4" t="str">
        <f t="shared" si="31"/>
        <v/>
      </c>
      <c r="L133" s="4" t="str">
        <f t="shared" si="32"/>
        <v/>
      </c>
      <c r="M133" s="4"/>
      <c r="N133" s="4"/>
      <c r="O133" s="4"/>
      <c r="P133" s="4"/>
      <c r="Q133" s="4"/>
      <c r="R133" s="4"/>
      <c r="S133" s="4"/>
      <c r="T133" s="4"/>
      <c r="U133" s="4"/>
    </row>
    <row r="134" spans="1:21">
      <c r="A134" t="s">
        <v>219</v>
      </c>
      <c r="B134">
        <v>20</v>
      </c>
      <c r="C134" t="str">
        <f t="shared" si="26"/>
        <v>test.Base64_20_</v>
      </c>
      <c r="D134">
        <v>8</v>
      </c>
      <c r="E134" s="4">
        <v>0.52475247524752477</v>
      </c>
      <c r="F134" s="4">
        <v>0.12146207342713893</v>
      </c>
      <c r="G134" s="4">
        <f t="shared" si="27"/>
        <v>0.52475247524752477</v>
      </c>
      <c r="H134" s="4" t="str">
        <f t="shared" si="28"/>
        <v/>
      </c>
      <c r="I134" s="4" t="str">
        <f t="shared" si="29"/>
        <v/>
      </c>
      <c r="J134" s="4" t="str">
        <f t="shared" si="30"/>
        <v/>
      </c>
      <c r="K134" s="4" t="str">
        <f t="shared" si="31"/>
        <v/>
      </c>
      <c r="L134" s="4" t="str">
        <f t="shared" si="32"/>
        <v/>
      </c>
      <c r="M134" s="4"/>
      <c r="N134" s="4"/>
      <c r="O134" s="4"/>
      <c r="P134" s="4"/>
      <c r="Q134" s="4"/>
      <c r="R134" s="4"/>
      <c r="S134" s="4"/>
      <c r="T134" s="4"/>
      <c r="U134" s="4"/>
    </row>
    <row r="135" spans="1:21">
      <c r="A135" t="s">
        <v>219</v>
      </c>
      <c r="B135">
        <v>20</v>
      </c>
      <c r="C135" t="str">
        <f t="shared" si="26"/>
        <v>test.Base64_20_</v>
      </c>
      <c r="D135">
        <v>9</v>
      </c>
      <c r="E135" s="4">
        <v>0.52475247524752477</v>
      </c>
      <c r="F135" s="4">
        <v>0.12324114507520621</v>
      </c>
      <c r="G135" s="4">
        <f t="shared" si="27"/>
        <v>0.52475247524752477</v>
      </c>
      <c r="H135" s="4" t="str">
        <f t="shared" si="28"/>
        <v/>
      </c>
      <c r="I135" s="4" t="str">
        <f t="shared" si="29"/>
        <v/>
      </c>
      <c r="J135" s="4" t="str">
        <f t="shared" si="30"/>
        <v/>
      </c>
      <c r="K135" s="4" t="str">
        <f t="shared" si="31"/>
        <v/>
      </c>
      <c r="L135" s="4" t="str">
        <f t="shared" si="32"/>
        <v/>
      </c>
      <c r="M135" s="4"/>
      <c r="N135" s="4"/>
      <c r="O135" s="4"/>
      <c r="P135" s="4"/>
      <c r="Q135" s="4"/>
      <c r="R135" s="4"/>
      <c r="S135" s="4"/>
      <c r="T135" s="4"/>
      <c r="U135" s="4"/>
    </row>
    <row r="136" spans="1:21">
      <c r="A136" t="s">
        <v>219</v>
      </c>
      <c r="B136">
        <v>20</v>
      </c>
      <c r="C136" t="str">
        <f t="shared" si="26"/>
        <v>test.Base64_20_</v>
      </c>
      <c r="D136">
        <v>10</v>
      </c>
      <c r="E136" s="4">
        <v>0.52475247524752477</v>
      </c>
      <c r="F136" s="4">
        <v>0.13375384117742195</v>
      </c>
      <c r="G136" s="4">
        <f t="shared" si="27"/>
        <v>0.52475247524752477</v>
      </c>
      <c r="H136" s="4" t="str">
        <f t="shared" si="28"/>
        <v/>
      </c>
      <c r="I136" s="4" t="str">
        <f t="shared" si="29"/>
        <v/>
      </c>
      <c r="J136" s="4" t="str">
        <f t="shared" si="30"/>
        <v/>
      </c>
      <c r="K136" s="4" t="str">
        <f t="shared" si="31"/>
        <v/>
      </c>
      <c r="L136" s="4" t="str">
        <f t="shared" si="32"/>
        <v/>
      </c>
      <c r="M136" s="4"/>
      <c r="N136" s="4"/>
      <c r="O136" s="4"/>
      <c r="P136" s="4"/>
      <c r="Q136" s="4"/>
      <c r="R136" s="4"/>
      <c r="S136" s="4"/>
      <c r="T136" s="4"/>
      <c r="U136" s="4"/>
    </row>
    <row r="137" spans="1:21">
      <c r="A137" t="s">
        <v>219</v>
      </c>
      <c r="B137">
        <v>20</v>
      </c>
      <c r="C137" t="str">
        <f t="shared" si="26"/>
        <v>test.Base64_20_</v>
      </c>
      <c r="D137">
        <v>11</v>
      </c>
      <c r="E137" s="4">
        <v>0.52475247524752477</v>
      </c>
      <c r="F137" s="4">
        <v>0.1344007763221737</v>
      </c>
      <c r="G137" s="4">
        <f t="shared" si="27"/>
        <v>0.52475247524752477</v>
      </c>
      <c r="H137" s="4" t="str">
        <f t="shared" si="28"/>
        <v/>
      </c>
      <c r="I137" s="4" t="str">
        <f t="shared" si="29"/>
        <v/>
      </c>
      <c r="J137" s="4" t="str">
        <f t="shared" si="30"/>
        <v/>
      </c>
      <c r="K137" s="4" t="str">
        <f t="shared" si="31"/>
        <v/>
      </c>
      <c r="L137" s="4" t="str">
        <f t="shared" si="32"/>
        <v/>
      </c>
      <c r="M137" s="4"/>
      <c r="N137" s="4"/>
      <c r="O137" s="4"/>
      <c r="P137" s="4"/>
      <c r="Q137" s="4"/>
      <c r="R137" s="4"/>
      <c r="S137" s="4"/>
      <c r="T137" s="4"/>
      <c r="U137" s="4"/>
    </row>
    <row r="138" spans="1:21">
      <c r="A138" t="s">
        <v>219</v>
      </c>
      <c r="B138">
        <v>20</v>
      </c>
      <c r="C138" t="str">
        <f t="shared" si="26"/>
        <v>test.Base64_20_</v>
      </c>
      <c r="D138">
        <v>12</v>
      </c>
      <c r="E138" s="4">
        <v>0.52475247524752477</v>
      </c>
      <c r="F138" s="4">
        <v>0.1366650493288048</v>
      </c>
      <c r="G138" s="4">
        <f t="shared" si="27"/>
        <v>0.52475247524752477</v>
      </c>
      <c r="H138" s="4" t="str">
        <f t="shared" si="28"/>
        <v/>
      </c>
      <c r="I138" s="4" t="str">
        <f t="shared" si="29"/>
        <v/>
      </c>
      <c r="J138" s="4" t="str">
        <f t="shared" si="30"/>
        <v/>
      </c>
      <c r="K138" s="4" t="str">
        <f t="shared" si="31"/>
        <v/>
      </c>
      <c r="L138" s="4" t="str">
        <f t="shared" si="32"/>
        <v/>
      </c>
      <c r="M138" s="4"/>
      <c r="N138" s="4"/>
      <c r="O138" s="4"/>
      <c r="P138" s="4"/>
      <c r="Q138" s="4"/>
      <c r="R138" s="4"/>
      <c r="S138" s="4"/>
      <c r="T138" s="4"/>
      <c r="U138" s="4"/>
    </row>
    <row r="139" spans="1:21">
      <c r="A139" t="s">
        <v>219</v>
      </c>
      <c r="B139">
        <v>20</v>
      </c>
      <c r="C139" t="str">
        <f t="shared" si="26"/>
        <v>test.Base64_20_</v>
      </c>
      <c r="D139">
        <v>13</v>
      </c>
      <c r="E139" s="4">
        <v>0.52475247524752477</v>
      </c>
      <c r="F139" s="4">
        <v>0.13909105612162381</v>
      </c>
      <c r="G139" s="4">
        <f t="shared" si="27"/>
        <v>0.52475247524752477</v>
      </c>
      <c r="H139" s="4" t="str">
        <f t="shared" si="28"/>
        <v/>
      </c>
      <c r="I139" s="4" t="str">
        <f t="shared" si="29"/>
        <v/>
      </c>
      <c r="J139" s="4" t="str">
        <f t="shared" si="30"/>
        <v/>
      </c>
      <c r="K139" s="4" t="str">
        <f t="shared" si="31"/>
        <v/>
      </c>
      <c r="L139" s="4" t="str">
        <f t="shared" si="32"/>
        <v/>
      </c>
      <c r="M139" s="4"/>
      <c r="N139" s="4"/>
      <c r="O139" s="4"/>
      <c r="P139" s="4"/>
      <c r="Q139" s="4"/>
      <c r="R139" s="4"/>
      <c r="S139" s="4"/>
      <c r="T139" s="4"/>
      <c r="U139" s="4"/>
    </row>
    <row r="140" spans="1:21">
      <c r="A140" t="s">
        <v>219</v>
      </c>
      <c r="B140">
        <v>20</v>
      </c>
      <c r="C140" t="str">
        <f t="shared" si="26"/>
        <v>test.Base64_20_</v>
      </c>
      <c r="D140">
        <v>14</v>
      </c>
      <c r="E140" s="4">
        <v>0.70297029702970293</v>
      </c>
      <c r="F140" s="4">
        <v>0.14798641436196022</v>
      </c>
      <c r="G140" s="4">
        <f t="shared" si="27"/>
        <v>0.70297029702970293</v>
      </c>
      <c r="H140" s="4" t="str">
        <f t="shared" si="28"/>
        <v/>
      </c>
      <c r="I140" s="4" t="str">
        <f t="shared" si="29"/>
        <v/>
      </c>
      <c r="J140" s="4" t="str">
        <f t="shared" si="30"/>
        <v/>
      </c>
      <c r="K140" s="4" t="str">
        <f t="shared" si="31"/>
        <v/>
      </c>
      <c r="L140" s="4" t="str">
        <f t="shared" si="32"/>
        <v/>
      </c>
      <c r="M140" s="4"/>
      <c r="N140" s="4"/>
      <c r="O140" s="4"/>
      <c r="P140" s="4"/>
      <c r="Q140" s="4"/>
      <c r="R140" s="4"/>
      <c r="S140" s="4"/>
      <c r="T140" s="4"/>
      <c r="U140" s="4"/>
    </row>
    <row r="141" spans="1:21">
      <c r="A141" t="s">
        <v>219</v>
      </c>
      <c r="B141">
        <v>20</v>
      </c>
      <c r="C141" t="str">
        <f t="shared" si="26"/>
        <v>test.Base64_20_</v>
      </c>
      <c r="D141">
        <v>15</v>
      </c>
      <c r="E141" s="4">
        <v>0.70297029702970293</v>
      </c>
      <c r="F141" s="4">
        <v>0.15526443474041726</v>
      </c>
      <c r="G141" s="4">
        <f t="shared" si="27"/>
        <v>0.70297029702970293</v>
      </c>
      <c r="H141" s="4" t="str">
        <f t="shared" si="28"/>
        <v/>
      </c>
      <c r="I141" s="4" t="str">
        <f t="shared" si="29"/>
        <v/>
      </c>
      <c r="J141" s="4" t="str">
        <f t="shared" si="30"/>
        <v/>
      </c>
      <c r="K141" s="4" t="str">
        <f t="shared" si="31"/>
        <v/>
      </c>
      <c r="L141" s="4" t="str">
        <f t="shared" si="32"/>
        <v/>
      </c>
      <c r="M141" s="4"/>
      <c r="N141" s="4"/>
      <c r="O141" s="4"/>
      <c r="P141" s="4"/>
      <c r="Q141" s="4"/>
      <c r="R141" s="4"/>
      <c r="S141" s="4"/>
      <c r="T141" s="4"/>
      <c r="U141" s="4"/>
    </row>
    <row r="142" spans="1:21">
      <c r="A142" t="s">
        <v>219</v>
      </c>
      <c r="B142">
        <v>20</v>
      </c>
      <c r="C142" t="str">
        <f t="shared" si="26"/>
        <v>test.Base64_20_</v>
      </c>
      <c r="D142">
        <v>16</v>
      </c>
      <c r="E142" s="4">
        <v>0.70297029702970293</v>
      </c>
      <c r="F142" s="4">
        <v>0.15785217531942422</v>
      </c>
      <c r="G142" s="4">
        <f t="shared" si="27"/>
        <v>0.70297029702970293</v>
      </c>
      <c r="H142" s="4" t="str">
        <f t="shared" si="28"/>
        <v/>
      </c>
      <c r="I142" s="4" t="str">
        <f t="shared" si="29"/>
        <v/>
      </c>
      <c r="J142" s="4" t="str">
        <f t="shared" si="30"/>
        <v/>
      </c>
      <c r="K142" s="4" t="str">
        <f t="shared" si="31"/>
        <v/>
      </c>
      <c r="L142" s="4" t="str">
        <f t="shared" si="32"/>
        <v/>
      </c>
      <c r="M142" s="4"/>
      <c r="N142" s="4"/>
      <c r="O142" s="4"/>
      <c r="P142" s="4"/>
      <c r="Q142" s="4"/>
      <c r="R142" s="4"/>
      <c r="S142" s="4"/>
      <c r="T142" s="4"/>
      <c r="U142" s="4"/>
    </row>
    <row r="143" spans="1:21">
      <c r="A143" t="s">
        <v>219</v>
      </c>
      <c r="B143">
        <v>20</v>
      </c>
      <c r="C143" t="str">
        <f t="shared" si="26"/>
        <v>test.Base64_20_</v>
      </c>
      <c r="D143">
        <v>17</v>
      </c>
      <c r="E143" s="4">
        <v>0.70297029702970293</v>
      </c>
      <c r="F143" s="4">
        <v>0.15979298075367945</v>
      </c>
      <c r="G143" s="4">
        <f t="shared" si="27"/>
        <v>0.70297029702970293</v>
      </c>
      <c r="H143" s="4" t="str">
        <f t="shared" si="28"/>
        <v/>
      </c>
      <c r="I143" s="4" t="str">
        <f t="shared" si="29"/>
        <v/>
      </c>
      <c r="J143" s="4" t="str">
        <f t="shared" si="30"/>
        <v/>
      </c>
      <c r="K143" s="4" t="str">
        <f t="shared" si="31"/>
        <v/>
      </c>
      <c r="L143" s="4" t="str">
        <f t="shared" si="32"/>
        <v/>
      </c>
      <c r="M143" s="4"/>
      <c r="N143" s="4"/>
      <c r="O143" s="4"/>
      <c r="P143" s="4"/>
      <c r="Q143" s="4"/>
      <c r="R143" s="4"/>
      <c r="S143" s="4"/>
      <c r="T143" s="4"/>
      <c r="U143" s="4"/>
    </row>
    <row r="144" spans="1:21">
      <c r="A144" t="s">
        <v>219</v>
      </c>
      <c r="B144">
        <v>20</v>
      </c>
      <c r="C144" t="str">
        <f t="shared" si="26"/>
        <v>test.Base64_20_</v>
      </c>
      <c r="D144">
        <v>18</v>
      </c>
      <c r="E144" s="4">
        <v>0.70297029702970293</v>
      </c>
      <c r="F144" s="4">
        <v>0.17159954714539868</v>
      </c>
      <c r="G144" s="4">
        <f t="shared" si="27"/>
        <v>0.70297029702970293</v>
      </c>
      <c r="H144" s="4" t="str">
        <f t="shared" si="28"/>
        <v/>
      </c>
      <c r="I144" s="4" t="str">
        <f t="shared" si="29"/>
        <v/>
      </c>
      <c r="J144" s="4" t="str">
        <f t="shared" si="30"/>
        <v/>
      </c>
      <c r="K144" s="4" t="str">
        <f t="shared" si="31"/>
        <v/>
      </c>
      <c r="L144" s="4" t="str">
        <f t="shared" si="32"/>
        <v/>
      </c>
      <c r="M144" s="4"/>
      <c r="N144" s="4"/>
      <c r="O144" s="4"/>
      <c r="P144" s="4"/>
      <c r="Q144" s="4"/>
      <c r="R144" s="4"/>
      <c r="S144" s="4"/>
      <c r="T144" s="4"/>
      <c r="U144" s="4"/>
    </row>
    <row r="145" spans="1:21">
      <c r="A145" t="s">
        <v>219</v>
      </c>
      <c r="B145">
        <v>20</v>
      </c>
      <c r="C145" t="str">
        <f t="shared" si="26"/>
        <v>test.Base64_20_</v>
      </c>
      <c r="D145">
        <v>19</v>
      </c>
      <c r="E145" s="4">
        <v>0.70297029702970293</v>
      </c>
      <c r="F145" s="4">
        <v>0.17564289180009704</v>
      </c>
      <c r="G145" s="4">
        <f t="shared" si="27"/>
        <v>0.70297029702970293</v>
      </c>
      <c r="H145" s="4" t="str">
        <f t="shared" si="28"/>
        <v/>
      </c>
      <c r="I145" s="4" t="str">
        <f t="shared" si="29"/>
        <v/>
      </c>
      <c r="J145" s="4" t="str">
        <f t="shared" si="30"/>
        <v/>
      </c>
      <c r="K145" s="4" t="str">
        <f t="shared" si="31"/>
        <v/>
      </c>
      <c r="L145" s="4" t="str">
        <f t="shared" si="32"/>
        <v/>
      </c>
      <c r="M145" s="4"/>
      <c r="N145" s="4"/>
      <c r="O145" s="4"/>
      <c r="P145" s="4"/>
      <c r="Q145" s="4"/>
      <c r="R145" s="4"/>
      <c r="S145" s="4"/>
      <c r="T145" s="4"/>
      <c r="U145" s="4"/>
    </row>
    <row r="146" spans="1:21">
      <c r="A146" t="s">
        <v>219</v>
      </c>
      <c r="B146">
        <v>20</v>
      </c>
      <c r="C146" t="str">
        <f t="shared" si="26"/>
        <v>test.Base64_20_</v>
      </c>
      <c r="D146">
        <v>20</v>
      </c>
      <c r="E146" s="4">
        <v>0.70297029702970293</v>
      </c>
      <c r="F146" s="4">
        <v>0.18308264596474202</v>
      </c>
      <c r="G146" s="4">
        <f t="shared" si="27"/>
        <v>0.70297029702970293</v>
      </c>
      <c r="H146" s="4" t="str">
        <f t="shared" si="28"/>
        <v/>
      </c>
      <c r="I146" s="4" t="str">
        <f t="shared" si="29"/>
        <v/>
      </c>
      <c r="J146" s="4" t="str">
        <f t="shared" si="30"/>
        <v/>
      </c>
      <c r="K146" s="4" t="str">
        <f t="shared" si="31"/>
        <v/>
      </c>
      <c r="L146" s="4" t="str">
        <f t="shared" si="32"/>
        <v/>
      </c>
      <c r="M146" s="4"/>
      <c r="N146" s="4"/>
      <c r="O146" s="4"/>
      <c r="P146" s="4"/>
      <c r="Q146" s="4"/>
      <c r="R146" s="4"/>
      <c r="S146" s="4"/>
      <c r="T146" s="4"/>
      <c r="U146" s="4"/>
    </row>
    <row r="147" spans="1:21">
      <c r="A147" t="s">
        <v>219</v>
      </c>
      <c r="B147">
        <v>20</v>
      </c>
      <c r="C147" t="str">
        <f t="shared" si="26"/>
        <v>test.Base64_20_</v>
      </c>
      <c r="D147">
        <v>21</v>
      </c>
      <c r="E147" s="4">
        <v>0.70297029702970293</v>
      </c>
      <c r="F147" s="4">
        <v>0.18502345139899726</v>
      </c>
      <c r="G147" s="4">
        <f t="shared" si="27"/>
        <v>0.70297029702970293</v>
      </c>
      <c r="H147" s="4" t="str">
        <f t="shared" si="28"/>
        <v/>
      </c>
      <c r="I147" s="4" t="str">
        <f t="shared" si="29"/>
        <v/>
      </c>
      <c r="J147" s="4" t="str">
        <f t="shared" si="30"/>
        <v/>
      </c>
      <c r="K147" s="4" t="str">
        <f t="shared" si="31"/>
        <v/>
      </c>
      <c r="L147" s="4" t="str">
        <f t="shared" si="32"/>
        <v/>
      </c>
      <c r="M147" s="4"/>
      <c r="N147" s="4"/>
      <c r="O147" s="4"/>
      <c r="P147" s="4"/>
      <c r="Q147" s="4"/>
      <c r="R147" s="4"/>
      <c r="S147" s="4"/>
      <c r="T147" s="4"/>
      <c r="U147" s="4"/>
    </row>
    <row r="148" spans="1:21">
      <c r="A148" t="s">
        <v>219</v>
      </c>
      <c r="B148">
        <v>20</v>
      </c>
      <c r="C148" t="str">
        <f t="shared" si="26"/>
        <v>test.Base64_20_</v>
      </c>
      <c r="D148">
        <v>22</v>
      </c>
      <c r="E148" s="4">
        <v>0.70297029702970293</v>
      </c>
      <c r="F148" s="4">
        <v>0.19359534206695778</v>
      </c>
      <c r="G148" s="4">
        <f t="shared" si="27"/>
        <v>0.70297029702970293</v>
      </c>
      <c r="H148" s="4" t="str">
        <f t="shared" si="28"/>
        <v/>
      </c>
      <c r="I148" s="4" t="str">
        <f t="shared" si="29"/>
        <v/>
      </c>
      <c r="J148" s="4" t="str">
        <f t="shared" si="30"/>
        <v/>
      </c>
      <c r="K148" s="4" t="str">
        <f t="shared" si="31"/>
        <v/>
      </c>
      <c r="L148" s="4" t="str">
        <f t="shared" si="32"/>
        <v/>
      </c>
      <c r="M148" s="4"/>
      <c r="N148" s="4"/>
      <c r="O148" s="4"/>
      <c r="P148" s="4"/>
      <c r="Q148" s="4"/>
      <c r="R148" s="4"/>
      <c r="S148" s="4"/>
      <c r="T148" s="4"/>
      <c r="U148" s="4"/>
    </row>
    <row r="149" spans="1:21">
      <c r="A149" t="s">
        <v>219</v>
      </c>
      <c r="B149">
        <v>20</v>
      </c>
      <c r="C149" t="str">
        <f t="shared" si="26"/>
        <v>test.Base64_20_</v>
      </c>
      <c r="D149">
        <v>23</v>
      </c>
      <c r="E149" s="4">
        <v>1</v>
      </c>
      <c r="F149" s="4">
        <v>0.84958757884522074</v>
      </c>
      <c r="G149" s="4" t="str">
        <f t="shared" si="27"/>
        <v/>
      </c>
      <c r="H149" s="4" t="str">
        <f t="shared" si="28"/>
        <v/>
      </c>
      <c r="I149" s="4" t="str">
        <f t="shared" si="29"/>
        <v/>
      </c>
      <c r="J149" s="4" t="str">
        <f t="shared" si="30"/>
        <v/>
      </c>
      <c r="K149" s="4">
        <f t="shared" si="31"/>
        <v>1</v>
      </c>
      <c r="L149" s="4" t="str">
        <f t="shared" si="32"/>
        <v/>
      </c>
      <c r="M149" s="4"/>
      <c r="N149" s="4"/>
      <c r="O149" s="4"/>
      <c r="P149" s="4"/>
      <c r="Q149" s="4"/>
      <c r="R149" s="4"/>
      <c r="S149" s="4"/>
      <c r="T149" s="4"/>
      <c r="U149" s="4"/>
    </row>
    <row r="150" spans="1:21">
      <c r="A150" t="s">
        <v>219</v>
      </c>
      <c r="B150">
        <v>20</v>
      </c>
      <c r="C150" t="str">
        <f t="shared" si="26"/>
        <v>test.Base64_20_</v>
      </c>
      <c r="D150">
        <v>24</v>
      </c>
      <c r="E150" s="4">
        <v>1</v>
      </c>
      <c r="F150" s="4">
        <v>0.85702733300986578</v>
      </c>
      <c r="G150" s="4" t="str">
        <f t="shared" si="27"/>
        <v/>
      </c>
      <c r="H150" s="4" t="str">
        <f t="shared" si="28"/>
        <v/>
      </c>
      <c r="I150" s="4" t="str">
        <f t="shared" si="29"/>
        <v/>
      </c>
      <c r="J150" s="4" t="str">
        <f t="shared" si="30"/>
        <v/>
      </c>
      <c r="K150" s="4">
        <f t="shared" si="31"/>
        <v>1</v>
      </c>
      <c r="L150" s="4" t="str">
        <f t="shared" si="32"/>
        <v/>
      </c>
      <c r="M150" s="4"/>
      <c r="N150" s="4"/>
      <c r="O150" s="4"/>
      <c r="P150" s="4"/>
      <c r="Q150" s="4"/>
      <c r="R150" s="4"/>
      <c r="S150" s="4"/>
      <c r="T150" s="4"/>
      <c r="U150" s="4"/>
    </row>
    <row r="151" spans="1:21">
      <c r="A151" t="s">
        <v>219</v>
      </c>
      <c r="B151">
        <v>20</v>
      </c>
      <c r="C151" t="str">
        <f t="shared" si="26"/>
        <v>test.Base64_20_</v>
      </c>
      <c r="D151">
        <v>25</v>
      </c>
      <c r="E151" s="4">
        <v>1</v>
      </c>
      <c r="F151" s="4">
        <v>0.86996603590490051</v>
      </c>
      <c r="G151" s="4" t="str">
        <f t="shared" si="27"/>
        <v/>
      </c>
      <c r="H151" s="4" t="str">
        <f t="shared" si="28"/>
        <v/>
      </c>
      <c r="I151" s="4" t="str">
        <f t="shared" si="29"/>
        <v/>
      </c>
      <c r="J151" s="4" t="str">
        <f t="shared" si="30"/>
        <v/>
      </c>
      <c r="K151" s="4">
        <f t="shared" si="31"/>
        <v>1</v>
      </c>
      <c r="L151" s="4" t="str">
        <f t="shared" si="32"/>
        <v/>
      </c>
      <c r="M151" s="4"/>
      <c r="N151" s="4"/>
      <c r="O151" s="4"/>
      <c r="P151" s="4"/>
      <c r="Q151" s="4"/>
      <c r="R151" s="4"/>
      <c r="S151" s="4"/>
      <c r="T151" s="4"/>
      <c r="U151" s="4"/>
    </row>
    <row r="152" spans="1:21">
      <c r="A152" t="s">
        <v>219</v>
      </c>
      <c r="B152">
        <v>20</v>
      </c>
      <c r="C152" t="str">
        <f t="shared" si="26"/>
        <v>test.Base64_20_</v>
      </c>
      <c r="D152">
        <v>26</v>
      </c>
      <c r="E152" s="4">
        <v>1</v>
      </c>
      <c r="F152" s="4">
        <v>0.87740579006954555</v>
      </c>
      <c r="G152" s="4" t="str">
        <f t="shared" si="27"/>
        <v/>
      </c>
      <c r="H152" s="4" t="str">
        <f t="shared" si="28"/>
        <v/>
      </c>
      <c r="I152" s="4" t="str">
        <f t="shared" si="29"/>
        <v/>
      </c>
      <c r="J152" s="4" t="str">
        <f t="shared" si="30"/>
        <v/>
      </c>
      <c r="K152" s="4">
        <f t="shared" si="31"/>
        <v>1</v>
      </c>
      <c r="L152" s="4" t="str">
        <f t="shared" si="32"/>
        <v/>
      </c>
      <c r="M152" s="4"/>
      <c r="N152" s="4"/>
      <c r="O152" s="4"/>
      <c r="P152" s="4"/>
      <c r="Q152" s="4"/>
      <c r="R152" s="4"/>
      <c r="S152" s="4"/>
      <c r="T152" s="4"/>
      <c r="U152" s="4"/>
    </row>
    <row r="153" spans="1:21">
      <c r="A153" t="s">
        <v>219</v>
      </c>
      <c r="B153">
        <v>20</v>
      </c>
      <c r="C153" t="str">
        <f t="shared" si="26"/>
        <v>test.Base64_20_</v>
      </c>
      <c r="D153">
        <v>27</v>
      </c>
      <c r="E153" s="4">
        <v>1</v>
      </c>
      <c r="F153" s="4">
        <v>0.88031699822092835</v>
      </c>
      <c r="G153" s="4" t="str">
        <f t="shared" si="27"/>
        <v/>
      </c>
      <c r="H153" s="4" t="str">
        <f t="shared" si="28"/>
        <v/>
      </c>
      <c r="I153" s="4" t="str">
        <f t="shared" si="29"/>
        <v/>
      </c>
      <c r="J153" s="4" t="str">
        <f t="shared" si="30"/>
        <v/>
      </c>
      <c r="K153" s="4">
        <f t="shared" si="31"/>
        <v>1</v>
      </c>
      <c r="L153" s="4" t="str">
        <f t="shared" si="32"/>
        <v/>
      </c>
      <c r="M153" s="4"/>
      <c r="N153" s="4"/>
      <c r="O153" s="4"/>
      <c r="P153" s="4"/>
      <c r="Q153" s="4"/>
      <c r="R153" s="4"/>
      <c r="S153" s="4"/>
      <c r="T153" s="4"/>
      <c r="U153" s="4"/>
    </row>
    <row r="154" spans="1:21">
      <c r="A154" t="s">
        <v>219</v>
      </c>
      <c r="B154">
        <v>20</v>
      </c>
      <c r="C154" t="str">
        <f t="shared" si="26"/>
        <v>test.Base64_20_</v>
      </c>
      <c r="D154">
        <v>28</v>
      </c>
      <c r="E154" s="4">
        <v>1</v>
      </c>
      <c r="F154" s="4">
        <v>0.89454957140546665</v>
      </c>
      <c r="G154" s="4" t="str">
        <f t="shared" si="27"/>
        <v/>
      </c>
      <c r="H154" s="4" t="str">
        <f t="shared" si="28"/>
        <v/>
      </c>
      <c r="I154" s="4" t="str">
        <f t="shared" si="29"/>
        <v/>
      </c>
      <c r="J154" s="4" t="str">
        <f t="shared" si="30"/>
        <v/>
      </c>
      <c r="K154" s="4">
        <f t="shared" si="31"/>
        <v>1</v>
      </c>
      <c r="L154" s="4" t="str">
        <f t="shared" si="32"/>
        <v/>
      </c>
      <c r="M154" s="4"/>
      <c r="N154" s="4"/>
      <c r="O154" s="4"/>
      <c r="P154" s="4"/>
      <c r="Q154" s="4"/>
      <c r="R154" s="4"/>
      <c r="S154" s="4"/>
      <c r="T154" s="4"/>
      <c r="U154" s="4"/>
    </row>
    <row r="155" spans="1:21">
      <c r="A155" t="s">
        <v>219</v>
      </c>
      <c r="B155">
        <v>20</v>
      </c>
      <c r="C155" t="str">
        <f t="shared" si="26"/>
        <v>test.Base64_20_</v>
      </c>
      <c r="D155">
        <v>29</v>
      </c>
      <c r="E155" s="4">
        <v>1</v>
      </c>
      <c r="F155" s="4">
        <v>0.90587093643862204</v>
      </c>
      <c r="G155" s="4" t="str">
        <f t="shared" si="27"/>
        <v/>
      </c>
      <c r="H155" s="4" t="str">
        <f t="shared" si="28"/>
        <v/>
      </c>
      <c r="I155" s="4" t="str">
        <f t="shared" si="29"/>
        <v/>
      </c>
      <c r="J155" s="4" t="str">
        <f t="shared" si="30"/>
        <v/>
      </c>
      <c r="K155" s="4">
        <f t="shared" si="31"/>
        <v>1</v>
      </c>
      <c r="L155" s="4" t="str">
        <f t="shared" si="32"/>
        <v/>
      </c>
      <c r="M155" s="4"/>
      <c r="N155" s="4"/>
      <c r="O155" s="4"/>
      <c r="P155" s="4"/>
      <c r="Q155" s="4"/>
      <c r="R155" s="4"/>
      <c r="S155" s="4"/>
      <c r="T155" s="4"/>
      <c r="U155" s="4"/>
    </row>
    <row r="156" spans="1:21">
      <c r="A156" t="s">
        <v>219</v>
      </c>
      <c r="B156">
        <v>20</v>
      </c>
      <c r="C156" t="str">
        <f t="shared" si="26"/>
        <v>test.Base64_20_</v>
      </c>
      <c r="D156">
        <v>30</v>
      </c>
      <c r="E156" s="4">
        <v>1</v>
      </c>
      <c r="F156" s="4">
        <v>0.91088468381044796</v>
      </c>
      <c r="G156" s="4" t="str">
        <f t="shared" si="27"/>
        <v/>
      </c>
      <c r="H156" s="4" t="str">
        <f t="shared" si="28"/>
        <v/>
      </c>
      <c r="I156" s="4" t="str">
        <f t="shared" si="29"/>
        <v/>
      </c>
      <c r="J156" s="4" t="str">
        <f t="shared" si="30"/>
        <v/>
      </c>
      <c r="K156" s="4">
        <f t="shared" si="31"/>
        <v>1</v>
      </c>
      <c r="L156" s="4" t="str">
        <f t="shared" si="32"/>
        <v/>
      </c>
      <c r="M156" s="4"/>
      <c r="N156" s="4"/>
      <c r="O156" s="4"/>
      <c r="P156" s="4"/>
      <c r="Q156" s="4"/>
      <c r="R156" s="4"/>
      <c r="S156" s="4"/>
      <c r="T156" s="4"/>
      <c r="U156" s="4"/>
    </row>
    <row r="157" spans="1:21">
      <c r="A157" t="s">
        <v>219</v>
      </c>
      <c r="B157">
        <v>20</v>
      </c>
      <c r="C157" t="str">
        <f t="shared" si="26"/>
        <v>test.Base64_20_</v>
      </c>
      <c r="D157">
        <v>31</v>
      </c>
      <c r="E157" s="4">
        <v>1</v>
      </c>
      <c r="F157" s="4">
        <v>0.92058871098172412</v>
      </c>
      <c r="G157" s="4" t="str">
        <f t="shared" si="27"/>
        <v/>
      </c>
      <c r="H157" s="4" t="str">
        <f t="shared" si="28"/>
        <v/>
      </c>
      <c r="I157" s="4" t="str">
        <f t="shared" si="29"/>
        <v/>
      </c>
      <c r="J157" s="4" t="str">
        <f t="shared" si="30"/>
        <v/>
      </c>
      <c r="K157" s="4">
        <f t="shared" si="31"/>
        <v>1</v>
      </c>
      <c r="L157" s="4" t="str">
        <f t="shared" si="32"/>
        <v/>
      </c>
      <c r="M157" s="4"/>
      <c r="N157" s="4"/>
      <c r="O157" s="4"/>
      <c r="P157" s="4"/>
      <c r="Q157" s="4"/>
      <c r="R157" s="4"/>
      <c r="S157" s="4"/>
      <c r="T157" s="4"/>
      <c r="U157" s="4"/>
    </row>
    <row r="158" spans="1:21">
      <c r="A158" t="s">
        <v>219</v>
      </c>
      <c r="B158">
        <v>20</v>
      </c>
      <c r="C158" t="str">
        <f t="shared" si="26"/>
        <v>test.Base64_20_</v>
      </c>
      <c r="D158">
        <v>32</v>
      </c>
      <c r="E158" s="4">
        <v>1</v>
      </c>
      <c r="F158" s="4">
        <v>0.93530648552482609</v>
      </c>
      <c r="G158" s="4" t="str">
        <f t="shared" si="27"/>
        <v/>
      </c>
      <c r="H158" s="4" t="str">
        <f t="shared" si="28"/>
        <v/>
      </c>
      <c r="I158" s="4" t="str">
        <f t="shared" si="29"/>
        <v/>
      </c>
      <c r="J158" s="4" t="str">
        <f t="shared" si="30"/>
        <v/>
      </c>
      <c r="K158" s="4">
        <f t="shared" si="31"/>
        <v>1</v>
      </c>
      <c r="L158" s="4" t="str">
        <f t="shared" si="32"/>
        <v/>
      </c>
      <c r="M158" s="4"/>
      <c r="N158" s="4"/>
      <c r="O158" s="4"/>
      <c r="P158" s="4"/>
      <c r="Q158" s="4"/>
      <c r="R158" s="4"/>
      <c r="S158" s="4"/>
      <c r="T158" s="4"/>
      <c r="U158" s="4"/>
    </row>
    <row r="159" spans="1:21">
      <c r="A159" t="s">
        <v>219</v>
      </c>
      <c r="B159">
        <v>20</v>
      </c>
      <c r="C159" t="str">
        <f t="shared" si="26"/>
        <v>test.Base64_20_</v>
      </c>
      <c r="D159">
        <v>33</v>
      </c>
      <c r="E159" s="4">
        <v>1</v>
      </c>
      <c r="F159" s="4">
        <v>1.0635613779718582</v>
      </c>
      <c r="G159" s="4" t="str">
        <f t="shared" si="27"/>
        <v/>
      </c>
      <c r="H159" s="4" t="str">
        <f t="shared" si="28"/>
        <v/>
      </c>
      <c r="I159" s="4" t="str">
        <f t="shared" si="29"/>
        <v/>
      </c>
      <c r="J159" s="4" t="str">
        <f t="shared" si="30"/>
        <v/>
      </c>
      <c r="K159" s="4">
        <f t="shared" si="31"/>
        <v>1</v>
      </c>
      <c r="L159" s="4" t="str">
        <f t="shared" si="32"/>
        <v/>
      </c>
      <c r="M159" s="4"/>
      <c r="N159" s="4"/>
      <c r="O159" s="4"/>
      <c r="P159" s="4"/>
      <c r="Q159" s="4"/>
      <c r="R159" s="4"/>
      <c r="S159" s="4"/>
      <c r="T159" s="4"/>
      <c r="U159" s="4"/>
    </row>
    <row r="160" spans="1:21">
      <c r="A160" t="s">
        <v>220</v>
      </c>
      <c r="B160">
        <v>2</v>
      </c>
      <c r="C160" t="str">
        <f t="shared" si="26"/>
        <v>test.Class11_2_</v>
      </c>
      <c r="D160">
        <v>1</v>
      </c>
      <c r="E160" s="4">
        <v>4.4642857142857144E-2</v>
      </c>
      <c r="F160" s="4">
        <v>5.1604509973980917E-2</v>
      </c>
      <c r="G160" s="4">
        <f t="shared" si="27"/>
        <v>4.4642857142857144E-2</v>
      </c>
      <c r="H160" s="4" t="str">
        <f t="shared" si="28"/>
        <v/>
      </c>
      <c r="I160" s="4" t="str">
        <f t="shared" si="29"/>
        <v/>
      </c>
      <c r="J160" s="4" t="str">
        <f t="shared" si="30"/>
        <v/>
      </c>
      <c r="K160" s="4" t="str">
        <f t="shared" si="31"/>
        <v/>
      </c>
      <c r="L160" s="4" t="str">
        <f t="shared" si="32"/>
        <v/>
      </c>
      <c r="M160" s="4"/>
      <c r="N160" s="4"/>
      <c r="O160" s="4"/>
      <c r="P160" s="4"/>
      <c r="Q160" s="4"/>
      <c r="R160" s="4"/>
      <c r="S160" s="4"/>
      <c r="T160" s="4"/>
      <c r="U160" s="4"/>
    </row>
    <row r="161" spans="1:21">
      <c r="A161" t="s">
        <v>220</v>
      </c>
      <c r="B161">
        <v>2</v>
      </c>
      <c r="C161" t="str">
        <f t="shared" si="26"/>
        <v>test.Class11_2_</v>
      </c>
      <c r="D161">
        <v>2</v>
      </c>
      <c r="E161" s="4">
        <v>0.5</v>
      </c>
      <c r="F161" s="4">
        <v>0.50975715524718124</v>
      </c>
      <c r="G161" s="4" t="str">
        <f t="shared" si="27"/>
        <v/>
      </c>
      <c r="H161" s="4" t="str">
        <f t="shared" si="28"/>
        <v/>
      </c>
      <c r="I161" s="4">
        <f t="shared" si="29"/>
        <v>0.5</v>
      </c>
      <c r="J161" s="4" t="str">
        <f t="shared" si="30"/>
        <v/>
      </c>
      <c r="K161" s="4" t="str">
        <f t="shared" si="31"/>
        <v/>
      </c>
      <c r="L161" s="4" t="str">
        <f t="shared" si="32"/>
        <v/>
      </c>
      <c r="M161" s="4"/>
      <c r="N161" s="4"/>
      <c r="O161" s="4"/>
      <c r="P161" s="4"/>
      <c r="Q161" s="4"/>
      <c r="R161" s="4"/>
      <c r="S161" s="4"/>
      <c r="T161" s="4"/>
      <c r="U161" s="4"/>
    </row>
    <row r="162" spans="1:21">
      <c r="A162" t="s">
        <v>220</v>
      </c>
      <c r="B162">
        <v>2</v>
      </c>
      <c r="C162" t="str">
        <f t="shared" si="26"/>
        <v>test.Class11_2_</v>
      </c>
      <c r="D162">
        <v>3</v>
      </c>
      <c r="E162" s="4">
        <v>1</v>
      </c>
      <c r="F162" s="4">
        <v>0.99739809193408502</v>
      </c>
      <c r="G162" s="4" t="str">
        <f t="shared" si="27"/>
        <v/>
      </c>
      <c r="H162" s="4" t="str">
        <f t="shared" si="28"/>
        <v/>
      </c>
      <c r="I162" s="4" t="str">
        <f t="shared" si="29"/>
        <v/>
      </c>
      <c r="J162" s="4" t="str">
        <f t="shared" si="30"/>
        <v/>
      </c>
      <c r="K162" s="4">
        <f t="shared" si="31"/>
        <v>1</v>
      </c>
      <c r="L162" s="4" t="str">
        <f t="shared" si="32"/>
        <v/>
      </c>
      <c r="M162" s="4"/>
      <c r="N162" s="4"/>
      <c r="O162" s="4"/>
      <c r="P162" s="4"/>
      <c r="Q162" s="4"/>
      <c r="R162" s="4"/>
      <c r="S162" s="4"/>
      <c r="T162" s="4"/>
      <c r="U162" s="4"/>
    </row>
    <row r="163" spans="1:21">
      <c r="A163" t="s">
        <v>220</v>
      </c>
      <c r="B163">
        <v>3</v>
      </c>
      <c r="C163" t="str">
        <f t="shared" si="26"/>
        <v>test.Class11_3_</v>
      </c>
      <c r="D163">
        <v>1</v>
      </c>
      <c r="E163" s="4">
        <v>0.93181818181818177</v>
      </c>
      <c r="F163" s="4">
        <v>0.96407506702412871</v>
      </c>
      <c r="G163" s="4" t="str">
        <f t="shared" si="27"/>
        <v/>
      </c>
      <c r="H163" s="4" t="str">
        <f t="shared" si="28"/>
        <v/>
      </c>
      <c r="I163" s="4" t="str">
        <f t="shared" si="29"/>
        <v/>
      </c>
      <c r="J163" s="4" t="str">
        <f t="shared" si="30"/>
        <v/>
      </c>
      <c r="K163" s="4">
        <f t="shared" si="31"/>
        <v>0.93181818181818177</v>
      </c>
      <c r="L163" s="4" t="str">
        <f t="shared" si="32"/>
        <v/>
      </c>
      <c r="M163" s="4"/>
      <c r="N163" s="4"/>
      <c r="O163" s="4"/>
      <c r="P163" s="4"/>
      <c r="Q163" s="4"/>
      <c r="R163" s="4"/>
      <c r="S163" s="4"/>
      <c r="T163" s="4"/>
      <c r="U163" s="4"/>
    </row>
    <row r="164" spans="1:21">
      <c r="A164" t="s">
        <v>220</v>
      </c>
      <c r="B164">
        <v>3</v>
      </c>
      <c r="C164" t="str">
        <f t="shared" si="26"/>
        <v>test.Class11_3_</v>
      </c>
      <c r="D164">
        <v>2</v>
      </c>
      <c r="E164" s="4">
        <v>1</v>
      </c>
      <c r="F164" s="4">
        <v>1.0032171581769438</v>
      </c>
      <c r="G164" s="4" t="str">
        <f t="shared" si="27"/>
        <v/>
      </c>
      <c r="H164" s="4" t="str">
        <f t="shared" si="28"/>
        <v/>
      </c>
      <c r="I164" s="4" t="str">
        <f t="shared" si="29"/>
        <v/>
      </c>
      <c r="J164" s="4" t="str">
        <f t="shared" si="30"/>
        <v/>
      </c>
      <c r="K164" s="4">
        <f t="shared" si="31"/>
        <v>1</v>
      </c>
      <c r="L164" s="4" t="str">
        <f t="shared" si="32"/>
        <v/>
      </c>
      <c r="M164" s="4"/>
      <c r="N164" s="4"/>
      <c r="O164" s="4"/>
      <c r="P164" s="4"/>
      <c r="Q164" s="4"/>
      <c r="R164" s="4"/>
      <c r="S164" s="4"/>
      <c r="T164" s="4"/>
      <c r="U164" s="4"/>
    </row>
    <row r="165" spans="1:21">
      <c r="A165" t="s">
        <v>220</v>
      </c>
      <c r="B165">
        <v>7</v>
      </c>
      <c r="C165" t="str">
        <f t="shared" si="26"/>
        <v>test.Class11_7_</v>
      </c>
      <c r="D165">
        <v>1</v>
      </c>
      <c r="E165" s="4">
        <v>0.93023255813953487</v>
      </c>
      <c r="F165" s="4">
        <v>1.0061971830985916</v>
      </c>
      <c r="G165" s="4" t="str">
        <f t="shared" si="27"/>
        <v/>
      </c>
      <c r="H165" s="4" t="str">
        <f t="shared" si="28"/>
        <v/>
      </c>
      <c r="I165" s="4" t="str">
        <f t="shared" si="29"/>
        <v/>
      </c>
      <c r="J165" s="4" t="str">
        <f t="shared" si="30"/>
        <v/>
      </c>
      <c r="K165" s="4">
        <f t="shared" si="31"/>
        <v>0.93023255813953487</v>
      </c>
      <c r="L165" s="4" t="str">
        <f t="shared" si="32"/>
        <v/>
      </c>
      <c r="M165" s="4"/>
      <c r="N165" s="4"/>
      <c r="O165" s="4"/>
      <c r="P165" s="4"/>
      <c r="Q165" s="4"/>
      <c r="R165" s="4"/>
      <c r="S165" s="4"/>
      <c r="T165" s="4"/>
      <c r="U165" s="4"/>
    </row>
    <row r="166" spans="1:21">
      <c r="A166" t="s">
        <v>220</v>
      </c>
      <c r="B166">
        <v>7</v>
      </c>
      <c r="C166" t="str">
        <f t="shared" si="26"/>
        <v>test.Class11_7_</v>
      </c>
      <c r="D166">
        <v>2</v>
      </c>
      <c r="E166" s="4">
        <v>1</v>
      </c>
      <c r="F166" s="4">
        <v>1.012394366197183</v>
      </c>
      <c r="G166" s="4" t="str">
        <f t="shared" si="27"/>
        <v/>
      </c>
      <c r="H166" s="4" t="str">
        <f t="shared" si="28"/>
        <v/>
      </c>
      <c r="I166" s="4" t="str">
        <f t="shared" si="29"/>
        <v/>
      </c>
      <c r="J166" s="4" t="str">
        <f t="shared" si="30"/>
        <v/>
      </c>
      <c r="K166" s="4">
        <f t="shared" si="31"/>
        <v>1</v>
      </c>
      <c r="L166" s="4" t="str">
        <f t="shared" si="32"/>
        <v/>
      </c>
      <c r="M166" s="4"/>
      <c r="N166" s="4"/>
      <c r="O166" s="4"/>
      <c r="P166" s="4"/>
      <c r="Q166" s="4"/>
      <c r="R166" s="4"/>
      <c r="S166" s="4"/>
      <c r="T166" s="4"/>
      <c r="U166" s="4"/>
    </row>
    <row r="167" spans="1:21">
      <c r="A167" t="s">
        <v>220</v>
      </c>
      <c r="B167">
        <v>10</v>
      </c>
      <c r="C167" t="str">
        <f t="shared" si="26"/>
        <v>test.Class11_10_</v>
      </c>
      <c r="D167">
        <v>1</v>
      </c>
      <c r="E167" s="4">
        <v>0.11576354679802955</v>
      </c>
      <c r="F167" s="4">
        <v>0.12650638890571064</v>
      </c>
      <c r="G167" s="4">
        <f t="shared" si="27"/>
        <v>0.11576354679802955</v>
      </c>
      <c r="H167" s="4" t="str">
        <f t="shared" si="28"/>
        <v/>
      </c>
      <c r="I167" s="4" t="str">
        <f t="shared" si="29"/>
        <v/>
      </c>
      <c r="J167" s="4" t="str">
        <f t="shared" si="30"/>
        <v/>
      </c>
      <c r="K167" s="4" t="str">
        <f t="shared" si="31"/>
        <v/>
      </c>
      <c r="L167" s="4" t="str">
        <f t="shared" si="32"/>
        <v/>
      </c>
      <c r="M167" s="4"/>
      <c r="N167" s="4"/>
      <c r="O167" s="4"/>
      <c r="P167" s="4"/>
      <c r="Q167" s="4"/>
      <c r="R167" s="4"/>
      <c r="S167" s="4"/>
      <c r="T167" s="4"/>
      <c r="U167" s="4"/>
    </row>
    <row r="168" spans="1:21">
      <c r="A168" t="s">
        <v>220</v>
      </c>
      <c r="B168">
        <v>10</v>
      </c>
      <c r="C168" t="str">
        <f t="shared" si="26"/>
        <v>test.Class11_10_</v>
      </c>
      <c r="D168">
        <v>2</v>
      </c>
      <c r="E168" s="4">
        <v>0.11576354679802955</v>
      </c>
      <c r="F168" s="4">
        <v>0.12662750560164718</v>
      </c>
      <c r="G168" s="4">
        <f t="shared" si="27"/>
        <v>0.11576354679802955</v>
      </c>
      <c r="H168" s="4" t="str">
        <f t="shared" si="28"/>
        <v/>
      </c>
      <c r="I168" s="4" t="str">
        <f t="shared" si="29"/>
        <v/>
      </c>
      <c r="J168" s="4" t="str">
        <f t="shared" si="30"/>
        <v/>
      </c>
      <c r="K168" s="4" t="str">
        <f t="shared" si="31"/>
        <v/>
      </c>
      <c r="L168" s="4" t="str">
        <f t="shared" si="32"/>
        <v/>
      </c>
      <c r="M168" s="4"/>
      <c r="N168" s="4"/>
      <c r="O168" s="4"/>
      <c r="P168" s="4"/>
      <c r="Q168" s="4"/>
      <c r="R168" s="4"/>
      <c r="S168" s="4"/>
      <c r="T168" s="4"/>
      <c r="U168" s="4"/>
    </row>
    <row r="169" spans="1:21">
      <c r="A169" t="s">
        <v>220</v>
      </c>
      <c r="B169">
        <v>10</v>
      </c>
      <c r="C169" t="str">
        <f t="shared" si="26"/>
        <v>test.Class11_10_</v>
      </c>
      <c r="D169">
        <v>3</v>
      </c>
      <c r="E169" s="4">
        <v>0.11576354679802955</v>
      </c>
      <c r="F169" s="4">
        <v>0.12723308908132985</v>
      </c>
      <c r="G169" s="4">
        <f t="shared" si="27"/>
        <v>0.11576354679802955</v>
      </c>
      <c r="H169" s="4" t="str">
        <f t="shared" si="28"/>
        <v/>
      </c>
      <c r="I169" s="4" t="str">
        <f t="shared" si="29"/>
        <v/>
      </c>
      <c r="J169" s="4" t="str">
        <f t="shared" si="30"/>
        <v/>
      </c>
      <c r="K169" s="4" t="str">
        <f t="shared" si="31"/>
        <v/>
      </c>
      <c r="L169" s="4" t="str">
        <f t="shared" si="32"/>
        <v/>
      </c>
      <c r="M169" s="4"/>
      <c r="N169" s="4"/>
      <c r="O169" s="4"/>
      <c r="P169" s="4"/>
      <c r="Q169" s="4"/>
      <c r="R169" s="4"/>
      <c r="S169" s="4"/>
      <c r="T169" s="4"/>
      <c r="U169" s="4"/>
    </row>
    <row r="170" spans="1:21">
      <c r="A170" t="s">
        <v>220</v>
      </c>
      <c r="B170">
        <v>10</v>
      </c>
      <c r="C170" t="str">
        <f t="shared" si="26"/>
        <v>test.Class11_10_</v>
      </c>
      <c r="D170">
        <v>4</v>
      </c>
      <c r="E170" s="4">
        <v>0.11576354679802955</v>
      </c>
      <c r="F170" s="4">
        <v>0.1275358808211712</v>
      </c>
      <c r="G170" s="4">
        <f t="shared" si="27"/>
        <v>0.11576354679802955</v>
      </c>
      <c r="H170" s="4" t="str">
        <f t="shared" si="28"/>
        <v/>
      </c>
      <c r="I170" s="4" t="str">
        <f t="shared" si="29"/>
        <v/>
      </c>
      <c r="J170" s="4" t="str">
        <f t="shared" si="30"/>
        <v/>
      </c>
      <c r="K170" s="4" t="str">
        <f t="shared" si="31"/>
        <v/>
      </c>
      <c r="L170" s="4" t="str">
        <f t="shared" si="32"/>
        <v/>
      </c>
      <c r="M170" s="4"/>
      <c r="N170" s="4"/>
      <c r="O170" s="4"/>
      <c r="P170" s="4"/>
      <c r="Q170" s="4"/>
      <c r="R170" s="4"/>
      <c r="S170" s="4"/>
      <c r="T170" s="4"/>
      <c r="U170" s="4"/>
    </row>
    <row r="171" spans="1:21">
      <c r="A171" t="s">
        <v>220</v>
      </c>
      <c r="B171">
        <v>10</v>
      </c>
      <c r="C171" t="str">
        <f t="shared" si="26"/>
        <v>test.Class11_10_</v>
      </c>
      <c r="D171">
        <v>5</v>
      </c>
      <c r="E171" s="4">
        <v>0.20689655172413793</v>
      </c>
      <c r="F171" s="4">
        <v>0.12971598134802884</v>
      </c>
      <c r="G171" s="4">
        <f t="shared" si="27"/>
        <v>0.20689655172413793</v>
      </c>
      <c r="H171" s="4" t="str">
        <f t="shared" si="28"/>
        <v/>
      </c>
      <c r="I171" s="4" t="str">
        <f t="shared" si="29"/>
        <v/>
      </c>
      <c r="J171" s="4" t="str">
        <f t="shared" si="30"/>
        <v/>
      </c>
      <c r="K171" s="4" t="str">
        <f t="shared" si="31"/>
        <v/>
      </c>
      <c r="L171" s="4" t="str">
        <f t="shared" si="32"/>
        <v/>
      </c>
      <c r="M171" s="4"/>
      <c r="N171" s="4"/>
      <c r="O171" s="4"/>
      <c r="P171" s="4"/>
      <c r="Q171" s="4"/>
      <c r="R171" s="4"/>
      <c r="S171" s="4"/>
      <c r="T171" s="4"/>
      <c r="U171" s="4"/>
    </row>
    <row r="172" spans="1:21">
      <c r="A172" t="s">
        <v>220</v>
      </c>
      <c r="B172">
        <v>10</v>
      </c>
      <c r="C172" t="str">
        <f t="shared" si="26"/>
        <v>test.Class11_10_</v>
      </c>
      <c r="D172">
        <v>6</v>
      </c>
      <c r="E172" s="4">
        <v>0.20689655172413793</v>
      </c>
      <c r="F172" s="4">
        <v>0.13086658995942591</v>
      </c>
      <c r="G172" s="4">
        <f t="shared" si="27"/>
        <v>0.20689655172413793</v>
      </c>
      <c r="H172" s="4" t="str">
        <f t="shared" si="28"/>
        <v/>
      </c>
      <c r="I172" s="4" t="str">
        <f t="shared" si="29"/>
        <v/>
      </c>
      <c r="J172" s="4" t="str">
        <f t="shared" si="30"/>
        <v/>
      </c>
      <c r="K172" s="4" t="str">
        <f t="shared" si="31"/>
        <v/>
      </c>
      <c r="L172" s="4" t="str">
        <f t="shared" si="32"/>
        <v/>
      </c>
      <c r="M172" s="4"/>
      <c r="N172" s="4"/>
      <c r="O172" s="4"/>
      <c r="P172" s="4"/>
      <c r="Q172" s="4"/>
      <c r="R172" s="4"/>
      <c r="S172" s="4"/>
      <c r="T172" s="4"/>
      <c r="U172" s="4"/>
    </row>
    <row r="173" spans="1:21">
      <c r="A173" t="s">
        <v>220</v>
      </c>
      <c r="B173">
        <v>10</v>
      </c>
      <c r="C173" t="str">
        <f t="shared" si="26"/>
        <v>test.Class11_10_</v>
      </c>
      <c r="D173">
        <v>7</v>
      </c>
      <c r="E173" s="4">
        <v>0.20689655172413793</v>
      </c>
      <c r="F173" s="4">
        <v>0.13153273178707686</v>
      </c>
      <c r="G173" s="4">
        <f t="shared" si="27"/>
        <v>0.20689655172413793</v>
      </c>
      <c r="H173" s="4" t="str">
        <f t="shared" si="28"/>
        <v/>
      </c>
      <c r="I173" s="4" t="str">
        <f t="shared" si="29"/>
        <v/>
      </c>
      <c r="J173" s="4" t="str">
        <f t="shared" si="30"/>
        <v/>
      </c>
      <c r="K173" s="4" t="str">
        <f t="shared" si="31"/>
        <v/>
      </c>
      <c r="L173" s="4" t="str">
        <f t="shared" si="32"/>
        <v/>
      </c>
      <c r="M173" s="4"/>
      <c r="N173" s="4"/>
      <c r="O173" s="4"/>
      <c r="P173" s="4"/>
      <c r="Q173" s="4"/>
      <c r="R173" s="4"/>
      <c r="S173" s="4"/>
      <c r="T173" s="4"/>
      <c r="U173" s="4"/>
    </row>
    <row r="174" spans="1:21">
      <c r="A174" t="s">
        <v>220</v>
      </c>
      <c r="B174">
        <v>10</v>
      </c>
      <c r="C174" t="str">
        <f t="shared" si="26"/>
        <v>test.Class11_10_</v>
      </c>
      <c r="D174">
        <v>8</v>
      </c>
      <c r="E174" s="4">
        <v>0.20689655172413793</v>
      </c>
      <c r="F174" s="4">
        <v>0.13213831526675951</v>
      </c>
      <c r="G174" s="4">
        <f t="shared" si="27"/>
        <v>0.20689655172413793</v>
      </c>
      <c r="H174" s="4" t="str">
        <f t="shared" si="28"/>
        <v/>
      </c>
      <c r="I174" s="4" t="str">
        <f t="shared" si="29"/>
        <v/>
      </c>
      <c r="J174" s="4" t="str">
        <f t="shared" si="30"/>
        <v/>
      </c>
      <c r="K174" s="4" t="str">
        <f t="shared" si="31"/>
        <v/>
      </c>
      <c r="L174" s="4" t="str">
        <f t="shared" si="32"/>
        <v/>
      </c>
      <c r="M174" s="4"/>
      <c r="N174" s="4"/>
      <c r="O174" s="4"/>
      <c r="P174" s="4"/>
      <c r="Q174" s="4"/>
      <c r="R174" s="4"/>
      <c r="S174" s="4"/>
      <c r="T174" s="4"/>
      <c r="U174" s="4"/>
    </row>
    <row r="175" spans="1:21">
      <c r="A175" t="s">
        <v>220</v>
      </c>
      <c r="B175">
        <v>10</v>
      </c>
      <c r="C175" t="str">
        <f t="shared" si="26"/>
        <v>test.Class11_10_</v>
      </c>
      <c r="D175">
        <v>9</v>
      </c>
      <c r="E175" s="4">
        <v>0.22167487684729065</v>
      </c>
      <c r="F175" s="4">
        <v>0.13746744988796705</v>
      </c>
      <c r="G175" s="4">
        <f t="shared" si="27"/>
        <v>0.22167487684729065</v>
      </c>
      <c r="H175" s="4" t="str">
        <f t="shared" si="28"/>
        <v/>
      </c>
      <c r="I175" s="4" t="str">
        <f t="shared" si="29"/>
        <v/>
      </c>
      <c r="J175" s="4" t="str">
        <f t="shared" si="30"/>
        <v/>
      </c>
      <c r="K175" s="4" t="str">
        <f t="shared" si="31"/>
        <v/>
      </c>
      <c r="L175" s="4" t="str">
        <f t="shared" si="32"/>
        <v/>
      </c>
      <c r="M175" s="4"/>
      <c r="N175" s="4"/>
      <c r="O175" s="4"/>
      <c r="P175" s="4"/>
      <c r="Q175" s="4"/>
      <c r="R175" s="4"/>
      <c r="S175" s="4"/>
      <c r="T175" s="4"/>
      <c r="U175" s="4"/>
    </row>
    <row r="176" spans="1:21">
      <c r="A176" t="s">
        <v>220</v>
      </c>
      <c r="B176">
        <v>10</v>
      </c>
      <c r="C176" t="str">
        <f t="shared" si="26"/>
        <v>test.Class11_10_</v>
      </c>
      <c r="D176">
        <v>10</v>
      </c>
      <c r="E176" s="4">
        <v>0.22167487684729065</v>
      </c>
      <c r="F176" s="4">
        <v>0.13910252528311029</v>
      </c>
      <c r="G176" s="4">
        <f t="shared" si="27"/>
        <v>0.22167487684729065</v>
      </c>
      <c r="H176" s="4" t="str">
        <f t="shared" si="28"/>
        <v/>
      </c>
      <c r="I176" s="4" t="str">
        <f t="shared" si="29"/>
        <v/>
      </c>
      <c r="J176" s="4" t="str">
        <f t="shared" si="30"/>
        <v/>
      </c>
      <c r="K176" s="4" t="str">
        <f t="shared" si="31"/>
        <v/>
      </c>
      <c r="L176" s="4" t="str">
        <f t="shared" si="32"/>
        <v/>
      </c>
      <c r="M176" s="4"/>
      <c r="N176" s="4"/>
      <c r="O176" s="4"/>
      <c r="P176" s="4"/>
      <c r="Q176" s="4"/>
      <c r="R176" s="4"/>
      <c r="S176" s="4"/>
      <c r="T176" s="4"/>
      <c r="U176" s="4"/>
    </row>
    <row r="177" spans="1:21">
      <c r="A177" t="s">
        <v>220</v>
      </c>
      <c r="B177">
        <v>10</v>
      </c>
      <c r="C177" t="str">
        <f t="shared" si="26"/>
        <v>test.Class11_10_</v>
      </c>
      <c r="D177">
        <v>11</v>
      </c>
      <c r="E177" s="4">
        <v>0.22167487684729065</v>
      </c>
      <c r="F177" s="4">
        <v>0.13922364197904682</v>
      </c>
      <c r="G177" s="4">
        <f t="shared" si="27"/>
        <v>0.22167487684729065</v>
      </c>
      <c r="H177" s="4" t="str">
        <f t="shared" si="28"/>
        <v/>
      </c>
      <c r="I177" s="4" t="str">
        <f t="shared" si="29"/>
        <v/>
      </c>
      <c r="J177" s="4" t="str">
        <f t="shared" si="30"/>
        <v/>
      </c>
      <c r="K177" s="4" t="str">
        <f t="shared" si="31"/>
        <v/>
      </c>
      <c r="L177" s="4" t="str">
        <f t="shared" si="32"/>
        <v/>
      </c>
      <c r="M177" s="4"/>
      <c r="N177" s="4"/>
      <c r="O177" s="4"/>
      <c r="P177" s="4"/>
      <c r="Q177" s="4"/>
      <c r="R177" s="4"/>
      <c r="S177" s="4"/>
      <c r="T177" s="4"/>
      <c r="U177" s="4"/>
    </row>
    <row r="178" spans="1:21">
      <c r="A178" t="s">
        <v>220</v>
      </c>
      <c r="B178">
        <v>10</v>
      </c>
      <c r="C178" t="str">
        <f t="shared" si="26"/>
        <v>test.Class11_10_</v>
      </c>
      <c r="D178">
        <v>12</v>
      </c>
      <c r="E178" s="4">
        <v>0.22167487684729065</v>
      </c>
      <c r="F178" s="4">
        <v>0.13940531702295161</v>
      </c>
      <c r="G178" s="4">
        <f t="shared" si="27"/>
        <v>0.22167487684729065</v>
      </c>
      <c r="H178" s="4" t="str">
        <f t="shared" si="28"/>
        <v/>
      </c>
      <c r="I178" s="4" t="str">
        <f t="shared" si="29"/>
        <v/>
      </c>
      <c r="J178" s="4" t="str">
        <f t="shared" si="30"/>
        <v/>
      </c>
      <c r="K178" s="4" t="str">
        <f t="shared" si="31"/>
        <v/>
      </c>
      <c r="L178" s="4" t="str">
        <f t="shared" si="32"/>
        <v/>
      </c>
      <c r="M178" s="4"/>
      <c r="N178" s="4"/>
      <c r="O178" s="4"/>
      <c r="P178" s="4"/>
      <c r="Q178" s="4"/>
      <c r="R178" s="4"/>
      <c r="S178" s="4"/>
      <c r="T178" s="4"/>
      <c r="U178" s="4"/>
    </row>
    <row r="179" spans="1:21">
      <c r="A179" t="s">
        <v>220</v>
      </c>
      <c r="B179">
        <v>10</v>
      </c>
      <c r="C179" t="str">
        <f t="shared" si="26"/>
        <v>test.Class11_10_</v>
      </c>
      <c r="D179">
        <v>13</v>
      </c>
      <c r="E179" s="4">
        <v>0.22167487684729065</v>
      </c>
      <c r="F179" s="4">
        <v>0.14231211772542846</v>
      </c>
      <c r="G179" s="4">
        <f t="shared" si="27"/>
        <v>0.22167487684729065</v>
      </c>
      <c r="H179" s="4" t="str">
        <f t="shared" si="28"/>
        <v/>
      </c>
      <c r="I179" s="4" t="str">
        <f t="shared" si="29"/>
        <v/>
      </c>
      <c r="J179" s="4" t="str">
        <f t="shared" si="30"/>
        <v/>
      </c>
      <c r="K179" s="4" t="str">
        <f t="shared" si="31"/>
        <v/>
      </c>
      <c r="L179" s="4" t="str">
        <f t="shared" si="32"/>
        <v/>
      </c>
      <c r="M179" s="4"/>
      <c r="N179" s="4"/>
      <c r="O179" s="4"/>
      <c r="P179" s="4"/>
      <c r="Q179" s="4"/>
      <c r="R179" s="4"/>
      <c r="S179" s="4"/>
      <c r="T179" s="4"/>
      <c r="U179" s="4"/>
    </row>
    <row r="180" spans="1:21">
      <c r="A180" t="s">
        <v>220</v>
      </c>
      <c r="B180">
        <v>10</v>
      </c>
      <c r="C180" t="str">
        <f t="shared" si="26"/>
        <v>test.Class11_10_</v>
      </c>
      <c r="D180">
        <v>14</v>
      </c>
      <c r="E180" s="4">
        <v>0.22167487684729065</v>
      </c>
      <c r="F180" s="4">
        <v>0.14267546781323806</v>
      </c>
      <c r="G180" s="4">
        <f t="shared" si="27"/>
        <v>0.22167487684729065</v>
      </c>
      <c r="H180" s="4" t="str">
        <f t="shared" si="28"/>
        <v/>
      </c>
      <c r="I180" s="4" t="str">
        <f t="shared" si="29"/>
        <v/>
      </c>
      <c r="J180" s="4" t="str">
        <f t="shared" si="30"/>
        <v/>
      </c>
      <c r="K180" s="4" t="str">
        <f t="shared" si="31"/>
        <v/>
      </c>
      <c r="L180" s="4" t="str">
        <f t="shared" si="32"/>
        <v/>
      </c>
      <c r="M180" s="4"/>
      <c r="N180" s="4"/>
      <c r="O180" s="4"/>
      <c r="P180" s="4"/>
      <c r="Q180" s="4"/>
      <c r="R180" s="4"/>
      <c r="S180" s="4"/>
      <c r="T180" s="4"/>
      <c r="U180" s="4"/>
    </row>
    <row r="181" spans="1:21">
      <c r="A181" t="s">
        <v>220</v>
      </c>
      <c r="B181">
        <v>10</v>
      </c>
      <c r="C181" t="str">
        <f t="shared" si="26"/>
        <v>test.Class11_10_</v>
      </c>
      <c r="D181">
        <v>15</v>
      </c>
      <c r="E181" s="4">
        <v>0.22167487684729065</v>
      </c>
      <c r="F181" s="4">
        <v>0.14370495972869859</v>
      </c>
      <c r="G181" s="4">
        <f t="shared" si="27"/>
        <v>0.22167487684729065</v>
      </c>
      <c r="H181" s="4" t="str">
        <f t="shared" si="28"/>
        <v/>
      </c>
      <c r="I181" s="4" t="str">
        <f t="shared" si="29"/>
        <v/>
      </c>
      <c r="J181" s="4" t="str">
        <f t="shared" si="30"/>
        <v/>
      </c>
      <c r="K181" s="4" t="str">
        <f t="shared" si="31"/>
        <v/>
      </c>
      <c r="L181" s="4" t="str">
        <f t="shared" si="32"/>
        <v/>
      </c>
      <c r="M181" s="4"/>
      <c r="N181" s="4"/>
      <c r="O181" s="4"/>
      <c r="P181" s="4"/>
      <c r="Q181" s="4"/>
      <c r="R181" s="4"/>
      <c r="S181" s="4"/>
      <c r="T181" s="4"/>
      <c r="U181" s="4"/>
    </row>
    <row r="182" spans="1:21">
      <c r="A182" t="s">
        <v>220</v>
      </c>
      <c r="B182">
        <v>10</v>
      </c>
      <c r="C182" t="str">
        <f t="shared" si="26"/>
        <v>test.Class11_10_</v>
      </c>
      <c r="D182">
        <v>16</v>
      </c>
      <c r="E182" s="4">
        <v>0.22167487684729065</v>
      </c>
      <c r="F182" s="4">
        <v>0.14449221825228609</v>
      </c>
      <c r="G182" s="4">
        <f t="shared" si="27"/>
        <v>0.22167487684729065</v>
      </c>
      <c r="H182" s="4" t="str">
        <f t="shared" si="28"/>
        <v/>
      </c>
      <c r="I182" s="4" t="str">
        <f t="shared" si="29"/>
        <v/>
      </c>
      <c r="J182" s="4" t="str">
        <f t="shared" si="30"/>
        <v/>
      </c>
      <c r="K182" s="4" t="str">
        <f t="shared" si="31"/>
        <v/>
      </c>
      <c r="L182" s="4" t="str">
        <f t="shared" si="32"/>
        <v/>
      </c>
      <c r="M182" s="4"/>
      <c r="N182" s="4"/>
      <c r="O182" s="4"/>
      <c r="P182" s="4"/>
      <c r="Q182" s="4"/>
      <c r="R182" s="4"/>
      <c r="S182" s="4"/>
      <c r="T182" s="4"/>
      <c r="U182" s="4"/>
    </row>
    <row r="183" spans="1:21">
      <c r="A183" t="s">
        <v>220</v>
      </c>
      <c r="B183">
        <v>10</v>
      </c>
      <c r="C183" t="str">
        <f t="shared" si="26"/>
        <v>test.Class11_10_</v>
      </c>
      <c r="D183">
        <v>17</v>
      </c>
      <c r="E183" s="4">
        <v>0.33743842364532017</v>
      </c>
      <c r="F183" s="4">
        <v>0.15751226306546356</v>
      </c>
      <c r="G183" s="4">
        <f t="shared" si="27"/>
        <v>0.33743842364532017</v>
      </c>
      <c r="H183" s="4" t="str">
        <f t="shared" si="28"/>
        <v/>
      </c>
      <c r="I183" s="4" t="str">
        <f t="shared" si="29"/>
        <v/>
      </c>
      <c r="J183" s="4" t="str">
        <f t="shared" si="30"/>
        <v/>
      </c>
      <c r="K183" s="4" t="str">
        <f t="shared" si="31"/>
        <v/>
      </c>
      <c r="L183" s="4" t="str">
        <f t="shared" si="32"/>
        <v/>
      </c>
      <c r="M183" s="4"/>
      <c r="N183" s="4"/>
      <c r="O183" s="4"/>
      <c r="P183" s="4"/>
      <c r="Q183" s="4"/>
      <c r="R183" s="4"/>
      <c r="S183" s="4"/>
      <c r="T183" s="4"/>
      <c r="U183" s="4"/>
    </row>
    <row r="184" spans="1:21">
      <c r="A184" t="s">
        <v>220</v>
      </c>
      <c r="B184">
        <v>10</v>
      </c>
      <c r="C184" t="str">
        <f t="shared" si="26"/>
        <v>test.Class11_10_</v>
      </c>
      <c r="D184">
        <v>18</v>
      </c>
      <c r="E184" s="4">
        <v>0.45073891625615764</v>
      </c>
      <c r="F184" s="4">
        <v>0.16072185550778176</v>
      </c>
      <c r="G184" s="4">
        <f t="shared" si="27"/>
        <v>0.45073891625615764</v>
      </c>
      <c r="H184" s="4" t="str">
        <f t="shared" si="28"/>
        <v/>
      </c>
      <c r="I184" s="4" t="str">
        <f t="shared" si="29"/>
        <v/>
      </c>
      <c r="J184" s="4" t="str">
        <f t="shared" si="30"/>
        <v/>
      </c>
      <c r="K184" s="4" t="str">
        <f t="shared" si="31"/>
        <v/>
      </c>
      <c r="L184" s="4" t="str">
        <f t="shared" si="32"/>
        <v/>
      </c>
      <c r="M184" s="4"/>
      <c r="N184" s="4"/>
      <c r="O184" s="4"/>
      <c r="P184" s="4"/>
      <c r="Q184" s="4"/>
      <c r="R184" s="4"/>
      <c r="S184" s="4"/>
      <c r="T184" s="4"/>
      <c r="U184" s="4"/>
    </row>
    <row r="185" spans="1:21">
      <c r="A185" t="s">
        <v>220</v>
      </c>
      <c r="B185">
        <v>10</v>
      </c>
      <c r="C185" t="str">
        <f t="shared" si="26"/>
        <v>test.Class11_10_</v>
      </c>
      <c r="D185">
        <v>19</v>
      </c>
      <c r="E185" s="4">
        <v>0.58620689655172409</v>
      </c>
      <c r="F185" s="4">
        <v>0.16435535638587778</v>
      </c>
      <c r="G185" s="4">
        <f t="shared" si="27"/>
        <v>0.58620689655172409</v>
      </c>
      <c r="H185" s="4" t="str">
        <f t="shared" si="28"/>
        <v/>
      </c>
      <c r="I185" s="4" t="str">
        <f t="shared" si="29"/>
        <v/>
      </c>
      <c r="J185" s="4" t="str">
        <f t="shared" si="30"/>
        <v/>
      </c>
      <c r="K185" s="4" t="str">
        <f t="shared" si="31"/>
        <v/>
      </c>
      <c r="L185" s="4" t="str">
        <f t="shared" si="32"/>
        <v/>
      </c>
      <c r="M185" s="4"/>
      <c r="N185" s="4"/>
      <c r="O185" s="4"/>
      <c r="P185" s="4"/>
      <c r="Q185" s="4"/>
      <c r="R185" s="4"/>
      <c r="S185" s="4"/>
      <c r="T185" s="4"/>
      <c r="U185" s="4"/>
    </row>
    <row r="186" spans="1:21">
      <c r="A186" t="s">
        <v>220</v>
      </c>
      <c r="B186">
        <v>10</v>
      </c>
      <c r="C186" t="str">
        <f t="shared" si="26"/>
        <v>test.Class11_10_</v>
      </c>
      <c r="D186">
        <v>20</v>
      </c>
      <c r="E186" s="4">
        <v>0.58620689655172409</v>
      </c>
      <c r="F186" s="4">
        <v>0.16780718222006905</v>
      </c>
      <c r="G186" s="4">
        <f t="shared" si="27"/>
        <v>0.58620689655172409</v>
      </c>
      <c r="H186" s="4" t="str">
        <f t="shared" si="28"/>
        <v/>
      </c>
      <c r="I186" s="4" t="str">
        <f t="shared" si="29"/>
        <v/>
      </c>
      <c r="J186" s="4" t="str">
        <f t="shared" si="30"/>
        <v/>
      </c>
      <c r="K186" s="4" t="str">
        <f t="shared" si="31"/>
        <v/>
      </c>
      <c r="L186" s="4" t="str">
        <f t="shared" si="32"/>
        <v/>
      </c>
      <c r="M186" s="4"/>
      <c r="N186" s="4"/>
      <c r="O186" s="4"/>
      <c r="P186" s="4"/>
      <c r="Q186" s="4"/>
      <c r="R186" s="4"/>
      <c r="S186" s="4"/>
      <c r="T186" s="4"/>
      <c r="U186" s="4"/>
    </row>
    <row r="187" spans="1:21">
      <c r="A187" t="s">
        <v>220</v>
      </c>
      <c r="B187">
        <v>10</v>
      </c>
      <c r="C187" t="str">
        <f t="shared" si="26"/>
        <v>test.Class11_10_</v>
      </c>
      <c r="D187">
        <v>21</v>
      </c>
      <c r="E187" s="4">
        <v>0.58620689655172409</v>
      </c>
      <c r="F187" s="4">
        <v>0.17337855023314963</v>
      </c>
      <c r="G187" s="4">
        <f t="shared" si="27"/>
        <v>0.58620689655172409</v>
      </c>
      <c r="H187" s="4" t="str">
        <f t="shared" si="28"/>
        <v/>
      </c>
      <c r="I187" s="4" t="str">
        <f t="shared" si="29"/>
        <v/>
      </c>
      <c r="J187" s="4" t="str">
        <f t="shared" si="30"/>
        <v/>
      </c>
      <c r="K187" s="4" t="str">
        <f t="shared" si="31"/>
        <v/>
      </c>
      <c r="L187" s="4" t="str">
        <f t="shared" si="32"/>
        <v/>
      </c>
      <c r="M187" s="4"/>
      <c r="N187" s="4"/>
      <c r="O187" s="4"/>
      <c r="P187" s="4"/>
      <c r="Q187" s="4"/>
      <c r="R187" s="4"/>
      <c r="S187" s="4"/>
      <c r="T187" s="4"/>
      <c r="U187" s="4"/>
    </row>
    <row r="188" spans="1:21">
      <c r="A188" t="s">
        <v>220</v>
      </c>
      <c r="B188">
        <v>10</v>
      </c>
      <c r="C188" t="str">
        <f t="shared" si="26"/>
        <v>test.Class11_10_</v>
      </c>
      <c r="D188">
        <v>22</v>
      </c>
      <c r="E188" s="4">
        <v>0.58620689655172409</v>
      </c>
      <c r="F188" s="4">
        <v>0.17561920910797554</v>
      </c>
      <c r="G188" s="4">
        <f t="shared" si="27"/>
        <v>0.58620689655172409</v>
      </c>
      <c r="H188" s="4" t="str">
        <f t="shared" si="28"/>
        <v/>
      </c>
      <c r="I188" s="4" t="str">
        <f t="shared" si="29"/>
        <v/>
      </c>
      <c r="J188" s="4" t="str">
        <f t="shared" si="30"/>
        <v/>
      </c>
      <c r="K188" s="4" t="str">
        <f t="shared" si="31"/>
        <v/>
      </c>
      <c r="L188" s="4" t="str">
        <f t="shared" si="32"/>
        <v/>
      </c>
      <c r="M188" s="4"/>
      <c r="N188" s="4"/>
      <c r="O188" s="4"/>
      <c r="P188" s="4"/>
      <c r="Q188" s="4"/>
      <c r="R188" s="4"/>
      <c r="S188" s="4"/>
      <c r="T188" s="4"/>
      <c r="U188" s="4"/>
    </row>
    <row r="189" spans="1:21">
      <c r="A189" t="s">
        <v>220</v>
      </c>
      <c r="B189">
        <v>10</v>
      </c>
      <c r="C189" t="str">
        <f t="shared" si="26"/>
        <v>test.Class11_10_</v>
      </c>
      <c r="D189">
        <v>23</v>
      </c>
      <c r="E189" s="4">
        <v>0.77093596059113301</v>
      </c>
      <c r="F189" s="4">
        <v>0.22430812087446256</v>
      </c>
      <c r="G189" s="4" t="str">
        <f t="shared" si="27"/>
        <v/>
      </c>
      <c r="H189" s="4">
        <f t="shared" si="28"/>
        <v>0.77093596059113301</v>
      </c>
      <c r="I189" s="4" t="str">
        <f t="shared" si="29"/>
        <v/>
      </c>
      <c r="J189" s="4" t="str">
        <f t="shared" si="30"/>
        <v/>
      </c>
      <c r="K189" s="4" t="str">
        <f t="shared" si="31"/>
        <v/>
      </c>
      <c r="L189" s="4" t="str">
        <f t="shared" si="32"/>
        <v/>
      </c>
      <c r="M189" s="4"/>
      <c r="N189" s="4"/>
      <c r="O189" s="4"/>
      <c r="P189" s="4"/>
      <c r="Q189" s="4"/>
      <c r="R189" s="4"/>
      <c r="S189" s="4"/>
      <c r="T189" s="4"/>
      <c r="U189" s="4"/>
    </row>
    <row r="190" spans="1:21">
      <c r="A190" t="s">
        <v>220</v>
      </c>
      <c r="B190">
        <v>10</v>
      </c>
      <c r="C190" t="str">
        <f t="shared" si="26"/>
        <v>test.Class11_10_</v>
      </c>
      <c r="D190">
        <v>24</v>
      </c>
      <c r="E190" s="4">
        <v>0.77093596059113301</v>
      </c>
      <c r="F190" s="4">
        <v>0.22551928783382788</v>
      </c>
      <c r="G190" s="4" t="str">
        <f t="shared" si="27"/>
        <v/>
      </c>
      <c r="H190" s="4">
        <f t="shared" si="28"/>
        <v>0.77093596059113301</v>
      </c>
      <c r="I190" s="4" t="str">
        <f t="shared" si="29"/>
        <v/>
      </c>
      <c r="J190" s="4" t="str">
        <f t="shared" si="30"/>
        <v/>
      </c>
      <c r="K190" s="4" t="str">
        <f t="shared" si="31"/>
        <v/>
      </c>
      <c r="L190" s="4" t="str">
        <f t="shared" si="32"/>
        <v/>
      </c>
      <c r="M190" s="4"/>
      <c r="N190" s="4"/>
      <c r="O190" s="4"/>
      <c r="P190" s="4"/>
      <c r="Q190" s="4"/>
      <c r="R190" s="4"/>
      <c r="S190" s="4"/>
      <c r="T190" s="4"/>
      <c r="U190" s="4"/>
    </row>
    <row r="191" spans="1:21">
      <c r="A191" t="s">
        <v>220</v>
      </c>
      <c r="B191">
        <v>10</v>
      </c>
      <c r="C191" t="str">
        <f t="shared" si="26"/>
        <v>test.Class11_10_</v>
      </c>
      <c r="D191">
        <v>25</v>
      </c>
      <c r="E191" s="4">
        <v>0.77093596059113301</v>
      </c>
      <c r="F191" s="4">
        <v>0.22673045479319323</v>
      </c>
      <c r="G191" s="4" t="str">
        <f t="shared" si="27"/>
        <v/>
      </c>
      <c r="H191" s="4">
        <f t="shared" si="28"/>
        <v>0.77093596059113301</v>
      </c>
      <c r="I191" s="4" t="str">
        <f t="shared" si="29"/>
        <v/>
      </c>
      <c r="J191" s="4" t="str">
        <f t="shared" si="30"/>
        <v/>
      </c>
      <c r="K191" s="4" t="str">
        <f t="shared" si="31"/>
        <v/>
      </c>
      <c r="L191" s="4" t="str">
        <f t="shared" si="32"/>
        <v/>
      </c>
      <c r="M191" s="4"/>
      <c r="N191" s="4"/>
      <c r="O191" s="4"/>
      <c r="P191" s="4"/>
      <c r="Q191" s="4"/>
      <c r="R191" s="4"/>
      <c r="S191" s="4"/>
      <c r="T191" s="4"/>
      <c r="U191" s="4"/>
    </row>
    <row r="192" spans="1:21">
      <c r="A192" t="s">
        <v>220</v>
      </c>
      <c r="B192">
        <v>10</v>
      </c>
      <c r="C192" t="str">
        <f t="shared" si="26"/>
        <v>test.Class11_10_</v>
      </c>
      <c r="D192">
        <v>26</v>
      </c>
      <c r="E192" s="4">
        <v>0.77093596059113301</v>
      </c>
      <c r="F192" s="4">
        <v>0.22806273844849512</v>
      </c>
      <c r="G192" s="4" t="str">
        <f t="shared" si="27"/>
        <v/>
      </c>
      <c r="H192" s="4">
        <f t="shared" si="28"/>
        <v>0.77093596059113301</v>
      </c>
      <c r="I192" s="4" t="str">
        <f t="shared" si="29"/>
        <v/>
      </c>
      <c r="J192" s="4" t="str">
        <f t="shared" si="30"/>
        <v/>
      </c>
      <c r="K192" s="4" t="str">
        <f t="shared" si="31"/>
        <v/>
      </c>
      <c r="L192" s="4" t="str">
        <f t="shared" si="32"/>
        <v/>
      </c>
      <c r="M192" s="4"/>
      <c r="N192" s="4"/>
      <c r="O192" s="4"/>
      <c r="P192" s="4"/>
      <c r="Q192" s="4"/>
      <c r="R192" s="4"/>
      <c r="S192" s="4"/>
      <c r="T192" s="4"/>
      <c r="U192" s="4"/>
    </row>
    <row r="193" spans="1:21">
      <c r="A193" t="s">
        <v>220</v>
      </c>
      <c r="B193">
        <v>10</v>
      </c>
      <c r="C193" t="str">
        <f t="shared" si="26"/>
        <v>test.Class11_10_</v>
      </c>
      <c r="D193">
        <v>27</v>
      </c>
      <c r="E193" s="4">
        <v>0.77093596059113301</v>
      </c>
      <c r="F193" s="4">
        <v>0.23829709925513232</v>
      </c>
      <c r="G193" s="4" t="str">
        <f t="shared" si="27"/>
        <v/>
      </c>
      <c r="H193" s="4">
        <f t="shared" si="28"/>
        <v>0.77093596059113301</v>
      </c>
      <c r="I193" s="4" t="str">
        <f t="shared" si="29"/>
        <v/>
      </c>
      <c r="J193" s="4" t="str">
        <f t="shared" si="30"/>
        <v/>
      </c>
      <c r="K193" s="4" t="str">
        <f t="shared" si="31"/>
        <v/>
      </c>
      <c r="L193" s="4" t="str">
        <f t="shared" si="32"/>
        <v/>
      </c>
      <c r="M193" s="4"/>
      <c r="N193" s="4"/>
      <c r="O193" s="4"/>
      <c r="P193" s="4"/>
      <c r="Q193" s="4"/>
      <c r="R193" s="4"/>
      <c r="S193" s="4"/>
      <c r="T193" s="4"/>
      <c r="U193" s="4"/>
    </row>
    <row r="194" spans="1:21">
      <c r="A194" t="s">
        <v>220</v>
      </c>
      <c r="B194">
        <v>10</v>
      </c>
      <c r="C194" t="str">
        <f t="shared" si="26"/>
        <v>test.Class11_10_</v>
      </c>
      <c r="D194">
        <v>28</v>
      </c>
      <c r="E194" s="4">
        <v>0.77093596059113301</v>
      </c>
      <c r="F194" s="4">
        <v>0.23975049960637074</v>
      </c>
      <c r="G194" s="4" t="str">
        <f t="shared" si="27"/>
        <v/>
      </c>
      <c r="H194" s="4">
        <f t="shared" si="28"/>
        <v>0.77093596059113301</v>
      </c>
      <c r="I194" s="4" t="str">
        <f t="shared" si="29"/>
        <v/>
      </c>
      <c r="J194" s="4" t="str">
        <f t="shared" si="30"/>
        <v/>
      </c>
      <c r="K194" s="4" t="str">
        <f t="shared" si="31"/>
        <v/>
      </c>
      <c r="L194" s="4" t="str">
        <f t="shared" si="32"/>
        <v/>
      </c>
      <c r="M194" s="4"/>
      <c r="N194" s="4"/>
      <c r="O194" s="4"/>
      <c r="P194" s="4"/>
      <c r="Q194" s="4"/>
      <c r="R194" s="4"/>
      <c r="S194" s="4"/>
      <c r="T194" s="4"/>
      <c r="U194" s="4"/>
    </row>
    <row r="195" spans="1:21">
      <c r="A195" t="s">
        <v>220</v>
      </c>
      <c r="B195">
        <v>10</v>
      </c>
      <c r="C195" t="str">
        <f t="shared" ref="C195:C258" si="33">CONCATENATE(A195, "_",B195,"_")</f>
        <v>test.Class11_10_</v>
      </c>
      <c r="D195">
        <v>29</v>
      </c>
      <c r="E195" s="4">
        <v>0.77093596059113301</v>
      </c>
      <c r="F195" s="4">
        <v>0.24059831647792648</v>
      </c>
      <c r="G195" s="4" t="str">
        <f t="shared" ref="G195:G258" si="34">IF($F195 &lt;= 0.2,$E195,"")</f>
        <v/>
      </c>
      <c r="H195" s="4">
        <f t="shared" ref="H195:H258" si="35">IF(AND($F195 &gt; 0.2,$F195 &lt;= 0.4),$E195,"")</f>
        <v>0.77093596059113301</v>
      </c>
      <c r="I195" s="4" t="str">
        <f t="shared" ref="I195:I258" si="36">IF(AND($F195 &gt; 0.4,$F195 &lt;= 0.6),$E195,"")</f>
        <v/>
      </c>
      <c r="J195" s="4" t="str">
        <f t="shared" ref="J195:J258" si="37">IF(AND($F195 &gt; 0.6,$F195 &lt;= 0.8),$E195,"")</f>
        <v/>
      </c>
      <c r="K195" s="4" t="str">
        <f t="shared" ref="K195:K258" si="38">IF(AND($F195 &gt; 0.8, $F195 &lt;=1.1),$E195,"")</f>
        <v/>
      </c>
      <c r="L195" s="4" t="str">
        <f t="shared" ref="L195:L258" si="39">IF(AND($F195 &gt; 1.1),$E195,"")</f>
        <v/>
      </c>
      <c r="M195" s="4"/>
      <c r="N195" s="4"/>
      <c r="O195" s="4"/>
      <c r="P195" s="4"/>
      <c r="Q195" s="4"/>
      <c r="R195" s="4"/>
      <c r="S195" s="4"/>
      <c r="T195" s="4"/>
      <c r="U195" s="4"/>
    </row>
    <row r="196" spans="1:21">
      <c r="A196" t="s">
        <v>220</v>
      </c>
      <c r="B196">
        <v>10</v>
      </c>
      <c r="C196" t="str">
        <f t="shared" si="33"/>
        <v>test.Class11_10_</v>
      </c>
      <c r="D196">
        <v>30</v>
      </c>
      <c r="E196" s="4">
        <v>0.77093596059113301</v>
      </c>
      <c r="F196" s="4">
        <v>0.24332344213649851</v>
      </c>
      <c r="G196" s="4" t="str">
        <f t="shared" si="34"/>
        <v/>
      </c>
      <c r="H196" s="4">
        <f t="shared" si="35"/>
        <v>0.77093596059113301</v>
      </c>
      <c r="I196" s="4" t="str">
        <f t="shared" si="36"/>
        <v/>
      </c>
      <c r="J196" s="4" t="str">
        <f t="shared" si="37"/>
        <v/>
      </c>
      <c r="K196" s="4" t="str">
        <f t="shared" si="38"/>
        <v/>
      </c>
      <c r="L196" s="4" t="str">
        <f t="shared" si="39"/>
        <v/>
      </c>
      <c r="M196" s="4"/>
      <c r="N196" s="4"/>
      <c r="O196" s="4"/>
      <c r="P196" s="4"/>
      <c r="Q196" s="4"/>
      <c r="R196" s="4"/>
      <c r="S196" s="4"/>
      <c r="T196" s="4"/>
      <c r="U196" s="4"/>
    </row>
    <row r="197" spans="1:21">
      <c r="A197" t="s">
        <v>220</v>
      </c>
      <c r="B197">
        <v>10</v>
      </c>
      <c r="C197" t="str">
        <f t="shared" si="33"/>
        <v>test.Class11_10_</v>
      </c>
      <c r="D197">
        <v>31</v>
      </c>
      <c r="E197" s="4">
        <v>1</v>
      </c>
      <c r="F197" s="4">
        <v>0.27941621752558587</v>
      </c>
      <c r="G197" s="4" t="str">
        <f t="shared" si="34"/>
        <v/>
      </c>
      <c r="H197" s="4">
        <f t="shared" si="35"/>
        <v>1</v>
      </c>
      <c r="I197" s="4" t="str">
        <f t="shared" si="36"/>
        <v/>
      </c>
      <c r="J197" s="4" t="str">
        <f t="shared" si="37"/>
        <v/>
      </c>
      <c r="K197" s="4" t="str">
        <f t="shared" si="38"/>
        <v/>
      </c>
      <c r="L197" s="4" t="str">
        <f t="shared" si="39"/>
        <v/>
      </c>
      <c r="M197" s="4"/>
      <c r="N197" s="4"/>
      <c r="O197" s="4"/>
      <c r="P197" s="4"/>
      <c r="Q197" s="4"/>
      <c r="R197" s="4"/>
      <c r="S197" s="4"/>
      <c r="T197" s="4"/>
      <c r="U197" s="4"/>
    </row>
    <row r="198" spans="1:21">
      <c r="A198" t="s">
        <v>220</v>
      </c>
      <c r="B198">
        <v>10</v>
      </c>
      <c r="C198" t="str">
        <f t="shared" si="33"/>
        <v>test.Class11_10_</v>
      </c>
      <c r="D198">
        <v>32</v>
      </c>
      <c r="E198" s="4">
        <v>1</v>
      </c>
      <c r="F198" s="4">
        <v>0.29316296251438262</v>
      </c>
      <c r="G198" s="4" t="str">
        <f t="shared" si="34"/>
        <v/>
      </c>
      <c r="H198" s="4">
        <f t="shared" si="35"/>
        <v>1</v>
      </c>
      <c r="I198" s="4" t="str">
        <f t="shared" si="36"/>
        <v/>
      </c>
      <c r="J198" s="4" t="str">
        <f t="shared" si="37"/>
        <v/>
      </c>
      <c r="K198" s="4" t="str">
        <f t="shared" si="38"/>
        <v/>
      </c>
      <c r="L198" s="4" t="str">
        <f t="shared" si="39"/>
        <v/>
      </c>
      <c r="M198" s="4"/>
      <c r="N198" s="4"/>
      <c r="O198" s="4"/>
      <c r="P198" s="4"/>
      <c r="Q198" s="4"/>
      <c r="R198" s="4"/>
      <c r="S198" s="4"/>
      <c r="T198" s="4"/>
      <c r="U198" s="4"/>
    </row>
    <row r="199" spans="1:21">
      <c r="A199" t="s">
        <v>220</v>
      </c>
      <c r="B199">
        <v>11</v>
      </c>
      <c r="C199" t="str">
        <f t="shared" si="33"/>
        <v>test.Class11_11_</v>
      </c>
      <c r="D199">
        <v>1</v>
      </c>
      <c r="E199" s="4">
        <v>5.208333333333333E-3</v>
      </c>
      <c r="F199" s="4">
        <v>1.7695473251028805E-2</v>
      </c>
      <c r="G199" s="4">
        <f t="shared" si="34"/>
        <v>5.208333333333333E-3</v>
      </c>
      <c r="H199" s="4" t="str">
        <f t="shared" si="35"/>
        <v/>
      </c>
      <c r="I199" s="4" t="str">
        <f t="shared" si="36"/>
        <v/>
      </c>
      <c r="J199" s="4" t="str">
        <f t="shared" si="37"/>
        <v/>
      </c>
      <c r="K199" s="4" t="str">
        <f t="shared" si="38"/>
        <v/>
      </c>
      <c r="L199" s="4" t="str">
        <f t="shared" si="39"/>
        <v/>
      </c>
      <c r="M199" s="4"/>
      <c r="N199" s="4"/>
      <c r="O199" s="4"/>
      <c r="P199" s="4"/>
      <c r="Q199" s="4"/>
      <c r="R199" s="4"/>
      <c r="S199" s="4"/>
      <c r="T199" s="4"/>
      <c r="U199" s="4"/>
    </row>
    <row r="200" spans="1:21">
      <c r="A200" t="s">
        <v>220</v>
      </c>
      <c r="B200">
        <v>11</v>
      </c>
      <c r="C200" t="str">
        <f t="shared" si="33"/>
        <v>test.Class11_11_</v>
      </c>
      <c r="D200">
        <v>2</v>
      </c>
      <c r="E200" s="4">
        <v>8.8541666666666671E-2</v>
      </c>
      <c r="F200" s="4">
        <v>0.12537722908093279</v>
      </c>
      <c r="G200" s="4">
        <f t="shared" si="34"/>
        <v>8.8541666666666671E-2</v>
      </c>
      <c r="H200" s="4" t="str">
        <f t="shared" si="35"/>
        <v/>
      </c>
      <c r="I200" s="4" t="str">
        <f t="shared" si="36"/>
        <v/>
      </c>
      <c r="J200" s="4" t="str">
        <f t="shared" si="37"/>
        <v/>
      </c>
      <c r="K200" s="4" t="str">
        <f t="shared" si="38"/>
        <v/>
      </c>
      <c r="L200" s="4" t="str">
        <f t="shared" si="39"/>
        <v/>
      </c>
      <c r="M200" s="4"/>
      <c r="N200" s="4"/>
      <c r="O200" s="4"/>
      <c r="P200" s="4"/>
      <c r="Q200" s="4"/>
      <c r="R200" s="4"/>
      <c r="S200" s="4"/>
      <c r="T200" s="4"/>
      <c r="U200" s="4"/>
    </row>
    <row r="201" spans="1:21">
      <c r="A201" t="s">
        <v>220</v>
      </c>
      <c r="B201">
        <v>11</v>
      </c>
      <c r="C201" t="str">
        <f t="shared" si="33"/>
        <v>test.Class11_11_</v>
      </c>
      <c r="D201">
        <v>3</v>
      </c>
      <c r="E201" s="4">
        <v>0.11979166666666667</v>
      </c>
      <c r="F201" s="4">
        <v>0.15144032921810699</v>
      </c>
      <c r="G201" s="4">
        <f t="shared" si="34"/>
        <v>0.11979166666666667</v>
      </c>
      <c r="H201" s="4" t="str">
        <f t="shared" si="35"/>
        <v/>
      </c>
      <c r="I201" s="4" t="str">
        <f t="shared" si="36"/>
        <v/>
      </c>
      <c r="J201" s="4" t="str">
        <f t="shared" si="37"/>
        <v/>
      </c>
      <c r="K201" s="4" t="str">
        <f t="shared" si="38"/>
        <v/>
      </c>
      <c r="L201" s="4" t="str">
        <f t="shared" si="39"/>
        <v/>
      </c>
      <c r="M201" s="4"/>
      <c r="N201" s="4"/>
      <c r="O201" s="4"/>
      <c r="P201" s="4"/>
      <c r="Q201" s="4"/>
      <c r="R201" s="4"/>
      <c r="S201" s="4"/>
      <c r="T201" s="4"/>
      <c r="U201" s="4"/>
    </row>
    <row r="202" spans="1:21">
      <c r="A202" t="s">
        <v>220</v>
      </c>
      <c r="B202">
        <v>11</v>
      </c>
      <c r="C202" t="str">
        <f t="shared" si="33"/>
        <v>test.Class11_11_</v>
      </c>
      <c r="D202">
        <v>4</v>
      </c>
      <c r="E202" s="4">
        <v>0.26041666666666669</v>
      </c>
      <c r="F202" s="4">
        <v>0.2326474622770919</v>
      </c>
      <c r="G202" s="4" t="str">
        <f t="shared" si="34"/>
        <v/>
      </c>
      <c r="H202" s="4">
        <f t="shared" si="35"/>
        <v>0.26041666666666669</v>
      </c>
      <c r="I202" s="4" t="str">
        <f t="shared" si="36"/>
        <v/>
      </c>
      <c r="J202" s="4" t="str">
        <f t="shared" si="37"/>
        <v/>
      </c>
      <c r="K202" s="4" t="str">
        <f t="shared" si="38"/>
        <v/>
      </c>
      <c r="L202" s="4" t="str">
        <f t="shared" si="39"/>
        <v/>
      </c>
      <c r="M202" s="4"/>
      <c r="N202" s="4"/>
      <c r="O202" s="4"/>
      <c r="P202" s="4"/>
      <c r="Q202" s="4"/>
      <c r="R202" s="4"/>
      <c r="S202" s="4"/>
      <c r="T202" s="4"/>
      <c r="U202" s="4"/>
    </row>
    <row r="203" spans="1:21">
      <c r="A203" t="s">
        <v>220</v>
      </c>
      <c r="B203">
        <v>11</v>
      </c>
      <c r="C203" t="str">
        <f t="shared" si="33"/>
        <v>test.Class11_11_</v>
      </c>
      <c r="D203">
        <v>5</v>
      </c>
      <c r="E203" s="4">
        <v>0.40104166666666669</v>
      </c>
      <c r="F203" s="4">
        <v>0.24842249657064472</v>
      </c>
      <c r="G203" s="4" t="str">
        <f t="shared" si="34"/>
        <v/>
      </c>
      <c r="H203" s="4">
        <f t="shared" si="35"/>
        <v>0.40104166666666669</v>
      </c>
      <c r="I203" s="4" t="str">
        <f t="shared" si="36"/>
        <v/>
      </c>
      <c r="J203" s="4" t="str">
        <f t="shared" si="37"/>
        <v/>
      </c>
      <c r="K203" s="4" t="str">
        <f t="shared" si="38"/>
        <v/>
      </c>
      <c r="L203" s="4" t="str">
        <f t="shared" si="39"/>
        <v/>
      </c>
      <c r="M203" s="4"/>
      <c r="N203" s="4"/>
      <c r="O203" s="4"/>
      <c r="P203" s="4"/>
      <c r="Q203" s="4"/>
      <c r="R203" s="4"/>
      <c r="S203" s="4"/>
      <c r="T203" s="4"/>
      <c r="U203" s="4"/>
    </row>
    <row r="204" spans="1:21">
      <c r="A204" t="s">
        <v>220</v>
      </c>
      <c r="B204">
        <v>11</v>
      </c>
      <c r="C204" t="str">
        <f t="shared" si="33"/>
        <v>test.Class11_11_</v>
      </c>
      <c r="D204">
        <v>6</v>
      </c>
      <c r="E204" s="4">
        <v>0.54166666666666663</v>
      </c>
      <c r="F204" s="4">
        <v>0.2544581618655693</v>
      </c>
      <c r="G204" s="4" t="str">
        <f t="shared" si="34"/>
        <v/>
      </c>
      <c r="H204" s="4">
        <f t="shared" si="35"/>
        <v>0.54166666666666663</v>
      </c>
      <c r="I204" s="4" t="str">
        <f t="shared" si="36"/>
        <v/>
      </c>
      <c r="J204" s="4" t="str">
        <f t="shared" si="37"/>
        <v/>
      </c>
      <c r="K204" s="4" t="str">
        <f t="shared" si="38"/>
        <v/>
      </c>
      <c r="L204" s="4" t="str">
        <f t="shared" si="39"/>
        <v/>
      </c>
      <c r="M204" s="4"/>
      <c r="N204" s="4"/>
      <c r="O204" s="4"/>
      <c r="P204" s="4"/>
      <c r="Q204" s="4"/>
      <c r="R204" s="4"/>
      <c r="S204" s="4"/>
      <c r="T204" s="4"/>
      <c r="U204" s="4"/>
    </row>
    <row r="205" spans="1:21">
      <c r="A205" t="s">
        <v>220</v>
      </c>
      <c r="B205">
        <v>11</v>
      </c>
      <c r="C205" t="str">
        <f t="shared" si="33"/>
        <v>test.Class11_11_</v>
      </c>
      <c r="D205">
        <v>7</v>
      </c>
      <c r="E205" s="4">
        <v>0.68229166666666663</v>
      </c>
      <c r="F205" s="4">
        <v>0.26255144032921812</v>
      </c>
      <c r="G205" s="4" t="str">
        <f t="shared" si="34"/>
        <v/>
      </c>
      <c r="H205" s="4">
        <f t="shared" si="35"/>
        <v>0.68229166666666663</v>
      </c>
      <c r="I205" s="4" t="str">
        <f t="shared" si="36"/>
        <v/>
      </c>
      <c r="J205" s="4" t="str">
        <f t="shared" si="37"/>
        <v/>
      </c>
      <c r="K205" s="4" t="str">
        <f t="shared" si="38"/>
        <v/>
      </c>
      <c r="L205" s="4" t="str">
        <f t="shared" si="39"/>
        <v/>
      </c>
      <c r="M205" s="4"/>
      <c r="N205" s="4"/>
      <c r="O205" s="4"/>
      <c r="P205" s="4"/>
      <c r="Q205" s="4"/>
      <c r="R205" s="4"/>
      <c r="S205" s="4"/>
      <c r="T205" s="4"/>
      <c r="U205" s="4"/>
    </row>
    <row r="206" spans="1:21">
      <c r="A206" t="s">
        <v>220</v>
      </c>
      <c r="B206">
        <v>11</v>
      </c>
      <c r="C206" t="str">
        <f t="shared" si="33"/>
        <v>test.Class11_11_</v>
      </c>
      <c r="D206">
        <v>8</v>
      </c>
      <c r="E206" s="4">
        <v>0.68229166666666663</v>
      </c>
      <c r="F206" s="4">
        <v>0.26433470507544582</v>
      </c>
      <c r="G206" s="4" t="str">
        <f t="shared" si="34"/>
        <v/>
      </c>
      <c r="H206" s="4">
        <f t="shared" si="35"/>
        <v>0.68229166666666663</v>
      </c>
      <c r="I206" s="4" t="str">
        <f t="shared" si="36"/>
        <v/>
      </c>
      <c r="J206" s="4" t="str">
        <f t="shared" si="37"/>
        <v/>
      </c>
      <c r="K206" s="4" t="str">
        <f t="shared" si="38"/>
        <v/>
      </c>
      <c r="L206" s="4" t="str">
        <f t="shared" si="39"/>
        <v/>
      </c>
      <c r="M206" s="4"/>
      <c r="N206" s="4"/>
      <c r="O206" s="4"/>
      <c r="P206" s="4"/>
      <c r="Q206" s="4"/>
      <c r="R206" s="4"/>
      <c r="S206" s="4"/>
      <c r="T206" s="4"/>
      <c r="U206" s="4"/>
    </row>
    <row r="207" spans="1:21">
      <c r="A207" t="s">
        <v>220</v>
      </c>
      <c r="B207">
        <v>11</v>
      </c>
      <c r="C207" t="str">
        <f t="shared" si="33"/>
        <v>test.Class11_11_</v>
      </c>
      <c r="D207">
        <v>9</v>
      </c>
      <c r="E207" s="4">
        <v>0.68229166666666663</v>
      </c>
      <c r="F207" s="4">
        <v>0.26735253772290807</v>
      </c>
      <c r="G207" s="4" t="str">
        <f t="shared" si="34"/>
        <v/>
      </c>
      <c r="H207" s="4">
        <f t="shared" si="35"/>
        <v>0.68229166666666663</v>
      </c>
      <c r="I207" s="4" t="str">
        <f t="shared" si="36"/>
        <v/>
      </c>
      <c r="J207" s="4" t="str">
        <f t="shared" si="37"/>
        <v/>
      </c>
      <c r="K207" s="4" t="str">
        <f t="shared" si="38"/>
        <v/>
      </c>
      <c r="L207" s="4" t="str">
        <f t="shared" si="39"/>
        <v/>
      </c>
      <c r="M207" s="4"/>
      <c r="N207" s="4"/>
      <c r="O207" s="4"/>
      <c r="P207" s="4"/>
      <c r="Q207" s="4"/>
      <c r="R207" s="4"/>
      <c r="S207" s="4"/>
      <c r="T207" s="4"/>
      <c r="U207" s="4"/>
    </row>
    <row r="208" spans="1:21">
      <c r="A208" t="s">
        <v>220</v>
      </c>
      <c r="B208">
        <v>11</v>
      </c>
      <c r="C208" t="str">
        <f t="shared" si="33"/>
        <v>test.Class11_11_</v>
      </c>
      <c r="D208">
        <v>10</v>
      </c>
      <c r="E208" s="4">
        <v>0.68229166666666663</v>
      </c>
      <c r="F208" s="4">
        <v>0.27914951989026066</v>
      </c>
      <c r="G208" s="4" t="str">
        <f t="shared" si="34"/>
        <v/>
      </c>
      <c r="H208" s="4">
        <f t="shared" si="35"/>
        <v>0.68229166666666663</v>
      </c>
      <c r="I208" s="4" t="str">
        <f t="shared" si="36"/>
        <v/>
      </c>
      <c r="J208" s="4" t="str">
        <f t="shared" si="37"/>
        <v/>
      </c>
      <c r="K208" s="4" t="str">
        <f t="shared" si="38"/>
        <v/>
      </c>
      <c r="L208" s="4" t="str">
        <f t="shared" si="39"/>
        <v/>
      </c>
      <c r="M208" s="4"/>
      <c r="N208" s="4"/>
      <c r="O208" s="4"/>
      <c r="P208" s="4"/>
      <c r="Q208" s="4"/>
      <c r="R208" s="4"/>
      <c r="S208" s="4"/>
      <c r="T208" s="4"/>
      <c r="U208" s="4"/>
    </row>
    <row r="209" spans="1:21">
      <c r="A209" t="s">
        <v>220</v>
      </c>
      <c r="B209">
        <v>11</v>
      </c>
      <c r="C209" t="str">
        <f t="shared" si="33"/>
        <v>test.Class11_11_</v>
      </c>
      <c r="D209">
        <v>11</v>
      </c>
      <c r="E209" s="4">
        <v>0.68229166666666663</v>
      </c>
      <c r="F209" s="4">
        <v>0.29368998628257886</v>
      </c>
      <c r="G209" s="4" t="str">
        <f t="shared" si="34"/>
        <v/>
      </c>
      <c r="H209" s="4">
        <f t="shared" si="35"/>
        <v>0.68229166666666663</v>
      </c>
      <c r="I209" s="4" t="str">
        <f t="shared" si="36"/>
        <v/>
      </c>
      <c r="J209" s="4" t="str">
        <f t="shared" si="37"/>
        <v/>
      </c>
      <c r="K209" s="4" t="str">
        <f t="shared" si="38"/>
        <v/>
      </c>
      <c r="L209" s="4" t="str">
        <f t="shared" si="39"/>
        <v/>
      </c>
      <c r="M209" s="4"/>
      <c r="N209" s="4"/>
      <c r="O209" s="4"/>
      <c r="P209" s="4"/>
      <c r="Q209" s="4"/>
      <c r="R209" s="4"/>
      <c r="S209" s="4"/>
      <c r="T209" s="4"/>
      <c r="U209" s="4"/>
    </row>
    <row r="210" spans="1:21">
      <c r="A210" t="s">
        <v>220</v>
      </c>
      <c r="B210">
        <v>11</v>
      </c>
      <c r="C210" t="str">
        <f t="shared" si="33"/>
        <v>test.Class11_11_</v>
      </c>
      <c r="D210">
        <v>12</v>
      </c>
      <c r="E210" s="4">
        <v>1</v>
      </c>
      <c r="F210" s="4">
        <v>0.96817558299039785</v>
      </c>
      <c r="G210" s="4" t="str">
        <f t="shared" si="34"/>
        <v/>
      </c>
      <c r="H210" s="4" t="str">
        <f t="shared" si="35"/>
        <v/>
      </c>
      <c r="I210" s="4" t="str">
        <f t="shared" si="36"/>
        <v/>
      </c>
      <c r="J210" s="4" t="str">
        <f t="shared" si="37"/>
        <v/>
      </c>
      <c r="K210" s="4">
        <f t="shared" si="38"/>
        <v>1</v>
      </c>
      <c r="L210" s="4" t="str">
        <f t="shared" si="39"/>
        <v/>
      </c>
      <c r="M210" s="4"/>
      <c r="N210" s="4"/>
      <c r="O210" s="4"/>
      <c r="P210" s="4"/>
      <c r="Q210" s="4"/>
      <c r="R210" s="4"/>
      <c r="S210" s="4"/>
      <c r="T210" s="4"/>
      <c r="U210" s="4"/>
    </row>
    <row r="211" spans="1:21">
      <c r="A211" t="s">
        <v>220</v>
      </c>
      <c r="B211">
        <v>11</v>
      </c>
      <c r="C211" t="str">
        <f t="shared" si="33"/>
        <v>test.Class11_11_</v>
      </c>
      <c r="D211">
        <v>13</v>
      </c>
      <c r="E211" s="4">
        <v>1</v>
      </c>
      <c r="F211" s="4">
        <v>1.0006858710562414</v>
      </c>
      <c r="G211" s="4" t="str">
        <f t="shared" si="34"/>
        <v/>
      </c>
      <c r="H211" s="4" t="str">
        <f t="shared" si="35"/>
        <v/>
      </c>
      <c r="I211" s="4" t="str">
        <f t="shared" si="36"/>
        <v/>
      </c>
      <c r="J211" s="4" t="str">
        <f t="shared" si="37"/>
        <v/>
      </c>
      <c r="K211" s="4">
        <f t="shared" si="38"/>
        <v>1</v>
      </c>
      <c r="L211" s="4" t="str">
        <f t="shared" si="39"/>
        <v/>
      </c>
      <c r="M211" s="4"/>
      <c r="N211" s="4"/>
      <c r="O211" s="4"/>
      <c r="P211" s="4"/>
      <c r="Q211" s="4"/>
      <c r="R211" s="4"/>
      <c r="S211" s="4"/>
      <c r="T211" s="4"/>
      <c r="U211" s="4"/>
    </row>
    <row r="212" spans="1:21">
      <c r="A212" t="s">
        <v>220</v>
      </c>
      <c r="B212">
        <v>12</v>
      </c>
      <c r="C212" t="str">
        <f t="shared" si="33"/>
        <v>test.Class11_12_</v>
      </c>
      <c r="D212">
        <v>1</v>
      </c>
      <c r="E212" s="4">
        <v>8.4745762711864406E-3</v>
      </c>
      <c r="F212" s="4">
        <v>2.6338893766461809E-2</v>
      </c>
      <c r="G212" s="4">
        <f t="shared" si="34"/>
        <v>8.4745762711864406E-3</v>
      </c>
      <c r="H212" s="4" t="str">
        <f t="shared" si="35"/>
        <v/>
      </c>
      <c r="I212" s="4" t="str">
        <f t="shared" si="36"/>
        <v/>
      </c>
      <c r="J212" s="4" t="str">
        <f t="shared" si="37"/>
        <v/>
      </c>
      <c r="K212" s="4" t="str">
        <f t="shared" si="38"/>
        <v/>
      </c>
      <c r="L212" s="4" t="str">
        <f t="shared" si="39"/>
        <v/>
      </c>
      <c r="M212" s="4"/>
      <c r="N212" s="4"/>
      <c r="O212" s="4"/>
      <c r="P212" s="4"/>
      <c r="Q212" s="4"/>
      <c r="R212" s="4"/>
      <c r="S212" s="4"/>
      <c r="T212" s="4"/>
      <c r="U212" s="4"/>
    </row>
    <row r="213" spans="1:21">
      <c r="A213" t="s">
        <v>220</v>
      </c>
      <c r="B213">
        <v>12</v>
      </c>
      <c r="C213" t="str">
        <f t="shared" si="33"/>
        <v>test.Class11_12_</v>
      </c>
      <c r="D213">
        <v>2</v>
      </c>
      <c r="E213" s="4">
        <v>0.52542372881355937</v>
      </c>
      <c r="F213" s="4">
        <v>0.60008779631255482</v>
      </c>
      <c r="G213" s="4" t="str">
        <f t="shared" si="34"/>
        <v/>
      </c>
      <c r="H213" s="4" t="str">
        <f t="shared" si="35"/>
        <v/>
      </c>
      <c r="I213" s="4" t="str">
        <f t="shared" si="36"/>
        <v/>
      </c>
      <c r="J213" s="4">
        <f t="shared" si="37"/>
        <v>0.52542372881355937</v>
      </c>
      <c r="K213" s="4" t="str">
        <f t="shared" si="38"/>
        <v/>
      </c>
      <c r="L213" s="4" t="str">
        <f t="shared" si="39"/>
        <v/>
      </c>
      <c r="M213" s="4"/>
      <c r="N213" s="4"/>
      <c r="O213" s="4"/>
      <c r="P213" s="4"/>
      <c r="Q213" s="4"/>
      <c r="R213" s="4"/>
      <c r="S213" s="4"/>
      <c r="T213" s="4"/>
      <c r="U213" s="4"/>
    </row>
    <row r="214" spans="1:21">
      <c r="A214" t="s">
        <v>220</v>
      </c>
      <c r="B214">
        <v>12</v>
      </c>
      <c r="C214" t="str">
        <f t="shared" si="33"/>
        <v>test.Class11_12_</v>
      </c>
      <c r="D214">
        <v>3</v>
      </c>
      <c r="E214" s="4">
        <v>0.55932203389830504</v>
      </c>
      <c r="F214" s="4">
        <v>0.6314749780509219</v>
      </c>
      <c r="G214" s="4" t="str">
        <f t="shared" si="34"/>
        <v/>
      </c>
      <c r="H214" s="4" t="str">
        <f t="shared" si="35"/>
        <v/>
      </c>
      <c r="I214" s="4" t="str">
        <f t="shared" si="36"/>
        <v/>
      </c>
      <c r="J214" s="4">
        <f t="shared" si="37"/>
        <v>0.55932203389830504</v>
      </c>
      <c r="K214" s="4" t="str">
        <f t="shared" si="38"/>
        <v/>
      </c>
      <c r="L214" s="4" t="str">
        <f t="shared" si="39"/>
        <v/>
      </c>
      <c r="M214" s="4"/>
      <c r="N214" s="4"/>
      <c r="O214" s="4"/>
      <c r="P214" s="4"/>
      <c r="Q214" s="4"/>
      <c r="R214" s="4"/>
      <c r="S214" s="4"/>
      <c r="T214" s="4"/>
      <c r="U214" s="4"/>
    </row>
    <row r="215" spans="1:21">
      <c r="A215" t="s">
        <v>220</v>
      </c>
      <c r="B215">
        <v>12</v>
      </c>
      <c r="C215" t="str">
        <f t="shared" si="33"/>
        <v>test.Class11_12_</v>
      </c>
      <c r="D215">
        <v>4</v>
      </c>
      <c r="E215" s="4">
        <v>0.59322033898305082</v>
      </c>
      <c r="F215" s="4">
        <v>0.67932396839332743</v>
      </c>
      <c r="G215" s="4" t="str">
        <f t="shared" si="34"/>
        <v/>
      </c>
      <c r="H215" s="4" t="str">
        <f t="shared" si="35"/>
        <v/>
      </c>
      <c r="I215" s="4" t="str">
        <f t="shared" si="36"/>
        <v/>
      </c>
      <c r="J215" s="4">
        <f t="shared" si="37"/>
        <v>0.59322033898305082</v>
      </c>
      <c r="K215" s="4" t="str">
        <f t="shared" si="38"/>
        <v/>
      </c>
      <c r="L215" s="4" t="str">
        <f t="shared" si="39"/>
        <v/>
      </c>
      <c r="M215" s="4"/>
      <c r="N215" s="4"/>
      <c r="O215" s="4"/>
      <c r="P215" s="4"/>
      <c r="Q215" s="4"/>
      <c r="R215" s="4"/>
      <c r="S215" s="4"/>
      <c r="T215" s="4"/>
      <c r="U215" s="4"/>
    </row>
    <row r="216" spans="1:21">
      <c r="A216" t="s">
        <v>220</v>
      </c>
      <c r="B216">
        <v>12</v>
      </c>
      <c r="C216" t="str">
        <f t="shared" si="33"/>
        <v>test.Class11_12_</v>
      </c>
      <c r="D216">
        <v>5</v>
      </c>
      <c r="E216" s="4">
        <v>0.71186440677966101</v>
      </c>
      <c r="F216" s="4">
        <v>0.71905179982440737</v>
      </c>
      <c r="G216" s="4" t="str">
        <f t="shared" si="34"/>
        <v/>
      </c>
      <c r="H216" s="4" t="str">
        <f t="shared" si="35"/>
        <v/>
      </c>
      <c r="I216" s="4" t="str">
        <f t="shared" si="36"/>
        <v/>
      </c>
      <c r="J216" s="4">
        <f t="shared" si="37"/>
        <v>0.71186440677966101</v>
      </c>
      <c r="K216" s="4" t="str">
        <f t="shared" si="38"/>
        <v/>
      </c>
      <c r="L216" s="4" t="str">
        <f t="shared" si="39"/>
        <v/>
      </c>
      <c r="M216" s="4"/>
      <c r="N216" s="4"/>
      <c r="O216" s="4"/>
      <c r="P216" s="4"/>
      <c r="Q216" s="4"/>
      <c r="R216" s="4"/>
      <c r="S216" s="4"/>
      <c r="T216" s="4"/>
      <c r="U216" s="4"/>
    </row>
    <row r="217" spans="1:21">
      <c r="A217" t="s">
        <v>220</v>
      </c>
      <c r="B217">
        <v>12</v>
      </c>
      <c r="C217" t="str">
        <f t="shared" si="33"/>
        <v>test.Class11_12_</v>
      </c>
      <c r="D217">
        <v>6</v>
      </c>
      <c r="E217" s="4">
        <v>0.88983050847457623</v>
      </c>
      <c r="F217" s="4">
        <v>0.73331870061457416</v>
      </c>
      <c r="G217" s="4" t="str">
        <f t="shared" si="34"/>
        <v/>
      </c>
      <c r="H217" s="4" t="str">
        <f t="shared" si="35"/>
        <v/>
      </c>
      <c r="I217" s="4" t="str">
        <f t="shared" si="36"/>
        <v/>
      </c>
      <c r="J217" s="4">
        <f t="shared" si="37"/>
        <v>0.88983050847457623</v>
      </c>
      <c r="K217" s="4" t="str">
        <f t="shared" si="38"/>
        <v/>
      </c>
      <c r="L217" s="4" t="str">
        <f t="shared" si="39"/>
        <v/>
      </c>
      <c r="M217" s="4"/>
      <c r="N217" s="4"/>
      <c r="O217" s="4"/>
      <c r="P217" s="4"/>
      <c r="Q217" s="4"/>
      <c r="R217" s="4"/>
      <c r="S217" s="4"/>
      <c r="T217" s="4"/>
      <c r="U217" s="4"/>
    </row>
    <row r="218" spans="1:21">
      <c r="A218" t="s">
        <v>220</v>
      </c>
      <c r="B218">
        <v>12</v>
      </c>
      <c r="C218" t="str">
        <f t="shared" si="33"/>
        <v>test.Class11_12_</v>
      </c>
      <c r="D218">
        <v>7</v>
      </c>
      <c r="E218" s="4">
        <v>1</v>
      </c>
      <c r="F218" s="4">
        <v>0.73529411764705888</v>
      </c>
      <c r="G218" s="4" t="str">
        <f t="shared" si="34"/>
        <v/>
      </c>
      <c r="H218" s="4" t="str">
        <f t="shared" si="35"/>
        <v/>
      </c>
      <c r="I218" s="4" t="str">
        <f t="shared" si="36"/>
        <v/>
      </c>
      <c r="J218" s="4">
        <f t="shared" si="37"/>
        <v>1</v>
      </c>
      <c r="K218" s="4" t="str">
        <f t="shared" si="38"/>
        <v/>
      </c>
      <c r="L218" s="4" t="str">
        <f t="shared" si="39"/>
        <v/>
      </c>
      <c r="M218" s="4"/>
      <c r="N218" s="4"/>
      <c r="O218" s="4"/>
      <c r="P218" s="4"/>
      <c r="Q218" s="4"/>
      <c r="R218" s="4"/>
      <c r="S218" s="4"/>
      <c r="T218" s="4"/>
      <c r="U218" s="4"/>
    </row>
    <row r="219" spans="1:21">
      <c r="A219" t="s">
        <v>220</v>
      </c>
      <c r="B219">
        <v>12</v>
      </c>
      <c r="C219" t="str">
        <f t="shared" si="33"/>
        <v>test.Class11_12_</v>
      </c>
      <c r="D219">
        <v>8</v>
      </c>
      <c r="E219" s="4">
        <v>1</v>
      </c>
      <c r="F219" s="4">
        <v>0.76338893766461813</v>
      </c>
      <c r="G219" s="4" t="str">
        <f t="shared" si="34"/>
        <v/>
      </c>
      <c r="H219" s="4" t="str">
        <f t="shared" si="35"/>
        <v/>
      </c>
      <c r="I219" s="4" t="str">
        <f t="shared" si="36"/>
        <v/>
      </c>
      <c r="J219" s="4">
        <f t="shared" si="37"/>
        <v>1</v>
      </c>
      <c r="K219" s="4" t="str">
        <f t="shared" si="38"/>
        <v/>
      </c>
      <c r="L219" s="4" t="str">
        <f t="shared" si="39"/>
        <v/>
      </c>
      <c r="M219" s="4"/>
      <c r="N219" s="4"/>
      <c r="O219" s="4"/>
      <c r="P219" s="4"/>
      <c r="Q219" s="4"/>
      <c r="R219" s="4"/>
      <c r="S219" s="4"/>
      <c r="T219" s="4"/>
      <c r="U219" s="4"/>
    </row>
    <row r="220" spans="1:21">
      <c r="A220" t="s">
        <v>220</v>
      </c>
      <c r="B220">
        <v>12</v>
      </c>
      <c r="C220" t="str">
        <f t="shared" si="33"/>
        <v>test.Class11_12_</v>
      </c>
      <c r="D220">
        <v>9</v>
      </c>
      <c r="E220" s="4">
        <v>1</v>
      </c>
      <c r="F220" s="4">
        <v>0.80114135206321335</v>
      </c>
      <c r="G220" s="4" t="str">
        <f t="shared" si="34"/>
        <v/>
      </c>
      <c r="H220" s="4" t="str">
        <f t="shared" si="35"/>
        <v/>
      </c>
      <c r="I220" s="4" t="str">
        <f t="shared" si="36"/>
        <v/>
      </c>
      <c r="J220" s="4" t="str">
        <f t="shared" si="37"/>
        <v/>
      </c>
      <c r="K220" s="4">
        <f t="shared" si="38"/>
        <v>1</v>
      </c>
      <c r="L220" s="4" t="str">
        <f t="shared" si="39"/>
        <v/>
      </c>
      <c r="M220" s="4"/>
      <c r="N220" s="4"/>
      <c r="O220" s="4"/>
      <c r="P220" s="4"/>
      <c r="Q220" s="4"/>
      <c r="R220" s="4"/>
      <c r="S220" s="4"/>
      <c r="T220" s="4"/>
      <c r="U220" s="4"/>
    </row>
    <row r="221" spans="1:21">
      <c r="A221" t="s">
        <v>220</v>
      </c>
      <c r="B221">
        <v>12</v>
      </c>
      <c r="C221" t="str">
        <f t="shared" si="33"/>
        <v>test.Class11_12_</v>
      </c>
      <c r="D221">
        <v>10</v>
      </c>
      <c r="E221" s="4">
        <v>1</v>
      </c>
      <c r="F221" s="4">
        <v>0.82462686567164178</v>
      </c>
      <c r="G221" s="4" t="str">
        <f t="shared" si="34"/>
        <v/>
      </c>
      <c r="H221" s="4" t="str">
        <f t="shared" si="35"/>
        <v/>
      </c>
      <c r="I221" s="4" t="str">
        <f t="shared" si="36"/>
        <v/>
      </c>
      <c r="J221" s="4" t="str">
        <f t="shared" si="37"/>
        <v/>
      </c>
      <c r="K221" s="4">
        <f t="shared" si="38"/>
        <v>1</v>
      </c>
      <c r="L221" s="4" t="str">
        <f t="shared" si="39"/>
        <v/>
      </c>
      <c r="M221" s="4"/>
      <c r="N221" s="4"/>
      <c r="O221" s="4"/>
      <c r="P221" s="4"/>
      <c r="Q221" s="4"/>
      <c r="R221" s="4"/>
      <c r="S221" s="4"/>
      <c r="T221" s="4"/>
      <c r="U221" s="4"/>
    </row>
    <row r="222" spans="1:21">
      <c r="A222" t="s">
        <v>220</v>
      </c>
      <c r="B222">
        <v>12</v>
      </c>
      <c r="C222" t="str">
        <f t="shared" si="33"/>
        <v>test.Class11_12_</v>
      </c>
      <c r="D222">
        <v>11</v>
      </c>
      <c r="E222" s="4">
        <v>1</v>
      </c>
      <c r="F222" s="4">
        <v>0.86523266022827039</v>
      </c>
      <c r="G222" s="4" t="str">
        <f t="shared" si="34"/>
        <v/>
      </c>
      <c r="H222" s="4" t="str">
        <f t="shared" si="35"/>
        <v/>
      </c>
      <c r="I222" s="4" t="str">
        <f t="shared" si="36"/>
        <v/>
      </c>
      <c r="J222" s="4" t="str">
        <f t="shared" si="37"/>
        <v/>
      </c>
      <c r="K222" s="4">
        <f t="shared" si="38"/>
        <v>1</v>
      </c>
      <c r="L222" s="4" t="str">
        <f t="shared" si="39"/>
        <v/>
      </c>
      <c r="M222" s="4"/>
      <c r="N222" s="4"/>
      <c r="O222" s="4"/>
      <c r="P222" s="4"/>
      <c r="Q222" s="4"/>
      <c r="R222" s="4"/>
      <c r="S222" s="4"/>
      <c r="T222" s="4"/>
      <c r="U222" s="4"/>
    </row>
    <row r="223" spans="1:21">
      <c r="A223" t="s">
        <v>220</v>
      </c>
      <c r="B223">
        <v>12</v>
      </c>
      <c r="C223" t="str">
        <f t="shared" si="33"/>
        <v>test.Class11_12_</v>
      </c>
      <c r="D223">
        <v>12</v>
      </c>
      <c r="E223" s="4">
        <v>1</v>
      </c>
      <c r="F223" s="4">
        <v>0.86940298507462688</v>
      </c>
      <c r="G223" s="4" t="str">
        <f t="shared" si="34"/>
        <v/>
      </c>
      <c r="H223" s="4" t="str">
        <f t="shared" si="35"/>
        <v/>
      </c>
      <c r="I223" s="4" t="str">
        <f t="shared" si="36"/>
        <v/>
      </c>
      <c r="J223" s="4" t="str">
        <f t="shared" si="37"/>
        <v/>
      </c>
      <c r="K223" s="4">
        <f t="shared" si="38"/>
        <v>1</v>
      </c>
      <c r="L223" s="4" t="str">
        <f t="shared" si="39"/>
        <v/>
      </c>
      <c r="M223" s="4"/>
      <c r="N223" s="4"/>
      <c r="O223" s="4"/>
      <c r="P223" s="4"/>
      <c r="Q223" s="4"/>
      <c r="R223" s="4"/>
      <c r="S223" s="4"/>
      <c r="T223" s="4"/>
      <c r="U223" s="4"/>
    </row>
    <row r="224" spans="1:21">
      <c r="A224" t="s">
        <v>220</v>
      </c>
      <c r="B224">
        <v>12</v>
      </c>
      <c r="C224" t="str">
        <f t="shared" si="33"/>
        <v>test.Class11_12_</v>
      </c>
      <c r="D224">
        <v>13</v>
      </c>
      <c r="E224" s="4">
        <v>1</v>
      </c>
      <c r="F224" s="4">
        <v>0.87181738366988581</v>
      </c>
      <c r="G224" s="4" t="str">
        <f t="shared" si="34"/>
        <v/>
      </c>
      <c r="H224" s="4" t="str">
        <f t="shared" si="35"/>
        <v/>
      </c>
      <c r="I224" s="4" t="str">
        <f t="shared" si="36"/>
        <v/>
      </c>
      <c r="J224" s="4" t="str">
        <f t="shared" si="37"/>
        <v/>
      </c>
      <c r="K224" s="4">
        <f t="shared" si="38"/>
        <v>1</v>
      </c>
      <c r="L224" s="4" t="str">
        <f t="shared" si="39"/>
        <v/>
      </c>
      <c r="M224" s="4"/>
      <c r="N224" s="4"/>
      <c r="O224" s="4"/>
      <c r="P224" s="4"/>
      <c r="Q224" s="4"/>
      <c r="R224" s="4"/>
      <c r="S224" s="4"/>
      <c r="T224" s="4"/>
      <c r="U224" s="4"/>
    </row>
    <row r="225" spans="1:21">
      <c r="A225" t="s">
        <v>220</v>
      </c>
      <c r="B225">
        <v>12</v>
      </c>
      <c r="C225" t="str">
        <f t="shared" si="33"/>
        <v>test.Class11_12_</v>
      </c>
      <c r="D225">
        <v>14</v>
      </c>
      <c r="E225" s="4">
        <v>1</v>
      </c>
      <c r="F225" s="4">
        <v>0.88564530289727827</v>
      </c>
      <c r="G225" s="4" t="str">
        <f t="shared" si="34"/>
        <v/>
      </c>
      <c r="H225" s="4" t="str">
        <f t="shared" si="35"/>
        <v/>
      </c>
      <c r="I225" s="4" t="str">
        <f t="shared" si="36"/>
        <v/>
      </c>
      <c r="J225" s="4" t="str">
        <f t="shared" si="37"/>
        <v/>
      </c>
      <c r="K225" s="4">
        <f t="shared" si="38"/>
        <v>1</v>
      </c>
      <c r="L225" s="4" t="str">
        <f t="shared" si="39"/>
        <v/>
      </c>
      <c r="M225" s="4"/>
      <c r="N225" s="4"/>
      <c r="O225" s="4"/>
      <c r="P225" s="4"/>
      <c r="Q225" s="4"/>
      <c r="R225" s="4"/>
      <c r="S225" s="4"/>
      <c r="T225" s="4"/>
      <c r="U225" s="4"/>
    </row>
    <row r="226" spans="1:21">
      <c r="A226" t="s">
        <v>220</v>
      </c>
      <c r="B226">
        <v>12</v>
      </c>
      <c r="C226" t="str">
        <f t="shared" si="33"/>
        <v>test.Class11_12_</v>
      </c>
      <c r="D226">
        <v>15</v>
      </c>
      <c r="E226" s="4">
        <v>1</v>
      </c>
      <c r="F226" s="4">
        <v>0.90605794556628627</v>
      </c>
      <c r="G226" s="4" t="str">
        <f t="shared" si="34"/>
        <v/>
      </c>
      <c r="H226" s="4" t="str">
        <f t="shared" si="35"/>
        <v/>
      </c>
      <c r="I226" s="4" t="str">
        <f t="shared" si="36"/>
        <v/>
      </c>
      <c r="J226" s="4" t="str">
        <f t="shared" si="37"/>
        <v/>
      </c>
      <c r="K226" s="4">
        <f t="shared" si="38"/>
        <v>1</v>
      </c>
      <c r="L226" s="4" t="str">
        <f t="shared" si="39"/>
        <v/>
      </c>
      <c r="M226" s="4"/>
      <c r="N226" s="4"/>
      <c r="O226" s="4"/>
      <c r="P226" s="4"/>
      <c r="Q226" s="4"/>
      <c r="R226" s="4"/>
      <c r="S226" s="4"/>
      <c r="T226" s="4"/>
      <c r="U226" s="4"/>
    </row>
    <row r="227" spans="1:21">
      <c r="A227" t="s">
        <v>220</v>
      </c>
      <c r="B227">
        <v>12</v>
      </c>
      <c r="C227" t="str">
        <f t="shared" si="33"/>
        <v>test.Class11_12_</v>
      </c>
      <c r="D227">
        <v>16</v>
      </c>
      <c r="E227" s="4">
        <v>1</v>
      </c>
      <c r="F227" s="4">
        <v>0.94534679543459177</v>
      </c>
      <c r="G227" s="4" t="str">
        <f t="shared" si="34"/>
        <v/>
      </c>
      <c r="H227" s="4" t="str">
        <f t="shared" si="35"/>
        <v/>
      </c>
      <c r="I227" s="4" t="str">
        <f t="shared" si="36"/>
        <v/>
      </c>
      <c r="J227" s="4" t="str">
        <f t="shared" si="37"/>
        <v/>
      </c>
      <c r="K227" s="4">
        <f t="shared" si="38"/>
        <v>1</v>
      </c>
      <c r="L227" s="4" t="str">
        <f t="shared" si="39"/>
        <v/>
      </c>
      <c r="M227" s="4"/>
      <c r="N227" s="4"/>
      <c r="O227" s="4"/>
      <c r="P227" s="4"/>
      <c r="Q227" s="4"/>
      <c r="R227" s="4"/>
      <c r="S227" s="4"/>
      <c r="T227" s="4"/>
      <c r="U227" s="4"/>
    </row>
    <row r="228" spans="1:21">
      <c r="A228" t="s">
        <v>220</v>
      </c>
      <c r="B228">
        <v>12</v>
      </c>
      <c r="C228" t="str">
        <f t="shared" si="33"/>
        <v>test.Class11_12_</v>
      </c>
      <c r="D228">
        <v>17</v>
      </c>
      <c r="E228" s="4">
        <v>1</v>
      </c>
      <c r="F228" s="4">
        <v>0.99978050921861283</v>
      </c>
      <c r="G228" s="4" t="str">
        <f t="shared" si="34"/>
        <v/>
      </c>
      <c r="H228" s="4" t="str">
        <f t="shared" si="35"/>
        <v/>
      </c>
      <c r="I228" s="4" t="str">
        <f t="shared" si="36"/>
        <v/>
      </c>
      <c r="J228" s="4" t="str">
        <f t="shared" si="37"/>
        <v/>
      </c>
      <c r="K228" s="4">
        <f t="shared" si="38"/>
        <v>1</v>
      </c>
      <c r="L228" s="4" t="str">
        <f t="shared" si="39"/>
        <v/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1">
      <c r="A229" t="s">
        <v>221</v>
      </c>
      <c r="B229">
        <v>1</v>
      </c>
      <c r="C229" t="str">
        <f t="shared" si="33"/>
        <v>test.Class13_1_</v>
      </c>
      <c r="D229">
        <v>1</v>
      </c>
      <c r="E229" s="4">
        <v>0.20454545454545456</v>
      </c>
      <c r="F229" s="4">
        <v>0.38512898330804252</v>
      </c>
      <c r="G229" s="4" t="str">
        <f t="shared" si="34"/>
        <v/>
      </c>
      <c r="H229" s="4">
        <f t="shared" si="35"/>
        <v>0.20454545454545456</v>
      </c>
      <c r="I229" s="4" t="str">
        <f t="shared" si="36"/>
        <v/>
      </c>
      <c r="J229" s="4" t="str">
        <f t="shared" si="37"/>
        <v/>
      </c>
      <c r="K229" s="4" t="str">
        <f t="shared" si="38"/>
        <v/>
      </c>
      <c r="L229" s="4" t="str">
        <f t="shared" si="39"/>
        <v/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1">
      <c r="A230" t="s">
        <v>221</v>
      </c>
      <c r="B230">
        <v>1</v>
      </c>
      <c r="C230" t="str">
        <f t="shared" si="33"/>
        <v>test.Class13_1_</v>
      </c>
      <c r="D230">
        <v>2</v>
      </c>
      <c r="E230" s="4">
        <v>0.38636363636363635</v>
      </c>
      <c r="F230" s="4">
        <v>0.47769347496206371</v>
      </c>
      <c r="G230" s="4" t="str">
        <f t="shared" si="34"/>
        <v/>
      </c>
      <c r="H230" s="4" t="str">
        <f t="shared" si="35"/>
        <v/>
      </c>
      <c r="I230" s="4">
        <f t="shared" si="36"/>
        <v>0.38636363636363635</v>
      </c>
      <c r="J230" s="4" t="str">
        <f t="shared" si="37"/>
        <v/>
      </c>
      <c r="K230" s="4" t="str">
        <f t="shared" si="38"/>
        <v/>
      </c>
      <c r="L230" s="4" t="str">
        <f t="shared" si="39"/>
        <v/>
      </c>
      <c r="M230" s="4"/>
      <c r="N230" s="4"/>
      <c r="O230" s="4"/>
      <c r="P230" s="4"/>
      <c r="Q230" s="4"/>
      <c r="R230" s="4"/>
      <c r="S230" s="4"/>
      <c r="T230" s="4"/>
      <c r="U230" s="4"/>
    </row>
    <row r="231" spans="1:21">
      <c r="A231" t="s">
        <v>221</v>
      </c>
      <c r="B231">
        <v>1</v>
      </c>
      <c r="C231" t="str">
        <f t="shared" si="33"/>
        <v>test.Class13_1_</v>
      </c>
      <c r="D231">
        <v>3</v>
      </c>
      <c r="E231" s="4">
        <v>0.38636363636363635</v>
      </c>
      <c r="F231" s="4">
        <v>0.4998482549317147</v>
      </c>
      <c r="G231" s="4" t="str">
        <f t="shared" si="34"/>
        <v/>
      </c>
      <c r="H231" s="4" t="str">
        <f t="shared" si="35"/>
        <v/>
      </c>
      <c r="I231" s="4">
        <f t="shared" si="36"/>
        <v>0.38636363636363635</v>
      </c>
      <c r="J231" s="4" t="str">
        <f t="shared" si="37"/>
        <v/>
      </c>
      <c r="K231" s="4" t="str">
        <f t="shared" si="38"/>
        <v/>
      </c>
      <c r="L231" s="4" t="str">
        <f t="shared" si="39"/>
        <v/>
      </c>
      <c r="M231" s="4"/>
      <c r="N231" s="4"/>
      <c r="O231" s="4"/>
      <c r="P231" s="4"/>
      <c r="Q231" s="4"/>
      <c r="R231" s="4"/>
      <c r="S231" s="4"/>
      <c r="T231" s="4"/>
      <c r="U231" s="4"/>
    </row>
    <row r="232" spans="1:21">
      <c r="A232" t="s">
        <v>221</v>
      </c>
      <c r="B232">
        <v>1</v>
      </c>
      <c r="C232" t="str">
        <f t="shared" si="33"/>
        <v>test.Class13_1_</v>
      </c>
      <c r="D232">
        <v>4</v>
      </c>
      <c r="E232" s="4">
        <v>0.38636363636363635</v>
      </c>
      <c r="F232" s="4">
        <v>0.51229135053110775</v>
      </c>
      <c r="G232" s="4" t="str">
        <f t="shared" si="34"/>
        <v/>
      </c>
      <c r="H232" s="4" t="str">
        <f t="shared" si="35"/>
        <v/>
      </c>
      <c r="I232" s="4">
        <f t="shared" si="36"/>
        <v>0.38636363636363635</v>
      </c>
      <c r="J232" s="4" t="str">
        <f t="shared" si="37"/>
        <v/>
      </c>
      <c r="K232" s="4" t="str">
        <f t="shared" si="38"/>
        <v/>
      </c>
      <c r="L232" s="4" t="str">
        <f t="shared" si="39"/>
        <v/>
      </c>
      <c r="M232" s="4"/>
      <c r="N232" s="4"/>
      <c r="O232" s="4"/>
      <c r="P232" s="4"/>
      <c r="Q232" s="4"/>
      <c r="R232" s="4"/>
      <c r="S232" s="4"/>
      <c r="T232" s="4"/>
      <c r="U232" s="4"/>
    </row>
    <row r="233" spans="1:21">
      <c r="A233" t="s">
        <v>221</v>
      </c>
      <c r="B233">
        <v>1</v>
      </c>
      <c r="C233" t="str">
        <f t="shared" si="33"/>
        <v>test.Class13_1_</v>
      </c>
      <c r="D233">
        <v>5</v>
      </c>
      <c r="E233" s="4">
        <v>1</v>
      </c>
      <c r="F233" s="4">
        <v>0.85432473444613055</v>
      </c>
      <c r="G233" s="4" t="str">
        <f t="shared" si="34"/>
        <v/>
      </c>
      <c r="H233" s="4" t="str">
        <f t="shared" si="35"/>
        <v/>
      </c>
      <c r="I233" s="4" t="str">
        <f t="shared" si="36"/>
        <v/>
      </c>
      <c r="J233" s="4" t="str">
        <f t="shared" si="37"/>
        <v/>
      </c>
      <c r="K233" s="4">
        <f t="shared" si="38"/>
        <v>1</v>
      </c>
      <c r="L233" s="4" t="str">
        <f t="shared" si="39"/>
        <v/>
      </c>
      <c r="M233" s="4"/>
      <c r="N233" s="4"/>
      <c r="O233" s="4"/>
      <c r="P233" s="4"/>
      <c r="Q233" s="4"/>
      <c r="R233" s="4"/>
      <c r="S233" s="4"/>
      <c r="T233" s="4"/>
      <c r="U233" s="4"/>
    </row>
    <row r="234" spans="1:21">
      <c r="A234" t="s">
        <v>221</v>
      </c>
      <c r="B234">
        <v>1</v>
      </c>
      <c r="C234" t="str">
        <f t="shared" si="33"/>
        <v>test.Class13_1_</v>
      </c>
      <c r="D234">
        <v>6</v>
      </c>
      <c r="E234" s="4">
        <v>1</v>
      </c>
      <c r="F234" s="4">
        <v>0.87344461305007592</v>
      </c>
      <c r="G234" s="4" t="str">
        <f t="shared" si="34"/>
        <v/>
      </c>
      <c r="H234" s="4" t="str">
        <f t="shared" si="35"/>
        <v/>
      </c>
      <c r="I234" s="4" t="str">
        <f t="shared" si="36"/>
        <v/>
      </c>
      <c r="J234" s="4" t="str">
        <f t="shared" si="37"/>
        <v/>
      </c>
      <c r="K234" s="4">
        <f t="shared" si="38"/>
        <v>1</v>
      </c>
      <c r="L234" s="4" t="str">
        <f t="shared" si="39"/>
        <v/>
      </c>
      <c r="M234" s="4"/>
      <c r="N234" s="4"/>
      <c r="O234" s="4"/>
      <c r="P234" s="4"/>
      <c r="Q234" s="4"/>
      <c r="R234" s="4"/>
      <c r="S234" s="4"/>
      <c r="T234" s="4"/>
      <c r="U234" s="4"/>
    </row>
    <row r="235" spans="1:21">
      <c r="A235" t="s">
        <v>221</v>
      </c>
      <c r="B235">
        <v>1</v>
      </c>
      <c r="C235" t="str">
        <f t="shared" si="33"/>
        <v>test.Class13_1_</v>
      </c>
      <c r="D235">
        <v>7</v>
      </c>
      <c r="E235" s="4">
        <v>1</v>
      </c>
      <c r="F235" s="4">
        <v>0.89074355083459789</v>
      </c>
      <c r="G235" s="4" t="str">
        <f t="shared" si="34"/>
        <v/>
      </c>
      <c r="H235" s="4" t="str">
        <f t="shared" si="35"/>
        <v/>
      </c>
      <c r="I235" s="4" t="str">
        <f t="shared" si="36"/>
        <v/>
      </c>
      <c r="J235" s="4" t="str">
        <f t="shared" si="37"/>
        <v/>
      </c>
      <c r="K235" s="4">
        <f t="shared" si="38"/>
        <v>1</v>
      </c>
      <c r="L235" s="4" t="str">
        <f t="shared" si="39"/>
        <v/>
      </c>
      <c r="M235" s="4"/>
      <c r="N235" s="4"/>
      <c r="O235" s="4"/>
      <c r="P235" s="4"/>
      <c r="Q235" s="4"/>
      <c r="R235" s="4"/>
      <c r="S235" s="4"/>
      <c r="T235" s="4"/>
      <c r="U235" s="4"/>
    </row>
    <row r="236" spans="1:21">
      <c r="A236" t="s">
        <v>222</v>
      </c>
      <c r="B236">
        <v>1</v>
      </c>
      <c r="C236" t="str">
        <f t="shared" si="33"/>
        <v>test.client_1_</v>
      </c>
      <c r="D236">
        <v>1</v>
      </c>
      <c r="E236" s="4">
        <v>7.8787878787878782E-2</v>
      </c>
      <c r="F236" s="4">
        <v>3.2795220541502482E-2</v>
      </c>
      <c r="G236" s="4">
        <f t="shared" si="34"/>
        <v>7.8787878787878782E-2</v>
      </c>
      <c r="H236" s="4" t="str">
        <f t="shared" si="35"/>
        <v/>
      </c>
      <c r="I236" s="4" t="str">
        <f t="shared" si="36"/>
        <v/>
      </c>
      <c r="J236" s="4" t="str">
        <f t="shared" si="37"/>
        <v/>
      </c>
      <c r="K236" s="4" t="str">
        <f t="shared" si="38"/>
        <v/>
      </c>
      <c r="L236" s="4" t="str">
        <f t="shared" si="39"/>
        <v/>
      </c>
      <c r="M236" s="4"/>
      <c r="N236" s="4"/>
      <c r="O236" s="4"/>
      <c r="P236" s="4"/>
      <c r="Q236" s="4"/>
      <c r="R236" s="4"/>
      <c r="S236" s="4"/>
      <c r="T236" s="4"/>
      <c r="U236" s="4"/>
    </row>
    <row r="237" spans="1:21">
      <c r="A237" t="s">
        <v>222</v>
      </c>
      <c r="B237">
        <v>1</v>
      </c>
      <c r="C237" t="str">
        <f t="shared" si="33"/>
        <v>test.client_1_</v>
      </c>
      <c r="D237">
        <v>2</v>
      </c>
      <c r="E237" s="4">
        <v>9.0909090909090912E-2</v>
      </c>
      <c r="F237" s="4">
        <v>3.7689080971145289E-2</v>
      </c>
      <c r="G237" s="4">
        <f t="shared" si="34"/>
        <v>9.0909090909090912E-2</v>
      </c>
      <c r="H237" s="4" t="str">
        <f t="shared" si="35"/>
        <v/>
      </c>
      <c r="I237" s="4" t="str">
        <f t="shared" si="36"/>
        <v/>
      </c>
      <c r="J237" s="4" t="str">
        <f t="shared" si="37"/>
        <v/>
      </c>
      <c r="K237" s="4" t="str">
        <f t="shared" si="38"/>
        <v/>
      </c>
      <c r="L237" s="4" t="str">
        <f t="shared" si="39"/>
        <v/>
      </c>
      <c r="M237" s="4"/>
      <c r="N237" s="4"/>
      <c r="O237" s="4"/>
      <c r="P237" s="4"/>
      <c r="Q237" s="4"/>
      <c r="R237" s="4"/>
      <c r="S237" s="4"/>
      <c r="T237" s="4"/>
      <c r="U237" s="4"/>
    </row>
    <row r="238" spans="1:21">
      <c r="A238" t="s">
        <v>222</v>
      </c>
      <c r="B238">
        <v>1</v>
      </c>
      <c r="C238" t="str">
        <f t="shared" si="33"/>
        <v>test.client_1_</v>
      </c>
      <c r="D238">
        <v>3</v>
      </c>
      <c r="E238" s="4">
        <v>0.12727272727272726</v>
      </c>
      <c r="F238" s="4">
        <v>4.1184695563747299E-2</v>
      </c>
      <c r="G238" s="4">
        <f t="shared" si="34"/>
        <v>0.12727272727272726</v>
      </c>
      <c r="H238" s="4" t="str">
        <f t="shared" si="35"/>
        <v/>
      </c>
      <c r="I238" s="4" t="str">
        <f t="shared" si="36"/>
        <v/>
      </c>
      <c r="J238" s="4" t="str">
        <f t="shared" si="37"/>
        <v/>
      </c>
      <c r="K238" s="4" t="str">
        <f t="shared" si="38"/>
        <v/>
      </c>
      <c r="L238" s="4" t="str">
        <f t="shared" si="39"/>
        <v/>
      </c>
      <c r="M238" s="4"/>
      <c r="N238" s="4"/>
      <c r="O238" s="4"/>
      <c r="P238" s="4"/>
      <c r="Q238" s="4"/>
      <c r="R238" s="4"/>
      <c r="S238" s="4"/>
      <c r="T238" s="4"/>
      <c r="U238" s="4"/>
    </row>
    <row r="239" spans="1:21">
      <c r="A239" t="s">
        <v>222</v>
      </c>
      <c r="B239">
        <v>1</v>
      </c>
      <c r="C239" t="str">
        <f t="shared" si="33"/>
        <v>test.client_1_</v>
      </c>
      <c r="D239">
        <v>4</v>
      </c>
      <c r="E239" s="4">
        <v>0.13333333333333333</v>
      </c>
      <c r="F239" s="4">
        <v>4.3409177577221306E-2</v>
      </c>
      <c r="G239" s="4">
        <f t="shared" si="34"/>
        <v>0.13333333333333333</v>
      </c>
      <c r="H239" s="4" t="str">
        <f t="shared" si="35"/>
        <v/>
      </c>
      <c r="I239" s="4" t="str">
        <f t="shared" si="36"/>
        <v/>
      </c>
      <c r="J239" s="4" t="str">
        <f t="shared" si="37"/>
        <v/>
      </c>
      <c r="K239" s="4" t="str">
        <f t="shared" si="38"/>
        <v/>
      </c>
      <c r="L239" s="4" t="str">
        <f t="shared" si="39"/>
        <v/>
      </c>
      <c r="M239" s="4"/>
      <c r="N239" s="4"/>
      <c r="O239" s="4"/>
      <c r="P239" s="4"/>
      <c r="Q239" s="4"/>
      <c r="R239" s="4"/>
      <c r="S239" s="4"/>
      <c r="T239" s="4"/>
      <c r="U239" s="4"/>
    </row>
    <row r="240" spans="1:21">
      <c r="A240" t="s">
        <v>222</v>
      </c>
      <c r="B240">
        <v>1</v>
      </c>
      <c r="C240" t="str">
        <f t="shared" si="33"/>
        <v>test.client_1_</v>
      </c>
      <c r="D240">
        <v>5</v>
      </c>
      <c r="E240" s="4">
        <v>0.14545454545454545</v>
      </c>
      <c r="F240" s="4">
        <v>4.506164993008771E-2</v>
      </c>
      <c r="G240" s="4">
        <f t="shared" si="34"/>
        <v>0.14545454545454545</v>
      </c>
      <c r="H240" s="4" t="str">
        <f t="shared" si="35"/>
        <v/>
      </c>
      <c r="I240" s="4" t="str">
        <f t="shared" si="36"/>
        <v/>
      </c>
      <c r="J240" s="4" t="str">
        <f t="shared" si="37"/>
        <v/>
      </c>
      <c r="K240" s="4" t="str">
        <f t="shared" si="38"/>
        <v/>
      </c>
      <c r="L240" s="4" t="str">
        <f t="shared" si="39"/>
        <v/>
      </c>
      <c r="M240" s="4"/>
      <c r="N240" s="4"/>
      <c r="O240" s="4"/>
      <c r="P240" s="4"/>
      <c r="Q240" s="4"/>
      <c r="R240" s="4"/>
      <c r="S240" s="4"/>
      <c r="T240" s="4"/>
      <c r="U240" s="4"/>
    </row>
    <row r="241" spans="1:21">
      <c r="A241" t="s">
        <v>222</v>
      </c>
      <c r="B241">
        <v>1</v>
      </c>
      <c r="C241" t="str">
        <f t="shared" si="33"/>
        <v>test.client_1_</v>
      </c>
      <c r="D241">
        <v>6</v>
      </c>
      <c r="E241" s="4">
        <v>0.15757575757575756</v>
      </c>
      <c r="F241" s="4">
        <v>4.5887886106520913E-2</v>
      </c>
      <c r="G241" s="4">
        <f t="shared" si="34"/>
        <v>0.15757575757575756</v>
      </c>
      <c r="H241" s="4" t="str">
        <f t="shared" si="35"/>
        <v/>
      </c>
      <c r="I241" s="4" t="str">
        <f t="shared" si="36"/>
        <v/>
      </c>
      <c r="J241" s="4" t="str">
        <f t="shared" si="37"/>
        <v/>
      </c>
      <c r="K241" s="4" t="str">
        <f t="shared" si="38"/>
        <v/>
      </c>
      <c r="L241" s="4" t="str">
        <f t="shared" si="39"/>
        <v/>
      </c>
      <c r="M241" s="4"/>
      <c r="N241" s="4"/>
      <c r="O241" s="4"/>
      <c r="P241" s="4"/>
      <c r="Q241" s="4"/>
      <c r="R241" s="4"/>
      <c r="S241" s="4"/>
      <c r="T241" s="4"/>
      <c r="U241" s="4"/>
    </row>
    <row r="242" spans="1:21">
      <c r="A242" t="s">
        <v>222</v>
      </c>
      <c r="B242">
        <v>1</v>
      </c>
      <c r="C242" t="str">
        <f t="shared" si="33"/>
        <v>test.client_1_</v>
      </c>
      <c r="D242">
        <v>7</v>
      </c>
      <c r="E242" s="4">
        <v>0.16363636363636364</v>
      </c>
      <c r="F242" s="4">
        <v>4.6014999364433713E-2</v>
      </c>
      <c r="G242" s="4">
        <f t="shared" si="34"/>
        <v>0.16363636363636364</v>
      </c>
      <c r="H242" s="4" t="str">
        <f t="shared" si="35"/>
        <v/>
      </c>
      <c r="I242" s="4" t="str">
        <f t="shared" si="36"/>
        <v/>
      </c>
      <c r="J242" s="4" t="str">
        <f t="shared" si="37"/>
        <v/>
      </c>
      <c r="K242" s="4" t="str">
        <f t="shared" si="38"/>
        <v/>
      </c>
      <c r="L242" s="4" t="str">
        <f t="shared" si="39"/>
        <v/>
      </c>
      <c r="M242" s="4"/>
      <c r="N242" s="4"/>
      <c r="O242" s="4"/>
      <c r="P242" s="4"/>
      <c r="Q242" s="4"/>
      <c r="R242" s="4"/>
      <c r="S242" s="4"/>
      <c r="T242" s="4"/>
      <c r="U242" s="4"/>
    </row>
    <row r="243" spans="1:21">
      <c r="A243" t="s">
        <v>222</v>
      </c>
      <c r="B243">
        <v>1</v>
      </c>
      <c r="C243" t="str">
        <f t="shared" si="33"/>
        <v>test.client_1_</v>
      </c>
      <c r="D243">
        <v>8</v>
      </c>
      <c r="E243" s="4">
        <v>0.16969696969696971</v>
      </c>
      <c r="F243" s="4">
        <v>4.6968348798779716E-2</v>
      </c>
      <c r="G243" s="4">
        <f t="shared" si="34"/>
        <v>0.16969696969696971</v>
      </c>
      <c r="H243" s="4" t="str">
        <f t="shared" si="35"/>
        <v/>
      </c>
      <c r="I243" s="4" t="str">
        <f t="shared" si="36"/>
        <v/>
      </c>
      <c r="J243" s="4" t="str">
        <f t="shared" si="37"/>
        <v/>
      </c>
      <c r="K243" s="4" t="str">
        <f t="shared" si="38"/>
        <v/>
      </c>
      <c r="L243" s="4" t="str">
        <f t="shared" si="39"/>
        <v/>
      </c>
      <c r="M243" s="4"/>
      <c r="N243" s="4"/>
      <c r="O243" s="4"/>
      <c r="P243" s="4"/>
      <c r="Q243" s="4"/>
      <c r="R243" s="4"/>
      <c r="S243" s="4"/>
      <c r="T243" s="4"/>
      <c r="U243" s="4"/>
    </row>
    <row r="244" spans="1:21">
      <c r="A244" t="s">
        <v>222</v>
      </c>
      <c r="B244">
        <v>1</v>
      </c>
      <c r="C244" t="str">
        <f t="shared" si="33"/>
        <v>test.client_1_</v>
      </c>
      <c r="D244">
        <v>9</v>
      </c>
      <c r="E244" s="4">
        <v>0.18181818181818182</v>
      </c>
      <c r="F244" s="4">
        <v>4.8430151264776913E-2</v>
      </c>
      <c r="G244" s="4">
        <f t="shared" si="34"/>
        <v>0.18181818181818182</v>
      </c>
      <c r="H244" s="4" t="str">
        <f t="shared" si="35"/>
        <v/>
      </c>
      <c r="I244" s="4" t="str">
        <f t="shared" si="36"/>
        <v/>
      </c>
      <c r="J244" s="4" t="str">
        <f t="shared" si="37"/>
        <v/>
      </c>
      <c r="K244" s="4" t="str">
        <f t="shared" si="38"/>
        <v/>
      </c>
      <c r="L244" s="4" t="str">
        <f t="shared" si="39"/>
        <v/>
      </c>
      <c r="M244" s="4"/>
      <c r="N244" s="4"/>
      <c r="O244" s="4"/>
      <c r="P244" s="4"/>
      <c r="Q244" s="4"/>
      <c r="R244" s="4"/>
      <c r="S244" s="4"/>
      <c r="T244" s="4"/>
      <c r="U244" s="4"/>
    </row>
    <row r="245" spans="1:21">
      <c r="A245" t="s">
        <v>222</v>
      </c>
      <c r="B245">
        <v>1</v>
      </c>
      <c r="C245" t="str">
        <f t="shared" si="33"/>
        <v>test.client_1_</v>
      </c>
      <c r="D245">
        <v>10</v>
      </c>
      <c r="E245" s="4">
        <v>0.19393939393939394</v>
      </c>
      <c r="F245" s="4">
        <v>5.0082623617643318E-2</v>
      </c>
      <c r="G245" s="4">
        <f t="shared" si="34"/>
        <v>0.19393939393939394</v>
      </c>
      <c r="H245" s="4" t="str">
        <f t="shared" si="35"/>
        <v/>
      </c>
      <c r="I245" s="4" t="str">
        <f t="shared" si="36"/>
        <v/>
      </c>
      <c r="J245" s="4" t="str">
        <f t="shared" si="37"/>
        <v/>
      </c>
      <c r="K245" s="4" t="str">
        <f t="shared" si="38"/>
        <v/>
      </c>
      <c r="L245" s="4" t="str">
        <f t="shared" si="39"/>
        <v/>
      </c>
      <c r="M245" s="4"/>
      <c r="N245" s="4"/>
      <c r="O245" s="4"/>
      <c r="P245" s="4"/>
      <c r="Q245" s="4"/>
      <c r="R245" s="4"/>
      <c r="S245" s="4"/>
      <c r="T245" s="4"/>
      <c r="U245" s="4"/>
    </row>
    <row r="246" spans="1:21">
      <c r="A246" t="s">
        <v>222</v>
      </c>
      <c r="B246">
        <v>1</v>
      </c>
      <c r="C246" t="str">
        <f t="shared" si="33"/>
        <v>test.client_1_</v>
      </c>
      <c r="D246">
        <v>11</v>
      </c>
      <c r="E246" s="4">
        <v>0.21212121212121213</v>
      </c>
      <c r="F246" s="4">
        <v>5.1735095970509723E-2</v>
      </c>
      <c r="G246" s="4">
        <f t="shared" si="34"/>
        <v>0.21212121212121213</v>
      </c>
      <c r="H246" s="4" t="str">
        <f t="shared" si="35"/>
        <v/>
      </c>
      <c r="I246" s="4" t="str">
        <f t="shared" si="36"/>
        <v/>
      </c>
      <c r="J246" s="4" t="str">
        <f t="shared" si="37"/>
        <v/>
      </c>
      <c r="K246" s="4" t="str">
        <f t="shared" si="38"/>
        <v/>
      </c>
      <c r="L246" s="4" t="str">
        <f t="shared" si="39"/>
        <v/>
      </c>
      <c r="M246" s="4"/>
      <c r="N246" s="4"/>
      <c r="O246" s="4"/>
      <c r="P246" s="4"/>
      <c r="Q246" s="4"/>
      <c r="R246" s="4"/>
      <c r="S246" s="4"/>
      <c r="T246" s="4"/>
      <c r="U246" s="4"/>
    </row>
    <row r="247" spans="1:21">
      <c r="A247" t="s">
        <v>222</v>
      </c>
      <c r="B247">
        <v>1</v>
      </c>
      <c r="C247" t="str">
        <f t="shared" si="33"/>
        <v>test.client_1_</v>
      </c>
      <c r="D247">
        <v>12</v>
      </c>
      <c r="E247" s="4">
        <v>0.21818181818181817</v>
      </c>
      <c r="F247" s="4">
        <v>5.1925765857378924E-2</v>
      </c>
      <c r="G247" s="4">
        <f t="shared" si="34"/>
        <v>0.21818181818181817</v>
      </c>
      <c r="H247" s="4" t="str">
        <f t="shared" si="35"/>
        <v/>
      </c>
      <c r="I247" s="4" t="str">
        <f t="shared" si="36"/>
        <v/>
      </c>
      <c r="J247" s="4" t="str">
        <f t="shared" si="37"/>
        <v/>
      </c>
      <c r="K247" s="4" t="str">
        <f t="shared" si="38"/>
        <v/>
      </c>
      <c r="L247" s="4" t="str">
        <f t="shared" si="39"/>
        <v/>
      </c>
      <c r="M247" s="4"/>
      <c r="N247" s="4"/>
      <c r="O247" s="4"/>
      <c r="P247" s="4"/>
      <c r="Q247" s="4"/>
      <c r="R247" s="4"/>
      <c r="S247" s="4"/>
      <c r="T247" s="4"/>
      <c r="U247" s="4"/>
    </row>
    <row r="248" spans="1:21">
      <c r="A248" t="s">
        <v>222</v>
      </c>
      <c r="B248">
        <v>1</v>
      </c>
      <c r="C248" t="str">
        <f t="shared" si="33"/>
        <v>test.client_1_</v>
      </c>
      <c r="D248">
        <v>13</v>
      </c>
      <c r="E248" s="4">
        <v>0.23636363636363636</v>
      </c>
      <c r="F248" s="4">
        <v>5.4340917757722131E-2</v>
      </c>
      <c r="G248" s="4">
        <f t="shared" si="34"/>
        <v>0.23636363636363636</v>
      </c>
      <c r="H248" s="4" t="str">
        <f t="shared" si="35"/>
        <v/>
      </c>
      <c r="I248" s="4" t="str">
        <f t="shared" si="36"/>
        <v/>
      </c>
      <c r="J248" s="4" t="str">
        <f t="shared" si="37"/>
        <v/>
      </c>
      <c r="K248" s="4" t="str">
        <f t="shared" si="38"/>
        <v/>
      </c>
      <c r="L248" s="4" t="str">
        <f t="shared" si="39"/>
        <v/>
      </c>
      <c r="M248" s="4"/>
      <c r="N248" s="4"/>
      <c r="O248" s="4"/>
      <c r="P248" s="4"/>
      <c r="Q248" s="4"/>
      <c r="R248" s="4"/>
      <c r="S248" s="4"/>
      <c r="T248" s="4"/>
      <c r="U248" s="4"/>
    </row>
    <row r="249" spans="1:21">
      <c r="A249" t="s">
        <v>222</v>
      </c>
      <c r="B249">
        <v>1</v>
      </c>
      <c r="C249" t="str">
        <f t="shared" si="33"/>
        <v>test.client_1_</v>
      </c>
      <c r="D249">
        <v>14</v>
      </c>
      <c r="E249" s="4">
        <v>0.24242424242424243</v>
      </c>
      <c r="F249" s="4">
        <v>5.4404474386678531E-2</v>
      </c>
      <c r="G249" s="4">
        <f t="shared" si="34"/>
        <v>0.24242424242424243</v>
      </c>
      <c r="H249" s="4" t="str">
        <f t="shared" si="35"/>
        <v/>
      </c>
      <c r="I249" s="4" t="str">
        <f t="shared" si="36"/>
        <v/>
      </c>
      <c r="J249" s="4" t="str">
        <f t="shared" si="37"/>
        <v/>
      </c>
      <c r="K249" s="4" t="str">
        <f t="shared" si="38"/>
        <v/>
      </c>
      <c r="L249" s="4" t="str">
        <f t="shared" si="39"/>
        <v/>
      </c>
      <c r="M249" s="4"/>
      <c r="N249" s="4"/>
      <c r="O249" s="4"/>
      <c r="P249" s="4"/>
      <c r="Q249" s="4"/>
      <c r="R249" s="4"/>
      <c r="S249" s="4"/>
      <c r="T249" s="4"/>
      <c r="U249" s="4"/>
    </row>
    <row r="250" spans="1:21">
      <c r="A250" t="s">
        <v>222</v>
      </c>
      <c r="B250">
        <v>1</v>
      </c>
      <c r="C250" t="str">
        <f t="shared" si="33"/>
        <v>test.client_1_</v>
      </c>
      <c r="D250">
        <v>15</v>
      </c>
      <c r="E250" s="4">
        <v>0.24848484848484848</v>
      </c>
      <c r="F250" s="4">
        <v>5.4785814160416932E-2</v>
      </c>
      <c r="G250" s="4">
        <f t="shared" si="34"/>
        <v>0.24848484848484848</v>
      </c>
      <c r="H250" s="4" t="str">
        <f t="shared" si="35"/>
        <v/>
      </c>
      <c r="I250" s="4" t="str">
        <f t="shared" si="36"/>
        <v/>
      </c>
      <c r="J250" s="4" t="str">
        <f t="shared" si="37"/>
        <v/>
      </c>
      <c r="K250" s="4" t="str">
        <f t="shared" si="38"/>
        <v/>
      </c>
      <c r="L250" s="4" t="str">
        <f t="shared" si="39"/>
        <v/>
      </c>
      <c r="M250" s="4"/>
      <c r="N250" s="4"/>
      <c r="O250" s="4"/>
      <c r="P250" s="4"/>
      <c r="Q250" s="4"/>
      <c r="R250" s="4"/>
      <c r="S250" s="4"/>
      <c r="T250" s="4"/>
      <c r="U250" s="4"/>
    </row>
    <row r="251" spans="1:21">
      <c r="A251" t="s">
        <v>222</v>
      </c>
      <c r="B251">
        <v>1</v>
      </c>
      <c r="C251" t="str">
        <f t="shared" si="33"/>
        <v>test.client_1_</v>
      </c>
      <c r="D251">
        <v>16</v>
      </c>
      <c r="E251" s="4">
        <v>1</v>
      </c>
      <c r="F251" s="4">
        <v>0.95735350197025548</v>
      </c>
      <c r="G251" s="4" t="str">
        <f t="shared" si="34"/>
        <v/>
      </c>
      <c r="H251" s="4" t="str">
        <f t="shared" si="35"/>
        <v/>
      </c>
      <c r="I251" s="4" t="str">
        <f t="shared" si="36"/>
        <v/>
      </c>
      <c r="J251" s="4" t="str">
        <f t="shared" si="37"/>
        <v/>
      </c>
      <c r="K251" s="4">
        <f t="shared" si="38"/>
        <v>1</v>
      </c>
      <c r="L251" s="4" t="str">
        <f t="shared" si="39"/>
        <v/>
      </c>
      <c r="M251" s="4"/>
      <c r="N251" s="4"/>
      <c r="O251" s="4"/>
      <c r="P251" s="4"/>
      <c r="Q251" s="4"/>
      <c r="R251" s="4"/>
      <c r="S251" s="4"/>
      <c r="T251" s="4"/>
      <c r="U251" s="4"/>
    </row>
    <row r="252" spans="1:21">
      <c r="A252" t="s">
        <v>222</v>
      </c>
      <c r="B252">
        <v>3</v>
      </c>
      <c r="C252" t="str">
        <f t="shared" si="33"/>
        <v>test.client_3_</v>
      </c>
      <c r="D252">
        <v>1</v>
      </c>
      <c r="E252" s="4">
        <v>0.84036144578313254</v>
      </c>
      <c r="F252" s="4">
        <v>0.75895623163078874</v>
      </c>
      <c r="G252" s="4" t="str">
        <f t="shared" si="34"/>
        <v/>
      </c>
      <c r="H252" s="4" t="str">
        <f t="shared" si="35"/>
        <v/>
      </c>
      <c r="I252" s="4" t="str">
        <f t="shared" si="36"/>
        <v/>
      </c>
      <c r="J252" s="4">
        <f t="shared" si="37"/>
        <v>0.84036144578313254</v>
      </c>
      <c r="K252" s="4" t="str">
        <f t="shared" si="38"/>
        <v/>
      </c>
      <c r="L252" s="4" t="str">
        <f t="shared" si="39"/>
        <v/>
      </c>
      <c r="M252" s="4"/>
      <c r="N252" s="4"/>
      <c r="O252" s="4"/>
      <c r="P252" s="4"/>
      <c r="Q252" s="4"/>
      <c r="R252" s="4"/>
      <c r="S252" s="4"/>
      <c r="T252" s="4"/>
      <c r="U252" s="4"/>
    </row>
    <row r="253" spans="1:21">
      <c r="A253" t="s">
        <v>222</v>
      </c>
      <c r="B253">
        <v>3</v>
      </c>
      <c r="C253" t="str">
        <f t="shared" si="33"/>
        <v>test.client_3_</v>
      </c>
      <c r="D253">
        <v>2</v>
      </c>
      <c r="E253" s="4">
        <v>0.99698795180722888</v>
      </c>
      <c r="F253" s="4">
        <v>0.90027007705139406</v>
      </c>
      <c r="G253" s="4" t="str">
        <f t="shared" si="34"/>
        <v/>
      </c>
      <c r="H253" s="4" t="str">
        <f t="shared" si="35"/>
        <v/>
      </c>
      <c r="I253" s="4" t="str">
        <f t="shared" si="36"/>
        <v/>
      </c>
      <c r="J253" s="4" t="str">
        <f t="shared" si="37"/>
        <v/>
      </c>
      <c r="K253" s="4">
        <f t="shared" si="38"/>
        <v>0.99698795180722888</v>
      </c>
      <c r="L253" s="4" t="str">
        <f t="shared" si="39"/>
        <v/>
      </c>
      <c r="M253" s="4"/>
      <c r="N253" s="4"/>
      <c r="O253" s="4"/>
      <c r="P253" s="4"/>
      <c r="Q253" s="4"/>
      <c r="R253" s="4"/>
      <c r="S253" s="4"/>
      <c r="T253" s="4"/>
      <c r="U253" s="4"/>
    </row>
    <row r="254" spans="1:21">
      <c r="A254" t="s">
        <v>222</v>
      </c>
      <c r="B254">
        <v>3</v>
      </c>
      <c r="C254" t="str">
        <f t="shared" si="33"/>
        <v>test.client_3_</v>
      </c>
      <c r="D254">
        <v>3</v>
      </c>
      <c r="E254" s="4">
        <v>1</v>
      </c>
      <c r="F254" s="4">
        <v>0.99789498768766383</v>
      </c>
      <c r="G254" s="4" t="str">
        <f t="shared" si="34"/>
        <v/>
      </c>
      <c r="H254" s="4" t="str">
        <f t="shared" si="35"/>
        <v/>
      </c>
      <c r="I254" s="4" t="str">
        <f t="shared" si="36"/>
        <v/>
      </c>
      <c r="J254" s="4" t="str">
        <f t="shared" si="37"/>
        <v/>
      </c>
      <c r="K254" s="4">
        <f t="shared" si="38"/>
        <v>1</v>
      </c>
      <c r="L254" s="4" t="str">
        <f t="shared" si="39"/>
        <v/>
      </c>
      <c r="M254" s="4"/>
      <c r="N254" s="4"/>
      <c r="O254" s="4"/>
      <c r="P254" s="4"/>
      <c r="Q254" s="4"/>
      <c r="R254" s="4"/>
      <c r="S254" s="4"/>
      <c r="T254" s="4"/>
      <c r="U254" s="4"/>
    </row>
    <row r="255" spans="1:21">
      <c r="A255" t="s">
        <v>222</v>
      </c>
      <c r="B255">
        <v>4</v>
      </c>
      <c r="C255" t="str">
        <f t="shared" si="33"/>
        <v>test.client_4_</v>
      </c>
      <c r="D255">
        <v>1</v>
      </c>
      <c r="E255" s="4">
        <v>0.86821705426356588</v>
      </c>
      <c r="F255" s="4">
        <v>0.87067190716825749</v>
      </c>
      <c r="G255" s="4" t="str">
        <f t="shared" si="34"/>
        <v/>
      </c>
      <c r="H255" s="4" t="str">
        <f t="shared" si="35"/>
        <v/>
      </c>
      <c r="I255" s="4" t="str">
        <f t="shared" si="36"/>
        <v/>
      </c>
      <c r="J255" s="4" t="str">
        <f t="shared" si="37"/>
        <v/>
      </c>
      <c r="K255" s="4">
        <f t="shared" si="38"/>
        <v>0.86821705426356588</v>
      </c>
      <c r="L255" s="4" t="str">
        <f t="shared" si="39"/>
        <v/>
      </c>
      <c r="M255" s="4"/>
      <c r="N255" s="4"/>
      <c r="O255" s="4"/>
      <c r="P255" s="4"/>
      <c r="Q255" s="4"/>
      <c r="R255" s="4"/>
      <c r="S255" s="4"/>
      <c r="T255" s="4"/>
      <c r="U255" s="4"/>
    </row>
    <row r="256" spans="1:21">
      <c r="A256" t="s">
        <v>222</v>
      </c>
      <c r="B256">
        <v>4</v>
      </c>
      <c r="C256" t="str">
        <f t="shared" si="33"/>
        <v>test.client_4_</v>
      </c>
      <c r="D256">
        <v>2</v>
      </c>
      <c r="E256" s="4">
        <v>0.89922480620155043</v>
      </c>
      <c r="F256" s="4">
        <v>0.88826501965188098</v>
      </c>
      <c r="G256" s="4" t="str">
        <f t="shared" si="34"/>
        <v/>
      </c>
      <c r="H256" s="4" t="str">
        <f t="shared" si="35"/>
        <v/>
      </c>
      <c r="I256" s="4" t="str">
        <f t="shared" si="36"/>
        <v/>
      </c>
      <c r="J256" s="4" t="str">
        <f t="shared" si="37"/>
        <v/>
      </c>
      <c r="K256" s="4">
        <f t="shared" si="38"/>
        <v>0.89922480620155043</v>
      </c>
      <c r="L256" s="4" t="str">
        <f t="shared" si="39"/>
        <v/>
      </c>
      <c r="M256" s="4"/>
      <c r="N256" s="4"/>
      <c r="O256" s="4"/>
      <c r="P256" s="4"/>
      <c r="Q256" s="4"/>
      <c r="R256" s="4"/>
      <c r="S256" s="4"/>
      <c r="T256" s="4"/>
      <c r="U256" s="4"/>
    </row>
    <row r="257" spans="1:21">
      <c r="A257" t="s">
        <v>222</v>
      </c>
      <c r="B257">
        <v>4</v>
      </c>
      <c r="C257" t="str">
        <f t="shared" si="33"/>
        <v>test.client_4_</v>
      </c>
      <c r="D257">
        <v>3</v>
      </c>
      <c r="E257" s="4">
        <v>0.92248062015503873</v>
      </c>
      <c r="F257" s="4">
        <v>0.89144675276062135</v>
      </c>
      <c r="G257" s="4" t="str">
        <f t="shared" si="34"/>
        <v/>
      </c>
      <c r="H257" s="4" t="str">
        <f t="shared" si="35"/>
        <v/>
      </c>
      <c r="I257" s="4" t="str">
        <f t="shared" si="36"/>
        <v/>
      </c>
      <c r="J257" s="4" t="str">
        <f t="shared" si="37"/>
        <v/>
      </c>
      <c r="K257" s="4">
        <f t="shared" si="38"/>
        <v>0.92248062015503873</v>
      </c>
      <c r="L257" s="4" t="str">
        <f t="shared" si="39"/>
        <v/>
      </c>
      <c r="M257" s="4"/>
      <c r="N257" s="4"/>
      <c r="O257" s="4"/>
      <c r="P257" s="4"/>
      <c r="Q257" s="4"/>
      <c r="R257" s="4"/>
      <c r="S257" s="4"/>
      <c r="T257" s="4"/>
      <c r="U257" s="4"/>
    </row>
    <row r="258" spans="1:21">
      <c r="A258" t="s">
        <v>222</v>
      </c>
      <c r="B258">
        <v>4</v>
      </c>
      <c r="C258" t="str">
        <f t="shared" si="33"/>
        <v>test.client_4_</v>
      </c>
      <c r="D258">
        <v>4</v>
      </c>
      <c r="E258" s="4">
        <v>0.99224806201550386</v>
      </c>
      <c r="F258" s="4">
        <v>0.94403892944038925</v>
      </c>
      <c r="G258" s="4" t="str">
        <f t="shared" si="34"/>
        <v/>
      </c>
      <c r="H258" s="4" t="str">
        <f t="shared" si="35"/>
        <v/>
      </c>
      <c r="I258" s="4" t="str">
        <f t="shared" si="36"/>
        <v/>
      </c>
      <c r="J258" s="4" t="str">
        <f t="shared" si="37"/>
        <v/>
      </c>
      <c r="K258" s="4">
        <f t="shared" si="38"/>
        <v>0.99224806201550386</v>
      </c>
      <c r="L258" s="4" t="str">
        <f t="shared" si="39"/>
        <v/>
      </c>
      <c r="M258" s="4"/>
      <c r="N258" s="4"/>
      <c r="O258" s="4"/>
      <c r="P258" s="4"/>
      <c r="Q258" s="4"/>
      <c r="R258" s="4"/>
      <c r="S258" s="4"/>
      <c r="T258" s="4"/>
      <c r="U258" s="4"/>
    </row>
    <row r="259" spans="1:21">
      <c r="A259" t="s">
        <v>222</v>
      </c>
      <c r="B259">
        <v>4</v>
      </c>
      <c r="C259" t="str">
        <f t="shared" ref="C259:C322" si="40">CONCATENATE(A259, "_",B259,"_")</f>
        <v>test.client_4_</v>
      </c>
      <c r="D259">
        <v>5</v>
      </c>
      <c r="E259" s="4">
        <v>0.99224806201550386</v>
      </c>
      <c r="F259" s="4">
        <v>0.96724686505708402</v>
      </c>
      <c r="G259" s="4" t="str">
        <f t="shared" ref="G259:G322" si="41">IF($F259 &lt;= 0.2,$E259,"")</f>
        <v/>
      </c>
      <c r="H259" s="4" t="str">
        <f t="shared" ref="H259:H322" si="42">IF(AND($F259 &gt; 0.2,$F259 &lt;= 0.4),$E259,"")</f>
        <v/>
      </c>
      <c r="I259" s="4" t="str">
        <f t="shared" ref="I259:I322" si="43">IF(AND($F259 &gt; 0.4,$F259 &lt;= 0.6),$E259,"")</f>
        <v/>
      </c>
      <c r="J259" s="4" t="str">
        <f t="shared" ref="J259:J322" si="44">IF(AND($F259 &gt; 0.6,$F259 &lt;= 0.8),$E259,"")</f>
        <v/>
      </c>
      <c r="K259" s="4">
        <f t="shared" ref="K259:K322" si="45">IF(AND($F259 &gt; 0.8, $F259 &lt;=1.1),$E259,"")</f>
        <v>0.99224806201550386</v>
      </c>
      <c r="L259" s="4" t="str">
        <f t="shared" ref="L259:L322" si="46">IF(AND($F259 &gt; 1.1),$E259,"")</f>
        <v/>
      </c>
      <c r="M259" s="4"/>
      <c r="N259" s="4"/>
      <c r="O259" s="4"/>
      <c r="P259" s="4"/>
      <c r="Q259" s="4"/>
      <c r="R259" s="4"/>
      <c r="S259" s="4"/>
      <c r="T259" s="4"/>
      <c r="U259" s="4"/>
    </row>
    <row r="260" spans="1:21">
      <c r="A260" t="s">
        <v>222</v>
      </c>
      <c r="B260">
        <v>4</v>
      </c>
      <c r="C260" t="str">
        <f t="shared" si="40"/>
        <v>test.client_4_</v>
      </c>
      <c r="D260">
        <v>6</v>
      </c>
      <c r="E260" s="4">
        <v>0.99224806201550386</v>
      </c>
      <c r="F260" s="4">
        <v>1.0486618004866179</v>
      </c>
      <c r="G260" s="4" t="str">
        <f t="shared" si="41"/>
        <v/>
      </c>
      <c r="H260" s="4" t="str">
        <f t="shared" si="42"/>
        <v/>
      </c>
      <c r="I260" s="4" t="str">
        <f t="shared" si="43"/>
        <v/>
      </c>
      <c r="J260" s="4" t="str">
        <f t="shared" si="44"/>
        <v/>
      </c>
      <c r="K260" s="4">
        <f t="shared" si="45"/>
        <v>0.99224806201550386</v>
      </c>
      <c r="L260" s="4" t="str">
        <f t="shared" si="46"/>
        <v/>
      </c>
      <c r="M260" s="4"/>
      <c r="N260" s="4"/>
      <c r="O260" s="4"/>
      <c r="P260" s="4"/>
      <c r="Q260" s="4"/>
      <c r="R260" s="4"/>
      <c r="S260" s="4"/>
      <c r="T260" s="4"/>
      <c r="U260" s="4"/>
    </row>
    <row r="261" spans="1:21">
      <c r="A261" t="s">
        <v>222</v>
      </c>
      <c r="B261">
        <v>4</v>
      </c>
      <c r="C261" t="str">
        <f t="shared" si="40"/>
        <v>test.client_4_</v>
      </c>
      <c r="D261">
        <v>7</v>
      </c>
      <c r="E261" s="4">
        <v>1</v>
      </c>
      <c r="F261" s="4">
        <v>1.0804791315740221</v>
      </c>
      <c r="G261" s="4" t="str">
        <f t="shared" si="41"/>
        <v/>
      </c>
      <c r="H261" s="4" t="str">
        <f t="shared" si="42"/>
        <v/>
      </c>
      <c r="I261" s="4" t="str">
        <f t="shared" si="43"/>
        <v/>
      </c>
      <c r="J261" s="4" t="str">
        <f t="shared" si="44"/>
        <v/>
      </c>
      <c r="K261" s="4">
        <f t="shared" si="45"/>
        <v>1</v>
      </c>
      <c r="L261" s="4" t="str">
        <f t="shared" si="46"/>
        <v/>
      </c>
      <c r="M261" s="4"/>
      <c r="N261" s="4"/>
      <c r="O261" s="4"/>
      <c r="P261" s="4"/>
      <c r="Q261" s="4"/>
      <c r="R261" s="4"/>
      <c r="S261" s="4"/>
      <c r="T261" s="4"/>
      <c r="U261" s="4"/>
    </row>
    <row r="262" spans="1:21">
      <c r="A262" t="s">
        <v>222</v>
      </c>
      <c r="B262">
        <v>4</v>
      </c>
      <c r="C262" t="str">
        <f t="shared" si="40"/>
        <v>test.client_4_</v>
      </c>
      <c r="D262">
        <v>8</v>
      </c>
      <c r="E262" s="4">
        <v>1</v>
      </c>
      <c r="F262" s="4">
        <v>1.0913344562979599</v>
      </c>
      <c r="G262" s="4" t="str">
        <f t="shared" si="41"/>
        <v/>
      </c>
      <c r="H262" s="4" t="str">
        <f t="shared" si="42"/>
        <v/>
      </c>
      <c r="I262" s="4" t="str">
        <f t="shared" si="43"/>
        <v/>
      </c>
      <c r="J262" s="4" t="str">
        <f t="shared" si="44"/>
        <v/>
      </c>
      <c r="K262" s="4">
        <f t="shared" si="45"/>
        <v>1</v>
      </c>
      <c r="L262" s="4" t="str">
        <f t="shared" si="46"/>
        <v/>
      </c>
      <c r="M262" s="4"/>
      <c r="N262" s="4"/>
      <c r="O262" s="4"/>
      <c r="P262" s="4"/>
      <c r="Q262" s="4"/>
      <c r="R262" s="4"/>
      <c r="S262" s="4"/>
      <c r="T262" s="4"/>
      <c r="U262" s="4"/>
    </row>
    <row r="263" spans="1:21">
      <c r="A263" t="s">
        <v>222</v>
      </c>
      <c r="B263">
        <v>4</v>
      </c>
      <c r="C263" t="str">
        <f t="shared" si="40"/>
        <v>test.client_4_</v>
      </c>
      <c r="D263">
        <v>9</v>
      </c>
      <c r="E263" s="4">
        <v>1</v>
      </c>
      <c r="F263" s="4">
        <v>1.1018154594796929</v>
      </c>
      <c r="G263" s="4" t="str">
        <f t="shared" si="41"/>
        <v/>
      </c>
      <c r="H263" s="4" t="str">
        <f t="shared" si="42"/>
        <v/>
      </c>
      <c r="I263" s="4" t="str">
        <f t="shared" si="43"/>
        <v/>
      </c>
      <c r="J263" s="4" t="str">
        <f t="shared" si="44"/>
        <v/>
      </c>
      <c r="K263" s="4" t="str">
        <f t="shared" si="45"/>
        <v/>
      </c>
      <c r="L263" s="4">
        <f t="shared" si="46"/>
        <v>1</v>
      </c>
      <c r="M263" s="4"/>
      <c r="N263" s="4"/>
      <c r="O263" s="4"/>
      <c r="P263" s="4"/>
      <c r="Q263" s="4"/>
      <c r="R263" s="4"/>
      <c r="S263" s="4"/>
      <c r="T263" s="4"/>
      <c r="U263" s="4"/>
    </row>
    <row r="264" spans="1:21">
      <c r="A264" t="s">
        <v>222</v>
      </c>
      <c r="B264">
        <v>6</v>
      </c>
      <c r="C264" t="str">
        <f t="shared" si="40"/>
        <v>test.client_6_</v>
      </c>
      <c r="D264">
        <v>1</v>
      </c>
      <c r="E264" s="4">
        <v>0.64462809917355368</v>
      </c>
      <c r="F264" s="4">
        <v>0.61542581681842523</v>
      </c>
      <c r="G264" s="4" t="str">
        <f t="shared" si="41"/>
        <v/>
      </c>
      <c r="H264" s="4" t="str">
        <f t="shared" si="42"/>
        <v/>
      </c>
      <c r="I264" s="4" t="str">
        <f t="shared" si="43"/>
        <v/>
      </c>
      <c r="J264" s="4">
        <f t="shared" si="44"/>
        <v>0.64462809917355368</v>
      </c>
      <c r="K264" s="4" t="str">
        <f t="shared" si="45"/>
        <v/>
      </c>
      <c r="L264" s="4" t="str">
        <f t="shared" si="46"/>
        <v/>
      </c>
      <c r="M264" s="4"/>
      <c r="N264" s="4"/>
      <c r="O264" s="4"/>
      <c r="P264" s="4"/>
      <c r="Q264" s="4"/>
      <c r="R264" s="4"/>
      <c r="S264" s="4"/>
      <c r="T264" s="4"/>
      <c r="U264" s="4"/>
    </row>
    <row r="265" spans="1:21">
      <c r="A265" t="s">
        <v>222</v>
      </c>
      <c r="B265">
        <v>6</v>
      </c>
      <c r="C265" t="str">
        <f t="shared" si="40"/>
        <v>test.client_6_</v>
      </c>
      <c r="D265">
        <v>2</v>
      </c>
      <c r="E265" s="4">
        <v>1</v>
      </c>
      <c r="F265" s="4">
        <v>0.6155597214783074</v>
      </c>
      <c r="G265" s="4" t="str">
        <f t="shared" si="41"/>
        <v/>
      </c>
      <c r="H265" s="4" t="str">
        <f t="shared" si="42"/>
        <v/>
      </c>
      <c r="I265" s="4" t="str">
        <f t="shared" si="43"/>
        <v/>
      </c>
      <c r="J265" s="4">
        <f t="shared" si="44"/>
        <v>1</v>
      </c>
      <c r="K265" s="4" t="str">
        <f t="shared" si="45"/>
        <v/>
      </c>
      <c r="L265" s="4" t="str">
        <f t="shared" si="46"/>
        <v/>
      </c>
      <c r="M265" s="4"/>
      <c r="N265" s="4"/>
      <c r="O265" s="4"/>
      <c r="P265" s="4"/>
      <c r="Q265" s="4"/>
      <c r="R265" s="4"/>
      <c r="S265" s="4"/>
      <c r="T265" s="4"/>
      <c r="U265" s="4"/>
    </row>
    <row r="266" spans="1:21">
      <c r="A266" t="s">
        <v>222</v>
      </c>
      <c r="B266">
        <v>7</v>
      </c>
      <c r="C266" t="str">
        <f t="shared" si="40"/>
        <v>test.client_7_</v>
      </c>
      <c r="D266">
        <v>1</v>
      </c>
      <c r="E266" s="4">
        <v>2.3255813953488372E-2</v>
      </c>
      <c r="F266" s="4">
        <v>7.5985663082437274E-2</v>
      </c>
      <c r="G266" s="4">
        <f t="shared" si="41"/>
        <v>2.3255813953488372E-2</v>
      </c>
      <c r="H266" s="4" t="str">
        <f t="shared" si="42"/>
        <v/>
      </c>
      <c r="I266" s="4" t="str">
        <f t="shared" si="43"/>
        <v/>
      </c>
      <c r="J266" s="4" t="str">
        <f t="shared" si="44"/>
        <v/>
      </c>
      <c r="K266" s="4" t="str">
        <f t="shared" si="45"/>
        <v/>
      </c>
      <c r="L266" s="4" t="str">
        <f t="shared" si="46"/>
        <v/>
      </c>
      <c r="M266" s="4"/>
      <c r="N266" s="4"/>
      <c r="O266" s="4"/>
      <c r="P266" s="4"/>
      <c r="Q266" s="4"/>
      <c r="R266" s="4"/>
      <c r="S266" s="4"/>
      <c r="T266" s="4"/>
      <c r="U266" s="4"/>
    </row>
    <row r="267" spans="1:21">
      <c r="A267" t="s">
        <v>222</v>
      </c>
      <c r="B267">
        <v>7</v>
      </c>
      <c r="C267" t="str">
        <f t="shared" si="40"/>
        <v>test.client_7_</v>
      </c>
      <c r="D267">
        <v>2</v>
      </c>
      <c r="E267" s="4">
        <v>6.9767441860465115E-2</v>
      </c>
      <c r="F267" s="4">
        <v>0.13906810035842293</v>
      </c>
      <c r="G267" s="4">
        <f t="shared" si="41"/>
        <v>6.9767441860465115E-2</v>
      </c>
      <c r="H267" s="4" t="str">
        <f t="shared" si="42"/>
        <v/>
      </c>
      <c r="I267" s="4" t="str">
        <f t="shared" si="43"/>
        <v/>
      </c>
      <c r="J267" s="4" t="str">
        <f t="shared" si="44"/>
        <v/>
      </c>
      <c r="K267" s="4" t="str">
        <f t="shared" si="45"/>
        <v/>
      </c>
      <c r="L267" s="4" t="str">
        <f t="shared" si="46"/>
        <v/>
      </c>
      <c r="M267" s="4"/>
      <c r="N267" s="4"/>
      <c r="O267" s="4"/>
      <c r="P267" s="4"/>
      <c r="Q267" s="4"/>
      <c r="R267" s="4"/>
      <c r="S267" s="4"/>
      <c r="T267" s="4"/>
      <c r="U267" s="4"/>
    </row>
    <row r="268" spans="1:21">
      <c r="A268" t="s">
        <v>222</v>
      </c>
      <c r="B268">
        <v>7</v>
      </c>
      <c r="C268" t="str">
        <f t="shared" si="40"/>
        <v>test.client_7_</v>
      </c>
      <c r="D268">
        <v>3</v>
      </c>
      <c r="E268" s="4">
        <v>0.13953488372093023</v>
      </c>
      <c r="F268" s="4">
        <v>0.2028673835125448</v>
      </c>
      <c r="G268" s="4" t="str">
        <f t="shared" si="41"/>
        <v/>
      </c>
      <c r="H268" s="4">
        <f t="shared" si="42"/>
        <v>0.13953488372093023</v>
      </c>
      <c r="I268" s="4" t="str">
        <f t="shared" si="43"/>
        <v/>
      </c>
      <c r="J268" s="4" t="str">
        <f t="shared" si="44"/>
        <v/>
      </c>
      <c r="K268" s="4" t="str">
        <f t="shared" si="45"/>
        <v/>
      </c>
      <c r="L268" s="4" t="str">
        <f t="shared" si="46"/>
        <v/>
      </c>
      <c r="M268" s="4"/>
      <c r="N268" s="4"/>
      <c r="O268" s="4"/>
      <c r="P268" s="4"/>
      <c r="Q268" s="4"/>
      <c r="R268" s="4"/>
      <c r="S268" s="4"/>
      <c r="T268" s="4"/>
      <c r="U268" s="4"/>
    </row>
    <row r="269" spans="1:21">
      <c r="A269" t="s">
        <v>222</v>
      </c>
      <c r="B269">
        <v>7</v>
      </c>
      <c r="C269" t="str">
        <f t="shared" si="40"/>
        <v>test.client_7_</v>
      </c>
      <c r="D269">
        <v>4</v>
      </c>
      <c r="E269" s="4">
        <v>0.16279069767441862</v>
      </c>
      <c r="F269" s="4">
        <v>0.52544802867383511</v>
      </c>
      <c r="G269" s="4" t="str">
        <f t="shared" si="41"/>
        <v/>
      </c>
      <c r="H269" s="4" t="str">
        <f t="shared" si="42"/>
        <v/>
      </c>
      <c r="I269" s="4">
        <f t="shared" si="43"/>
        <v>0.16279069767441862</v>
      </c>
      <c r="J269" s="4" t="str">
        <f t="shared" si="44"/>
        <v/>
      </c>
      <c r="K269" s="4" t="str">
        <f t="shared" si="45"/>
        <v/>
      </c>
      <c r="L269" s="4" t="str">
        <f t="shared" si="46"/>
        <v/>
      </c>
      <c r="M269" s="4"/>
      <c r="N269" s="4"/>
      <c r="O269" s="4"/>
      <c r="P269" s="4"/>
      <c r="Q269" s="4"/>
      <c r="R269" s="4"/>
      <c r="S269" s="4"/>
      <c r="T269" s="4"/>
      <c r="U269" s="4"/>
    </row>
    <row r="270" spans="1:21">
      <c r="A270" t="s">
        <v>222</v>
      </c>
      <c r="B270">
        <v>7</v>
      </c>
      <c r="C270" t="str">
        <f t="shared" si="40"/>
        <v>test.client_7_</v>
      </c>
      <c r="D270">
        <v>5</v>
      </c>
      <c r="E270" s="4">
        <v>0.2558139534883721</v>
      </c>
      <c r="F270" s="4">
        <v>0.74838709677419357</v>
      </c>
      <c r="G270" s="4" t="str">
        <f t="shared" si="41"/>
        <v/>
      </c>
      <c r="H270" s="4" t="str">
        <f t="shared" si="42"/>
        <v/>
      </c>
      <c r="I270" s="4" t="str">
        <f t="shared" si="43"/>
        <v/>
      </c>
      <c r="J270" s="4">
        <f t="shared" si="44"/>
        <v>0.2558139534883721</v>
      </c>
      <c r="K270" s="4" t="str">
        <f t="shared" si="45"/>
        <v/>
      </c>
      <c r="L270" s="4" t="str">
        <f t="shared" si="46"/>
        <v/>
      </c>
      <c r="M270" s="4"/>
      <c r="N270" s="4"/>
      <c r="O270" s="4"/>
      <c r="P270" s="4"/>
      <c r="Q270" s="4"/>
      <c r="R270" s="4"/>
      <c r="S270" s="4"/>
      <c r="T270" s="4"/>
      <c r="U270" s="4"/>
    </row>
    <row r="271" spans="1:21">
      <c r="A271" t="s">
        <v>222</v>
      </c>
      <c r="B271">
        <v>7</v>
      </c>
      <c r="C271" t="str">
        <f t="shared" si="40"/>
        <v>test.client_7_</v>
      </c>
      <c r="D271">
        <v>6</v>
      </c>
      <c r="E271" s="4">
        <v>0.2558139534883721</v>
      </c>
      <c r="F271" s="4">
        <v>0.989247311827957</v>
      </c>
      <c r="G271" s="4" t="str">
        <f t="shared" si="41"/>
        <v/>
      </c>
      <c r="H271" s="4" t="str">
        <f t="shared" si="42"/>
        <v/>
      </c>
      <c r="I271" s="4" t="str">
        <f t="shared" si="43"/>
        <v/>
      </c>
      <c r="J271" s="4" t="str">
        <f t="shared" si="44"/>
        <v/>
      </c>
      <c r="K271" s="4">
        <f t="shared" si="45"/>
        <v>0.2558139534883721</v>
      </c>
      <c r="L271" s="4" t="str">
        <f t="shared" si="46"/>
        <v/>
      </c>
      <c r="M271" s="4"/>
      <c r="N271" s="4"/>
      <c r="O271" s="4"/>
      <c r="P271" s="4"/>
      <c r="Q271" s="4"/>
      <c r="R271" s="4"/>
      <c r="S271" s="4"/>
      <c r="T271" s="4"/>
      <c r="U271" s="4"/>
    </row>
    <row r="272" spans="1:21">
      <c r="A272" t="s">
        <v>222</v>
      </c>
      <c r="B272">
        <v>7</v>
      </c>
      <c r="C272" t="str">
        <f t="shared" si="40"/>
        <v>test.client_7_</v>
      </c>
      <c r="D272">
        <v>7</v>
      </c>
      <c r="E272" s="4">
        <v>1</v>
      </c>
      <c r="F272" s="4">
        <v>1.2057347670250895</v>
      </c>
      <c r="G272" s="4" t="str">
        <f t="shared" si="41"/>
        <v/>
      </c>
      <c r="H272" s="4" t="str">
        <f t="shared" si="42"/>
        <v/>
      </c>
      <c r="I272" s="4" t="str">
        <f t="shared" si="43"/>
        <v/>
      </c>
      <c r="J272" s="4" t="str">
        <f t="shared" si="44"/>
        <v/>
      </c>
      <c r="K272" s="4" t="str">
        <f t="shared" si="45"/>
        <v/>
      </c>
      <c r="L272" s="4">
        <f t="shared" si="46"/>
        <v>1</v>
      </c>
      <c r="M272" s="4"/>
      <c r="N272" s="4"/>
      <c r="O272" s="4"/>
      <c r="P272" s="4"/>
      <c r="Q272" s="4"/>
      <c r="R272" s="4"/>
      <c r="S272" s="4"/>
      <c r="T272" s="4"/>
      <c r="U272" s="4"/>
    </row>
    <row r="273" spans="1:21">
      <c r="A273" t="s">
        <v>223</v>
      </c>
      <c r="B273">
        <v>3</v>
      </c>
      <c r="C273" t="str">
        <f t="shared" si="40"/>
        <v>test.GeoEngine_3_</v>
      </c>
      <c r="D273">
        <v>1</v>
      </c>
      <c r="E273" s="4">
        <v>9.6774193548387094E-2</v>
      </c>
      <c r="F273" s="4">
        <v>6.9702738321862648E-2</v>
      </c>
      <c r="G273" s="4">
        <f t="shared" si="41"/>
        <v>9.6774193548387094E-2</v>
      </c>
      <c r="H273" s="4" t="str">
        <f t="shared" si="42"/>
        <v/>
      </c>
      <c r="I273" s="4" t="str">
        <f t="shared" si="43"/>
        <v/>
      </c>
      <c r="J273" s="4" t="str">
        <f t="shared" si="44"/>
        <v/>
      </c>
      <c r="K273" s="4" t="str">
        <f t="shared" si="45"/>
        <v/>
      </c>
      <c r="L273" s="4" t="str">
        <f t="shared" si="46"/>
        <v/>
      </c>
      <c r="M273" s="4"/>
      <c r="N273" s="4"/>
      <c r="O273" s="4"/>
      <c r="P273" s="4"/>
      <c r="Q273" s="4"/>
      <c r="R273" s="4"/>
      <c r="S273" s="4"/>
      <c r="T273" s="4"/>
      <c r="U273" s="4"/>
    </row>
    <row r="274" spans="1:21">
      <c r="A274" t="s">
        <v>223</v>
      </c>
      <c r="B274">
        <v>3</v>
      </c>
      <c r="C274" t="str">
        <f t="shared" si="40"/>
        <v>test.GeoEngine_3_</v>
      </c>
      <c r="D274">
        <v>2</v>
      </c>
      <c r="E274" s="4">
        <v>0.74193548387096775</v>
      </c>
      <c r="F274" s="4">
        <v>0.59452335627471076</v>
      </c>
      <c r="G274" s="4" t="str">
        <f t="shared" si="41"/>
        <v/>
      </c>
      <c r="H274" s="4" t="str">
        <f t="shared" si="42"/>
        <v/>
      </c>
      <c r="I274" s="4">
        <f t="shared" si="43"/>
        <v>0.74193548387096775</v>
      </c>
      <c r="J274" s="4" t="str">
        <f t="shared" si="44"/>
        <v/>
      </c>
      <c r="K274" s="4" t="str">
        <f t="shared" si="45"/>
        <v/>
      </c>
      <c r="L274" s="4" t="str">
        <f t="shared" si="46"/>
        <v/>
      </c>
      <c r="M274" s="4"/>
      <c r="N274" s="4"/>
      <c r="O274" s="4"/>
      <c r="P274" s="4"/>
      <c r="Q274" s="4"/>
      <c r="R274" s="4"/>
      <c r="S274" s="4"/>
      <c r="T274" s="4"/>
      <c r="U274" s="4"/>
    </row>
    <row r="275" spans="1:21">
      <c r="A275" t="s">
        <v>223</v>
      </c>
      <c r="B275">
        <v>3</v>
      </c>
      <c r="C275" t="str">
        <f t="shared" si="40"/>
        <v>test.GeoEngine_3_</v>
      </c>
      <c r="D275">
        <v>3</v>
      </c>
      <c r="E275" s="4">
        <v>1</v>
      </c>
      <c r="F275" s="4">
        <v>0.60096646653975694</v>
      </c>
      <c r="G275" s="4" t="str">
        <f t="shared" si="41"/>
        <v/>
      </c>
      <c r="H275" s="4" t="str">
        <f t="shared" si="42"/>
        <v/>
      </c>
      <c r="I275" s="4" t="str">
        <f t="shared" si="43"/>
        <v/>
      </c>
      <c r="J275" s="4">
        <f t="shared" si="44"/>
        <v>1</v>
      </c>
      <c r="K275" s="4" t="str">
        <f t="shared" si="45"/>
        <v/>
      </c>
      <c r="L275" s="4" t="str">
        <f t="shared" si="46"/>
        <v/>
      </c>
      <c r="M275" s="4"/>
      <c r="N275" s="4"/>
      <c r="O275" s="4"/>
      <c r="P275" s="4"/>
      <c r="Q275" s="4"/>
      <c r="R275" s="4"/>
      <c r="S275" s="4"/>
      <c r="T275" s="4"/>
      <c r="U275" s="4"/>
    </row>
    <row r="276" spans="1:21">
      <c r="A276" t="s">
        <v>223</v>
      </c>
      <c r="B276">
        <v>7</v>
      </c>
      <c r="C276" t="str">
        <f t="shared" si="40"/>
        <v>test.GeoEngine_7_</v>
      </c>
      <c r="D276">
        <v>1</v>
      </c>
      <c r="E276" s="4">
        <v>5.3571428571428568E-2</v>
      </c>
      <c r="F276" s="4">
        <v>8.9516006675769994E-3</v>
      </c>
      <c r="G276" s="4">
        <f t="shared" si="41"/>
        <v>5.3571428571428568E-2</v>
      </c>
      <c r="H276" s="4" t="str">
        <f t="shared" si="42"/>
        <v/>
      </c>
      <c r="I276" s="4" t="str">
        <f t="shared" si="43"/>
        <v/>
      </c>
      <c r="J276" s="4" t="str">
        <f t="shared" si="44"/>
        <v/>
      </c>
      <c r="K276" s="4" t="str">
        <f t="shared" si="45"/>
        <v/>
      </c>
      <c r="L276" s="4" t="str">
        <f t="shared" si="46"/>
        <v/>
      </c>
      <c r="M276" s="4"/>
      <c r="N276" s="4"/>
      <c r="O276" s="4"/>
      <c r="P276" s="4"/>
      <c r="Q276" s="4"/>
      <c r="R276" s="4"/>
      <c r="S276" s="4"/>
      <c r="T276" s="4"/>
      <c r="U276" s="4"/>
    </row>
    <row r="277" spans="1:21">
      <c r="A277" t="s">
        <v>223</v>
      </c>
      <c r="B277">
        <v>7</v>
      </c>
      <c r="C277" s="9" t="str">
        <f t="shared" si="40"/>
        <v>test.GeoEngine_7_</v>
      </c>
      <c r="D277">
        <v>2</v>
      </c>
      <c r="E277" s="4">
        <v>7.1428571428571425E-2</v>
      </c>
      <c r="F277" s="4">
        <v>2.2151418601122744E-2</v>
      </c>
      <c r="G277" s="4">
        <f t="shared" si="41"/>
        <v>7.1428571428571425E-2</v>
      </c>
      <c r="H277" s="4" t="str">
        <f t="shared" si="42"/>
        <v/>
      </c>
      <c r="I277" s="4" t="str">
        <f t="shared" si="43"/>
        <v/>
      </c>
      <c r="J277" s="4" t="str">
        <f t="shared" si="44"/>
        <v/>
      </c>
      <c r="K277" s="4" t="str">
        <f t="shared" si="45"/>
        <v/>
      </c>
      <c r="L277" s="4" t="str">
        <f t="shared" si="46"/>
        <v/>
      </c>
      <c r="M277" s="4"/>
      <c r="N277" s="4"/>
      <c r="O277" s="4"/>
      <c r="P277" s="4"/>
      <c r="Q277" s="4"/>
      <c r="R277" s="4"/>
      <c r="S277" s="4"/>
      <c r="T277" s="4"/>
      <c r="U277" s="4"/>
    </row>
    <row r="278" spans="1:21">
      <c r="A278" t="s">
        <v>223</v>
      </c>
      <c r="B278">
        <v>7</v>
      </c>
      <c r="C278" t="str">
        <f t="shared" si="40"/>
        <v>test.GeoEngine_7_</v>
      </c>
      <c r="D278">
        <v>3</v>
      </c>
      <c r="E278" s="4">
        <v>0.2857142857142857</v>
      </c>
      <c r="F278" s="4">
        <v>6.1902594446973144E-2</v>
      </c>
      <c r="G278" s="4">
        <f t="shared" si="41"/>
        <v>0.2857142857142857</v>
      </c>
      <c r="H278" s="4" t="str">
        <f t="shared" si="42"/>
        <v/>
      </c>
      <c r="I278" s="4" t="str">
        <f t="shared" si="43"/>
        <v/>
      </c>
      <c r="J278" s="4" t="str">
        <f t="shared" si="44"/>
        <v/>
      </c>
      <c r="K278" s="4" t="str">
        <f t="shared" si="45"/>
        <v/>
      </c>
      <c r="L278" s="4" t="str">
        <f t="shared" si="46"/>
        <v/>
      </c>
      <c r="M278" s="4"/>
      <c r="N278" s="4"/>
      <c r="O278" s="4"/>
      <c r="P278" s="4"/>
      <c r="Q278" s="4"/>
      <c r="R278" s="4"/>
      <c r="S278" s="4"/>
      <c r="T278" s="4"/>
      <c r="U278" s="4"/>
    </row>
    <row r="279" spans="1:21">
      <c r="A279" t="s">
        <v>223</v>
      </c>
      <c r="B279">
        <v>7</v>
      </c>
      <c r="C279" t="str">
        <f t="shared" si="40"/>
        <v>test.GeoEngine_7_</v>
      </c>
      <c r="D279">
        <v>4</v>
      </c>
      <c r="E279" s="4">
        <v>0.48214285714285715</v>
      </c>
      <c r="F279" s="4">
        <v>9.148839326354119E-2</v>
      </c>
      <c r="G279" s="4">
        <f t="shared" si="41"/>
        <v>0.48214285714285715</v>
      </c>
      <c r="H279" s="4" t="str">
        <f t="shared" si="42"/>
        <v/>
      </c>
      <c r="I279" s="4" t="str">
        <f t="shared" si="43"/>
        <v/>
      </c>
      <c r="J279" s="4" t="str">
        <f t="shared" si="44"/>
        <v/>
      </c>
      <c r="K279" s="4" t="str">
        <f t="shared" si="45"/>
        <v/>
      </c>
      <c r="L279" s="4" t="str">
        <f t="shared" si="46"/>
        <v/>
      </c>
      <c r="M279" s="4"/>
      <c r="N279" s="4"/>
      <c r="O279" s="4"/>
      <c r="P279" s="4"/>
      <c r="Q279" s="4"/>
      <c r="R279" s="4"/>
      <c r="S279" s="4"/>
      <c r="T279" s="4"/>
      <c r="U279" s="4"/>
    </row>
    <row r="280" spans="1:21">
      <c r="A280" t="s">
        <v>223</v>
      </c>
      <c r="B280">
        <v>7</v>
      </c>
      <c r="C280" t="str">
        <f t="shared" si="40"/>
        <v>test.GeoEngine_7_</v>
      </c>
      <c r="D280">
        <v>5</v>
      </c>
      <c r="E280" s="4">
        <v>0.5178571428571429</v>
      </c>
      <c r="F280" s="4">
        <v>9.3005613715672883E-2</v>
      </c>
      <c r="G280" s="4">
        <f t="shared" si="41"/>
        <v>0.5178571428571429</v>
      </c>
      <c r="H280" s="4" t="str">
        <f t="shared" si="42"/>
        <v/>
      </c>
      <c r="I280" s="4" t="str">
        <f t="shared" si="43"/>
        <v/>
      </c>
      <c r="J280" s="4" t="str">
        <f t="shared" si="44"/>
        <v/>
      </c>
      <c r="K280" s="4" t="str">
        <f t="shared" si="45"/>
        <v/>
      </c>
      <c r="L280" s="4" t="str">
        <f t="shared" si="46"/>
        <v/>
      </c>
      <c r="M280" s="4"/>
      <c r="N280" s="4"/>
      <c r="O280" s="4"/>
      <c r="P280" s="4"/>
      <c r="Q280" s="4"/>
      <c r="R280" s="4"/>
      <c r="S280" s="4"/>
      <c r="T280" s="4"/>
      <c r="U280" s="4"/>
    </row>
    <row r="281" spans="1:21">
      <c r="A281" t="s">
        <v>223</v>
      </c>
      <c r="B281">
        <v>7</v>
      </c>
      <c r="C281" t="str">
        <f t="shared" si="40"/>
        <v>test.GeoEngine_7_</v>
      </c>
      <c r="D281">
        <v>6</v>
      </c>
      <c r="E281" s="4">
        <v>1</v>
      </c>
      <c r="F281" s="4">
        <v>0.98148991048399337</v>
      </c>
      <c r="G281" s="4" t="str">
        <f t="shared" si="41"/>
        <v/>
      </c>
      <c r="H281" s="4" t="str">
        <f t="shared" si="42"/>
        <v/>
      </c>
      <c r="I281" s="4" t="str">
        <f t="shared" si="43"/>
        <v/>
      </c>
      <c r="J281" s="4" t="str">
        <f t="shared" si="44"/>
        <v/>
      </c>
      <c r="K281" s="4">
        <f t="shared" si="45"/>
        <v>1</v>
      </c>
      <c r="L281" s="4" t="str">
        <f t="shared" si="46"/>
        <v/>
      </c>
      <c r="M281" s="4"/>
      <c r="N281" s="4"/>
      <c r="O281" s="4"/>
      <c r="P281" s="4"/>
      <c r="Q281" s="4"/>
      <c r="R281" s="4"/>
      <c r="S281" s="4"/>
      <c r="T281" s="4"/>
      <c r="U281" s="4"/>
    </row>
    <row r="282" spans="1:21">
      <c r="A282" t="s">
        <v>223</v>
      </c>
      <c r="B282">
        <v>8</v>
      </c>
      <c r="C282" t="str">
        <f t="shared" si="40"/>
        <v>test.GeoEngine_8_</v>
      </c>
      <c r="D282">
        <v>1</v>
      </c>
      <c r="E282" s="4">
        <v>4.6511627906976744E-2</v>
      </c>
      <c r="F282" s="4">
        <v>4.6919431279620852E-2</v>
      </c>
      <c r="G282" s="4">
        <f t="shared" si="41"/>
        <v>4.6511627906976744E-2</v>
      </c>
      <c r="H282" s="4" t="str">
        <f t="shared" si="42"/>
        <v/>
      </c>
      <c r="I282" s="4" t="str">
        <f t="shared" si="43"/>
        <v/>
      </c>
      <c r="J282" s="4" t="str">
        <f t="shared" si="44"/>
        <v/>
      </c>
      <c r="K282" s="4" t="str">
        <f t="shared" si="45"/>
        <v/>
      </c>
      <c r="L282" s="4" t="str">
        <f t="shared" si="46"/>
        <v/>
      </c>
      <c r="M282" s="4"/>
      <c r="N282" s="4"/>
      <c r="O282" s="4"/>
      <c r="P282" s="4"/>
      <c r="Q282" s="4"/>
      <c r="R282" s="4"/>
      <c r="S282" s="4"/>
      <c r="T282" s="4"/>
      <c r="U282" s="4"/>
    </row>
    <row r="283" spans="1:21">
      <c r="A283" t="s">
        <v>223</v>
      </c>
      <c r="B283">
        <v>8</v>
      </c>
      <c r="C283" t="str">
        <f t="shared" si="40"/>
        <v>test.GeoEngine_8_</v>
      </c>
      <c r="D283">
        <v>2</v>
      </c>
      <c r="E283" s="4">
        <v>0.1744186046511628</v>
      </c>
      <c r="F283" s="4">
        <v>0.12085308056872038</v>
      </c>
      <c r="G283" s="4">
        <f t="shared" si="41"/>
        <v>0.1744186046511628</v>
      </c>
      <c r="H283" s="4" t="str">
        <f t="shared" si="42"/>
        <v/>
      </c>
      <c r="I283" s="4" t="str">
        <f t="shared" si="43"/>
        <v/>
      </c>
      <c r="J283" s="4" t="str">
        <f t="shared" si="44"/>
        <v/>
      </c>
      <c r="K283" s="4" t="str">
        <f t="shared" si="45"/>
        <v/>
      </c>
      <c r="L283" s="4" t="str">
        <f t="shared" si="46"/>
        <v/>
      </c>
      <c r="M283" s="4"/>
      <c r="N283" s="4"/>
      <c r="O283" s="4"/>
      <c r="P283" s="4"/>
      <c r="Q283" s="4"/>
      <c r="R283" s="4"/>
      <c r="S283" s="4"/>
      <c r="T283" s="4"/>
      <c r="U283" s="4"/>
    </row>
    <row r="284" spans="1:21">
      <c r="A284" t="s">
        <v>223</v>
      </c>
      <c r="B284">
        <v>8</v>
      </c>
      <c r="C284" t="str">
        <f t="shared" si="40"/>
        <v>test.GeoEngine_8_</v>
      </c>
      <c r="D284">
        <v>3</v>
      </c>
      <c r="E284" s="4">
        <v>0.22093023255813954</v>
      </c>
      <c r="F284" s="4">
        <v>0.14620853080568721</v>
      </c>
      <c r="G284" s="4">
        <f t="shared" si="41"/>
        <v>0.22093023255813954</v>
      </c>
      <c r="H284" s="4" t="str">
        <f t="shared" si="42"/>
        <v/>
      </c>
      <c r="I284" s="4" t="str">
        <f t="shared" si="43"/>
        <v/>
      </c>
      <c r="J284" s="4" t="str">
        <f t="shared" si="44"/>
        <v/>
      </c>
      <c r="K284" s="4" t="str">
        <f t="shared" si="45"/>
        <v/>
      </c>
      <c r="L284" s="4" t="str">
        <f t="shared" si="46"/>
        <v/>
      </c>
      <c r="M284" s="4"/>
      <c r="N284" s="4"/>
      <c r="O284" s="4"/>
      <c r="P284" s="4"/>
      <c r="Q284" s="4"/>
      <c r="R284" s="4"/>
      <c r="S284" s="4"/>
      <c r="T284" s="4"/>
      <c r="U284" s="4"/>
    </row>
    <row r="285" spans="1:21">
      <c r="A285" t="s">
        <v>223</v>
      </c>
      <c r="B285">
        <v>8</v>
      </c>
      <c r="C285" t="str">
        <f t="shared" si="40"/>
        <v>test.GeoEngine_8_</v>
      </c>
      <c r="D285">
        <v>4</v>
      </c>
      <c r="E285" s="4">
        <v>0.33720930232558138</v>
      </c>
      <c r="F285" s="4">
        <v>0.16753554502369669</v>
      </c>
      <c r="G285" s="4">
        <f t="shared" si="41"/>
        <v>0.33720930232558138</v>
      </c>
      <c r="H285" s="4" t="str">
        <f t="shared" si="42"/>
        <v/>
      </c>
      <c r="I285" s="4" t="str">
        <f t="shared" si="43"/>
        <v/>
      </c>
      <c r="J285" s="4" t="str">
        <f t="shared" si="44"/>
        <v/>
      </c>
      <c r="K285" s="4" t="str">
        <f t="shared" si="45"/>
        <v/>
      </c>
      <c r="L285" s="4" t="str">
        <f t="shared" si="46"/>
        <v/>
      </c>
      <c r="M285" s="4"/>
      <c r="N285" s="4"/>
      <c r="O285" s="4"/>
      <c r="P285" s="4"/>
      <c r="Q285" s="4"/>
      <c r="R285" s="4"/>
      <c r="S285" s="4"/>
      <c r="T285" s="4"/>
      <c r="U285" s="4"/>
    </row>
    <row r="286" spans="1:21">
      <c r="A286" t="s">
        <v>223</v>
      </c>
      <c r="B286">
        <v>8</v>
      </c>
      <c r="C286" t="str">
        <f t="shared" si="40"/>
        <v>test.GeoEngine_8_</v>
      </c>
      <c r="D286">
        <v>5</v>
      </c>
      <c r="E286" s="4">
        <v>0.36046511627906974</v>
      </c>
      <c r="F286" s="4">
        <v>0.17819905213270143</v>
      </c>
      <c r="G286" s="4">
        <f t="shared" si="41"/>
        <v>0.36046511627906974</v>
      </c>
      <c r="H286" s="4" t="str">
        <f t="shared" si="42"/>
        <v/>
      </c>
      <c r="I286" s="4" t="str">
        <f t="shared" si="43"/>
        <v/>
      </c>
      <c r="J286" s="4" t="str">
        <f t="shared" si="44"/>
        <v/>
      </c>
      <c r="K286" s="4" t="str">
        <f t="shared" si="45"/>
        <v/>
      </c>
      <c r="L286" s="4" t="str">
        <f t="shared" si="46"/>
        <v/>
      </c>
      <c r="M286" s="4"/>
      <c r="N286" s="4"/>
      <c r="O286" s="4"/>
      <c r="P286" s="4"/>
      <c r="Q286" s="4"/>
      <c r="R286" s="4"/>
      <c r="S286" s="4"/>
      <c r="T286" s="4"/>
      <c r="U286" s="4"/>
    </row>
    <row r="287" spans="1:21">
      <c r="A287" t="s">
        <v>223</v>
      </c>
      <c r="B287">
        <v>8</v>
      </c>
      <c r="C287" t="str">
        <f t="shared" si="40"/>
        <v>test.GeoEngine_8_</v>
      </c>
      <c r="D287">
        <v>6</v>
      </c>
      <c r="E287" s="4">
        <v>0.7558139534883721</v>
      </c>
      <c r="F287" s="4">
        <v>0.74336492890995265</v>
      </c>
      <c r="G287" s="4" t="str">
        <f t="shared" si="41"/>
        <v/>
      </c>
      <c r="H287" s="4" t="str">
        <f t="shared" si="42"/>
        <v/>
      </c>
      <c r="I287" s="4" t="str">
        <f t="shared" si="43"/>
        <v/>
      </c>
      <c r="J287" s="4">
        <f t="shared" si="44"/>
        <v>0.7558139534883721</v>
      </c>
      <c r="K287" s="4" t="str">
        <f t="shared" si="45"/>
        <v/>
      </c>
      <c r="L287" s="4" t="str">
        <f t="shared" si="46"/>
        <v/>
      </c>
      <c r="M287" s="4"/>
      <c r="N287" s="4"/>
      <c r="O287" s="4"/>
      <c r="P287" s="4"/>
      <c r="Q287" s="4"/>
      <c r="R287" s="4"/>
      <c r="S287" s="4"/>
      <c r="T287" s="4"/>
      <c r="U287" s="4"/>
    </row>
    <row r="288" spans="1:21">
      <c r="A288" t="s">
        <v>223</v>
      </c>
      <c r="B288">
        <v>8</v>
      </c>
      <c r="C288" t="str">
        <f t="shared" si="40"/>
        <v>test.GeoEngine_8_</v>
      </c>
      <c r="D288">
        <v>7</v>
      </c>
      <c r="E288" s="4">
        <v>0.80232558139534882</v>
      </c>
      <c r="F288" s="4">
        <v>0.77298578199052137</v>
      </c>
      <c r="G288" s="4" t="str">
        <f t="shared" si="41"/>
        <v/>
      </c>
      <c r="H288" s="4" t="str">
        <f t="shared" si="42"/>
        <v/>
      </c>
      <c r="I288" s="4" t="str">
        <f t="shared" si="43"/>
        <v/>
      </c>
      <c r="J288" s="4">
        <f t="shared" si="44"/>
        <v>0.80232558139534882</v>
      </c>
      <c r="K288" s="4" t="str">
        <f t="shared" si="45"/>
        <v/>
      </c>
      <c r="L288" s="4" t="str">
        <f t="shared" si="46"/>
        <v/>
      </c>
      <c r="M288" s="4"/>
      <c r="N288" s="4"/>
      <c r="O288" s="4"/>
      <c r="P288" s="4"/>
      <c r="Q288" s="4"/>
      <c r="R288" s="4"/>
      <c r="S288" s="4"/>
      <c r="T288" s="4"/>
      <c r="U288" s="4"/>
    </row>
    <row r="289" spans="1:21">
      <c r="A289" t="s">
        <v>223</v>
      </c>
      <c r="B289">
        <v>8</v>
      </c>
      <c r="C289" t="str">
        <f t="shared" si="40"/>
        <v>test.GeoEngine_8_</v>
      </c>
      <c r="D289">
        <v>8</v>
      </c>
      <c r="E289" s="4">
        <v>0.81395348837209303</v>
      </c>
      <c r="F289" s="4">
        <v>0.77582938388625589</v>
      </c>
      <c r="G289" s="4" t="str">
        <f t="shared" si="41"/>
        <v/>
      </c>
      <c r="H289" s="4" t="str">
        <f t="shared" si="42"/>
        <v/>
      </c>
      <c r="I289" s="4" t="str">
        <f t="shared" si="43"/>
        <v/>
      </c>
      <c r="J289" s="4">
        <f t="shared" si="44"/>
        <v>0.81395348837209303</v>
      </c>
      <c r="K289" s="4" t="str">
        <f t="shared" si="45"/>
        <v/>
      </c>
      <c r="L289" s="4" t="str">
        <f t="shared" si="46"/>
        <v/>
      </c>
      <c r="M289" s="4"/>
      <c r="N289" s="4"/>
      <c r="O289" s="4"/>
      <c r="P289" s="4"/>
      <c r="Q289" s="4"/>
      <c r="R289" s="4"/>
      <c r="S289" s="4"/>
      <c r="T289" s="4"/>
      <c r="U289" s="4"/>
    </row>
    <row r="290" spans="1:21">
      <c r="A290" t="s">
        <v>223</v>
      </c>
      <c r="B290">
        <v>8</v>
      </c>
      <c r="C290" t="str">
        <f t="shared" si="40"/>
        <v>test.GeoEngine_8_</v>
      </c>
      <c r="D290">
        <v>9</v>
      </c>
      <c r="E290" s="4">
        <v>0.87209302325581395</v>
      </c>
      <c r="F290" s="4">
        <v>0.82582938388625593</v>
      </c>
      <c r="G290" s="4" t="str">
        <f t="shared" si="41"/>
        <v/>
      </c>
      <c r="H290" s="4" t="str">
        <f t="shared" si="42"/>
        <v/>
      </c>
      <c r="I290" s="4" t="str">
        <f t="shared" si="43"/>
        <v/>
      </c>
      <c r="J290" s="4" t="str">
        <f t="shared" si="44"/>
        <v/>
      </c>
      <c r="K290" s="4">
        <f t="shared" si="45"/>
        <v>0.87209302325581395</v>
      </c>
      <c r="L290" s="4" t="str">
        <f t="shared" si="46"/>
        <v/>
      </c>
      <c r="M290" s="4"/>
      <c r="N290" s="4"/>
      <c r="O290" s="4"/>
      <c r="P290" s="4"/>
      <c r="Q290" s="4"/>
      <c r="R290" s="4"/>
      <c r="S290" s="4"/>
      <c r="T290" s="4"/>
      <c r="U290" s="4"/>
    </row>
    <row r="291" spans="1:21">
      <c r="A291" t="s">
        <v>223</v>
      </c>
      <c r="B291">
        <v>8</v>
      </c>
      <c r="C291" t="str">
        <f t="shared" si="40"/>
        <v>test.GeoEngine_8_</v>
      </c>
      <c r="D291">
        <v>10</v>
      </c>
      <c r="E291" s="4">
        <v>0.91860465116279066</v>
      </c>
      <c r="F291" s="4">
        <v>0.86587677725118484</v>
      </c>
      <c r="G291" s="4" t="str">
        <f t="shared" si="41"/>
        <v/>
      </c>
      <c r="H291" s="4" t="str">
        <f t="shared" si="42"/>
        <v/>
      </c>
      <c r="I291" s="4" t="str">
        <f t="shared" si="43"/>
        <v/>
      </c>
      <c r="J291" s="4" t="str">
        <f t="shared" si="44"/>
        <v/>
      </c>
      <c r="K291" s="4">
        <f t="shared" si="45"/>
        <v>0.91860465116279066</v>
      </c>
      <c r="L291" s="4" t="str">
        <f t="shared" si="46"/>
        <v/>
      </c>
      <c r="M291" s="4"/>
      <c r="N291" s="4"/>
      <c r="O291" s="4"/>
      <c r="P291" s="4"/>
      <c r="Q291" s="4"/>
      <c r="R291" s="4"/>
      <c r="S291" s="4"/>
      <c r="T291" s="4"/>
      <c r="U291" s="4"/>
    </row>
    <row r="292" spans="1:21">
      <c r="A292" t="s">
        <v>223</v>
      </c>
      <c r="B292">
        <v>8</v>
      </c>
      <c r="C292" t="str">
        <f t="shared" si="40"/>
        <v>test.GeoEngine_8_</v>
      </c>
      <c r="D292">
        <v>11</v>
      </c>
      <c r="E292" s="4">
        <v>1</v>
      </c>
      <c r="F292" s="4">
        <v>0.93033175355450237</v>
      </c>
      <c r="G292" s="4" t="str">
        <f t="shared" si="41"/>
        <v/>
      </c>
      <c r="H292" s="4" t="str">
        <f t="shared" si="42"/>
        <v/>
      </c>
      <c r="I292" s="4" t="str">
        <f t="shared" si="43"/>
        <v/>
      </c>
      <c r="J292" s="4" t="str">
        <f t="shared" si="44"/>
        <v/>
      </c>
      <c r="K292" s="4">
        <f t="shared" si="45"/>
        <v>1</v>
      </c>
      <c r="L292" s="4" t="str">
        <f t="shared" si="46"/>
        <v/>
      </c>
      <c r="M292" s="4"/>
      <c r="N292" s="4"/>
      <c r="O292" s="4"/>
      <c r="P292" s="4"/>
      <c r="Q292" s="4"/>
      <c r="R292" s="4"/>
      <c r="S292" s="4"/>
      <c r="T292" s="4"/>
      <c r="U292" s="4"/>
    </row>
    <row r="293" spans="1:21">
      <c r="A293" t="s">
        <v>223</v>
      </c>
      <c r="B293">
        <v>9</v>
      </c>
      <c r="C293" t="str">
        <f t="shared" si="40"/>
        <v>test.GeoEngine_9_</v>
      </c>
      <c r="D293">
        <v>1</v>
      </c>
      <c r="E293" s="4">
        <v>8.6956521739130432E-2</v>
      </c>
      <c r="F293" s="4">
        <v>6.6877859908482926E-2</v>
      </c>
      <c r="G293" s="4">
        <f t="shared" si="41"/>
        <v>8.6956521739130432E-2</v>
      </c>
      <c r="H293" s="4" t="str">
        <f t="shared" si="42"/>
        <v/>
      </c>
      <c r="I293" s="4" t="str">
        <f t="shared" si="43"/>
        <v/>
      </c>
      <c r="J293" s="4" t="str">
        <f t="shared" si="44"/>
        <v/>
      </c>
      <c r="K293" s="4" t="str">
        <f t="shared" si="45"/>
        <v/>
      </c>
      <c r="L293" s="4" t="str">
        <f t="shared" si="46"/>
        <v/>
      </c>
      <c r="M293" s="4"/>
      <c r="N293" s="4"/>
      <c r="O293" s="4"/>
      <c r="P293" s="4"/>
      <c r="Q293" s="4"/>
      <c r="R293" s="4"/>
      <c r="S293" s="4"/>
      <c r="T293" s="4"/>
      <c r="U293" s="4"/>
    </row>
    <row r="294" spans="1:21">
      <c r="A294" t="s">
        <v>223</v>
      </c>
      <c r="B294">
        <v>9</v>
      </c>
      <c r="C294" t="str">
        <f t="shared" si="40"/>
        <v>test.GeoEngine_9_</v>
      </c>
      <c r="D294">
        <v>2</v>
      </c>
      <c r="E294" s="4">
        <v>0.19565217391304349</v>
      </c>
      <c r="F294" s="4">
        <v>0.11298838437170011</v>
      </c>
      <c r="G294" s="4">
        <f t="shared" si="41"/>
        <v>0.19565217391304349</v>
      </c>
      <c r="H294" s="4" t="str">
        <f t="shared" si="42"/>
        <v/>
      </c>
      <c r="I294" s="4" t="str">
        <f t="shared" si="43"/>
        <v/>
      </c>
      <c r="J294" s="4" t="str">
        <f t="shared" si="44"/>
        <v/>
      </c>
      <c r="K294" s="4" t="str">
        <f t="shared" si="45"/>
        <v/>
      </c>
      <c r="L294" s="4" t="str">
        <f t="shared" si="46"/>
        <v/>
      </c>
      <c r="M294" s="4"/>
      <c r="N294" s="4"/>
      <c r="O294" s="4"/>
      <c r="P294" s="4"/>
      <c r="Q294" s="4"/>
      <c r="R294" s="4"/>
      <c r="S294" s="4"/>
      <c r="T294" s="4"/>
      <c r="U294" s="4"/>
    </row>
    <row r="295" spans="1:21">
      <c r="A295" t="s">
        <v>223</v>
      </c>
      <c r="B295">
        <v>9</v>
      </c>
      <c r="C295" t="str">
        <f t="shared" si="40"/>
        <v>test.GeoEngine_9_</v>
      </c>
      <c r="D295">
        <v>3</v>
      </c>
      <c r="E295" s="4">
        <v>0.41304347826086957</v>
      </c>
      <c r="F295" s="4">
        <v>0.24744808166138685</v>
      </c>
      <c r="G295" s="4" t="str">
        <f t="shared" si="41"/>
        <v/>
      </c>
      <c r="H295" s="4">
        <f t="shared" si="42"/>
        <v>0.41304347826086957</v>
      </c>
      <c r="I295" s="4" t="str">
        <f t="shared" si="43"/>
        <v/>
      </c>
      <c r="J295" s="4" t="str">
        <f t="shared" si="44"/>
        <v/>
      </c>
      <c r="K295" s="4" t="str">
        <f t="shared" si="45"/>
        <v/>
      </c>
      <c r="L295" s="4" t="str">
        <f t="shared" si="46"/>
        <v/>
      </c>
      <c r="M295" s="4"/>
      <c r="N295" s="4"/>
      <c r="O295" s="4"/>
      <c r="P295" s="4"/>
      <c r="Q295" s="4"/>
      <c r="R295" s="4"/>
      <c r="S295" s="4"/>
      <c r="T295" s="4"/>
      <c r="U295" s="4"/>
    </row>
    <row r="296" spans="1:21">
      <c r="A296" t="s">
        <v>223</v>
      </c>
      <c r="B296">
        <v>9</v>
      </c>
      <c r="C296" t="str">
        <f t="shared" si="40"/>
        <v>test.GeoEngine_9_</v>
      </c>
      <c r="D296">
        <v>4</v>
      </c>
      <c r="E296" s="4">
        <v>0.45652173913043476</v>
      </c>
      <c r="F296" s="4">
        <v>0.26610348468848999</v>
      </c>
      <c r="G296" s="4" t="str">
        <f t="shared" si="41"/>
        <v/>
      </c>
      <c r="H296" s="4">
        <f t="shared" si="42"/>
        <v>0.45652173913043476</v>
      </c>
      <c r="I296" s="4" t="str">
        <f t="shared" si="43"/>
        <v/>
      </c>
      <c r="J296" s="4" t="str">
        <f t="shared" si="44"/>
        <v/>
      </c>
      <c r="K296" s="4" t="str">
        <f t="shared" si="45"/>
        <v/>
      </c>
      <c r="L296" s="4" t="str">
        <f t="shared" si="46"/>
        <v/>
      </c>
      <c r="M296" s="4"/>
      <c r="N296" s="4"/>
      <c r="O296" s="4"/>
      <c r="P296" s="4"/>
      <c r="Q296" s="4"/>
      <c r="R296" s="4"/>
      <c r="S296" s="4"/>
      <c r="T296" s="4"/>
      <c r="U296" s="4"/>
    </row>
    <row r="297" spans="1:21">
      <c r="A297" t="s">
        <v>223</v>
      </c>
      <c r="B297">
        <v>9</v>
      </c>
      <c r="C297" t="str">
        <f t="shared" si="40"/>
        <v>test.GeoEngine_9_</v>
      </c>
      <c r="D297">
        <v>5</v>
      </c>
      <c r="E297" s="4">
        <v>1</v>
      </c>
      <c r="F297" s="4">
        <v>0.97148891235480461</v>
      </c>
      <c r="G297" s="4" t="str">
        <f t="shared" si="41"/>
        <v/>
      </c>
      <c r="H297" s="4" t="str">
        <f t="shared" si="42"/>
        <v/>
      </c>
      <c r="I297" s="4" t="str">
        <f t="shared" si="43"/>
        <v/>
      </c>
      <c r="J297" s="4" t="str">
        <f t="shared" si="44"/>
        <v/>
      </c>
      <c r="K297" s="4">
        <f t="shared" si="45"/>
        <v>1</v>
      </c>
      <c r="L297" s="4" t="str">
        <f t="shared" si="46"/>
        <v/>
      </c>
      <c r="M297" s="4"/>
      <c r="N297" s="4"/>
      <c r="O297" s="4"/>
      <c r="P297" s="4"/>
      <c r="Q297" s="4"/>
      <c r="R297" s="4"/>
      <c r="S297" s="4"/>
      <c r="T297" s="4"/>
      <c r="U297" s="4"/>
    </row>
    <row r="298" spans="1:21">
      <c r="A298" t="s">
        <v>223</v>
      </c>
      <c r="B298">
        <v>10</v>
      </c>
      <c r="C298" t="str">
        <f t="shared" si="40"/>
        <v>test.GeoEngine_10_</v>
      </c>
      <c r="D298">
        <v>1</v>
      </c>
      <c r="E298" s="4">
        <v>3.3333333333333333E-2</v>
      </c>
      <c r="F298" s="4">
        <v>8.0713678844519965E-2</v>
      </c>
      <c r="G298" s="4">
        <f t="shared" si="41"/>
        <v>3.3333333333333333E-2</v>
      </c>
      <c r="H298" s="4" t="str">
        <f t="shared" si="42"/>
        <v/>
      </c>
      <c r="I298" s="4" t="str">
        <f t="shared" si="43"/>
        <v/>
      </c>
      <c r="J298" s="4" t="str">
        <f t="shared" si="44"/>
        <v/>
      </c>
      <c r="K298" s="4" t="str">
        <f t="shared" si="45"/>
        <v/>
      </c>
      <c r="L298" s="4" t="str">
        <f t="shared" si="46"/>
        <v/>
      </c>
      <c r="M298" s="4"/>
      <c r="N298" s="4"/>
      <c r="O298" s="4"/>
      <c r="P298" s="4"/>
      <c r="Q298" s="4"/>
      <c r="R298" s="4"/>
      <c r="S298" s="4"/>
      <c r="T298" s="4"/>
      <c r="U298" s="4"/>
    </row>
    <row r="299" spans="1:21">
      <c r="A299" t="s">
        <v>223</v>
      </c>
      <c r="B299">
        <v>10</v>
      </c>
      <c r="C299" t="str">
        <f t="shared" si="40"/>
        <v>test.GeoEngine_10_</v>
      </c>
      <c r="D299">
        <v>2</v>
      </c>
      <c r="E299" s="4">
        <v>0.2</v>
      </c>
      <c r="F299" s="4">
        <v>0.33305012744265083</v>
      </c>
      <c r="G299" s="4" t="str">
        <f t="shared" si="41"/>
        <v/>
      </c>
      <c r="H299" s="4">
        <f t="shared" si="42"/>
        <v>0.2</v>
      </c>
      <c r="I299" s="4" t="str">
        <f t="shared" si="43"/>
        <v/>
      </c>
      <c r="J299" s="4" t="str">
        <f t="shared" si="44"/>
        <v/>
      </c>
      <c r="K299" s="4" t="str">
        <f t="shared" si="45"/>
        <v/>
      </c>
      <c r="L299" s="4" t="str">
        <f t="shared" si="46"/>
        <v/>
      </c>
      <c r="M299" s="4"/>
      <c r="N299" s="4"/>
      <c r="O299" s="4"/>
      <c r="P299" s="4"/>
      <c r="Q299" s="4"/>
      <c r="R299" s="4"/>
      <c r="S299" s="4"/>
      <c r="T299" s="4"/>
      <c r="U299" s="4"/>
    </row>
    <row r="300" spans="1:21">
      <c r="A300" t="s">
        <v>223</v>
      </c>
      <c r="B300">
        <v>10</v>
      </c>
      <c r="C300" t="str">
        <f t="shared" si="40"/>
        <v>test.GeoEngine_10_</v>
      </c>
      <c r="D300">
        <v>3</v>
      </c>
      <c r="E300" s="4">
        <v>0.4</v>
      </c>
      <c r="F300" s="4">
        <v>0.48428207306711979</v>
      </c>
      <c r="G300" s="4" t="str">
        <f t="shared" si="41"/>
        <v/>
      </c>
      <c r="H300" s="4" t="str">
        <f t="shared" si="42"/>
        <v/>
      </c>
      <c r="I300" s="4">
        <f t="shared" si="43"/>
        <v>0.4</v>
      </c>
      <c r="J300" s="4" t="str">
        <f t="shared" si="44"/>
        <v/>
      </c>
      <c r="K300" s="4" t="str">
        <f t="shared" si="45"/>
        <v/>
      </c>
      <c r="L300" s="4" t="str">
        <f t="shared" si="46"/>
        <v/>
      </c>
      <c r="M300" s="4"/>
      <c r="N300" s="4"/>
      <c r="O300" s="4"/>
      <c r="P300" s="4"/>
      <c r="Q300" s="4"/>
      <c r="R300" s="4"/>
      <c r="S300" s="4"/>
      <c r="T300" s="4"/>
      <c r="U300" s="4"/>
    </row>
    <row r="301" spans="1:21">
      <c r="A301" t="s">
        <v>223</v>
      </c>
      <c r="B301">
        <v>10</v>
      </c>
      <c r="C301" t="str">
        <f t="shared" si="40"/>
        <v>test.GeoEngine_10_</v>
      </c>
      <c r="D301">
        <v>4</v>
      </c>
      <c r="E301" s="4">
        <v>0.43333333333333335</v>
      </c>
      <c r="F301" s="4">
        <v>0.56499575191163975</v>
      </c>
      <c r="G301" s="4" t="str">
        <f t="shared" si="41"/>
        <v/>
      </c>
      <c r="H301" s="4" t="str">
        <f t="shared" si="42"/>
        <v/>
      </c>
      <c r="I301" s="4">
        <f t="shared" si="43"/>
        <v>0.43333333333333335</v>
      </c>
      <c r="J301" s="4" t="str">
        <f t="shared" si="44"/>
        <v/>
      </c>
      <c r="K301" s="4" t="str">
        <f t="shared" si="45"/>
        <v/>
      </c>
      <c r="L301" s="4" t="str">
        <f t="shared" si="46"/>
        <v/>
      </c>
      <c r="M301" s="4"/>
      <c r="N301" s="4"/>
      <c r="O301" s="4"/>
      <c r="P301" s="4"/>
      <c r="Q301" s="4"/>
      <c r="R301" s="4"/>
      <c r="S301" s="4"/>
      <c r="T301" s="4"/>
      <c r="U301" s="4"/>
    </row>
    <row r="302" spans="1:21">
      <c r="A302" t="s">
        <v>223</v>
      </c>
      <c r="B302">
        <v>10</v>
      </c>
      <c r="C302" t="str">
        <f t="shared" si="40"/>
        <v>test.GeoEngine_10_</v>
      </c>
      <c r="D302">
        <v>5</v>
      </c>
      <c r="E302" s="4">
        <v>0.6333333333333333</v>
      </c>
      <c r="F302" s="4">
        <v>0.65080713678844515</v>
      </c>
      <c r="G302" s="4" t="str">
        <f t="shared" si="41"/>
        <v/>
      </c>
      <c r="H302" s="4" t="str">
        <f t="shared" si="42"/>
        <v/>
      </c>
      <c r="I302" s="4" t="str">
        <f t="shared" si="43"/>
        <v/>
      </c>
      <c r="J302" s="4">
        <f t="shared" si="44"/>
        <v>0.6333333333333333</v>
      </c>
      <c r="K302" s="4" t="str">
        <f t="shared" si="45"/>
        <v/>
      </c>
      <c r="L302" s="4" t="str">
        <f t="shared" si="46"/>
        <v/>
      </c>
      <c r="M302" s="4"/>
      <c r="N302" s="4"/>
      <c r="O302" s="4"/>
      <c r="P302" s="4"/>
      <c r="Q302" s="4"/>
      <c r="R302" s="4"/>
      <c r="S302" s="4"/>
      <c r="T302" s="4"/>
      <c r="U302" s="4"/>
    </row>
    <row r="303" spans="1:21">
      <c r="A303" t="s">
        <v>223</v>
      </c>
      <c r="B303">
        <v>10</v>
      </c>
      <c r="C303" t="str">
        <f t="shared" si="40"/>
        <v>test.GeoEngine_10_</v>
      </c>
      <c r="D303">
        <v>6</v>
      </c>
      <c r="E303" s="4">
        <v>0.6333333333333333</v>
      </c>
      <c r="F303" s="4">
        <v>0.71792693288020393</v>
      </c>
      <c r="G303" s="4" t="str">
        <f t="shared" si="41"/>
        <v/>
      </c>
      <c r="H303" s="4" t="str">
        <f t="shared" si="42"/>
        <v/>
      </c>
      <c r="I303" s="4" t="str">
        <f t="shared" si="43"/>
        <v/>
      </c>
      <c r="J303" s="4">
        <f t="shared" si="44"/>
        <v>0.6333333333333333</v>
      </c>
      <c r="K303" s="4" t="str">
        <f t="shared" si="45"/>
        <v/>
      </c>
      <c r="L303" s="4" t="str">
        <f t="shared" si="46"/>
        <v/>
      </c>
      <c r="M303" s="4"/>
      <c r="N303" s="4"/>
      <c r="O303" s="4"/>
      <c r="P303" s="4"/>
      <c r="Q303" s="4"/>
      <c r="R303" s="4"/>
      <c r="S303" s="4"/>
      <c r="T303" s="4"/>
      <c r="U303" s="4"/>
    </row>
    <row r="304" spans="1:21">
      <c r="A304" t="s">
        <v>223</v>
      </c>
      <c r="B304">
        <v>10</v>
      </c>
      <c r="C304" t="str">
        <f t="shared" si="40"/>
        <v>test.GeoEngine_10_</v>
      </c>
      <c r="D304">
        <v>7</v>
      </c>
      <c r="E304" s="4">
        <v>0.66666666666666663</v>
      </c>
      <c r="F304" s="4">
        <v>0.71962616822429903</v>
      </c>
      <c r="G304" s="4" t="str">
        <f t="shared" si="41"/>
        <v/>
      </c>
      <c r="H304" s="4" t="str">
        <f t="shared" si="42"/>
        <v/>
      </c>
      <c r="I304" s="4" t="str">
        <f t="shared" si="43"/>
        <v/>
      </c>
      <c r="J304" s="4">
        <f t="shared" si="44"/>
        <v>0.66666666666666663</v>
      </c>
      <c r="K304" s="4" t="str">
        <f t="shared" si="45"/>
        <v/>
      </c>
      <c r="L304" s="4" t="str">
        <f t="shared" si="46"/>
        <v/>
      </c>
      <c r="M304" s="4"/>
      <c r="N304" s="4"/>
      <c r="O304" s="4"/>
      <c r="P304" s="4"/>
      <c r="Q304" s="4"/>
      <c r="R304" s="4"/>
      <c r="S304" s="4"/>
      <c r="T304" s="4"/>
      <c r="U304" s="4"/>
    </row>
    <row r="305" spans="1:21">
      <c r="A305" t="s">
        <v>223</v>
      </c>
      <c r="B305">
        <v>10</v>
      </c>
      <c r="C305" t="str">
        <f t="shared" si="40"/>
        <v>test.GeoEngine_10_</v>
      </c>
      <c r="D305">
        <v>8</v>
      </c>
      <c r="E305" s="4">
        <v>0.8</v>
      </c>
      <c r="F305" s="4">
        <v>0.73831775700934577</v>
      </c>
      <c r="G305" s="4" t="str">
        <f t="shared" si="41"/>
        <v/>
      </c>
      <c r="H305" s="4" t="str">
        <f t="shared" si="42"/>
        <v/>
      </c>
      <c r="I305" s="4" t="str">
        <f t="shared" si="43"/>
        <v/>
      </c>
      <c r="J305" s="4">
        <f t="shared" si="44"/>
        <v>0.8</v>
      </c>
      <c r="K305" s="4" t="str">
        <f t="shared" si="45"/>
        <v/>
      </c>
      <c r="L305" s="4" t="str">
        <f t="shared" si="46"/>
        <v/>
      </c>
      <c r="M305" s="4"/>
      <c r="N305" s="4"/>
      <c r="O305" s="4"/>
      <c r="P305" s="4"/>
      <c r="Q305" s="4"/>
      <c r="R305" s="4"/>
      <c r="S305" s="4"/>
      <c r="T305" s="4"/>
      <c r="U305" s="4"/>
    </row>
    <row r="306" spans="1:21">
      <c r="A306" t="s">
        <v>223</v>
      </c>
      <c r="B306">
        <v>10</v>
      </c>
      <c r="C306" t="str">
        <f t="shared" si="40"/>
        <v>test.GeoEngine_10_</v>
      </c>
      <c r="D306">
        <v>9</v>
      </c>
      <c r="E306" s="4">
        <v>0.8</v>
      </c>
      <c r="F306" s="4">
        <v>0.77740016992353445</v>
      </c>
      <c r="G306" s="4" t="str">
        <f t="shared" si="41"/>
        <v/>
      </c>
      <c r="H306" s="4" t="str">
        <f t="shared" si="42"/>
        <v/>
      </c>
      <c r="I306" s="4" t="str">
        <f t="shared" si="43"/>
        <v/>
      </c>
      <c r="J306" s="4">
        <f t="shared" si="44"/>
        <v>0.8</v>
      </c>
      <c r="K306" s="4" t="str">
        <f t="shared" si="45"/>
        <v/>
      </c>
      <c r="L306" s="4" t="str">
        <f t="shared" si="46"/>
        <v/>
      </c>
      <c r="M306" s="4"/>
      <c r="N306" s="4"/>
      <c r="O306" s="4"/>
      <c r="P306" s="4"/>
      <c r="Q306" s="4"/>
      <c r="R306" s="4"/>
      <c r="S306" s="4"/>
      <c r="T306" s="4"/>
      <c r="U306" s="4"/>
    </row>
    <row r="307" spans="1:21">
      <c r="A307" t="s">
        <v>223</v>
      </c>
      <c r="B307">
        <v>10</v>
      </c>
      <c r="C307" t="str">
        <f t="shared" si="40"/>
        <v>test.GeoEngine_10_</v>
      </c>
      <c r="D307">
        <v>10</v>
      </c>
      <c r="E307" s="4">
        <v>0.93333333333333335</v>
      </c>
      <c r="F307" s="4">
        <v>0.7994902293967715</v>
      </c>
      <c r="G307" s="4" t="str">
        <f t="shared" si="41"/>
        <v/>
      </c>
      <c r="H307" s="4" t="str">
        <f t="shared" si="42"/>
        <v/>
      </c>
      <c r="I307" s="4" t="str">
        <f t="shared" si="43"/>
        <v/>
      </c>
      <c r="J307" s="4">
        <f t="shared" si="44"/>
        <v>0.93333333333333335</v>
      </c>
      <c r="K307" s="4" t="str">
        <f t="shared" si="45"/>
        <v/>
      </c>
      <c r="L307" s="4" t="str">
        <f t="shared" si="46"/>
        <v/>
      </c>
      <c r="M307" s="4"/>
      <c r="N307" s="4"/>
      <c r="O307" s="4"/>
      <c r="P307" s="4"/>
      <c r="Q307" s="4"/>
      <c r="R307" s="4"/>
      <c r="S307" s="4"/>
      <c r="T307" s="4"/>
      <c r="U307" s="4"/>
    </row>
    <row r="308" spans="1:21">
      <c r="A308" t="s">
        <v>223</v>
      </c>
      <c r="B308">
        <v>10</v>
      </c>
      <c r="C308" t="str">
        <f t="shared" si="40"/>
        <v>test.GeoEngine_10_</v>
      </c>
      <c r="D308">
        <v>11</v>
      </c>
      <c r="E308" s="4">
        <v>0.93333333333333335</v>
      </c>
      <c r="F308" s="4">
        <v>0.80288870008496172</v>
      </c>
      <c r="G308" s="4" t="str">
        <f t="shared" si="41"/>
        <v/>
      </c>
      <c r="H308" s="4" t="str">
        <f t="shared" si="42"/>
        <v/>
      </c>
      <c r="I308" s="4" t="str">
        <f t="shared" si="43"/>
        <v/>
      </c>
      <c r="J308" s="4" t="str">
        <f t="shared" si="44"/>
        <v/>
      </c>
      <c r="K308" s="4">
        <f t="shared" si="45"/>
        <v>0.93333333333333335</v>
      </c>
      <c r="L308" s="4" t="str">
        <f t="shared" si="46"/>
        <v/>
      </c>
      <c r="M308" s="4"/>
      <c r="N308" s="4"/>
      <c r="O308" s="4"/>
      <c r="P308" s="4"/>
      <c r="Q308" s="4"/>
      <c r="R308" s="4"/>
      <c r="S308" s="4"/>
      <c r="T308" s="4"/>
      <c r="U308" s="4"/>
    </row>
    <row r="309" spans="1:21">
      <c r="A309" t="s">
        <v>223</v>
      </c>
      <c r="B309">
        <v>10</v>
      </c>
      <c r="C309" t="str">
        <f t="shared" si="40"/>
        <v>test.GeoEngine_10_</v>
      </c>
      <c r="D309">
        <v>12</v>
      </c>
      <c r="E309" s="4">
        <v>0.96666666666666667</v>
      </c>
      <c r="F309" s="4">
        <v>0.80543755310110454</v>
      </c>
      <c r="G309" s="4" t="str">
        <f t="shared" si="41"/>
        <v/>
      </c>
      <c r="H309" s="4" t="str">
        <f t="shared" si="42"/>
        <v/>
      </c>
      <c r="I309" s="4" t="str">
        <f t="shared" si="43"/>
        <v/>
      </c>
      <c r="J309" s="4" t="str">
        <f t="shared" si="44"/>
        <v/>
      </c>
      <c r="K309" s="4">
        <f t="shared" si="45"/>
        <v>0.96666666666666667</v>
      </c>
      <c r="L309" s="4" t="str">
        <f t="shared" si="46"/>
        <v/>
      </c>
      <c r="M309" s="4"/>
      <c r="N309" s="4"/>
      <c r="O309" s="4"/>
      <c r="P309" s="4"/>
      <c r="Q309" s="4"/>
      <c r="R309" s="4"/>
      <c r="S309" s="4"/>
      <c r="T309" s="4"/>
      <c r="U309" s="4"/>
    </row>
    <row r="310" spans="1:21">
      <c r="A310" t="s">
        <v>223</v>
      </c>
      <c r="B310">
        <v>10</v>
      </c>
      <c r="C310" t="str">
        <f t="shared" si="40"/>
        <v>test.GeoEngine_10_</v>
      </c>
      <c r="D310">
        <v>13</v>
      </c>
      <c r="E310" s="4">
        <v>1</v>
      </c>
      <c r="F310" s="4">
        <v>0.81053525913338997</v>
      </c>
      <c r="G310" s="4" t="str">
        <f t="shared" si="41"/>
        <v/>
      </c>
      <c r="H310" s="4" t="str">
        <f t="shared" si="42"/>
        <v/>
      </c>
      <c r="I310" s="4" t="str">
        <f t="shared" si="43"/>
        <v/>
      </c>
      <c r="J310" s="4" t="str">
        <f t="shared" si="44"/>
        <v/>
      </c>
      <c r="K310" s="4">
        <f t="shared" si="45"/>
        <v>1</v>
      </c>
      <c r="L310" s="4" t="str">
        <f t="shared" si="46"/>
        <v/>
      </c>
      <c r="M310" s="4"/>
      <c r="N310" s="4"/>
      <c r="O310" s="4"/>
      <c r="P310" s="4"/>
      <c r="Q310" s="4"/>
      <c r="R310" s="4"/>
      <c r="S310" s="4"/>
      <c r="T310" s="4"/>
      <c r="U310" s="4"/>
    </row>
    <row r="311" spans="1:21">
      <c r="A311" t="s">
        <v>223</v>
      </c>
      <c r="B311">
        <v>10</v>
      </c>
      <c r="C311" t="str">
        <f t="shared" si="40"/>
        <v>test.GeoEngine_10_</v>
      </c>
      <c r="D311">
        <v>14</v>
      </c>
      <c r="E311" s="4">
        <v>1</v>
      </c>
      <c r="F311" s="4">
        <v>0.82073067119796095</v>
      </c>
      <c r="G311" s="4" t="str">
        <f t="shared" si="41"/>
        <v/>
      </c>
      <c r="H311" s="4" t="str">
        <f t="shared" si="42"/>
        <v/>
      </c>
      <c r="I311" s="4" t="str">
        <f t="shared" si="43"/>
        <v/>
      </c>
      <c r="J311" s="4" t="str">
        <f t="shared" si="44"/>
        <v/>
      </c>
      <c r="K311" s="4">
        <f t="shared" si="45"/>
        <v>1</v>
      </c>
      <c r="L311" s="4" t="str">
        <f t="shared" si="46"/>
        <v/>
      </c>
      <c r="M311" s="4"/>
      <c r="N311" s="4"/>
      <c r="O311" s="4"/>
      <c r="P311" s="4"/>
      <c r="Q311" s="4"/>
      <c r="R311" s="4"/>
      <c r="S311" s="4"/>
      <c r="T311" s="4"/>
      <c r="U311" s="4"/>
    </row>
    <row r="312" spans="1:21">
      <c r="A312" t="s">
        <v>223</v>
      </c>
      <c r="B312">
        <v>10</v>
      </c>
      <c r="C312" t="str">
        <f t="shared" si="40"/>
        <v>test.GeoEngine_10_</v>
      </c>
      <c r="D312">
        <v>15</v>
      </c>
      <c r="E312" s="4">
        <v>1</v>
      </c>
      <c r="F312" s="4">
        <v>0.87255734919286321</v>
      </c>
      <c r="G312" s="4" t="str">
        <f t="shared" si="41"/>
        <v/>
      </c>
      <c r="H312" s="4" t="str">
        <f t="shared" si="42"/>
        <v/>
      </c>
      <c r="I312" s="4" t="str">
        <f t="shared" si="43"/>
        <v/>
      </c>
      <c r="J312" s="4" t="str">
        <f t="shared" si="44"/>
        <v/>
      </c>
      <c r="K312" s="4">
        <f t="shared" si="45"/>
        <v>1</v>
      </c>
      <c r="L312" s="4" t="str">
        <f t="shared" si="46"/>
        <v/>
      </c>
      <c r="M312" s="4"/>
      <c r="N312" s="4"/>
      <c r="O312" s="4"/>
      <c r="P312" s="4"/>
      <c r="Q312" s="4"/>
      <c r="R312" s="4"/>
      <c r="S312" s="4"/>
      <c r="T312" s="4"/>
      <c r="U312" s="4"/>
    </row>
    <row r="313" spans="1:21">
      <c r="A313" t="s">
        <v>223</v>
      </c>
      <c r="B313">
        <v>10</v>
      </c>
      <c r="C313" t="str">
        <f t="shared" si="40"/>
        <v>test.GeoEngine_10_</v>
      </c>
      <c r="D313">
        <v>16</v>
      </c>
      <c r="E313" s="4">
        <v>1</v>
      </c>
      <c r="F313" s="4">
        <v>0.87340696686491082</v>
      </c>
      <c r="G313" s="4" t="str">
        <f t="shared" si="41"/>
        <v/>
      </c>
      <c r="H313" s="4" t="str">
        <f t="shared" si="42"/>
        <v/>
      </c>
      <c r="I313" s="4" t="str">
        <f t="shared" si="43"/>
        <v/>
      </c>
      <c r="J313" s="4" t="str">
        <f t="shared" si="44"/>
        <v/>
      </c>
      <c r="K313" s="4">
        <f t="shared" si="45"/>
        <v>1</v>
      </c>
      <c r="L313" s="4" t="str">
        <f t="shared" si="46"/>
        <v/>
      </c>
      <c r="M313" s="4"/>
      <c r="N313" s="4"/>
      <c r="O313" s="4"/>
      <c r="P313" s="4"/>
      <c r="Q313" s="4"/>
      <c r="R313" s="4"/>
      <c r="S313" s="4"/>
      <c r="T313" s="4"/>
      <c r="U313" s="4"/>
    </row>
    <row r="314" spans="1:21">
      <c r="A314" t="s">
        <v>223</v>
      </c>
      <c r="B314">
        <v>10</v>
      </c>
      <c r="C314" t="str">
        <f t="shared" si="40"/>
        <v>test.GeoEngine_10_</v>
      </c>
      <c r="D314">
        <v>17</v>
      </c>
      <c r="E314" s="4">
        <v>1</v>
      </c>
      <c r="F314" s="4">
        <v>0.87595581988105353</v>
      </c>
      <c r="G314" s="4" t="str">
        <f t="shared" si="41"/>
        <v/>
      </c>
      <c r="H314" s="4" t="str">
        <f t="shared" si="42"/>
        <v/>
      </c>
      <c r="I314" s="4" t="str">
        <f t="shared" si="43"/>
        <v/>
      </c>
      <c r="J314" s="4" t="str">
        <f t="shared" si="44"/>
        <v/>
      </c>
      <c r="K314" s="4">
        <f t="shared" si="45"/>
        <v>1</v>
      </c>
      <c r="L314" s="4" t="str">
        <f t="shared" si="46"/>
        <v/>
      </c>
      <c r="M314" s="4"/>
      <c r="N314" s="4"/>
      <c r="O314" s="4"/>
      <c r="P314" s="4"/>
      <c r="Q314" s="4"/>
      <c r="R314" s="4"/>
      <c r="S314" s="4"/>
      <c r="T314" s="4"/>
      <c r="U314" s="4"/>
    </row>
    <row r="315" spans="1:21">
      <c r="A315" t="s">
        <v>223</v>
      </c>
      <c r="B315">
        <v>10</v>
      </c>
      <c r="C315" t="str">
        <f t="shared" si="40"/>
        <v>test.GeoEngine_10_</v>
      </c>
      <c r="D315">
        <v>18</v>
      </c>
      <c r="E315" s="4">
        <v>1</v>
      </c>
      <c r="F315" s="4">
        <v>0.88020390824129147</v>
      </c>
      <c r="G315" s="4" t="str">
        <f t="shared" si="41"/>
        <v/>
      </c>
      <c r="H315" s="4" t="str">
        <f t="shared" si="42"/>
        <v/>
      </c>
      <c r="I315" s="4" t="str">
        <f t="shared" si="43"/>
        <v/>
      </c>
      <c r="J315" s="4" t="str">
        <f t="shared" si="44"/>
        <v/>
      </c>
      <c r="K315" s="4">
        <f t="shared" si="45"/>
        <v>1</v>
      </c>
      <c r="L315" s="4" t="str">
        <f t="shared" si="46"/>
        <v/>
      </c>
      <c r="M315" s="4"/>
      <c r="N315" s="4"/>
      <c r="O315" s="4"/>
      <c r="P315" s="4"/>
      <c r="Q315" s="4"/>
      <c r="R315" s="4"/>
      <c r="S315" s="4"/>
      <c r="T315" s="4"/>
      <c r="U315" s="4"/>
    </row>
    <row r="316" spans="1:21">
      <c r="A316" t="s">
        <v>223</v>
      </c>
      <c r="B316">
        <v>10</v>
      </c>
      <c r="C316" t="str">
        <f t="shared" si="40"/>
        <v>test.GeoEngine_10_</v>
      </c>
      <c r="D316">
        <v>19</v>
      </c>
      <c r="E316" s="4">
        <v>1</v>
      </c>
      <c r="F316" s="4">
        <v>0.88105352591333896</v>
      </c>
      <c r="G316" s="4" t="str">
        <f t="shared" si="41"/>
        <v/>
      </c>
      <c r="H316" s="4" t="str">
        <f t="shared" si="42"/>
        <v/>
      </c>
      <c r="I316" s="4" t="str">
        <f t="shared" si="43"/>
        <v/>
      </c>
      <c r="J316" s="4" t="str">
        <f t="shared" si="44"/>
        <v/>
      </c>
      <c r="K316" s="4">
        <f t="shared" si="45"/>
        <v>1</v>
      </c>
      <c r="L316" s="4" t="str">
        <f t="shared" si="46"/>
        <v/>
      </c>
      <c r="M316" s="4"/>
      <c r="N316" s="4"/>
      <c r="O316" s="4"/>
      <c r="P316" s="4"/>
      <c r="Q316" s="4"/>
      <c r="R316" s="4"/>
      <c r="S316" s="4"/>
      <c r="T316" s="4"/>
      <c r="U316" s="4"/>
    </row>
    <row r="317" spans="1:21">
      <c r="A317" t="s">
        <v>223</v>
      </c>
      <c r="B317">
        <v>10</v>
      </c>
      <c r="C317" t="str">
        <f t="shared" si="40"/>
        <v>test.GeoEngine_10_</v>
      </c>
      <c r="D317">
        <v>20</v>
      </c>
      <c r="E317" s="4">
        <v>1</v>
      </c>
      <c r="F317" s="4">
        <v>0.88190314358538657</v>
      </c>
      <c r="G317" s="4" t="str">
        <f t="shared" si="41"/>
        <v/>
      </c>
      <c r="H317" s="4" t="str">
        <f t="shared" si="42"/>
        <v/>
      </c>
      <c r="I317" s="4" t="str">
        <f t="shared" si="43"/>
        <v/>
      </c>
      <c r="J317" s="4" t="str">
        <f t="shared" si="44"/>
        <v/>
      </c>
      <c r="K317" s="4">
        <f t="shared" si="45"/>
        <v>1</v>
      </c>
      <c r="L317" s="4" t="str">
        <f t="shared" si="46"/>
        <v/>
      </c>
      <c r="M317" s="4"/>
      <c r="N317" s="4"/>
      <c r="O317" s="4"/>
      <c r="P317" s="4"/>
      <c r="Q317" s="4"/>
      <c r="R317" s="4"/>
      <c r="S317" s="4"/>
      <c r="T317" s="4"/>
      <c r="U317" s="4"/>
    </row>
    <row r="318" spans="1:21">
      <c r="A318" t="s">
        <v>223</v>
      </c>
      <c r="B318">
        <v>10</v>
      </c>
      <c r="C318" t="str">
        <f t="shared" si="40"/>
        <v>test.GeoEngine_10_</v>
      </c>
      <c r="D318">
        <v>21</v>
      </c>
      <c r="E318" s="4">
        <v>1</v>
      </c>
      <c r="F318" s="4">
        <v>0.88275276125743418</v>
      </c>
      <c r="G318" s="4" t="str">
        <f t="shared" si="41"/>
        <v/>
      </c>
      <c r="H318" s="4" t="str">
        <f t="shared" si="42"/>
        <v/>
      </c>
      <c r="I318" s="4" t="str">
        <f t="shared" si="43"/>
        <v/>
      </c>
      <c r="J318" s="4" t="str">
        <f t="shared" si="44"/>
        <v/>
      </c>
      <c r="K318" s="4">
        <f t="shared" si="45"/>
        <v>1</v>
      </c>
      <c r="L318" s="4" t="str">
        <f t="shared" si="46"/>
        <v/>
      </c>
      <c r="M318" s="4"/>
      <c r="N318" s="4"/>
      <c r="O318" s="4"/>
      <c r="P318" s="4"/>
      <c r="Q318" s="4"/>
      <c r="R318" s="4"/>
      <c r="S318" s="4"/>
      <c r="T318" s="4"/>
      <c r="U318" s="4"/>
    </row>
    <row r="319" spans="1:21">
      <c r="A319" t="s">
        <v>223</v>
      </c>
      <c r="B319">
        <v>10</v>
      </c>
      <c r="C319" t="str">
        <f t="shared" si="40"/>
        <v>test.GeoEngine_10_</v>
      </c>
      <c r="D319">
        <v>22</v>
      </c>
      <c r="E319" s="4">
        <v>1</v>
      </c>
      <c r="F319" s="4">
        <v>0.88360237892948168</v>
      </c>
      <c r="G319" s="4" t="str">
        <f t="shared" si="41"/>
        <v/>
      </c>
      <c r="H319" s="4" t="str">
        <f t="shared" si="42"/>
        <v/>
      </c>
      <c r="I319" s="4" t="str">
        <f t="shared" si="43"/>
        <v/>
      </c>
      <c r="J319" s="4" t="str">
        <f t="shared" si="44"/>
        <v/>
      </c>
      <c r="K319" s="4">
        <f t="shared" si="45"/>
        <v>1</v>
      </c>
      <c r="L319" s="4" t="str">
        <f t="shared" si="46"/>
        <v/>
      </c>
      <c r="M319" s="4"/>
      <c r="N319" s="4"/>
      <c r="O319" s="4"/>
      <c r="P319" s="4"/>
      <c r="Q319" s="4"/>
      <c r="R319" s="4"/>
      <c r="S319" s="4"/>
      <c r="T319" s="4"/>
      <c r="U319" s="4"/>
    </row>
    <row r="320" spans="1:21">
      <c r="A320" t="s">
        <v>223</v>
      </c>
      <c r="B320">
        <v>10</v>
      </c>
      <c r="C320" t="str">
        <f t="shared" si="40"/>
        <v>test.GeoEngine_10_</v>
      </c>
      <c r="D320">
        <v>23</v>
      </c>
      <c r="E320" s="4">
        <v>1</v>
      </c>
      <c r="F320" s="4">
        <v>0.8853016142735769</v>
      </c>
      <c r="G320" s="4" t="str">
        <f t="shared" si="41"/>
        <v/>
      </c>
      <c r="H320" s="4" t="str">
        <f t="shared" si="42"/>
        <v/>
      </c>
      <c r="I320" s="4" t="str">
        <f t="shared" si="43"/>
        <v/>
      </c>
      <c r="J320" s="4" t="str">
        <f t="shared" si="44"/>
        <v/>
      </c>
      <c r="K320" s="4">
        <f t="shared" si="45"/>
        <v>1</v>
      </c>
      <c r="L320" s="4" t="str">
        <f t="shared" si="46"/>
        <v/>
      </c>
      <c r="M320" s="4"/>
      <c r="N320" s="4"/>
      <c r="O320" s="4"/>
      <c r="P320" s="4"/>
      <c r="Q320" s="4"/>
      <c r="R320" s="4"/>
      <c r="S320" s="4"/>
      <c r="T320" s="4"/>
      <c r="U320" s="4"/>
    </row>
    <row r="321" spans="1:21">
      <c r="A321" t="s">
        <v>223</v>
      </c>
      <c r="B321">
        <v>10</v>
      </c>
      <c r="C321" t="str">
        <f t="shared" si="40"/>
        <v>test.GeoEngine_10_</v>
      </c>
      <c r="D321">
        <v>24</v>
      </c>
      <c r="E321" s="4">
        <v>1</v>
      </c>
      <c r="F321" s="4">
        <v>0.93542905692438405</v>
      </c>
      <c r="G321" s="4" t="str">
        <f t="shared" si="41"/>
        <v/>
      </c>
      <c r="H321" s="4" t="str">
        <f t="shared" si="42"/>
        <v/>
      </c>
      <c r="I321" s="4" t="str">
        <f t="shared" si="43"/>
        <v/>
      </c>
      <c r="J321" s="4" t="str">
        <f t="shared" si="44"/>
        <v/>
      </c>
      <c r="K321" s="4">
        <f t="shared" si="45"/>
        <v>1</v>
      </c>
      <c r="L321" s="4" t="str">
        <f t="shared" si="46"/>
        <v/>
      </c>
      <c r="M321" s="4"/>
      <c r="N321" s="4"/>
      <c r="O321" s="4"/>
      <c r="P321" s="4"/>
      <c r="Q321" s="4"/>
      <c r="R321" s="4"/>
      <c r="S321" s="4"/>
      <c r="T321" s="4"/>
      <c r="U321" s="4"/>
    </row>
    <row r="322" spans="1:21">
      <c r="A322" t="s">
        <v>223</v>
      </c>
      <c r="B322">
        <v>10</v>
      </c>
      <c r="C322" t="str">
        <f t="shared" si="40"/>
        <v>test.GeoEngine_10_</v>
      </c>
      <c r="D322">
        <v>25</v>
      </c>
      <c r="E322" s="4">
        <v>1</v>
      </c>
      <c r="F322" s="4">
        <v>0.9430756159728122</v>
      </c>
      <c r="G322" s="4" t="str">
        <f t="shared" si="41"/>
        <v/>
      </c>
      <c r="H322" s="4" t="str">
        <f t="shared" si="42"/>
        <v/>
      </c>
      <c r="I322" s="4" t="str">
        <f t="shared" si="43"/>
        <v/>
      </c>
      <c r="J322" s="4" t="str">
        <f t="shared" si="44"/>
        <v/>
      </c>
      <c r="K322" s="4">
        <f t="shared" si="45"/>
        <v>1</v>
      </c>
      <c r="L322" s="4" t="str">
        <f t="shared" si="46"/>
        <v/>
      </c>
      <c r="M322" s="4"/>
      <c r="N322" s="4"/>
      <c r="O322" s="4"/>
      <c r="P322" s="4"/>
      <c r="Q322" s="4"/>
      <c r="R322" s="4"/>
      <c r="S322" s="4"/>
      <c r="T322" s="4"/>
      <c r="U322" s="4"/>
    </row>
    <row r="323" spans="1:21">
      <c r="A323" t="s">
        <v>223</v>
      </c>
      <c r="B323">
        <v>10</v>
      </c>
      <c r="C323" t="str">
        <f t="shared" ref="C323:C386" si="47">CONCATENATE(A323, "_",B323,"_")</f>
        <v>test.GeoEngine_10_</v>
      </c>
      <c r="D323">
        <v>26</v>
      </c>
      <c r="E323" s="4">
        <v>1</v>
      </c>
      <c r="F323" s="4">
        <v>0.94392523364485981</v>
      </c>
      <c r="G323" s="4" t="str">
        <f t="shared" ref="G323:G386" si="48">IF($F323 &lt;= 0.2,$E323,"")</f>
        <v/>
      </c>
      <c r="H323" s="4" t="str">
        <f t="shared" ref="H323:H386" si="49">IF(AND($F323 &gt; 0.2,$F323 &lt;= 0.4),$E323,"")</f>
        <v/>
      </c>
      <c r="I323" s="4" t="str">
        <f t="shared" ref="I323:I386" si="50">IF(AND($F323 &gt; 0.4,$F323 &lt;= 0.6),$E323,"")</f>
        <v/>
      </c>
      <c r="J323" s="4" t="str">
        <f t="shared" ref="J323:J386" si="51">IF(AND($F323 &gt; 0.6,$F323 &lt;= 0.8),$E323,"")</f>
        <v/>
      </c>
      <c r="K323" s="4">
        <f t="shared" ref="K323:K386" si="52">IF(AND($F323 &gt; 0.8, $F323 &lt;=1.1),$E323,"")</f>
        <v>1</v>
      </c>
      <c r="L323" s="4" t="str">
        <f t="shared" ref="L323:L386" si="53">IF(AND($F323 &gt; 1.1),$E323,"")</f>
        <v/>
      </c>
      <c r="M323" s="4"/>
      <c r="N323" s="4"/>
      <c r="O323" s="4"/>
      <c r="P323" s="4"/>
      <c r="Q323" s="4"/>
      <c r="R323" s="4"/>
      <c r="S323" s="4"/>
      <c r="T323" s="4"/>
      <c r="U323" s="4"/>
    </row>
    <row r="324" spans="1:21">
      <c r="A324" t="s">
        <v>223</v>
      </c>
      <c r="B324">
        <v>10</v>
      </c>
      <c r="C324" t="str">
        <f t="shared" si="47"/>
        <v>test.GeoEngine_10_</v>
      </c>
      <c r="D324">
        <v>27</v>
      </c>
      <c r="E324" s="4">
        <v>1</v>
      </c>
      <c r="F324" s="4">
        <v>0.94902293967714524</v>
      </c>
      <c r="G324" s="4" t="str">
        <f t="shared" si="48"/>
        <v/>
      </c>
      <c r="H324" s="4" t="str">
        <f t="shared" si="49"/>
        <v/>
      </c>
      <c r="I324" s="4" t="str">
        <f t="shared" si="50"/>
        <v/>
      </c>
      <c r="J324" s="4" t="str">
        <f t="shared" si="51"/>
        <v/>
      </c>
      <c r="K324" s="4">
        <f t="shared" si="52"/>
        <v>1</v>
      </c>
      <c r="L324" s="4" t="str">
        <f t="shared" si="53"/>
        <v/>
      </c>
      <c r="M324" s="4"/>
      <c r="N324" s="4"/>
      <c r="O324" s="4"/>
      <c r="P324" s="4"/>
      <c r="Q324" s="4"/>
      <c r="R324" s="4"/>
      <c r="S324" s="4"/>
      <c r="T324" s="4"/>
      <c r="U324" s="4"/>
    </row>
    <row r="325" spans="1:21">
      <c r="A325" t="s">
        <v>223</v>
      </c>
      <c r="B325">
        <v>10</v>
      </c>
      <c r="C325" t="str">
        <f t="shared" si="47"/>
        <v>test.GeoEngine_10_</v>
      </c>
      <c r="D325">
        <v>28</v>
      </c>
      <c r="E325" s="4">
        <v>1</v>
      </c>
      <c r="F325" s="4">
        <v>0.95157179269328807</v>
      </c>
      <c r="G325" s="4" t="str">
        <f t="shared" si="48"/>
        <v/>
      </c>
      <c r="H325" s="4" t="str">
        <f t="shared" si="49"/>
        <v/>
      </c>
      <c r="I325" s="4" t="str">
        <f t="shared" si="50"/>
        <v/>
      </c>
      <c r="J325" s="4" t="str">
        <f t="shared" si="51"/>
        <v/>
      </c>
      <c r="K325" s="4">
        <f t="shared" si="52"/>
        <v>1</v>
      </c>
      <c r="L325" s="4" t="str">
        <f t="shared" si="53"/>
        <v/>
      </c>
      <c r="M325" s="4"/>
      <c r="N325" s="4"/>
      <c r="O325" s="4"/>
      <c r="P325" s="4"/>
      <c r="Q325" s="4"/>
      <c r="R325" s="4"/>
      <c r="S325" s="4"/>
      <c r="T325" s="4"/>
      <c r="U325" s="4"/>
    </row>
    <row r="326" spans="1:21">
      <c r="A326" t="s">
        <v>223</v>
      </c>
      <c r="B326">
        <v>10</v>
      </c>
      <c r="C326" t="str">
        <f t="shared" si="47"/>
        <v>test.GeoEngine_10_</v>
      </c>
      <c r="D326">
        <v>29</v>
      </c>
      <c r="E326" s="4">
        <v>1</v>
      </c>
      <c r="F326" s="4">
        <v>0.96771452846219197</v>
      </c>
      <c r="G326" s="4" t="str">
        <f t="shared" si="48"/>
        <v/>
      </c>
      <c r="H326" s="4" t="str">
        <f t="shared" si="49"/>
        <v/>
      </c>
      <c r="I326" s="4" t="str">
        <f t="shared" si="50"/>
        <v/>
      </c>
      <c r="J326" s="4" t="str">
        <f t="shared" si="51"/>
        <v/>
      </c>
      <c r="K326" s="4">
        <f t="shared" si="52"/>
        <v>1</v>
      </c>
      <c r="L326" s="4" t="str">
        <f t="shared" si="53"/>
        <v/>
      </c>
      <c r="M326" s="4"/>
      <c r="N326" s="4"/>
      <c r="O326" s="4"/>
      <c r="P326" s="4"/>
      <c r="Q326" s="4"/>
      <c r="R326" s="4"/>
      <c r="S326" s="4"/>
      <c r="T326" s="4"/>
      <c r="U326" s="4"/>
    </row>
    <row r="327" spans="1:21">
      <c r="A327" t="s">
        <v>223</v>
      </c>
      <c r="B327">
        <v>10</v>
      </c>
      <c r="C327" t="str">
        <f t="shared" si="47"/>
        <v>test.GeoEngine_10_</v>
      </c>
      <c r="D327">
        <v>30</v>
      </c>
      <c r="E327" s="4">
        <v>1</v>
      </c>
      <c r="F327" s="4">
        <v>0.96856414613423958</v>
      </c>
      <c r="G327" s="4" t="str">
        <f t="shared" si="48"/>
        <v/>
      </c>
      <c r="H327" s="4" t="str">
        <f t="shared" si="49"/>
        <v/>
      </c>
      <c r="I327" s="4" t="str">
        <f t="shared" si="50"/>
        <v/>
      </c>
      <c r="J327" s="4" t="str">
        <f t="shared" si="51"/>
        <v/>
      </c>
      <c r="K327" s="4">
        <f t="shared" si="52"/>
        <v>1</v>
      </c>
      <c r="L327" s="4" t="str">
        <f t="shared" si="53"/>
        <v/>
      </c>
      <c r="M327" s="4"/>
      <c r="N327" s="4"/>
      <c r="O327" s="4"/>
      <c r="P327" s="4"/>
      <c r="Q327" s="4"/>
      <c r="R327" s="4"/>
      <c r="S327" s="4"/>
      <c r="T327" s="4"/>
      <c r="U327" s="4"/>
    </row>
    <row r="328" spans="1:21">
      <c r="A328" t="s">
        <v>223</v>
      </c>
      <c r="B328">
        <v>10</v>
      </c>
      <c r="C328" t="str">
        <f t="shared" si="47"/>
        <v>test.GeoEngine_10_</v>
      </c>
      <c r="D328">
        <v>31</v>
      </c>
      <c r="E328" s="4">
        <v>1</v>
      </c>
      <c r="F328" s="4">
        <v>1.0076465590484283</v>
      </c>
      <c r="G328" s="4" t="str">
        <f t="shared" si="48"/>
        <v/>
      </c>
      <c r="H328" s="4" t="str">
        <f t="shared" si="49"/>
        <v/>
      </c>
      <c r="I328" s="4" t="str">
        <f t="shared" si="50"/>
        <v/>
      </c>
      <c r="J328" s="4" t="str">
        <f t="shared" si="51"/>
        <v/>
      </c>
      <c r="K328" s="4">
        <f t="shared" si="52"/>
        <v>1</v>
      </c>
      <c r="L328" s="4" t="str">
        <f t="shared" si="53"/>
        <v/>
      </c>
      <c r="M328" s="4"/>
      <c r="N328" s="4"/>
      <c r="O328" s="4"/>
      <c r="P328" s="4"/>
      <c r="Q328" s="4"/>
      <c r="R328" s="4"/>
      <c r="S328" s="4"/>
      <c r="T328" s="4"/>
      <c r="U328" s="4"/>
    </row>
    <row r="329" spans="1:21">
      <c r="A329" t="s">
        <v>223</v>
      </c>
      <c r="B329">
        <v>10</v>
      </c>
      <c r="C329" t="str">
        <f t="shared" si="47"/>
        <v>test.GeoEngine_10_</v>
      </c>
      <c r="D329">
        <v>32</v>
      </c>
      <c r="E329" s="4">
        <v>1</v>
      </c>
      <c r="F329" s="4">
        <v>1.0348343245539506</v>
      </c>
      <c r="G329" s="4" t="str">
        <f t="shared" si="48"/>
        <v/>
      </c>
      <c r="H329" s="4" t="str">
        <f t="shared" si="49"/>
        <v/>
      </c>
      <c r="I329" s="4" t="str">
        <f t="shared" si="50"/>
        <v/>
      </c>
      <c r="J329" s="4" t="str">
        <f t="shared" si="51"/>
        <v/>
      </c>
      <c r="K329" s="4">
        <f t="shared" si="52"/>
        <v>1</v>
      </c>
      <c r="L329" s="4" t="str">
        <f t="shared" si="53"/>
        <v/>
      </c>
      <c r="M329" s="4"/>
      <c r="N329" s="4"/>
      <c r="O329" s="4"/>
      <c r="P329" s="4"/>
      <c r="Q329" s="4"/>
      <c r="R329" s="4"/>
      <c r="S329" s="4"/>
      <c r="T329" s="4"/>
      <c r="U329" s="4"/>
    </row>
    <row r="330" spans="1:21">
      <c r="A330" t="s">
        <v>224</v>
      </c>
      <c r="B330">
        <v>3</v>
      </c>
      <c r="C330" t="str">
        <f t="shared" si="47"/>
        <v>test.FastBlurFilter_3_</v>
      </c>
      <c r="D330">
        <v>1</v>
      </c>
      <c r="E330" s="4">
        <v>0.93525179856115104</v>
      </c>
      <c r="F330" s="4">
        <v>0.96528542584434651</v>
      </c>
      <c r="G330" s="4" t="str">
        <f t="shared" si="48"/>
        <v/>
      </c>
      <c r="H330" s="4" t="str">
        <f t="shared" si="49"/>
        <v/>
      </c>
      <c r="I330" s="4" t="str">
        <f t="shared" si="50"/>
        <v/>
      </c>
      <c r="J330" s="4" t="str">
        <f t="shared" si="51"/>
        <v/>
      </c>
      <c r="K330" s="4">
        <f t="shared" si="52"/>
        <v>0.93525179856115104</v>
      </c>
      <c r="L330" s="4" t="str">
        <f t="shared" si="53"/>
        <v/>
      </c>
      <c r="M330" s="4"/>
      <c r="N330" s="4"/>
      <c r="O330" s="4"/>
      <c r="P330" s="4"/>
      <c r="Q330" s="4"/>
      <c r="R330" s="4"/>
      <c r="S330" s="4"/>
      <c r="T330" s="4"/>
      <c r="U330" s="4"/>
    </row>
    <row r="331" spans="1:21">
      <c r="A331" t="s">
        <v>224</v>
      </c>
      <c r="B331">
        <v>3</v>
      </c>
      <c r="C331" t="str">
        <f t="shared" si="47"/>
        <v>test.FastBlurFilter_3_</v>
      </c>
      <c r="D331">
        <v>2</v>
      </c>
      <c r="E331" s="4">
        <v>1</v>
      </c>
      <c r="F331" s="4">
        <v>0.96537720264317184</v>
      </c>
      <c r="G331" s="4" t="str">
        <f t="shared" si="48"/>
        <v/>
      </c>
      <c r="H331" s="4" t="str">
        <f t="shared" si="49"/>
        <v/>
      </c>
      <c r="I331" s="4" t="str">
        <f t="shared" si="50"/>
        <v/>
      </c>
      <c r="J331" s="4" t="str">
        <f t="shared" si="51"/>
        <v/>
      </c>
      <c r="K331" s="4">
        <f t="shared" si="52"/>
        <v>1</v>
      </c>
      <c r="L331" s="4" t="str">
        <f t="shared" si="53"/>
        <v/>
      </c>
      <c r="M331" s="4"/>
      <c r="N331" s="4"/>
      <c r="O331" s="4"/>
      <c r="P331" s="4"/>
      <c r="Q331" s="4"/>
      <c r="R331" s="4"/>
      <c r="S331" s="4"/>
      <c r="T331" s="4"/>
      <c r="U331" s="4"/>
    </row>
    <row r="332" spans="1:21">
      <c r="A332" t="s">
        <v>225</v>
      </c>
      <c r="B332">
        <v>2</v>
      </c>
      <c r="C332" t="str">
        <f t="shared" si="47"/>
        <v>test.ImageData_2_</v>
      </c>
      <c r="D332">
        <v>1</v>
      </c>
      <c r="E332" s="4">
        <v>0.125</v>
      </c>
      <c r="F332" s="4">
        <v>0.19022733211392737</v>
      </c>
      <c r="G332" s="4">
        <f t="shared" si="48"/>
        <v>0.125</v>
      </c>
      <c r="H332" s="4" t="str">
        <f t="shared" si="49"/>
        <v/>
      </c>
      <c r="I332" s="4" t="str">
        <f t="shared" si="50"/>
        <v/>
      </c>
      <c r="J332" s="4" t="str">
        <f t="shared" si="51"/>
        <v/>
      </c>
      <c r="K332" s="4" t="str">
        <f t="shared" si="52"/>
        <v/>
      </c>
      <c r="L332" s="4" t="str">
        <f t="shared" si="53"/>
        <v/>
      </c>
      <c r="M332" s="4"/>
      <c r="N332" s="4"/>
      <c r="O332" s="4"/>
      <c r="P332" s="4"/>
      <c r="Q332" s="4"/>
      <c r="R332" s="4"/>
      <c r="S332" s="4"/>
      <c r="T332" s="4"/>
      <c r="U332" s="4"/>
    </row>
    <row r="333" spans="1:21">
      <c r="A333" t="s">
        <v>225</v>
      </c>
      <c r="B333">
        <v>2</v>
      </c>
      <c r="C333" t="str">
        <f t="shared" si="47"/>
        <v>test.ImageData_2_</v>
      </c>
      <c r="D333">
        <v>2</v>
      </c>
      <c r="E333" s="4">
        <v>0.23214285714285715</v>
      </c>
      <c r="F333" s="4">
        <v>0.19885027436634439</v>
      </c>
      <c r="G333" s="4">
        <f t="shared" si="48"/>
        <v>0.23214285714285715</v>
      </c>
      <c r="H333" s="4" t="str">
        <f t="shared" si="49"/>
        <v/>
      </c>
      <c r="I333" s="4" t="str">
        <f t="shared" si="50"/>
        <v/>
      </c>
      <c r="J333" s="4" t="str">
        <f t="shared" si="51"/>
        <v/>
      </c>
      <c r="K333" s="4" t="str">
        <f t="shared" si="52"/>
        <v/>
      </c>
      <c r="L333" s="4" t="str">
        <f t="shared" si="53"/>
        <v/>
      </c>
      <c r="M333" s="4"/>
      <c r="N333" s="4"/>
      <c r="O333" s="4"/>
      <c r="P333" s="4"/>
      <c r="Q333" s="4"/>
      <c r="R333" s="4"/>
      <c r="S333" s="4"/>
      <c r="T333" s="4"/>
      <c r="U333" s="4"/>
    </row>
    <row r="334" spans="1:21">
      <c r="A334" t="s">
        <v>225</v>
      </c>
      <c r="B334">
        <v>2</v>
      </c>
      <c r="C334" t="str">
        <f t="shared" si="47"/>
        <v>test.ImageData_2_</v>
      </c>
      <c r="D334">
        <v>3</v>
      </c>
      <c r="E334" s="4">
        <v>0.3482142857142857</v>
      </c>
      <c r="F334" s="4">
        <v>0.20590540893650378</v>
      </c>
      <c r="G334" s="4" t="str">
        <f t="shared" si="48"/>
        <v/>
      </c>
      <c r="H334" s="4">
        <f t="shared" si="49"/>
        <v>0.3482142857142857</v>
      </c>
      <c r="I334" s="4" t="str">
        <f t="shared" si="50"/>
        <v/>
      </c>
      <c r="J334" s="4" t="str">
        <f t="shared" si="51"/>
        <v/>
      </c>
      <c r="K334" s="4" t="str">
        <f t="shared" si="52"/>
        <v/>
      </c>
      <c r="L334" s="4" t="str">
        <f t="shared" si="53"/>
        <v/>
      </c>
      <c r="M334" s="4"/>
      <c r="N334" s="4"/>
      <c r="O334" s="4"/>
      <c r="P334" s="4"/>
      <c r="Q334" s="4"/>
      <c r="R334" s="4"/>
      <c r="S334" s="4"/>
      <c r="T334" s="4"/>
      <c r="U334" s="4"/>
    </row>
    <row r="335" spans="1:21">
      <c r="A335" t="s">
        <v>225</v>
      </c>
      <c r="B335">
        <v>2</v>
      </c>
      <c r="C335" t="str">
        <f t="shared" si="47"/>
        <v>test.ImageData_2_</v>
      </c>
      <c r="D335">
        <v>4</v>
      </c>
      <c r="E335" s="4">
        <v>0.44642857142857145</v>
      </c>
      <c r="F335" s="4">
        <v>0.23856806898353802</v>
      </c>
      <c r="G335" s="4" t="str">
        <f t="shared" si="48"/>
        <v/>
      </c>
      <c r="H335" s="4">
        <f t="shared" si="49"/>
        <v>0.44642857142857145</v>
      </c>
      <c r="I335" s="4" t="str">
        <f t="shared" si="50"/>
        <v/>
      </c>
      <c r="J335" s="4" t="str">
        <f t="shared" si="51"/>
        <v/>
      </c>
      <c r="K335" s="4" t="str">
        <f t="shared" si="52"/>
        <v/>
      </c>
      <c r="L335" s="4" t="str">
        <f t="shared" si="53"/>
        <v/>
      </c>
      <c r="M335" s="4"/>
      <c r="N335" s="4"/>
      <c r="O335" s="4"/>
      <c r="P335" s="4"/>
      <c r="Q335" s="4"/>
      <c r="R335" s="4"/>
      <c r="S335" s="4"/>
      <c r="T335" s="4"/>
      <c r="U335" s="4"/>
    </row>
    <row r="336" spans="1:21">
      <c r="A336" t="s">
        <v>225</v>
      </c>
      <c r="B336">
        <v>2</v>
      </c>
      <c r="C336" t="str">
        <f t="shared" si="47"/>
        <v>test.ImageData_2_</v>
      </c>
      <c r="D336">
        <v>5</v>
      </c>
      <c r="E336" s="4">
        <v>0.5535714285714286</v>
      </c>
      <c r="F336" s="4">
        <v>0.28272798536712829</v>
      </c>
      <c r="G336" s="4" t="str">
        <f t="shared" si="48"/>
        <v/>
      </c>
      <c r="H336" s="4">
        <f t="shared" si="49"/>
        <v>0.5535714285714286</v>
      </c>
      <c r="I336" s="4" t="str">
        <f t="shared" si="50"/>
        <v/>
      </c>
      <c r="J336" s="4" t="str">
        <f t="shared" si="51"/>
        <v/>
      </c>
      <c r="K336" s="4" t="str">
        <f t="shared" si="52"/>
        <v/>
      </c>
      <c r="L336" s="4" t="str">
        <f t="shared" si="53"/>
        <v/>
      </c>
      <c r="M336" s="4"/>
      <c r="N336" s="4"/>
      <c r="O336" s="4"/>
      <c r="P336" s="4"/>
      <c r="Q336" s="4"/>
      <c r="R336" s="4"/>
      <c r="S336" s="4"/>
      <c r="T336" s="4"/>
      <c r="U336" s="4"/>
    </row>
    <row r="337" spans="1:21">
      <c r="A337" t="s">
        <v>225</v>
      </c>
      <c r="B337">
        <v>2</v>
      </c>
      <c r="C337" t="str">
        <f t="shared" si="47"/>
        <v>test.ImageData_2_</v>
      </c>
      <c r="D337">
        <v>6</v>
      </c>
      <c r="E337" s="4">
        <v>0.6428571428571429</v>
      </c>
      <c r="F337" s="4">
        <v>0.28847661353540632</v>
      </c>
      <c r="G337" s="4" t="str">
        <f t="shared" si="48"/>
        <v/>
      </c>
      <c r="H337" s="4">
        <f t="shared" si="49"/>
        <v>0.6428571428571429</v>
      </c>
      <c r="I337" s="4" t="str">
        <f t="shared" si="50"/>
        <v/>
      </c>
      <c r="J337" s="4" t="str">
        <f t="shared" si="51"/>
        <v/>
      </c>
      <c r="K337" s="4" t="str">
        <f t="shared" si="52"/>
        <v/>
      </c>
      <c r="L337" s="4" t="str">
        <f t="shared" si="53"/>
        <v/>
      </c>
      <c r="M337" s="4"/>
      <c r="N337" s="4"/>
      <c r="O337" s="4"/>
      <c r="P337" s="4"/>
      <c r="Q337" s="4"/>
      <c r="R337" s="4"/>
      <c r="S337" s="4"/>
      <c r="T337" s="4"/>
      <c r="U337" s="4"/>
    </row>
    <row r="338" spans="1:21">
      <c r="A338" t="s">
        <v>225</v>
      </c>
      <c r="B338">
        <v>2</v>
      </c>
      <c r="C338" t="str">
        <f t="shared" si="47"/>
        <v>test.ImageData_2_</v>
      </c>
      <c r="D338">
        <v>7</v>
      </c>
      <c r="E338" s="4">
        <v>0.6428571428571429</v>
      </c>
      <c r="F338" s="4">
        <v>0.29370263914293182</v>
      </c>
      <c r="G338" s="4" t="str">
        <f t="shared" si="48"/>
        <v/>
      </c>
      <c r="H338" s="4">
        <f t="shared" si="49"/>
        <v>0.6428571428571429</v>
      </c>
      <c r="I338" s="4" t="str">
        <f t="shared" si="50"/>
        <v/>
      </c>
      <c r="J338" s="4" t="str">
        <f t="shared" si="51"/>
        <v/>
      </c>
      <c r="K338" s="4" t="str">
        <f t="shared" si="52"/>
        <v/>
      </c>
      <c r="L338" s="4" t="str">
        <f t="shared" si="53"/>
        <v/>
      </c>
      <c r="M338" s="4"/>
      <c r="N338" s="4"/>
      <c r="O338" s="4"/>
      <c r="P338" s="4"/>
      <c r="Q338" s="4"/>
      <c r="R338" s="4"/>
      <c r="S338" s="4"/>
      <c r="T338" s="4"/>
      <c r="U338" s="4"/>
    </row>
    <row r="339" spans="1:21">
      <c r="A339" t="s">
        <v>225</v>
      </c>
      <c r="B339">
        <v>2</v>
      </c>
      <c r="C339" t="str">
        <f t="shared" si="47"/>
        <v>test.ImageData_2_</v>
      </c>
      <c r="D339">
        <v>8</v>
      </c>
      <c r="E339" s="4">
        <v>0.6428571428571429</v>
      </c>
      <c r="F339" s="4">
        <v>0.30206428011497255</v>
      </c>
      <c r="G339" s="4" t="str">
        <f t="shared" si="48"/>
        <v/>
      </c>
      <c r="H339" s="4">
        <f t="shared" si="49"/>
        <v>0.6428571428571429</v>
      </c>
      <c r="I339" s="4" t="str">
        <f t="shared" si="50"/>
        <v/>
      </c>
      <c r="J339" s="4" t="str">
        <f t="shared" si="51"/>
        <v/>
      </c>
      <c r="K339" s="4" t="str">
        <f t="shared" si="52"/>
        <v/>
      </c>
      <c r="L339" s="4" t="str">
        <f t="shared" si="53"/>
        <v/>
      </c>
      <c r="M339" s="4"/>
      <c r="N339" s="4"/>
      <c r="O339" s="4"/>
      <c r="P339" s="4"/>
      <c r="Q339" s="4"/>
      <c r="R339" s="4"/>
      <c r="S339" s="4"/>
      <c r="T339" s="4"/>
      <c r="U339" s="4"/>
    </row>
    <row r="340" spans="1:21">
      <c r="A340" t="s">
        <v>225</v>
      </c>
      <c r="B340">
        <v>2</v>
      </c>
      <c r="C340" t="str">
        <f t="shared" si="47"/>
        <v>test.ImageData_2_</v>
      </c>
      <c r="D340">
        <v>9</v>
      </c>
      <c r="E340" s="4">
        <v>0.6428571428571429</v>
      </c>
      <c r="F340" s="4">
        <v>0.31016461980663707</v>
      </c>
      <c r="G340" s="4" t="str">
        <f t="shared" si="48"/>
        <v/>
      </c>
      <c r="H340" s="4">
        <f t="shared" si="49"/>
        <v>0.6428571428571429</v>
      </c>
      <c r="I340" s="4" t="str">
        <f t="shared" si="50"/>
        <v/>
      </c>
      <c r="J340" s="4" t="str">
        <f t="shared" si="51"/>
        <v/>
      </c>
      <c r="K340" s="4" t="str">
        <f t="shared" si="52"/>
        <v/>
      </c>
      <c r="L340" s="4" t="str">
        <f t="shared" si="53"/>
        <v/>
      </c>
      <c r="M340" s="4"/>
      <c r="N340" s="4"/>
      <c r="O340" s="4"/>
      <c r="P340" s="4"/>
      <c r="Q340" s="4"/>
      <c r="R340" s="4"/>
      <c r="S340" s="4"/>
      <c r="T340" s="4"/>
      <c r="U340" s="4"/>
    </row>
    <row r="341" spans="1:21">
      <c r="A341" t="s">
        <v>225</v>
      </c>
      <c r="B341">
        <v>2</v>
      </c>
      <c r="C341" t="str">
        <f t="shared" si="47"/>
        <v>test.ImageData_2_</v>
      </c>
      <c r="D341">
        <v>10</v>
      </c>
      <c r="E341" s="4">
        <v>0.7946428571428571</v>
      </c>
      <c r="F341" s="4">
        <v>0.31695845309642018</v>
      </c>
      <c r="G341" s="4" t="str">
        <f t="shared" si="48"/>
        <v/>
      </c>
      <c r="H341" s="4">
        <f t="shared" si="49"/>
        <v>0.7946428571428571</v>
      </c>
      <c r="I341" s="4" t="str">
        <f t="shared" si="50"/>
        <v/>
      </c>
      <c r="J341" s="4" t="str">
        <f t="shared" si="51"/>
        <v/>
      </c>
      <c r="K341" s="4" t="str">
        <f t="shared" si="52"/>
        <v/>
      </c>
      <c r="L341" s="4" t="str">
        <f t="shared" si="53"/>
        <v/>
      </c>
      <c r="M341" s="4"/>
      <c r="N341" s="4"/>
      <c r="O341" s="4"/>
      <c r="P341" s="4"/>
      <c r="Q341" s="4"/>
      <c r="R341" s="4"/>
      <c r="S341" s="4"/>
      <c r="T341" s="4"/>
      <c r="U341" s="4"/>
    </row>
    <row r="342" spans="1:21">
      <c r="A342" t="s">
        <v>225</v>
      </c>
      <c r="B342">
        <v>2</v>
      </c>
      <c r="C342" t="str">
        <f t="shared" si="47"/>
        <v>test.ImageData_2_</v>
      </c>
      <c r="D342">
        <v>11</v>
      </c>
      <c r="E342" s="4">
        <v>0.7946428571428571</v>
      </c>
      <c r="F342" s="4">
        <v>0.34674679905931538</v>
      </c>
      <c r="G342" s="4" t="str">
        <f t="shared" si="48"/>
        <v/>
      </c>
      <c r="H342" s="4">
        <f t="shared" si="49"/>
        <v>0.7946428571428571</v>
      </c>
      <c r="I342" s="4" t="str">
        <f t="shared" si="50"/>
        <v/>
      </c>
      <c r="J342" s="4" t="str">
        <f t="shared" si="51"/>
        <v/>
      </c>
      <c r="K342" s="4" t="str">
        <f t="shared" si="52"/>
        <v/>
      </c>
      <c r="L342" s="4" t="str">
        <f t="shared" si="53"/>
        <v/>
      </c>
      <c r="M342" s="4"/>
      <c r="N342" s="4"/>
      <c r="O342" s="4"/>
      <c r="P342" s="4"/>
      <c r="Q342" s="4"/>
      <c r="R342" s="4"/>
      <c r="S342" s="4"/>
      <c r="T342" s="4"/>
      <c r="U342" s="4"/>
    </row>
    <row r="343" spans="1:21">
      <c r="A343" t="s">
        <v>225</v>
      </c>
      <c r="B343">
        <v>2</v>
      </c>
      <c r="C343" t="str">
        <f t="shared" si="47"/>
        <v>test.ImageData_2_</v>
      </c>
      <c r="D343">
        <v>12</v>
      </c>
      <c r="E343" s="4">
        <v>1</v>
      </c>
      <c r="F343" s="4">
        <v>0.36503788868565457</v>
      </c>
      <c r="G343" s="4" t="str">
        <f t="shared" si="48"/>
        <v/>
      </c>
      <c r="H343" s="4">
        <f t="shared" si="49"/>
        <v>1</v>
      </c>
      <c r="I343" s="4" t="str">
        <f t="shared" si="50"/>
        <v/>
      </c>
      <c r="J343" s="4" t="str">
        <f t="shared" si="51"/>
        <v/>
      </c>
      <c r="K343" s="4" t="str">
        <f t="shared" si="52"/>
        <v/>
      </c>
      <c r="L343" s="4" t="str">
        <f t="shared" si="53"/>
        <v/>
      </c>
      <c r="M343" s="4"/>
      <c r="N343" s="4"/>
      <c r="O343" s="4"/>
      <c r="P343" s="4"/>
      <c r="Q343" s="4"/>
      <c r="R343" s="4"/>
      <c r="S343" s="4"/>
      <c r="T343" s="4"/>
      <c r="U343" s="4"/>
    </row>
    <row r="344" spans="1:21">
      <c r="A344" t="s">
        <v>225</v>
      </c>
      <c r="B344">
        <v>2</v>
      </c>
      <c r="C344" t="str">
        <f t="shared" si="47"/>
        <v>test.ImageData_2_</v>
      </c>
      <c r="D344">
        <v>13</v>
      </c>
      <c r="E344" s="4">
        <v>1</v>
      </c>
      <c r="F344" s="4">
        <v>0.42095636268617714</v>
      </c>
      <c r="G344" s="4" t="str">
        <f t="shared" si="48"/>
        <v/>
      </c>
      <c r="H344" s="4" t="str">
        <f t="shared" si="49"/>
        <v/>
      </c>
      <c r="I344" s="4">
        <f t="shared" si="50"/>
        <v>1</v>
      </c>
      <c r="J344" s="4" t="str">
        <f t="shared" si="51"/>
        <v/>
      </c>
      <c r="K344" s="4" t="str">
        <f t="shared" si="52"/>
        <v/>
      </c>
      <c r="L344" s="4" t="str">
        <f t="shared" si="53"/>
        <v/>
      </c>
      <c r="M344" s="4"/>
      <c r="N344" s="4"/>
      <c r="O344" s="4"/>
      <c r="P344" s="4"/>
      <c r="Q344" s="4"/>
      <c r="R344" s="4"/>
      <c r="S344" s="4"/>
      <c r="T344" s="4"/>
      <c r="U344" s="4"/>
    </row>
    <row r="345" spans="1:21">
      <c r="A345" t="s">
        <v>225</v>
      </c>
      <c r="B345">
        <v>2</v>
      </c>
      <c r="C345" t="str">
        <f t="shared" si="47"/>
        <v>test.ImageData_2_</v>
      </c>
      <c r="D345">
        <v>14</v>
      </c>
      <c r="E345" s="4">
        <v>1</v>
      </c>
      <c r="F345" s="4">
        <v>0.45152861249020121</v>
      </c>
      <c r="G345" s="4" t="str">
        <f t="shared" si="48"/>
        <v/>
      </c>
      <c r="H345" s="4" t="str">
        <f t="shared" si="49"/>
        <v/>
      </c>
      <c r="I345" s="4">
        <f t="shared" si="50"/>
        <v>1</v>
      </c>
      <c r="J345" s="4" t="str">
        <f t="shared" si="51"/>
        <v/>
      </c>
      <c r="K345" s="4" t="str">
        <f t="shared" si="52"/>
        <v/>
      </c>
      <c r="L345" s="4" t="str">
        <f t="shared" si="53"/>
        <v/>
      </c>
      <c r="M345" s="4"/>
      <c r="N345" s="4"/>
      <c r="O345" s="4"/>
      <c r="P345" s="4"/>
      <c r="Q345" s="4"/>
      <c r="R345" s="4"/>
      <c r="S345" s="4"/>
      <c r="T345" s="4"/>
      <c r="U345" s="4"/>
    </row>
    <row r="346" spans="1:21">
      <c r="A346" t="s">
        <v>225</v>
      </c>
      <c r="B346">
        <v>3</v>
      </c>
      <c r="C346" t="str">
        <f t="shared" si="47"/>
        <v>test.ImageData_3_</v>
      </c>
      <c r="D346">
        <v>1</v>
      </c>
      <c r="E346" s="4">
        <v>0.1357142857142857</v>
      </c>
      <c r="F346" s="4">
        <v>0.1086993822923816</v>
      </c>
      <c r="G346" s="4">
        <f t="shared" si="48"/>
        <v>0.1357142857142857</v>
      </c>
      <c r="H346" s="4" t="str">
        <f t="shared" si="49"/>
        <v/>
      </c>
      <c r="I346" s="4" t="str">
        <f t="shared" si="50"/>
        <v/>
      </c>
      <c r="J346" s="4" t="str">
        <f t="shared" si="51"/>
        <v/>
      </c>
      <c r="K346" s="4" t="str">
        <f t="shared" si="52"/>
        <v/>
      </c>
      <c r="L346" s="4" t="str">
        <f t="shared" si="53"/>
        <v/>
      </c>
      <c r="M346" s="4"/>
      <c r="N346" s="4"/>
      <c r="O346" s="4"/>
      <c r="P346" s="4"/>
      <c r="Q346" s="4"/>
      <c r="R346" s="4"/>
      <c r="S346" s="4"/>
      <c r="T346" s="4"/>
      <c r="U346" s="4"/>
    </row>
    <row r="347" spans="1:21">
      <c r="A347" t="s">
        <v>225</v>
      </c>
      <c r="B347">
        <v>3</v>
      </c>
      <c r="C347" t="str">
        <f t="shared" si="47"/>
        <v>test.ImageData_3_</v>
      </c>
      <c r="D347">
        <v>2</v>
      </c>
      <c r="E347" s="4">
        <v>0.2</v>
      </c>
      <c r="F347" s="4">
        <v>0.15159574468085107</v>
      </c>
      <c r="G347" s="4">
        <f t="shared" si="48"/>
        <v>0.2</v>
      </c>
      <c r="H347" s="4" t="str">
        <f t="shared" si="49"/>
        <v/>
      </c>
      <c r="I347" s="4" t="str">
        <f t="shared" si="50"/>
        <v/>
      </c>
      <c r="J347" s="4" t="str">
        <f t="shared" si="51"/>
        <v/>
      </c>
      <c r="K347" s="4" t="str">
        <f t="shared" si="52"/>
        <v/>
      </c>
      <c r="L347" s="4" t="str">
        <f t="shared" si="53"/>
        <v/>
      </c>
      <c r="M347" s="4"/>
      <c r="N347" s="4"/>
      <c r="O347" s="4"/>
      <c r="P347" s="4"/>
      <c r="Q347" s="4"/>
      <c r="R347" s="4"/>
      <c r="S347" s="4"/>
      <c r="T347" s="4"/>
      <c r="U347" s="4"/>
    </row>
    <row r="348" spans="1:21">
      <c r="A348" t="s">
        <v>225</v>
      </c>
      <c r="B348">
        <v>3</v>
      </c>
      <c r="C348" t="str">
        <f t="shared" si="47"/>
        <v>test.ImageData_3_</v>
      </c>
      <c r="D348">
        <v>3</v>
      </c>
      <c r="E348" s="4">
        <v>0.45</v>
      </c>
      <c r="F348" s="4">
        <v>0.23129718599862731</v>
      </c>
      <c r="G348" s="4" t="str">
        <f t="shared" si="48"/>
        <v/>
      </c>
      <c r="H348" s="4">
        <f t="shared" si="49"/>
        <v>0.45</v>
      </c>
      <c r="I348" s="4" t="str">
        <f t="shared" si="50"/>
        <v/>
      </c>
      <c r="J348" s="4" t="str">
        <f t="shared" si="51"/>
        <v/>
      </c>
      <c r="K348" s="4" t="str">
        <f t="shared" si="52"/>
        <v/>
      </c>
      <c r="L348" s="4" t="str">
        <f t="shared" si="53"/>
        <v/>
      </c>
      <c r="M348" s="4"/>
      <c r="N348" s="4"/>
      <c r="O348" s="4"/>
      <c r="P348" s="4"/>
      <c r="Q348" s="4"/>
      <c r="R348" s="4"/>
      <c r="S348" s="4"/>
      <c r="T348" s="4"/>
      <c r="U348" s="4"/>
    </row>
    <row r="349" spans="1:21">
      <c r="A349" t="s">
        <v>225</v>
      </c>
      <c r="B349">
        <v>3</v>
      </c>
      <c r="C349" t="str">
        <f t="shared" si="47"/>
        <v>test.ImageData_3_</v>
      </c>
      <c r="D349">
        <v>4</v>
      </c>
      <c r="E349" s="4">
        <v>0.45</v>
      </c>
      <c r="F349" s="4">
        <v>0.27693891557995881</v>
      </c>
      <c r="G349" s="4" t="str">
        <f t="shared" si="48"/>
        <v/>
      </c>
      <c r="H349" s="4">
        <f t="shared" si="49"/>
        <v>0.45</v>
      </c>
      <c r="I349" s="4" t="str">
        <f t="shared" si="50"/>
        <v/>
      </c>
      <c r="J349" s="4" t="str">
        <f t="shared" si="51"/>
        <v/>
      </c>
      <c r="K349" s="4" t="str">
        <f t="shared" si="52"/>
        <v/>
      </c>
      <c r="L349" s="4" t="str">
        <f t="shared" si="53"/>
        <v/>
      </c>
      <c r="M349" s="4"/>
      <c r="N349" s="4"/>
      <c r="O349" s="4"/>
      <c r="P349" s="4"/>
      <c r="Q349" s="4"/>
      <c r="R349" s="4"/>
      <c r="S349" s="4"/>
      <c r="T349" s="4"/>
      <c r="U349" s="4"/>
    </row>
    <row r="350" spans="1:21">
      <c r="A350" t="s">
        <v>225</v>
      </c>
      <c r="B350">
        <v>3</v>
      </c>
      <c r="C350" t="str">
        <f t="shared" si="47"/>
        <v>test.ImageData_3_</v>
      </c>
      <c r="D350">
        <v>5</v>
      </c>
      <c r="E350" s="4">
        <v>0.8571428571428571</v>
      </c>
      <c r="F350" s="4">
        <v>0.33536376115305422</v>
      </c>
      <c r="G350" s="4" t="str">
        <f t="shared" si="48"/>
        <v/>
      </c>
      <c r="H350" s="4">
        <f t="shared" si="49"/>
        <v>0.8571428571428571</v>
      </c>
      <c r="I350" s="4" t="str">
        <f t="shared" si="50"/>
        <v/>
      </c>
      <c r="J350" s="4" t="str">
        <f t="shared" si="51"/>
        <v/>
      </c>
      <c r="K350" s="4" t="str">
        <f t="shared" si="52"/>
        <v/>
      </c>
      <c r="L350" s="4" t="str">
        <f t="shared" si="53"/>
        <v/>
      </c>
      <c r="M350" s="4"/>
      <c r="N350" s="4"/>
      <c r="O350" s="4"/>
      <c r="P350" s="4"/>
      <c r="Q350" s="4"/>
      <c r="R350" s="4"/>
      <c r="S350" s="4"/>
      <c r="T350" s="4"/>
      <c r="U350" s="4"/>
    </row>
    <row r="351" spans="1:21">
      <c r="A351" t="s">
        <v>225</v>
      </c>
      <c r="B351">
        <v>3</v>
      </c>
      <c r="C351" t="str">
        <f t="shared" si="47"/>
        <v>test.ImageData_3_</v>
      </c>
      <c r="D351">
        <v>6</v>
      </c>
      <c r="E351" s="4">
        <v>1</v>
      </c>
      <c r="F351" s="4">
        <v>0.57240905971173639</v>
      </c>
      <c r="G351" s="4" t="str">
        <f t="shared" si="48"/>
        <v/>
      </c>
      <c r="H351" s="4" t="str">
        <f t="shared" si="49"/>
        <v/>
      </c>
      <c r="I351" s="4">
        <f t="shared" si="50"/>
        <v>1</v>
      </c>
      <c r="J351" s="4" t="str">
        <f t="shared" si="51"/>
        <v/>
      </c>
      <c r="K351" s="4" t="str">
        <f t="shared" si="52"/>
        <v/>
      </c>
      <c r="L351" s="4" t="str">
        <f t="shared" si="53"/>
        <v/>
      </c>
      <c r="M351" s="4"/>
      <c r="N351" s="4"/>
      <c r="O351" s="4"/>
      <c r="P351" s="4"/>
      <c r="Q351" s="4"/>
      <c r="R351" s="4"/>
      <c r="S351" s="4"/>
      <c r="T351" s="4"/>
      <c r="U351" s="4"/>
    </row>
    <row r="352" spans="1:21">
      <c r="A352" t="s">
        <v>225</v>
      </c>
      <c r="B352">
        <v>4</v>
      </c>
      <c r="C352" t="str">
        <f t="shared" si="47"/>
        <v>test.ImageData_4_</v>
      </c>
      <c r="D352">
        <v>1</v>
      </c>
      <c r="E352" s="4">
        <v>6.985294117647059E-2</v>
      </c>
      <c r="F352" s="4">
        <v>2.5580812824848143E-2</v>
      </c>
      <c r="G352" s="4">
        <f t="shared" si="48"/>
        <v>6.985294117647059E-2</v>
      </c>
      <c r="H352" s="4" t="str">
        <f t="shared" si="49"/>
        <v/>
      </c>
      <c r="I352" s="4" t="str">
        <f t="shared" si="50"/>
        <v/>
      </c>
      <c r="J352" s="4" t="str">
        <f t="shared" si="51"/>
        <v/>
      </c>
      <c r="K352" s="4" t="str">
        <f t="shared" si="52"/>
        <v/>
      </c>
      <c r="L352" s="4" t="str">
        <f t="shared" si="53"/>
        <v/>
      </c>
      <c r="M352" s="4"/>
      <c r="N352" s="4"/>
      <c r="O352" s="4"/>
      <c r="P352" s="4"/>
      <c r="Q352" s="4"/>
      <c r="R352" s="4"/>
      <c r="S352" s="4"/>
      <c r="T352" s="4"/>
      <c r="U352" s="4"/>
    </row>
    <row r="353" spans="1:21">
      <c r="A353" t="s">
        <v>225</v>
      </c>
      <c r="B353">
        <v>4</v>
      </c>
      <c r="C353" t="str">
        <f t="shared" si="47"/>
        <v>test.ImageData_4_</v>
      </c>
      <c r="D353">
        <v>2</v>
      </c>
      <c r="E353" s="4">
        <v>0.11397058823529412</v>
      </c>
      <c r="F353" s="4">
        <v>4.6934685954035944E-2</v>
      </c>
      <c r="G353" s="4">
        <f t="shared" si="48"/>
        <v>0.11397058823529412</v>
      </c>
      <c r="H353" s="4" t="str">
        <f t="shared" si="49"/>
        <v/>
      </c>
      <c r="I353" s="4" t="str">
        <f t="shared" si="50"/>
        <v/>
      </c>
      <c r="J353" s="4" t="str">
        <f t="shared" si="51"/>
        <v/>
      </c>
      <c r="K353" s="4" t="str">
        <f t="shared" si="52"/>
        <v/>
      </c>
      <c r="L353" s="4" t="str">
        <f t="shared" si="53"/>
        <v/>
      </c>
      <c r="M353" s="4"/>
      <c r="N353" s="4"/>
      <c r="O353" s="4"/>
      <c r="P353" s="4"/>
      <c r="Q353" s="4"/>
      <c r="R353" s="4"/>
      <c r="S353" s="4"/>
      <c r="T353" s="4"/>
      <c r="U353" s="4"/>
    </row>
    <row r="354" spans="1:21">
      <c r="A354" t="s">
        <v>225</v>
      </c>
      <c r="B354">
        <v>4</v>
      </c>
      <c r="C354" t="str">
        <f t="shared" si="47"/>
        <v>test.ImageData_4_</v>
      </c>
      <c r="D354">
        <v>3</v>
      </c>
      <c r="E354" s="4">
        <v>0.24264705882352941</v>
      </c>
      <c r="F354" s="4">
        <v>7.9341223620765233E-2</v>
      </c>
      <c r="G354" s="4">
        <f t="shared" si="48"/>
        <v>0.24264705882352941</v>
      </c>
      <c r="H354" s="4" t="str">
        <f t="shared" si="49"/>
        <v/>
      </c>
      <c r="I354" s="4" t="str">
        <f t="shared" si="50"/>
        <v/>
      </c>
      <c r="J354" s="4" t="str">
        <f t="shared" si="51"/>
        <v/>
      </c>
      <c r="K354" s="4" t="str">
        <f t="shared" si="52"/>
        <v/>
      </c>
      <c r="L354" s="4" t="str">
        <f t="shared" si="53"/>
        <v/>
      </c>
      <c r="M354" s="4"/>
      <c r="N354" s="4"/>
      <c r="O354" s="4"/>
      <c r="P354" s="4"/>
      <c r="Q354" s="4"/>
      <c r="R354" s="4"/>
      <c r="S354" s="4"/>
      <c r="T354" s="4"/>
      <c r="U354" s="4"/>
    </row>
    <row r="355" spans="1:21">
      <c r="A355" t="s">
        <v>225</v>
      </c>
      <c r="B355">
        <v>4</v>
      </c>
      <c r="C355" t="str">
        <f t="shared" si="47"/>
        <v>test.ImageData_4_</v>
      </c>
      <c r="D355">
        <v>4</v>
      </c>
      <c r="E355" s="4">
        <v>0.37132352941176472</v>
      </c>
      <c r="F355" s="4">
        <v>8.5853841818523388E-2</v>
      </c>
      <c r="G355" s="4">
        <f t="shared" si="48"/>
        <v>0.37132352941176472</v>
      </c>
      <c r="H355" s="4" t="str">
        <f t="shared" si="49"/>
        <v/>
      </c>
      <c r="I355" s="4" t="str">
        <f t="shared" si="50"/>
        <v/>
      </c>
      <c r="J355" s="4" t="str">
        <f t="shared" si="51"/>
        <v/>
      </c>
      <c r="K355" s="4" t="str">
        <f t="shared" si="52"/>
        <v/>
      </c>
      <c r="L355" s="4" t="str">
        <f t="shared" si="53"/>
        <v/>
      </c>
      <c r="M355" s="4"/>
      <c r="N355" s="4"/>
      <c r="O355" s="4"/>
      <c r="P355" s="4"/>
      <c r="Q355" s="4"/>
      <c r="R355" s="4"/>
      <c r="S355" s="4"/>
      <c r="T355" s="4"/>
      <c r="U355" s="4"/>
    </row>
    <row r="356" spans="1:21">
      <c r="A356" t="s">
        <v>225</v>
      </c>
      <c r="B356">
        <v>4</v>
      </c>
      <c r="C356" t="str">
        <f t="shared" si="47"/>
        <v>test.ImageData_4_</v>
      </c>
      <c r="D356">
        <v>5</v>
      </c>
      <c r="E356" s="4">
        <v>0.56617647058823528</v>
      </c>
      <c r="F356" s="4">
        <v>0.12590018160185359</v>
      </c>
      <c r="G356" s="4">
        <f t="shared" si="48"/>
        <v>0.56617647058823528</v>
      </c>
      <c r="H356" s="4" t="str">
        <f t="shared" si="49"/>
        <v/>
      </c>
      <c r="I356" s="4" t="str">
        <f t="shared" si="50"/>
        <v/>
      </c>
      <c r="J356" s="4" t="str">
        <f t="shared" si="51"/>
        <v/>
      </c>
      <c r="K356" s="4" t="str">
        <f t="shared" si="52"/>
        <v/>
      </c>
      <c r="L356" s="4" t="str">
        <f t="shared" si="53"/>
        <v/>
      </c>
      <c r="M356" s="4"/>
      <c r="N356" s="4"/>
      <c r="O356" s="4"/>
      <c r="P356" s="4"/>
      <c r="Q356" s="4"/>
      <c r="R356" s="4"/>
      <c r="S356" s="4"/>
      <c r="T356" s="4"/>
      <c r="U356" s="4"/>
    </row>
    <row r="357" spans="1:21">
      <c r="A357" t="s">
        <v>225</v>
      </c>
      <c r="B357">
        <v>4</v>
      </c>
      <c r="C357" t="str">
        <f t="shared" si="47"/>
        <v>test.ImageData_4_</v>
      </c>
      <c r="D357">
        <v>6</v>
      </c>
      <c r="E357" s="4">
        <v>0.64338235294117652</v>
      </c>
      <c r="F357" s="4">
        <v>0.2114096061118417</v>
      </c>
      <c r="G357" s="4" t="str">
        <f t="shared" si="48"/>
        <v/>
      </c>
      <c r="H357" s="4">
        <f t="shared" si="49"/>
        <v>0.64338235294117652</v>
      </c>
      <c r="I357" s="4" t="str">
        <f t="shared" si="50"/>
        <v/>
      </c>
      <c r="J357" s="4" t="str">
        <f t="shared" si="51"/>
        <v/>
      </c>
      <c r="K357" s="4" t="str">
        <f t="shared" si="52"/>
        <v/>
      </c>
      <c r="L357" s="4" t="str">
        <f t="shared" si="53"/>
        <v/>
      </c>
      <c r="M357" s="4"/>
      <c r="N357" s="4"/>
      <c r="O357" s="4"/>
      <c r="P357" s="4"/>
      <c r="Q357" s="4"/>
      <c r="R357" s="4"/>
      <c r="S357" s="4"/>
      <c r="T357" s="4"/>
      <c r="U357" s="4"/>
    </row>
    <row r="358" spans="1:21">
      <c r="A358" t="s">
        <v>225</v>
      </c>
      <c r="B358">
        <v>4</v>
      </c>
      <c r="C358" t="str">
        <f t="shared" si="47"/>
        <v>test.ImageData_4_</v>
      </c>
      <c r="D358">
        <v>7</v>
      </c>
      <c r="E358" s="4">
        <v>0.74264705882352944</v>
      </c>
      <c r="F358" s="4">
        <v>0.24018410670674431</v>
      </c>
      <c r="G358" s="4" t="str">
        <f t="shared" si="48"/>
        <v/>
      </c>
      <c r="H358" s="4">
        <f t="shared" si="49"/>
        <v>0.74264705882352944</v>
      </c>
      <c r="I358" s="4" t="str">
        <f t="shared" si="50"/>
        <v/>
      </c>
      <c r="J358" s="4" t="str">
        <f t="shared" si="51"/>
        <v/>
      </c>
      <c r="K358" s="4" t="str">
        <f t="shared" si="52"/>
        <v/>
      </c>
      <c r="L358" s="4" t="str">
        <f t="shared" si="53"/>
        <v/>
      </c>
      <c r="M358" s="4"/>
      <c r="N358" s="4"/>
      <c r="O358" s="4"/>
      <c r="P358" s="4"/>
      <c r="Q358" s="4"/>
      <c r="R358" s="4"/>
      <c r="S358" s="4"/>
      <c r="T358" s="4"/>
      <c r="U358" s="4"/>
    </row>
    <row r="359" spans="1:21">
      <c r="A359" t="s">
        <v>225</v>
      </c>
      <c r="B359">
        <v>4</v>
      </c>
      <c r="C359" t="str">
        <f t="shared" si="47"/>
        <v>test.ImageData_4_</v>
      </c>
      <c r="D359">
        <v>8</v>
      </c>
      <c r="E359" s="4">
        <v>0.86029411764705888</v>
      </c>
      <c r="F359" s="4">
        <v>0.25067317928486443</v>
      </c>
      <c r="G359" s="4" t="str">
        <f t="shared" si="48"/>
        <v/>
      </c>
      <c r="H359" s="4">
        <f t="shared" si="49"/>
        <v>0.86029411764705888</v>
      </c>
      <c r="I359" s="4" t="str">
        <f t="shared" si="50"/>
        <v/>
      </c>
      <c r="J359" s="4" t="str">
        <f t="shared" si="51"/>
        <v/>
      </c>
      <c r="K359" s="4" t="str">
        <f t="shared" si="52"/>
        <v/>
      </c>
      <c r="L359" s="4" t="str">
        <f t="shared" si="53"/>
        <v/>
      </c>
      <c r="M359" s="4"/>
      <c r="N359" s="4"/>
      <c r="O359" s="4"/>
      <c r="P359" s="4"/>
      <c r="Q359" s="4"/>
      <c r="R359" s="4"/>
      <c r="S359" s="4"/>
      <c r="T359" s="4"/>
      <c r="U359" s="4"/>
    </row>
    <row r="360" spans="1:21">
      <c r="A360" t="s">
        <v>225</v>
      </c>
      <c r="B360">
        <v>4</v>
      </c>
      <c r="C360" t="str">
        <f t="shared" si="47"/>
        <v>test.ImageData_4_</v>
      </c>
      <c r="D360">
        <v>9</v>
      </c>
      <c r="E360" s="4">
        <v>1</v>
      </c>
      <c r="F360" s="4">
        <v>0.2721209844072891</v>
      </c>
      <c r="G360" s="4" t="str">
        <f t="shared" si="48"/>
        <v/>
      </c>
      <c r="H360" s="4">
        <f t="shared" si="49"/>
        <v>1</v>
      </c>
      <c r="I360" s="4" t="str">
        <f t="shared" si="50"/>
        <v/>
      </c>
      <c r="J360" s="4" t="str">
        <f t="shared" si="51"/>
        <v/>
      </c>
      <c r="K360" s="4" t="str">
        <f t="shared" si="52"/>
        <v/>
      </c>
      <c r="L360" s="4" t="str">
        <f t="shared" si="53"/>
        <v/>
      </c>
      <c r="M360" s="4"/>
      <c r="N360" s="4"/>
      <c r="O360" s="4"/>
      <c r="P360" s="4"/>
      <c r="Q360" s="4"/>
      <c r="R360" s="4"/>
      <c r="S360" s="4"/>
      <c r="T360" s="4"/>
      <c r="U360" s="4"/>
    </row>
    <row r="361" spans="1:21">
      <c r="A361" t="s">
        <v>225</v>
      </c>
      <c r="B361">
        <v>5</v>
      </c>
      <c r="C361" t="str">
        <f t="shared" si="47"/>
        <v>test.ImageData_5_</v>
      </c>
      <c r="D361">
        <v>1</v>
      </c>
      <c r="E361" s="4">
        <v>0.36363636363636365</v>
      </c>
      <c r="F361" s="4">
        <v>0.51381780962128965</v>
      </c>
      <c r="G361" s="4" t="str">
        <f t="shared" si="48"/>
        <v/>
      </c>
      <c r="H361" s="4" t="str">
        <f t="shared" si="49"/>
        <v/>
      </c>
      <c r="I361" s="4">
        <f t="shared" si="50"/>
        <v>0.36363636363636365</v>
      </c>
      <c r="J361" s="4" t="str">
        <f t="shared" si="51"/>
        <v/>
      </c>
      <c r="K361" s="4" t="str">
        <f t="shared" si="52"/>
        <v/>
      </c>
      <c r="L361" s="4" t="str">
        <f t="shared" si="53"/>
        <v/>
      </c>
      <c r="M361" s="4"/>
      <c r="N361" s="4"/>
      <c r="O361" s="4"/>
      <c r="P361" s="4"/>
      <c r="Q361" s="4"/>
      <c r="R361" s="4"/>
      <c r="S361" s="4"/>
      <c r="T361" s="4"/>
      <c r="U361" s="4"/>
    </row>
    <row r="362" spans="1:21">
      <c r="A362" t="s">
        <v>225</v>
      </c>
      <c r="B362">
        <v>5</v>
      </c>
      <c r="C362" t="str">
        <f t="shared" si="47"/>
        <v>test.ImageData_5_</v>
      </c>
      <c r="D362">
        <v>2</v>
      </c>
      <c r="E362" s="4">
        <v>0.54545454545454541</v>
      </c>
      <c r="F362" s="4">
        <v>0.72057318321392017</v>
      </c>
      <c r="G362" s="4" t="str">
        <f t="shared" si="48"/>
        <v/>
      </c>
      <c r="H362" s="4" t="str">
        <f t="shared" si="49"/>
        <v/>
      </c>
      <c r="I362" s="4" t="str">
        <f t="shared" si="50"/>
        <v/>
      </c>
      <c r="J362" s="4">
        <f t="shared" si="51"/>
        <v>0.54545454545454541</v>
      </c>
      <c r="K362" s="4" t="str">
        <f t="shared" si="52"/>
        <v/>
      </c>
      <c r="L362" s="4" t="str">
        <f t="shared" si="53"/>
        <v/>
      </c>
      <c r="M362" s="4"/>
      <c r="N362" s="4"/>
      <c r="O362" s="4"/>
      <c r="P362" s="4"/>
      <c r="Q362" s="4"/>
      <c r="R362" s="4"/>
      <c r="S362" s="4"/>
      <c r="T362" s="4"/>
      <c r="U362" s="4"/>
    </row>
    <row r="363" spans="1:21">
      <c r="A363" t="s">
        <v>225</v>
      </c>
      <c r="B363">
        <v>5</v>
      </c>
      <c r="C363" t="str">
        <f t="shared" si="47"/>
        <v>test.ImageData_5_</v>
      </c>
      <c r="D363">
        <v>3</v>
      </c>
      <c r="E363" s="4">
        <v>0.72727272727272729</v>
      </c>
      <c r="F363" s="4">
        <v>0.92425793244626409</v>
      </c>
      <c r="G363" s="4" t="str">
        <f t="shared" si="48"/>
        <v/>
      </c>
      <c r="H363" s="4" t="str">
        <f t="shared" si="49"/>
        <v/>
      </c>
      <c r="I363" s="4" t="str">
        <f t="shared" si="50"/>
        <v/>
      </c>
      <c r="J363" s="4" t="str">
        <f t="shared" si="51"/>
        <v/>
      </c>
      <c r="K363" s="4">
        <f t="shared" si="52"/>
        <v>0.72727272727272729</v>
      </c>
      <c r="L363" s="4" t="str">
        <f t="shared" si="53"/>
        <v/>
      </c>
      <c r="M363" s="4"/>
      <c r="N363" s="4"/>
      <c r="O363" s="4"/>
      <c r="P363" s="4"/>
      <c r="Q363" s="4"/>
      <c r="R363" s="4"/>
      <c r="S363" s="4"/>
      <c r="T363" s="4"/>
      <c r="U363" s="4"/>
    </row>
    <row r="364" spans="1:21">
      <c r="A364" t="s">
        <v>225</v>
      </c>
      <c r="B364">
        <v>5</v>
      </c>
      <c r="C364" t="str">
        <f t="shared" si="47"/>
        <v>test.ImageData_5_</v>
      </c>
      <c r="D364">
        <v>4</v>
      </c>
      <c r="E364" s="4">
        <v>0.77272727272727271</v>
      </c>
      <c r="F364" s="4">
        <v>0.99590583418628453</v>
      </c>
      <c r="G364" s="4" t="str">
        <f t="shared" si="48"/>
        <v/>
      </c>
      <c r="H364" s="4" t="str">
        <f t="shared" si="49"/>
        <v/>
      </c>
      <c r="I364" s="4" t="str">
        <f t="shared" si="50"/>
        <v/>
      </c>
      <c r="J364" s="4" t="str">
        <f t="shared" si="51"/>
        <v/>
      </c>
      <c r="K364" s="4">
        <f t="shared" si="52"/>
        <v>0.77272727272727271</v>
      </c>
      <c r="L364" s="4" t="str">
        <f t="shared" si="53"/>
        <v/>
      </c>
      <c r="M364" s="4"/>
      <c r="N364" s="4"/>
      <c r="O364" s="4"/>
      <c r="P364" s="4"/>
      <c r="Q364" s="4"/>
      <c r="R364" s="4"/>
      <c r="S364" s="4"/>
      <c r="T364" s="4"/>
      <c r="U364" s="4"/>
    </row>
    <row r="365" spans="1:21">
      <c r="A365" t="s">
        <v>225</v>
      </c>
      <c r="B365">
        <v>5</v>
      </c>
      <c r="C365" t="str">
        <f t="shared" si="47"/>
        <v>test.ImageData_5_</v>
      </c>
      <c r="D365">
        <v>5</v>
      </c>
      <c r="E365" s="4">
        <v>0.86363636363636365</v>
      </c>
      <c r="F365" s="4">
        <v>1.0624360286591608</v>
      </c>
      <c r="G365" s="4" t="str">
        <f t="shared" si="48"/>
        <v/>
      </c>
      <c r="H365" s="4" t="str">
        <f t="shared" si="49"/>
        <v/>
      </c>
      <c r="I365" s="4" t="str">
        <f t="shared" si="50"/>
        <v/>
      </c>
      <c r="J365" s="4" t="str">
        <f t="shared" si="51"/>
        <v/>
      </c>
      <c r="K365" s="4">
        <f t="shared" si="52"/>
        <v>0.86363636363636365</v>
      </c>
      <c r="L365" s="4" t="str">
        <f t="shared" si="53"/>
        <v/>
      </c>
      <c r="M365" s="4"/>
      <c r="N365" s="4"/>
      <c r="O365" s="4"/>
      <c r="P365" s="4"/>
      <c r="Q365" s="4"/>
      <c r="R365" s="4"/>
      <c r="S365" s="4"/>
      <c r="T365" s="4"/>
      <c r="U365" s="4"/>
    </row>
    <row r="366" spans="1:21">
      <c r="A366" t="s">
        <v>225</v>
      </c>
      <c r="B366">
        <v>5</v>
      </c>
      <c r="C366" t="str">
        <f t="shared" si="47"/>
        <v>test.ImageData_5_</v>
      </c>
      <c r="D366">
        <v>6</v>
      </c>
      <c r="E366" s="4">
        <v>1</v>
      </c>
      <c r="F366" s="4">
        <v>1.0665301944728762</v>
      </c>
      <c r="G366" s="4" t="str">
        <f t="shared" si="48"/>
        <v/>
      </c>
      <c r="H366" s="4" t="str">
        <f t="shared" si="49"/>
        <v/>
      </c>
      <c r="I366" s="4" t="str">
        <f t="shared" si="50"/>
        <v/>
      </c>
      <c r="J366" s="4" t="str">
        <f t="shared" si="51"/>
        <v/>
      </c>
      <c r="K366" s="4">
        <f t="shared" si="52"/>
        <v>1</v>
      </c>
      <c r="L366" s="4" t="str">
        <f t="shared" si="53"/>
        <v/>
      </c>
      <c r="M366" s="4"/>
      <c r="N366" s="4"/>
      <c r="O366" s="4"/>
      <c r="P366" s="4"/>
      <c r="Q366" s="4"/>
      <c r="R366" s="4"/>
      <c r="S366" s="4"/>
      <c r="T366" s="4"/>
      <c r="U366" s="4"/>
    </row>
    <row r="367" spans="1:21">
      <c r="A367" t="s">
        <v>225</v>
      </c>
      <c r="B367">
        <v>6</v>
      </c>
      <c r="C367" t="str">
        <f t="shared" si="47"/>
        <v>test.ImageData_6_</v>
      </c>
      <c r="D367">
        <v>1</v>
      </c>
      <c r="E367" s="4">
        <v>0.2857142857142857</v>
      </c>
      <c r="F367" s="4">
        <v>0.11950732356857523</v>
      </c>
      <c r="G367" s="4">
        <f t="shared" si="48"/>
        <v>0.2857142857142857</v>
      </c>
      <c r="H367" s="4" t="str">
        <f t="shared" si="49"/>
        <v/>
      </c>
      <c r="I367" s="4" t="str">
        <f t="shared" si="50"/>
        <v/>
      </c>
      <c r="J367" s="4" t="str">
        <f t="shared" si="51"/>
        <v/>
      </c>
      <c r="K367" s="4" t="str">
        <f t="shared" si="52"/>
        <v/>
      </c>
      <c r="L367" s="4" t="str">
        <f t="shared" si="53"/>
        <v/>
      </c>
      <c r="M367" s="4"/>
      <c r="N367" s="4"/>
      <c r="O367" s="4"/>
      <c r="P367" s="4"/>
      <c r="Q367" s="4"/>
      <c r="R367" s="4"/>
      <c r="S367" s="4"/>
      <c r="T367" s="4"/>
      <c r="U367" s="4"/>
    </row>
    <row r="368" spans="1:21">
      <c r="A368" t="s">
        <v>225</v>
      </c>
      <c r="B368">
        <v>6</v>
      </c>
      <c r="C368" t="str">
        <f t="shared" si="47"/>
        <v>test.ImageData_6_</v>
      </c>
      <c r="D368">
        <v>2</v>
      </c>
      <c r="E368" s="4">
        <v>0.47619047619047616</v>
      </c>
      <c r="F368" s="4">
        <v>0.30692410119840213</v>
      </c>
      <c r="G368" s="4" t="str">
        <f t="shared" si="48"/>
        <v/>
      </c>
      <c r="H368" s="4">
        <f t="shared" si="49"/>
        <v>0.47619047619047616</v>
      </c>
      <c r="I368" s="4" t="str">
        <f t="shared" si="50"/>
        <v/>
      </c>
      <c r="J368" s="4" t="str">
        <f t="shared" si="51"/>
        <v/>
      </c>
      <c r="K368" s="4" t="str">
        <f t="shared" si="52"/>
        <v/>
      </c>
      <c r="L368" s="4" t="str">
        <f t="shared" si="53"/>
        <v/>
      </c>
      <c r="M368" s="4"/>
      <c r="N368" s="4"/>
      <c r="O368" s="4"/>
      <c r="P368" s="4"/>
      <c r="Q368" s="4"/>
      <c r="R368" s="4"/>
      <c r="S368" s="4"/>
      <c r="T368" s="4"/>
      <c r="U368" s="4"/>
    </row>
    <row r="369" spans="1:21">
      <c r="A369" t="s">
        <v>225</v>
      </c>
      <c r="B369">
        <v>6</v>
      </c>
      <c r="C369" t="str">
        <f t="shared" si="47"/>
        <v>test.ImageData_6_</v>
      </c>
      <c r="D369">
        <v>3</v>
      </c>
      <c r="E369" s="4">
        <v>0.47619047619047616</v>
      </c>
      <c r="F369" s="4">
        <v>0.37683089214380827</v>
      </c>
      <c r="G369" s="4" t="str">
        <f t="shared" si="48"/>
        <v/>
      </c>
      <c r="H369" s="4">
        <f t="shared" si="49"/>
        <v>0.47619047619047616</v>
      </c>
      <c r="I369" s="4" t="str">
        <f t="shared" si="50"/>
        <v/>
      </c>
      <c r="J369" s="4" t="str">
        <f t="shared" si="51"/>
        <v/>
      </c>
      <c r="K369" s="4" t="str">
        <f t="shared" si="52"/>
        <v/>
      </c>
      <c r="L369" s="4" t="str">
        <f t="shared" si="53"/>
        <v/>
      </c>
      <c r="M369" s="4"/>
      <c r="N369" s="4"/>
      <c r="O369" s="4"/>
      <c r="P369" s="4"/>
      <c r="Q369" s="4"/>
      <c r="R369" s="4"/>
      <c r="S369" s="4"/>
      <c r="T369" s="4"/>
      <c r="U369" s="4"/>
    </row>
    <row r="370" spans="1:21">
      <c r="A370" t="s">
        <v>225</v>
      </c>
      <c r="B370">
        <v>6</v>
      </c>
      <c r="C370" t="str">
        <f t="shared" si="47"/>
        <v>test.ImageData_6_</v>
      </c>
      <c r="D370">
        <v>4</v>
      </c>
      <c r="E370" s="4">
        <v>0.76190476190476186</v>
      </c>
      <c r="F370" s="4">
        <v>0.66311584553928093</v>
      </c>
      <c r="G370" s="4" t="str">
        <f t="shared" si="48"/>
        <v/>
      </c>
      <c r="H370" s="4" t="str">
        <f t="shared" si="49"/>
        <v/>
      </c>
      <c r="I370" s="4" t="str">
        <f t="shared" si="50"/>
        <v/>
      </c>
      <c r="J370" s="4">
        <f t="shared" si="51"/>
        <v>0.76190476190476186</v>
      </c>
      <c r="K370" s="4" t="str">
        <f t="shared" si="52"/>
        <v/>
      </c>
      <c r="L370" s="4" t="str">
        <f t="shared" si="53"/>
        <v/>
      </c>
      <c r="M370" s="4"/>
      <c r="N370" s="4"/>
      <c r="O370" s="4"/>
      <c r="P370" s="4"/>
      <c r="Q370" s="4"/>
      <c r="R370" s="4"/>
      <c r="S370" s="4"/>
      <c r="T370" s="4"/>
      <c r="U370" s="4"/>
    </row>
    <row r="371" spans="1:21">
      <c r="A371" t="s">
        <v>225</v>
      </c>
      <c r="B371">
        <v>6</v>
      </c>
      <c r="C371" t="str">
        <f t="shared" si="47"/>
        <v>test.ImageData_6_</v>
      </c>
      <c r="D371">
        <v>5</v>
      </c>
      <c r="E371" s="4">
        <v>0.8571428571428571</v>
      </c>
      <c r="F371" s="4">
        <v>0.67576564580559251</v>
      </c>
      <c r="G371" s="4" t="str">
        <f t="shared" si="48"/>
        <v/>
      </c>
      <c r="H371" s="4" t="str">
        <f t="shared" si="49"/>
        <v/>
      </c>
      <c r="I371" s="4" t="str">
        <f t="shared" si="50"/>
        <v/>
      </c>
      <c r="J371" s="4">
        <f t="shared" si="51"/>
        <v>0.8571428571428571</v>
      </c>
      <c r="K371" s="4" t="str">
        <f t="shared" si="52"/>
        <v/>
      </c>
      <c r="L371" s="4" t="str">
        <f t="shared" si="53"/>
        <v/>
      </c>
      <c r="M371" s="4"/>
      <c r="N371" s="4"/>
      <c r="O371" s="4"/>
      <c r="P371" s="4"/>
      <c r="Q371" s="4"/>
      <c r="R371" s="4"/>
      <c r="S371" s="4"/>
      <c r="T371" s="4"/>
      <c r="U371" s="4"/>
    </row>
    <row r="372" spans="1:21">
      <c r="A372" t="s">
        <v>225</v>
      </c>
      <c r="B372">
        <v>6</v>
      </c>
      <c r="C372" t="str">
        <f t="shared" si="47"/>
        <v>test.ImageData_6_</v>
      </c>
      <c r="D372">
        <v>6</v>
      </c>
      <c r="E372" s="4">
        <v>0.8571428571428571</v>
      </c>
      <c r="F372" s="4">
        <v>0.70505992010652463</v>
      </c>
      <c r="G372" s="4" t="str">
        <f t="shared" si="48"/>
        <v/>
      </c>
      <c r="H372" s="4" t="str">
        <f t="shared" si="49"/>
        <v/>
      </c>
      <c r="I372" s="4" t="str">
        <f t="shared" si="50"/>
        <v/>
      </c>
      <c r="J372" s="4">
        <f t="shared" si="51"/>
        <v>0.8571428571428571</v>
      </c>
      <c r="K372" s="4" t="str">
        <f t="shared" si="52"/>
        <v/>
      </c>
      <c r="L372" s="4" t="str">
        <f t="shared" si="53"/>
        <v/>
      </c>
      <c r="M372" s="4"/>
      <c r="N372" s="4"/>
      <c r="O372" s="4"/>
      <c r="P372" s="4"/>
      <c r="Q372" s="4"/>
      <c r="R372" s="4"/>
      <c r="S372" s="4"/>
      <c r="T372" s="4"/>
      <c r="U372" s="4"/>
    </row>
    <row r="373" spans="1:21">
      <c r="A373" t="s">
        <v>225</v>
      </c>
      <c r="B373">
        <v>6</v>
      </c>
      <c r="C373" t="str">
        <f t="shared" si="47"/>
        <v>test.ImageData_6_</v>
      </c>
      <c r="D373">
        <v>7</v>
      </c>
      <c r="E373" s="4">
        <v>1</v>
      </c>
      <c r="F373" s="4">
        <v>0.72969374167776302</v>
      </c>
      <c r="G373" s="4" t="str">
        <f t="shared" si="48"/>
        <v/>
      </c>
      <c r="H373" s="4" t="str">
        <f t="shared" si="49"/>
        <v/>
      </c>
      <c r="I373" s="4" t="str">
        <f t="shared" si="50"/>
        <v/>
      </c>
      <c r="J373" s="4">
        <f t="shared" si="51"/>
        <v>1</v>
      </c>
      <c r="K373" s="4" t="str">
        <f t="shared" si="52"/>
        <v/>
      </c>
      <c r="L373" s="4" t="str">
        <f t="shared" si="53"/>
        <v/>
      </c>
      <c r="M373" s="4"/>
      <c r="N373" s="4"/>
      <c r="O373" s="4"/>
      <c r="P373" s="4"/>
      <c r="Q373" s="4"/>
      <c r="R373" s="4"/>
      <c r="S373" s="4"/>
      <c r="T373" s="4"/>
      <c r="U373" s="4"/>
    </row>
    <row r="374" spans="1:21">
      <c r="A374" t="s">
        <v>225</v>
      </c>
      <c r="B374">
        <v>6</v>
      </c>
      <c r="C374" t="str">
        <f t="shared" si="47"/>
        <v>test.ImageData_6_</v>
      </c>
      <c r="D374">
        <v>8</v>
      </c>
      <c r="E374" s="4">
        <v>1</v>
      </c>
      <c r="F374" s="4">
        <v>0.77097203728362185</v>
      </c>
      <c r="G374" s="4" t="str">
        <f t="shared" si="48"/>
        <v/>
      </c>
      <c r="H374" s="4" t="str">
        <f t="shared" si="49"/>
        <v/>
      </c>
      <c r="I374" s="4" t="str">
        <f t="shared" si="50"/>
        <v/>
      </c>
      <c r="J374" s="4">
        <f t="shared" si="51"/>
        <v>1</v>
      </c>
      <c r="K374" s="4" t="str">
        <f t="shared" si="52"/>
        <v/>
      </c>
      <c r="L374" s="4" t="str">
        <f t="shared" si="53"/>
        <v/>
      </c>
      <c r="M374" s="4"/>
      <c r="N374" s="4"/>
      <c r="O374" s="4"/>
      <c r="P374" s="4"/>
      <c r="Q374" s="4"/>
      <c r="R374" s="4"/>
      <c r="S374" s="4"/>
      <c r="T374" s="4"/>
      <c r="U374" s="4"/>
    </row>
    <row r="375" spans="1:21">
      <c r="A375" t="s">
        <v>225</v>
      </c>
      <c r="B375">
        <v>6</v>
      </c>
      <c r="C375" t="str">
        <f t="shared" si="47"/>
        <v>test.ImageData_6_</v>
      </c>
      <c r="D375">
        <v>9</v>
      </c>
      <c r="E375" s="4">
        <v>1</v>
      </c>
      <c r="F375" s="4">
        <v>0.82456724367509981</v>
      </c>
      <c r="G375" s="4" t="str">
        <f t="shared" si="48"/>
        <v/>
      </c>
      <c r="H375" s="4" t="str">
        <f t="shared" si="49"/>
        <v/>
      </c>
      <c r="I375" s="4" t="str">
        <f t="shared" si="50"/>
        <v/>
      </c>
      <c r="J375" s="4" t="str">
        <f t="shared" si="51"/>
        <v/>
      </c>
      <c r="K375" s="4">
        <f t="shared" si="52"/>
        <v>1</v>
      </c>
      <c r="L375" s="4" t="str">
        <f t="shared" si="53"/>
        <v/>
      </c>
      <c r="M375" s="4"/>
      <c r="N375" s="4"/>
      <c r="O375" s="4"/>
      <c r="P375" s="4"/>
      <c r="Q375" s="4"/>
      <c r="R375" s="4"/>
      <c r="S375" s="4"/>
      <c r="T375" s="4"/>
      <c r="U375" s="4"/>
    </row>
    <row r="376" spans="1:21">
      <c r="A376" t="s">
        <v>225</v>
      </c>
      <c r="B376">
        <v>6</v>
      </c>
      <c r="C376" t="str">
        <f t="shared" si="47"/>
        <v>test.ImageData_6_</v>
      </c>
      <c r="D376">
        <v>10</v>
      </c>
      <c r="E376" s="4">
        <v>1</v>
      </c>
      <c r="F376" s="4">
        <v>0.86617842876165119</v>
      </c>
      <c r="G376" s="4" t="str">
        <f t="shared" si="48"/>
        <v/>
      </c>
      <c r="H376" s="4" t="str">
        <f t="shared" si="49"/>
        <v/>
      </c>
      <c r="I376" s="4" t="str">
        <f t="shared" si="50"/>
        <v/>
      </c>
      <c r="J376" s="4" t="str">
        <f t="shared" si="51"/>
        <v/>
      </c>
      <c r="K376" s="4">
        <f t="shared" si="52"/>
        <v>1</v>
      </c>
      <c r="L376" s="4" t="str">
        <f t="shared" si="53"/>
        <v/>
      </c>
      <c r="M376" s="4"/>
      <c r="N376" s="4"/>
      <c r="O376" s="4"/>
      <c r="P376" s="4"/>
      <c r="Q376" s="4"/>
      <c r="R376" s="4"/>
      <c r="S376" s="4"/>
      <c r="T376" s="4"/>
      <c r="U376" s="4"/>
    </row>
    <row r="377" spans="1:21">
      <c r="A377" t="s">
        <v>225</v>
      </c>
      <c r="B377">
        <v>7</v>
      </c>
      <c r="C377" t="str">
        <f t="shared" si="47"/>
        <v>test.ImageData_7_</v>
      </c>
      <c r="D377">
        <v>1</v>
      </c>
      <c r="E377" s="4">
        <v>0.2</v>
      </c>
      <c r="F377" s="4">
        <v>0.28330303817190339</v>
      </c>
      <c r="G377" s="4" t="str">
        <f t="shared" si="48"/>
        <v/>
      </c>
      <c r="H377" s="4">
        <f t="shared" si="49"/>
        <v>0.2</v>
      </c>
      <c r="I377" s="4" t="str">
        <f t="shared" si="50"/>
        <v/>
      </c>
      <c r="J377" s="4" t="str">
        <f t="shared" si="51"/>
        <v/>
      </c>
      <c r="K377" s="4" t="str">
        <f t="shared" si="52"/>
        <v/>
      </c>
      <c r="L377" s="4" t="str">
        <f t="shared" si="53"/>
        <v/>
      </c>
      <c r="M377" s="4"/>
      <c r="N377" s="4"/>
      <c r="O377" s="4"/>
      <c r="P377" s="4"/>
      <c r="Q377" s="4"/>
      <c r="R377" s="4"/>
      <c r="S377" s="4"/>
      <c r="T377" s="4"/>
      <c r="U377" s="4"/>
    </row>
    <row r="378" spans="1:21">
      <c r="A378" t="s">
        <v>225</v>
      </c>
      <c r="B378">
        <v>7</v>
      </c>
      <c r="C378" t="str">
        <f t="shared" si="47"/>
        <v>test.ImageData_7_</v>
      </c>
      <c r="D378">
        <v>2</v>
      </c>
      <c r="E378" s="4">
        <v>0.29166666666666669</v>
      </c>
      <c r="F378" s="4">
        <v>0.29394962347442222</v>
      </c>
      <c r="G378" s="4" t="str">
        <f t="shared" si="48"/>
        <v/>
      </c>
      <c r="H378" s="4">
        <f t="shared" si="49"/>
        <v>0.29166666666666669</v>
      </c>
      <c r="I378" s="4" t="str">
        <f t="shared" si="50"/>
        <v/>
      </c>
      <c r="J378" s="4" t="str">
        <f t="shared" si="51"/>
        <v/>
      </c>
      <c r="K378" s="4" t="str">
        <f t="shared" si="52"/>
        <v/>
      </c>
      <c r="L378" s="4" t="str">
        <f t="shared" si="53"/>
        <v/>
      </c>
      <c r="M378" s="4"/>
      <c r="N378" s="4"/>
      <c r="O378" s="4"/>
      <c r="P378" s="4"/>
      <c r="Q378" s="4"/>
      <c r="R378" s="4"/>
      <c r="S378" s="4"/>
      <c r="T378" s="4"/>
      <c r="U378" s="4"/>
    </row>
    <row r="379" spans="1:21">
      <c r="A379" t="s">
        <v>225</v>
      </c>
      <c r="B379">
        <v>7</v>
      </c>
      <c r="C379" t="str">
        <f t="shared" si="47"/>
        <v>test.ImageData_7_</v>
      </c>
      <c r="D379">
        <v>3</v>
      </c>
      <c r="E379" s="4">
        <v>0.32500000000000001</v>
      </c>
      <c r="F379" s="4">
        <v>0.29628667878473125</v>
      </c>
      <c r="G379" s="4" t="str">
        <f t="shared" si="48"/>
        <v/>
      </c>
      <c r="H379" s="4">
        <f t="shared" si="49"/>
        <v>0.32500000000000001</v>
      </c>
      <c r="I379" s="4" t="str">
        <f t="shared" si="50"/>
        <v/>
      </c>
      <c r="J379" s="4" t="str">
        <f t="shared" si="51"/>
        <v/>
      </c>
      <c r="K379" s="4" t="str">
        <f t="shared" si="52"/>
        <v/>
      </c>
      <c r="L379" s="4" t="str">
        <f t="shared" si="53"/>
        <v/>
      </c>
      <c r="M379" s="4"/>
      <c r="N379" s="4"/>
      <c r="O379" s="4"/>
      <c r="P379" s="4"/>
      <c r="Q379" s="4"/>
      <c r="R379" s="4"/>
      <c r="S379" s="4"/>
      <c r="T379" s="4"/>
      <c r="U379" s="4"/>
    </row>
    <row r="380" spans="1:21">
      <c r="A380" t="s">
        <v>225</v>
      </c>
      <c r="B380">
        <v>7</v>
      </c>
      <c r="C380" t="str">
        <f t="shared" si="47"/>
        <v>test.ImageData_7_</v>
      </c>
      <c r="D380">
        <v>4</v>
      </c>
      <c r="E380" s="4">
        <v>0.43333333333333335</v>
      </c>
      <c r="F380" s="4">
        <v>0.29706569722150089</v>
      </c>
      <c r="G380" s="4" t="str">
        <f t="shared" si="48"/>
        <v/>
      </c>
      <c r="H380" s="4">
        <f t="shared" si="49"/>
        <v>0.43333333333333335</v>
      </c>
      <c r="I380" s="4" t="str">
        <f t="shared" si="50"/>
        <v/>
      </c>
      <c r="J380" s="4" t="str">
        <f t="shared" si="51"/>
        <v/>
      </c>
      <c r="K380" s="4" t="str">
        <f t="shared" si="52"/>
        <v/>
      </c>
      <c r="L380" s="4" t="str">
        <f t="shared" si="53"/>
        <v/>
      </c>
      <c r="M380" s="4"/>
      <c r="N380" s="4"/>
      <c r="O380" s="4"/>
      <c r="P380" s="4"/>
      <c r="Q380" s="4"/>
      <c r="R380" s="4"/>
      <c r="S380" s="4"/>
      <c r="T380" s="4"/>
      <c r="U380" s="4"/>
    </row>
    <row r="381" spans="1:21">
      <c r="A381" t="s">
        <v>225</v>
      </c>
      <c r="B381">
        <v>7</v>
      </c>
      <c r="C381" t="str">
        <f t="shared" si="47"/>
        <v>test.ImageData_7_</v>
      </c>
      <c r="D381">
        <v>5</v>
      </c>
      <c r="E381" s="4">
        <v>0.56666666666666665</v>
      </c>
      <c r="F381" s="4">
        <v>0.29732537003375747</v>
      </c>
      <c r="G381" s="4" t="str">
        <f t="shared" si="48"/>
        <v/>
      </c>
      <c r="H381" s="4">
        <f t="shared" si="49"/>
        <v>0.56666666666666665</v>
      </c>
      <c r="I381" s="4" t="str">
        <f t="shared" si="50"/>
        <v/>
      </c>
      <c r="J381" s="4" t="str">
        <f t="shared" si="51"/>
        <v/>
      </c>
      <c r="K381" s="4" t="str">
        <f t="shared" si="52"/>
        <v/>
      </c>
      <c r="L381" s="4" t="str">
        <f t="shared" si="53"/>
        <v/>
      </c>
      <c r="M381" s="4"/>
      <c r="N381" s="4"/>
      <c r="O381" s="4"/>
      <c r="P381" s="4"/>
      <c r="Q381" s="4"/>
      <c r="R381" s="4"/>
      <c r="S381" s="4"/>
      <c r="T381" s="4"/>
      <c r="U381" s="4"/>
    </row>
    <row r="382" spans="1:21">
      <c r="A382" t="s">
        <v>225</v>
      </c>
      <c r="B382">
        <v>7</v>
      </c>
      <c r="C382" t="str">
        <f t="shared" si="47"/>
        <v>test.ImageData_7_</v>
      </c>
      <c r="D382">
        <v>6</v>
      </c>
      <c r="E382" s="4">
        <v>0.59166666666666667</v>
      </c>
      <c r="F382" s="4">
        <v>0.30148013502986237</v>
      </c>
      <c r="G382" s="4" t="str">
        <f t="shared" si="48"/>
        <v/>
      </c>
      <c r="H382" s="4">
        <f t="shared" si="49"/>
        <v>0.59166666666666667</v>
      </c>
      <c r="I382" s="4" t="str">
        <f t="shared" si="50"/>
        <v/>
      </c>
      <c r="J382" s="4" t="str">
        <f t="shared" si="51"/>
        <v/>
      </c>
      <c r="K382" s="4" t="str">
        <f t="shared" si="52"/>
        <v/>
      </c>
      <c r="L382" s="4" t="str">
        <f t="shared" si="53"/>
        <v/>
      </c>
      <c r="M382" s="4"/>
      <c r="N382" s="4"/>
      <c r="O382" s="4"/>
      <c r="P382" s="4"/>
      <c r="Q382" s="4"/>
      <c r="R382" s="4"/>
      <c r="S382" s="4"/>
      <c r="T382" s="4"/>
      <c r="U382" s="4"/>
    </row>
    <row r="383" spans="1:21">
      <c r="A383" t="s">
        <v>225</v>
      </c>
      <c r="B383">
        <v>7</v>
      </c>
      <c r="C383" t="str">
        <f t="shared" si="47"/>
        <v>test.ImageData_7_</v>
      </c>
      <c r="D383">
        <v>7</v>
      </c>
      <c r="E383" s="4">
        <v>0.65</v>
      </c>
      <c r="F383" s="4">
        <v>0.31368475720592054</v>
      </c>
      <c r="G383" s="4" t="str">
        <f t="shared" si="48"/>
        <v/>
      </c>
      <c r="H383" s="4">
        <f t="shared" si="49"/>
        <v>0.65</v>
      </c>
      <c r="I383" s="4" t="str">
        <f t="shared" si="50"/>
        <v/>
      </c>
      <c r="J383" s="4" t="str">
        <f t="shared" si="51"/>
        <v/>
      </c>
      <c r="K383" s="4" t="str">
        <f t="shared" si="52"/>
        <v/>
      </c>
      <c r="L383" s="4" t="str">
        <f t="shared" si="53"/>
        <v/>
      </c>
      <c r="M383" s="4"/>
      <c r="N383" s="4"/>
      <c r="O383" s="4"/>
      <c r="P383" s="4"/>
      <c r="Q383" s="4"/>
      <c r="R383" s="4"/>
      <c r="S383" s="4"/>
      <c r="T383" s="4"/>
      <c r="U383" s="4"/>
    </row>
    <row r="384" spans="1:21">
      <c r="A384" t="s">
        <v>225</v>
      </c>
      <c r="B384">
        <v>7</v>
      </c>
      <c r="C384" t="str">
        <f t="shared" si="47"/>
        <v>test.ImageData_7_</v>
      </c>
      <c r="D384">
        <v>8</v>
      </c>
      <c r="E384" s="4">
        <v>0.73333333333333328</v>
      </c>
      <c r="F384" s="4">
        <v>0.33316021812516228</v>
      </c>
      <c r="G384" s="4" t="str">
        <f t="shared" si="48"/>
        <v/>
      </c>
      <c r="H384" s="4">
        <f t="shared" si="49"/>
        <v>0.73333333333333328</v>
      </c>
      <c r="I384" s="4" t="str">
        <f t="shared" si="50"/>
        <v/>
      </c>
      <c r="J384" s="4" t="str">
        <f t="shared" si="51"/>
        <v/>
      </c>
      <c r="K384" s="4" t="str">
        <f t="shared" si="52"/>
        <v/>
      </c>
      <c r="L384" s="4" t="str">
        <f t="shared" si="53"/>
        <v/>
      </c>
      <c r="M384" s="4"/>
      <c r="N384" s="4"/>
      <c r="O384" s="4"/>
      <c r="P384" s="4"/>
      <c r="Q384" s="4"/>
      <c r="R384" s="4"/>
      <c r="S384" s="4"/>
      <c r="T384" s="4"/>
      <c r="U384" s="4"/>
    </row>
    <row r="385" spans="1:21">
      <c r="A385" t="s">
        <v>225</v>
      </c>
      <c r="B385">
        <v>7</v>
      </c>
      <c r="C385" t="str">
        <f t="shared" si="47"/>
        <v>test.ImageData_7_</v>
      </c>
      <c r="D385">
        <v>9</v>
      </c>
      <c r="E385" s="4">
        <v>0.85</v>
      </c>
      <c r="F385" s="4">
        <v>0.40976369774084653</v>
      </c>
      <c r="G385" s="4" t="str">
        <f t="shared" si="48"/>
        <v/>
      </c>
      <c r="H385" s="4" t="str">
        <f t="shared" si="49"/>
        <v/>
      </c>
      <c r="I385" s="4">
        <f t="shared" si="50"/>
        <v>0.85</v>
      </c>
      <c r="J385" s="4" t="str">
        <f t="shared" si="51"/>
        <v/>
      </c>
      <c r="K385" s="4" t="str">
        <f t="shared" si="52"/>
        <v/>
      </c>
      <c r="L385" s="4" t="str">
        <f t="shared" si="53"/>
        <v/>
      </c>
      <c r="M385" s="4"/>
      <c r="N385" s="4"/>
      <c r="O385" s="4"/>
      <c r="P385" s="4"/>
      <c r="Q385" s="4"/>
      <c r="R385" s="4"/>
      <c r="S385" s="4"/>
      <c r="T385" s="4"/>
      <c r="U385" s="4"/>
    </row>
    <row r="386" spans="1:21">
      <c r="A386" t="s">
        <v>225</v>
      </c>
      <c r="B386">
        <v>7</v>
      </c>
      <c r="C386" t="str">
        <f t="shared" si="47"/>
        <v>test.ImageData_7_</v>
      </c>
      <c r="D386">
        <v>10</v>
      </c>
      <c r="E386" s="4">
        <v>1</v>
      </c>
      <c r="F386" s="4">
        <v>0.42300701116593092</v>
      </c>
      <c r="G386" s="4" t="str">
        <f t="shared" si="48"/>
        <v/>
      </c>
      <c r="H386" s="4" t="str">
        <f t="shared" si="49"/>
        <v/>
      </c>
      <c r="I386" s="4">
        <f t="shared" si="50"/>
        <v>1</v>
      </c>
      <c r="J386" s="4" t="str">
        <f t="shared" si="51"/>
        <v/>
      </c>
      <c r="K386" s="4" t="str">
        <f t="shared" si="52"/>
        <v/>
      </c>
      <c r="L386" s="4" t="str">
        <f t="shared" si="53"/>
        <v/>
      </c>
      <c r="M386" s="4"/>
      <c r="N386" s="4"/>
      <c r="O386" s="4"/>
      <c r="P386" s="4"/>
      <c r="Q386" s="4"/>
      <c r="R386" s="4"/>
      <c r="S386" s="4"/>
      <c r="T386" s="4"/>
      <c r="U386" s="4"/>
    </row>
    <row r="387" spans="1:21">
      <c r="A387" t="s">
        <v>225</v>
      </c>
      <c r="B387">
        <v>8</v>
      </c>
      <c r="C387" t="str">
        <f t="shared" ref="C387:C450" si="54">CONCATENATE(A387, "_",B387,"_")</f>
        <v>test.ImageData_8_</v>
      </c>
      <c r="D387">
        <v>1</v>
      </c>
      <c r="E387" s="4">
        <v>0.11728395061728394</v>
      </c>
      <c r="F387" s="4">
        <v>6.135065341576023E-2</v>
      </c>
      <c r="G387" s="4">
        <f t="shared" ref="G387:G450" si="55">IF($F387 &lt;= 0.2,$E387,"")</f>
        <v>0.11728395061728394</v>
      </c>
      <c r="H387" s="4" t="str">
        <f t="shared" ref="H387:H450" si="56">IF(AND($F387 &gt; 0.2,$F387 &lt;= 0.4),$E387,"")</f>
        <v/>
      </c>
      <c r="I387" s="4" t="str">
        <f t="shared" ref="I387:I450" si="57">IF(AND($F387 &gt; 0.4,$F387 &lt;= 0.6),$E387,"")</f>
        <v/>
      </c>
      <c r="J387" s="4" t="str">
        <f t="shared" ref="J387:J450" si="58">IF(AND($F387 &gt; 0.6,$F387 &lt;= 0.8),$E387,"")</f>
        <v/>
      </c>
      <c r="K387" s="4" t="str">
        <f t="shared" ref="K387:K450" si="59">IF(AND($F387 &gt; 0.8, $F387 &lt;=1.1),$E387,"")</f>
        <v/>
      </c>
      <c r="L387" s="4" t="str">
        <f t="shared" ref="L387:L450" si="60">IF(AND($F387 &gt; 1.1),$E387,"")</f>
        <v/>
      </c>
      <c r="M387" s="4"/>
      <c r="N387" s="4"/>
      <c r="O387" s="4"/>
      <c r="P387" s="4"/>
      <c r="Q387" s="4"/>
      <c r="R387" s="4"/>
      <c r="S387" s="4"/>
      <c r="T387" s="4"/>
      <c r="U387" s="4"/>
    </row>
    <row r="388" spans="1:21">
      <c r="A388" t="s">
        <v>225</v>
      </c>
      <c r="B388">
        <v>8</v>
      </c>
      <c r="C388" t="str">
        <f t="shared" si="54"/>
        <v>test.ImageData_8_</v>
      </c>
      <c r="D388">
        <v>2</v>
      </c>
      <c r="E388" s="4">
        <v>0.1728395061728395</v>
      </c>
      <c r="F388" s="4">
        <v>9.8677517802644971E-2</v>
      </c>
      <c r="G388" s="4">
        <f t="shared" si="55"/>
        <v>0.1728395061728395</v>
      </c>
      <c r="H388" s="4" t="str">
        <f t="shared" si="56"/>
        <v/>
      </c>
      <c r="I388" s="4" t="str">
        <f t="shared" si="57"/>
        <v/>
      </c>
      <c r="J388" s="4" t="str">
        <f t="shared" si="58"/>
        <v/>
      </c>
      <c r="K388" s="4" t="str">
        <f t="shared" si="59"/>
        <v/>
      </c>
      <c r="L388" s="4" t="str">
        <f t="shared" si="60"/>
        <v/>
      </c>
      <c r="M388" s="4"/>
      <c r="N388" s="4"/>
      <c r="O388" s="4"/>
      <c r="P388" s="4"/>
      <c r="Q388" s="4"/>
      <c r="R388" s="4"/>
      <c r="S388" s="4"/>
      <c r="T388" s="4"/>
      <c r="U388" s="4"/>
    </row>
    <row r="389" spans="1:21">
      <c r="A389" t="s">
        <v>225</v>
      </c>
      <c r="B389">
        <v>8</v>
      </c>
      <c r="C389" t="str">
        <f t="shared" si="54"/>
        <v>test.ImageData_8_</v>
      </c>
      <c r="D389">
        <v>3</v>
      </c>
      <c r="E389" s="4">
        <v>0.3888888888888889</v>
      </c>
      <c r="F389" s="4">
        <v>0.19281633930667502</v>
      </c>
      <c r="G389" s="4">
        <f t="shared" si="55"/>
        <v>0.3888888888888889</v>
      </c>
      <c r="H389" s="4" t="str">
        <f t="shared" si="56"/>
        <v/>
      </c>
      <c r="I389" s="4" t="str">
        <f t="shared" si="57"/>
        <v/>
      </c>
      <c r="J389" s="4" t="str">
        <f t="shared" si="58"/>
        <v/>
      </c>
      <c r="K389" s="4" t="str">
        <f t="shared" si="59"/>
        <v/>
      </c>
      <c r="L389" s="4" t="str">
        <f t="shared" si="60"/>
        <v/>
      </c>
      <c r="M389" s="4"/>
      <c r="N389" s="4"/>
      <c r="O389" s="4"/>
      <c r="P389" s="4"/>
      <c r="Q389" s="4"/>
      <c r="R389" s="4"/>
      <c r="S389" s="4"/>
      <c r="T389" s="4"/>
      <c r="U389" s="4"/>
    </row>
    <row r="390" spans="1:21">
      <c r="A390" t="s">
        <v>225</v>
      </c>
      <c r="B390">
        <v>8</v>
      </c>
      <c r="C390" t="str">
        <f t="shared" si="54"/>
        <v>test.ImageData_8_</v>
      </c>
      <c r="D390">
        <v>4</v>
      </c>
      <c r="E390" s="4">
        <v>0.66049382716049387</v>
      </c>
      <c r="F390" s="4">
        <v>0.21504030049299633</v>
      </c>
      <c r="G390" s="4" t="str">
        <f t="shared" si="55"/>
        <v/>
      </c>
      <c r="H390" s="4">
        <f t="shared" si="56"/>
        <v>0.66049382716049387</v>
      </c>
      <c r="I390" s="4" t="str">
        <f t="shared" si="57"/>
        <v/>
      </c>
      <c r="J390" s="4" t="str">
        <f t="shared" si="58"/>
        <v/>
      </c>
      <c r="K390" s="4" t="str">
        <f t="shared" si="59"/>
        <v/>
      </c>
      <c r="L390" s="4" t="str">
        <f t="shared" si="60"/>
        <v/>
      </c>
      <c r="M390" s="4"/>
      <c r="N390" s="4"/>
      <c r="O390" s="4"/>
      <c r="P390" s="4"/>
      <c r="Q390" s="4"/>
      <c r="R390" s="4"/>
      <c r="S390" s="4"/>
      <c r="T390" s="4"/>
      <c r="U390" s="4"/>
    </row>
    <row r="391" spans="1:21">
      <c r="A391" t="s">
        <v>225</v>
      </c>
      <c r="B391">
        <v>8</v>
      </c>
      <c r="C391" t="str">
        <f t="shared" si="54"/>
        <v>test.ImageData_8_</v>
      </c>
      <c r="D391">
        <v>5</v>
      </c>
      <c r="E391" s="4">
        <v>0.86419753086419748</v>
      </c>
      <c r="F391" s="4">
        <v>0.4013616088895845</v>
      </c>
      <c r="G391" s="4" t="str">
        <f t="shared" si="55"/>
        <v/>
      </c>
      <c r="H391" s="4" t="str">
        <f t="shared" si="56"/>
        <v/>
      </c>
      <c r="I391" s="4">
        <f t="shared" si="57"/>
        <v>0.86419753086419748</v>
      </c>
      <c r="J391" s="4" t="str">
        <f t="shared" si="58"/>
        <v/>
      </c>
      <c r="K391" s="4" t="str">
        <f t="shared" si="59"/>
        <v/>
      </c>
      <c r="L391" s="4" t="str">
        <f t="shared" si="60"/>
        <v/>
      </c>
      <c r="M391" s="4"/>
      <c r="N391" s="4"/>
      <c r="O391" s="4"/>
      <c r="P391" s="4"/>
      <c r="Q391" s="4"/>
      <c r="R391" s="4"/>
      <c r="S391" s="4"/>
      <c r="T391" s="4"/>
      <c r="U391" s="4"/>
    </row>
    <row r="392" spans="1:21">
      <c r="A392" t="s">
        <v>225</v>
      </c>
      <c r="B392">
        <v>8</v>
      </c>
      <c r="C392" t="str">
        <f t="shared" si="54"/>
        <v>test.ImageData_8_</v>
      </c>
      <c r="D392">
        <v>6</v>
      </c>
      <c r="E392" s="4">
        <v>1</v>
      </c>
      <c r="F392" s="4">
        <v>0.48877063933015102</v>
      </c>
      <c r="G392" s="4" t="str">
        <f t="shared" si="55"/>
        <v/>
      </c>
      <c r="H392" s="4" t="str">
        <f t="shared" si="56"/>
        <v/>
      </c>
      <c r="I392" s="4">
        <f t="shared" si="57"/>
        <v>1</v>
      </c>
      <c r="J392" s="4" t="str">
        <f t="shared" si="58"/>
        <v/>
      </c>
      <c r="K392" s="4" t="str">
        <f t="shared" si="59"/>
        <v/>
      </c>
      <c r="L392" s="4" t="str">
        <f t="shared" si="60"/>
        <v/>
      </c>
      <c r="M392" s="4"/>
      <c r="N392" s="4"/>
      <c r="O392" s="4"/>
      <c r="P392" s="4"/>
      <c r="Q392" s="4"/>
      <c r="R392" s="4"/>
      <c r="S392" s="4"/>
      <c r="T392" s="4"/>
      <c r="U392" s="4"/>
    </row>
    <row r="393" spans="1:21">
      <c r="A393" t="s">
        <v>225</v>
      </c>
      <c r="B393">
        <v>9</v>
      </c>
      <c r="C393" t="str">
        <f t="shared" si="54"/>
        <v>test.ImageData_9_</v>
      </c>
      <c r="D393">
        <v>1</v>
      </c>
      <c r="E393" s="4">
        <v>7.3643410852713184E-2</v>
      </c>
      <c r="F393" s="4">
        <v>2.5042635311013375E-2</v>
      </c>
      <c r="G393" s="4">
        <f t="shared" si="55"/>
        <v>7.3643410852713184E-2</v>
      </c>
      <c r="H393" s="4" t="str">
        <f t="shared" si="56"/>
        <v/>
      </c>
      <c r="I393" s="4" t="str">
        <f t="shared" si="57"/>
        <v/>
      </c>
      <c r="J393" s="4" t="str">
        <f t="shared" si="58"/>
        <v/>
      </c>
      <c r="K393" s="4" t="str">
        <f t="shared" si="59"/>
        <v/>
      </c>
      <c r="L393" s="4" t="str">
        <f t="shared" si="60"/>
        <v/>
      </c>
      <c r="M393" s="4"/>
      <c r="N393" s="4"/>
      <c r="O393" s="4"/>
      <c r="P393" s="4"/>
      <c r="Q393" s="4"/>
      <c r="R393" s="4"/>
      <c r="S393" s="4"/>
      <c r="T393" s="4"/>
      <c r="U393" s="4"/>
    </row>
    <row r="394" spans="1:21">
      <c r="A394" t="s">
        <v>225</v>
      </c>
      <c r="B394">
        <v>9</v>
      </c>
      <c r="C394" t="str">
        <f t="shared" si="54"/>
        <v>test.ImageData_9_</v>
      </c>
      <c r="D394">
        <v>2</v>
      </c>
      <c r="E394" s="4">
        <v>0.12015503875968993</v>
      </c>
      <c r="F394" s="4">
        <v>4.634533105945008E-2</v>
      </c>
      <c r="G394" s="4">
        <f t="shared" si="55"/>
        <v>0.12015503875968993</v>
      </c>
      <c r="H394" s="4" t="str">
        <f t="shared" si="56"/>
        <v/>
      </c>
      <c r="I394" s="4" t="str">
        <f t="shared" si="57"/>
        <v/>
      </c>
      <c r="J394" s="4" t="str">
        <f t="shared" si="58"/>
        <v/>
      </c>
      <c r="K394" s="4" t="str">
        <f t="shared" si="59"/>
        <v/>
      </c>
      <c r="L394" s="4" t="str">
        <f t="shared" si="60"/>
        <v/>
      </c>
      <c r="M394" s="4"/>
      <c r="N394" s="4"/>
      <c r="O394" s="4"/>
      <c r="P394" s="4"/>
      <c r="Q394" s="4"/>
      <c r="R394" s="4"/>
      <c r="S394" s="4"/>
      <c r="T394" s="4"/>
      <c r="U394" s="4"/>
    </row>
    <row r="395" spans="1:21">
      <c r="A395" t="s">
        <v>225</v>
      </c>
      <c r="B395">
        <v>9</v>
      </c>
      <c r="C395" t="str">
        <f t="shared" si="54"/>
        <v>test.ImageData_9_</v>
      </c>
      <c r="D395">
        <v>3</v>
      </c>
      <c r="E395" s="4">
        <v>0.2558139534883721</v>
      </c>
      <c r="F395" s="4">
        <v>7.4379918020524793E-2</v>
      </c>
      <c r="G395" s="4">
        <f t="shared" si="55"/>
        <v>0.2558139534883721</v>
      </c>
      <c r="H395" s="4" t="str">
        <f t="shared" si="56"/>
        <v/>
      </c>
      <c r="I395" s="4" t="str">
        <f t="shared" si="57"/>
        <v/>
      </c>
      <c r="J395" s="4" t="str">
        <f t="shared" si="58"/>
        <v/>
      </c>
      <c r="K395" s="4" t="str">
        <f t="shared" si="59"/>
        <v/>
      </c>
      <c r="L395" s="4" t="str">
        <f t="shared" si="60"/>
        <v/>
      </c>
      <c r="M395" s="4"/>
      <c r="N395" s="4"/>
      <c r="O395" s="4"/>
      <c r="P395" s="4"/>
      <c r="Q395" s="4"/>
      <c r="R395" s="4"/>
      <c r="S395" s="4"/>
      <c r="T395" s="4"/>
      <c r="U395" s="4"/>
    </row>
    <row r="396" spans="1:21">
      <c r="A396" t="s">
        <v>225</v>
      </c>
      <c r="B396">
        <v>9</v>
      </c>
      <c r="C396" t="str">
        <f t="shared" si="54"/>
        <v>test.ImageData_9_</v>
      </c>
      <c r="D396">
        <v>4</v>
      </c>
      <c r="E396" s="4">
        <v>0.4263565891472868</v>
      </c>
      <c r="F396" s="4">
        <v>9.7388026209496451E-2</v>
      </c>
      <c r="G396" s="4">
        <f t="shared" si="55"/>
        <v>0.4263565891472868</v>
      </c>
      <c r="H396" s="4" t="str">
        <f t="shared" si="56"/>
        <v/>
      </c>
      <c r="I396" s="4" t="str">
        <f t="shared" si="57"/>
        <v/>
      </c>
      <c r="J396" s="4" t="str">
        <f t="shared" si="58"/>
        <v/>
      </c>
      <c r="K396" s="4" t="str">
        <f t="shared" si="59"/>
        <v/>
      </c>
      <c r="L396" s="4" t="str">
        <f t="shared" si="60"/>
        <v/>
      </c>
      <c r="M396" s="4"/>
      <c r="N396" s="4"/>
      <c r="O396" s="4"/>
      <c r="P396" s="4"/>
      <c r="Q396" s="4"/>
      <c r="R396" s="4"/>
      <c r="S396" s="4"/>
      <c r="T396" s="4"/>
      <c r="U396" s="4"/>
    </row>
    <row r="397" spans="1:21">
      <c r="A397" t="s">
        <v>225</v>
      </c>
      <c r="B397">
        <v>9</v>
      </c>
      <c r="C397" t="str">
        <f t="shared" si="54"/>
        <v>test.ImageData_9_</v>
      </c>
      <c r="D397">
        <v>5</v>
      </c>
      <c r="E397" s="4">
        <v>0.55426356589147285</v>
      </c>
      <c r="F397" s="4">
        <v>0.13957454447536127</v>
      </c>
      <c r="G397" s="4">
        <f t="shared" si="55"/>
        <v>0.55426356589147285</v>
      </c>
      <c r="H397" s="4" t="str">
        <f t="shared" si="56"/>
        <v/>
      </c>
      <c r="I397" s="4" t="str">
        <f t="shared" si="57"/>
        <v/>
      </c>
      <c r="J397" s="4" t="str">
        <f t="shared" si="58"/>
        <v/>
      </c>
      <c r="K397" s="4" t="str">
        <f t="shared" si="59"/>
        <v/>
      </c>
      <c r="L397" s="4" t="str">
        <f t="shared" si="60"/>
        <v/>
      </c>
      <c r="M397" s="4"/>
      <c r="N397" s="4"/>
      <c r="O397" s="4"/>
      <c r="P397" s="4"/>
      <c r="Q397" s="4"/>
      <c r="R397" s="4"/>
      <c r="S397" s="4"/>
      <c r="T397" s="4"/>
      <c r="U397" s="4"/>
    </row>
    <row r="398" spans="1:21">
      <c r="A398" t="s">
        <v>225</v>
      </c>
      <c r="B398">
        <v>9</v>
      </c>
      <c r="C398" t="str">
        <f t="shared" si="54"/>
        <v>test.ImageData_9_</v>
      </c>
      <c r="D398">
        <v>6</v>
      </c>
      <c r="E398" s="4">
        <v>0.63953488372093026</v>
      </c>
      <c r="F398" s="4">
        <v>0.18732609281034018</v>
      </c>
      <c r="G398" s="4">
        <f t="shared" si="55"/>
        <v>0.63953488372093026</v>
      </c>
      <c r="H398" s="4" t="str">
        <f t="shared" si="56"/>
        <v/>
      </c>
      <c r="I398" s="4" t="str">
        <f t="shared" si="57"/>
        <v/>
      </c>
      <c r="J398" s="4" t="str">
        <f t="shared" si="58"/>
        <v/>
      </c>
      <c r="K398" s="4" t="str">
        <f t="shared" si="59"/>
        <v/>
      </c>
      <c r="L398" s="4" t="str">
        <f t="shared" si="60"/>
        <v/>
      </c>
      <c r="M398" s="4"/>
      <c r="N398" s="4"/>
      <c r="O398" s="4"/>
      <c r="P398" s="4"/>
      <c r="Q398" s="4"/>
      <c r="R398" s="4"/>
      <c r="S398" s="4"/>
      <c r="T398" s="4"/>
      <c r="U398" s="4"/>
    </row>
    <row r="399" spans="1:21">
      <c r="A399" t="s">
        <v>225</v>
      </c>
      <c r="B399">
        <v>9</v>
      </c>
      <c r="C399" t="str">
        <f t="shared" si="54"/>
        <v>test.ImageData_9_</v>
      </c>
      <c r="D399">
        <v>7</v>
      </c>
      <c r="E399" s="4">
        <v>0.7441860465116279</v>
      </c>
      <c r="F399" s="4">
        <v>0.22047691709301978</v>
      </c>
      <c r="G399" s="4" t="str">
        <f t="shared" si="55"/>
        <v/>
      </c>
      <c r="H399" s="4">
        <f t="shared" si="56"/>
        <v>0.7441860465116279</v>
      </c>
      <c r="I399" s="4" t="str">
        <f t="shared" si="57"/>
        <v/>
      </c>
      <c r="J399" s="4" t="str">
        <f t="shared" si="58"/>
        <v/>
      </c>
      <c r="K399" s="4" t="str">
        <f t="shared" si="59"/>
        <v/>
      </c>
      <c r="L399" s="4" t="str">
        <f t="shared" si="60"/>
        <v/>
      </c>
      <c r="M399" s="4"/>
      <c r="N399" s="4"/>
      <c r="O399" s="4"/>
      <c r="P399" s="4"/>
      <c r="Q399" s="4"/>
      <c r="R399" s="4"/>
      <c r="S399" s="4"/>
      <c r="T399" s="4"/>
      <c r="U399" s="4"/>
    </row>
    <row r="400" spans="1:21">
      <c r="A400" t="s">
        <v>225</v>
      </c>
      <c r="B400">
        <v>9</v>
      </c>
      <c r="C400" t="str">
        <f t="shared" si="54"/>
        <v>test.ImageData_9_</v>
      </c>
      <c r="D400">
        <v>8</v>
      </c>
      <c r="E400" s="4">
        <v>0.86434108527131781</v>
      </c>
      <c r="F400" s="4">
        <v>0.2436346228644945</v>
      </c>
      <c r="G400" s="4" t="str">
        <f t="shared" si="55"/>
        <v/>
      </c>
      <c r="H400" s="4">
        <f t="shared" si="56"/>
        <v>0.86434108527131781</v>
      </c>
      <c r="I400" s="4" t="str">
        <f t="shared" si="57"/>
        <v/>
      </c>
      <c r="J400" s="4" t="str">
        <f t="shared" si="58"/>
        <v/>
      </c>
      <c r="K400" s="4" t="str">
        <f t="shared" si="59"/>
        <v/>
      </c>
      <c r="L400" s="4" t="str">
        <f t="shared" si="60"/>
        <v/>
      </c>
      <c r="M400" s="4"/>
      <c r="N400" s="4"/>
      <c r="O400" s="4"/>
      <c r="P400" s="4"/>
      <c r="Q400" s="4"/>
      <c r="R400" s="4"/>
      <c r="S400" s="4"/>
      <c r="T400" s="4"/>
      <c r="U400" s="4"/>
    </row>
    <row r="401" spans="1:21">
      <c r="A401" t="s">
        <v>225</v>
      </c>
      <c r="B401">
        <v>9</v>
      </c>
      <c r="C401" t="str">
        <f t="shared" si="54"/>
        <v>test.ImageData_9_</v>
      </c>
      <c r="D401">
        <v>9</v>
      </c>
      <c r="E401" s="4">
        <v>1</v>
      </c>
      <c r="F401" s="4">
        <v>0.26544595039344165</v>
      </c>
      <c r="G401" s="4" t="str">
        <f t="shared" si="55"/>
        <v/>
      </c>
      <c r="H401" s="4">
        <f t="shared" si="56"/>
        <v>1</v>
      </c>
      <c r="I401" s="4" t="str">
        <f t="shared" si="57"/>
        <v/>
      </c>
      <c r="J401" s="4" t="str">
        <f t="shared" si="58"/>
        <v/>
      </c>
      <c r="K401" s="4" t="str">
        <f t="shared" si="59"/>
        <v/>
      </c>
      <c r="L401" s="4" t="str">
        <f t="shared" si="60"/>
        <v/>
      </c>
      <c r="M401" s="4"/>
      <c r="N401" s="4"/>
      <c r="O401" s="4"/>
      <c r="P401" s="4"/>
      <c r="Q401" s="4"/>
      <c r="R401" s="4"/>
      <c r="S401" s="4"/>
      <c r="T401" s="4"/>
      <c r="U401" s="4"/>
    </row>
    <row r="402" spans="1:21">
      <c r="A402" t="s">
        <v>225</v>
      </c>
      <c r="B402">
        <v>11</v>
      </c>
      <c r="C402" t="str">
        <f t="shared" si="54"/>
        <v>test.ImageData_11_</v>
      </c>
      <c r="D402">
        <v>1</v>
      </c>
      <c r="E402" s="4">
        <v>0.33962264150943394</v>
      </c>
      <c r="F402" s="4">
        <v>4.5084907916766323E-2</v>
      </c>
      <c r="G402" s="4">
        <f t="shared" si="55"/>
        <v>0.33962264150943394</v>
      </c>
      <c r="H402" s="4" t="str">
        <f t="shared" si="56"/>
        <v/>
      </c>
      <c r="I402" s="4" t="str">
        <f t="shared" si="57"/>
        <v/>
      </c>
      <c r="J402" s="4" t="str">
        <f t="shared" si="58"/>
        <v/>
      </c>
      <c r="K402" s="4" t="str">
        <f t="shared" si="59"/>
        <v/>
      </c>
      <c r="L402" s="4" t="str">
        <f t="shared" si="60"/>
        <v/>
      </c>
      <c r="M402" s="4"/>
      <c r="N402" s="4"/>
      <c r="O402" s="4"/>
      <c r="P402" s="4"/>
      <c r="Q402" s="4"/>
      <c r="R402" s="4"/>
      <c r="S402" s="4"/>
      <c r="T402" s="4"/>
      <c r="U402" s="4"/>
    </row>
    <row r="403" spans="1:21">
      <c r="A403" t="s">
        <v>225</v>
      </c>
      <c r="B403">
        <v>11</v>
      </c>
      <c r="C403" t="str">
        <f t="shared" si="54"/>
        <v>test.ImageData_11_</v>
      </c>
      <c r="D403">
        <v>2</v>
      </c>
      <c r="E403" s="4">
        <v>1</v>
      </c>
      <c r="F403" s="4">
        <v>0.96209040899306386</v>
      </c>
      <c r="G403" s="4" t="str">
        <f t="shared" si="55"/>
        <v/>
      </c>
      <c r="H403" s="4" t="str">
        <f t="shared" si="56"/>
        <v/>
      </c>
      <c r="I403" s="4" t="str">
        <f t="shared" si="57"/>
        <v/>
      </c>
      <c r="J403" s="4" t="str">
        <f t="shared" si="58"/>
        <v/>
      </c>
      <c r="K403" s="4">
        <f t="shared" si="59"/>
        <v>1</v>
      </c>
      <c r="L403" s="4" t="str">
        <f t="shared" si="60"/>
        <v/>
      </c>
      <c r="M403" s="4"/>
      <c r="N403" s="4"/>
      <c r="O403" s="4"/>
      <c r="P403" s="4"/>
      <c r="Q403" s="4"/>
      <c r="R403" s="4"/>
      <c r="S403" s="4"/>
      <c r="T403" s="4"/>
      <c r="U403" s="4"/>
    </row>
    <row r="404" spans="1:21">
      <c r="A404" t="s">
        <v>225</v>
      </c>
      <c r="B404">
        <v>13</v>
      </c>
      <c r="C404" t="str">
        <f t="shared" si="54"/>
        <v>test.ImageData_13_</v>
      </c>
      <c r="D404">
        <v>1</v>
      </c>
      <c r="E404" s="4">
        <v>1.3568521031207597E-3</v>
      </c>
      <c r="F404" s="4">
        <v>5.3511204376826799E-2</v>
      </c>
      <c r="G404" s="4">
        <f t="shared" si="55"/>
        <v>1.3568521031207597E-3</v>
      </c>
      <c r="H404" s="4" t="str">
        <f t="shared" si="56"/>
        <v/>
      </c>
      <c r="I404" s="4" t="str">
        <f t="shared" si="57"/>
        <v/>
      </c>
      <c r="J404" s="4" t="str">
        <f t="shared" si="58"/>
        <v/>
      </c>
      <c r="K404" s="4" t="str">
        <f t="shared" si="59"/>
        <v/>
      </c>
      <c r="L404" s="4" t="str">
        <f t="shared" si="60"/>
        <v/>
      </c>
      <c r="M404" s="4"/>
      <c r="N404" s="4"/>
      <c r="O404" s="4"/>
      <c r="P404" s="4"/>
      <c r="Q404" s="4"/>
      <c r="R404" s="4"/>
      <c r="S404" s="4"/>
      <c r="T404" s="4"/>
      <c r="U404" s="4"/>
    </row>
    <row r="405" spans="1:21">
      <c r="A405" t="s">
        <v>225</v>
      </c>
      <c r="B405">
        <v>13</v>
      </c>
      <c r="C405" t="str">
        <f t="shared" si="54"/>
        <v>test.ImageData_13_</v>
      </c>
      <c r="D405">
        <v>2</v>
      </c>
      <c r="E405" s="4">
        <v>4.0705563093622792E-3</v>
      </c>
      <c r="F405" s="4">
        <v>5.4148242524169977E-2</v>
      </c>
      <c r="G405" s="4">
        <f t="shared" si="55"/>
        <v>4.0705563093622792E-3</v>
      </c>
      <c r="H405" s="4" t="str">
        <f t="shared" si="56"/>
        <v/>
      </c>
      <c r="I405" s="4" t="str">
        <f t="shared" si="57"/>
        <v/>
      </c>
      <c r="J405" s="4" t="str">
        <f t="shared" si="58"/>
        <v/>
      </c>
      <c r="K405" s="4" t="str">
        <f t="shared" si="59"/>
        <v/>
      </c>
      <c r="L405" s="4" t="str">
        <f t="shared" si="60"/>
        <v/>
      </c>
      <c r="M405" s="4"/>
      <c r="N405" s="4"/>
      <c r="O405" s="4"/>
      <c r="P405" s="4"/>
      <c r="Q405" s="4"/>
      <c r="R405" s="4"/>
      <c r="S405" s="4"/>
      <c r="T405" s="4"/>
      <c r="U405" s="4"/>
    </row>
    <row r="406" spans="1:21">
      <c r="A406" t="s">
        <v>225</v>
      </c>
      <c r="B406">
        <v>13</v>
      </c>
      <c r="C406" t="str">
        <f t="shared" si="54"/>
        <v>test.ImageData_13_</v>
      </c>
      <c r="D406">
        <v>3</v>
      </c>
      <c r="E406" s="4">
        <v>6.7842605156037995E-3</v>
      </c>
      <c r="F406" s="4">
        <v>5.9919058682455222E-2</v>
      </c>
      <c r="G406" s="4">
        <f t="shared" si="55"/>
        <v>6.7842605156037995E-3</v>
      </c>
      <c r="H406" s="4" t="str">
        <f t="shared" si="56"/>
        <v/>
      </c>
      <c r="I406" s="4" t="str">
        <f t="shared" si="57"/>
        <v/>
      </c>
      <c r="J406" s="4" t="str">
        <f t="shared" si="58"/>
        <v/>
      </c>
      <c r="K406" s="4" t="str">
        <f t="shared" si="59"/>
        <v/>
      </c>
      <c r="L406" s="4" t="str">
        <f t="shared" si="60"/>
        <v/>
      </c>
      <c r="M406" s="4"/>
      <c r="N406" s="4"/>
      <c r="O406" s="4"/>
      <c r="P406" s="4"/>
      <c r="Q406" s="4"/>
      <c r="R406" s="4"/>
      <c r="S406" s="4"/>
      <c r="T406" s="4"/>
      <c r="U406" s="4"/>
    </row>
    <row r="407" spans="1:21">
      <c r="A407" t="s">
        <v>225</v>
      </c>
      <c r="B407">
        <v>13</v>
      </c>
      <c r="C407" t="str">
        <f t="shared" si="54"/>
        <v>test.ImageData_13_</v>
      </c>
      <c r="D407">
        <v>4</v>
      </c>
      <c r="E407" s="4">
        <v>1</v>
      </c>
      <c r="F407" s="4">
        <v>1.0116540508131604</v>
      </c>
      <c r="G407" s="4" t="str">
        <f t="shared" si="55"/>
        <v/>
      </c>
      <c r="H407" s="4" t="str">
        <f t="shared" si="56"/>
        <v/>
      </c>
      <c r="I407" s="4" t="str">
        <f t="shared" si="57"/>
        <v/>
      </c>
      <c r="J407" s="4" t="str">
        <f t="shared" si="58"/>
        <v/>
      </c>
      <c r="K407" s="4">
        <f t="shared" si="59"/>
        <v>1</v>
      </c>
      <c r="L407" s="4" t="str">
        <f t="shared" si="60"/>
        <v/>
      </c>
      <c r="M407" s="4"/>
      <c r="N407" s="4"/>
      <c r="O407" s="4"/>
      <c r="P407" s="4"/>
      <c r="Q407" s="4"/>
      <c r="R407" s="4"/>
      <c r="S407" s="4"/>
      <c r="T407" s="4"/>
      <c r="U407" s="4"/>
    </row>
    <row r="408" spans="1:21">
      <c r="A408" t="s">
        <v>225</v>
      </c>
      <c r="B408">
        <v>14</v>
      </c>
      <c r="C408" t="str">
        <f t="shared" si="54"/>
        <v>test.ImageData_14_</v>
      </c>
      <c r="D408">
        <v>1</v>
      </c>
      <c r="E408" s="4">
        <v>1.0438413361169101E-3</v>
      </c>
      <c r="F408" s="4">
        <v>3.1158326450400158E-2</v>
      </c>
      <c r="G408" s="4">
        <f t="shared" si="55"/>
        <v>1.0438413361169101E-3</v>
      </c>
      <c r="H408" s="4" t="str">
        <f t="shared" si="56"/>
        <v/>
      </c>
      <c r="I408" s="4" t="str">
        <f t="shared" si="57"/>
        <v/>
      </c>
      <c r="J408" s="4" t="str">
        <f t="shared" si="58"/>
        <v/>
      </c>
      <c r="K408" s="4" t="str">
        <f t="shared" si="59"/>
        <v/>
      </c>
      <c r="L408" s="4" t="str">
        <f t="shared" si="60"/>
        <v/>
      </c>
      <c r="M408" s="4"/>
      <c r="N408" s="4"/>
      <c r="O408" s="4"/>
      <c r="P408" s="4"/>
      <c r="Q408" s="4"/>
      <c r="R408" s="4"/>
      <c r="S408" s="4"/>
      <c r="T408" s="4"/>
      <c r="U408" s="4"/>
    </row>
    <row r="409" spans="1:21">
      <c r="A409" t="s">
        <v>225</v>
      </c>
      <c r="B409">
        <v>14</v>
      </c>
      <c r="C409" t="str">
        <f t="shared" si="54"/>
        <v>test.ImageData_14_</v>
      </c>
      <c r="D409">
        <v>2</v>
      </c>
      <c r="E409" s="4">
        <v>3.1315240083507308E-3</v>
      </c>
      <c r="F409" s="4">
        <v>3.2625103243997609E-2</v>
      </c>
      <c r="G409" s="4">
        <f t="shared" si="55"/>
        <v>3.1315240083507308E-3</v>
      </c>
      <c r="H409" s="4" t="str">
        <f t="shared" si="56"/>
        <v/>
      </c>
      <c r="I409" s="4" t="str">
        <f t="shared" si="57"/>
        <v/>
      </c>
      <c r="J409" s="4" t="str">
        <f t="shared" si="58"/>
        <v/>
      </c>
      <c r="K409" s="4" t="str">
        <f t="shared" si="59"/>
        <v/>
      </c>
      <c r="L409" s="4" t="str">
        <f t="shared" si="60"/>
        <v/>
      </c>
      <c r="M409" s="4"/>
      <c r="N409" s="4"/>
      <c r="O409" s="4"/>
      <c r="P409" s="4"/>
      <c r="Q409" s="4"/>
      <c r="R409" s="4"/>
      <c r="S409" s="4"/>
      <c r="T409" s="4"/>
      <c r="U409" s="4"/>
    </row>
    <row r="410" spans="1:21">
      <c r="A410" t="s">
        <v>225</v>
      </c>
      <c r="B410">
        <v>14</v>
      </c>
      <c r="C410" t="str">
        <f t="shared" si="54"/>
        <v>test.ImageData_14_</v>
      </c>
      <c r="D410">
        <v>3</v>
      </c>
      <c r="E410" s="4">
        <v>5.2192066805845511E-3</v>
      </c>
      <c r="F410" s="4">
        <v>3.4390931616872206E-2</v>
      </c>
      <c r="G410" s="4">
        <f t="shared" si="55"/>
        <v>5.2192066805845511E-3</v>
      </c>
      <c r="H410" s="4" t="str">
        <f t="shared" si="56"/>
        <v/>
      </c>
      <c r="I410" s="4" t="str">
        <f t="shared" si="57"/>
        <v/>
      </c>
      <c r="J410" s="4" t="str">
        <f t="shared" si="58"/>
        <v/>
      </c>
      <c r="K410" s="4" t="str">
        <f t="shared" si="59"/>
        <v/>
      </c>
      <c r="L410" s="4" t="str">
        <f t="shared" si="60"/>
        <v/>
      </c>
      <c r="M410" s="4"/>
      <c r="N410" s="4"/>
      <c r="O410" s="4"/>
      <c r="P410" s="4"/>
      <c r="Q410" s="4"/>
      <c r="R410" s="4"/>
      <c r="S410" s="4"/>
      <c r="T410" s="4"/>
      <c r="U410" s="4"/>
    </row>
    <row r="411" spans="1:21">
      <c r="A411" t="s">
        <v>225</v>
      </c>
      <c r="B411">
        <v>14</v>
      </c>
      <c r="C411" t="str">
        <f t="shared" si="54"/>
        <v>test.ImageData_14_</v>
      </c>
      <c r="D411">
        <v>4</v>
      </c>
      <c r="E411" s="4">
        <v>0.39770354906054278</v>
      </c>
      <c r="F411" s="4">
        <v>0.46307425023496912</v>
      </c>
      <c r="G411" s="4" t="str">
        <f t="shared" si="55"/>
        <v/>
      </c>
      <c r="H411" s="4" t="str">
        <f t="shared" si="56"/>
        <v/>
      </c>
      <c r="I411" s="4">
        <f t="shared" si="57"/>
        <v>0.39770354906054278</v>
      </c>
      <c r="J411" s="4" t="str">
        <f t="shared" si="58"/>
        <v/>
      </c>
      <c r="K411" s="4" t="str">
        <f t="shared" si="59"/>
        <v/>
      </c>
      <c r="L411" s="4" t="str">
        <f t="shared" si="60"/>
        <v/>
      </c>
      <c r="M411" s="4"/>
      <c r="N411" s="4"/>
      <c r="O411" s="4"/>
      <c r="P411" s="4"/>
      <c r="Q411" s="4"/>
      <c r="R411" s="4"/>
      <c r="S411" s="4"/>
      <c r="T411" s="4"/>
      <c r="U411" s="4"/>
    </row>
    <row r="412" spans="1:21">
      <c r="A412" t="s">
        <v>225</v>
      </c>
      <c r="B412">
        <v>14</v>
      </c>
      <c r="C412" t="str">
        <f t="shared" si="54"/>
        <v>test.ImageData_14_</v>
      </c>
      <c r="D412">
        <v>5</v>
      </c>
      <c r="E412" s="4">
        <v>0.58559498956158662</v>
      </c>
      <c r="F412" s="4">
        <v>0.47090655350175159</v>
      </c>
      <c r="G412" s="4" t="str">
        <f t="shared" si="55"/>
        <v/>
      </c>
      <c r="H412" s="4" t="str">
        <f t="shared" si="56"/>
        <v/>
      </c>
      <c r="I412" s="4">
        <f t="shared" si="57"/>
        <v>0.58559498956158662</v>
      </c>
      <c r="J412" s="4" t="str">
        <f t="shared" si="58"/>
        <v/>
      </c>
      <c r="K412" s="4" t="str">
        <f t="shared" si="59"/>
        <v/>
      </c>
      <c r="L412" s="4" t="str">
        <f t="shared" si="60"/>
        <v/>
      </c>
      <c r="M412" s="4"/>
      <c r="N412" s="4"/>
      <c r="O412" s="4"/>
      <c r="P412" s="4"/>
      <c r="Q412" s="4"/>
      <c r="R412" s="4"/>
      <c r="S412" s="4"/>
      <c r="T412" s="4"/>
      <c r="U412" s="4"/>
    </row>
    <row r="413" spans="1:21">
      <c r="A413" t="s">
        <v>225</v>
      </c>
      <c r="B413">
        <v>14</v>
      </c>
      <c r="C413" t="str">
        <f t="shared" si="54"/>
        <v>test.ImageData_14_</v>
      </c>
      <c r="D413">
        <v>6</v>
      </c>
      <c r="E413" s="4">
        <v>0.58663883089770352</v>
      </c>
      <c r="F413" s="4">
        <v>0.47364073936942841</v>
      </c>
      <c r="G413" s="4" t="str">
        <f t="shared" si="55"/>
        <v/>
      </c>
      <c r="H413" s="4" t="str">
        <f t="shared" si="56"/>
        <v/>
      </c>
      <c r="I413" s="4">
        <f t="shared" si="57"/>
        <v>0.58663883089770352</v>
      </c>
      <c r="J413" s="4" t="str">
        <f t="shared" si="58"/>
        <v/>
      </c>
      <c r="K413" s="4" t="str">
        <f t="shared" si="59"/>
        <v/>
      </c>
      <c r="L413" s="4" t="str">
        <f t="shared" si="60"/>
        <v/>
      </c>
      <c r="M413" s="4"/>
      <c r="N413" s="4"/>
      <c r="O413" s="4"/>
      <c r="P413" s="4"/>
      <c r="Q413" s="4"/>
      <c r="R413" s="4"/>
      <c r="S413" s="4"/>
      <c r="T413" s="4"/>
      <c r="U413" s="4"/>
    </row>
    <row r="414" spans="1:21">
      <c r="A414" t="s">
        <v>225</v>
      </c>
      <c r="B414">
        <v>14</v>
      </c>
      <c r="C414" t="str">
        <f t="shared" si="54"/>
        <v>test.ImageData_14_</v>
      </c>
      <c r="D414">
        <v>7</v>
      </c>
      <c r="E414" s="4">
        <v>0.58872651356993733</v>
      </c>
      <c r="F414" s="4">
        <v>0.47385434764034062</v>
      </c>
      <c r="G414" s="4" t="str">
        <f t="shared" si="55"/>
        <v/>
      </c>
      <c r="H414" s="4" t="str">
        <f t="shared" si="56"/>
        <v/>
      </c>
      <c r="I414" s="4">
        <f t="shared" si="57"/>
        <v>0.58872651356993733</v>
      </c>
      <c r="J414" s="4" t="str">
        <f t="shared" si="58"/>
        <v/>
      </c>
      <c r="K414" s="4" t="str">
        <f t="shared" si="59"/>
        <v/>
      </c>
      <c r="L414" s="4" t="str">
        <f t="shared" si="60"/>
        <v/>
      </c>
      <c r="M414" s="4"/>
      <c r="N414" s="4"/>
      <c r="O414" s="4"/>
      <c r="P414" s="4"/>
      <c r="Q414" s="4"/>
      <c r="R414" s="4"/>
      <c r="S414" s="4"/>
      <c r="T414" s="4"/>
      <c r="U414" s="4"/>
    </row>
    <row r="415" spans="1:21">
      <c r="A415" t="s">
        <v>225</v>
      </c>
      <c r="B415">
        <v>14</v>
      </c>
      <c r="C415" t="str">
        <f t="shared" si="54"/>
        <v>test.ImageData_14_</v>
      </c>
      <c r="D415">
        <v>8</v>
      </c>
      <c r="E415" s="4">
        <v>0.58872651356993733</v>
      </c>
      <c r="F415" s="4">
        <v>0.50401583549315032</v>
      </c>
      <c r="G415" s="4" t="str">
        <f t="shared" si="55"/>
        <v/>
      </c>
      <c r="H415" s="4" t="str">
        <f t="shared" si="56"/>
        <v/>
      </c>
      <c r="I415" s="4">
        <f t="shared" si="57"/>
        <v>0.58872651356993733</v>
      </c>
      <c r="J415" s="4" t="str">
        <f t="shared" si="58"/>
        <v/>
      </c>
      <c r="K415" s="4" t="str">
        <f t="shared" si="59"/>
        <v/>
      </c>
      <c r="L415" s="4" t="str">
        <f t="shared" si="60"/>
        <v/>
      </c>
      <c r="M415" s="4"/>
      <c r="N415" s="4"/>
      <c r="O415" s="4"/>
      <c r="P415" s="4"/>
      <c r="Q415" s="4"/>
      <c r="R415" s="4"/>
      <c r="S415" s="4"/>
      <c r="T415" s="4"/>
      <c r="U415" s="4"/>
    </row>
    <row r="416" spans="1:21">
      <c r="A416" t="s">
        <v>225</v>
      </c>
      <c r="B416">
        <v>14</v>
      </c>
      <c r="C416" t="str">
        <f t="shared" si="54"/>
        <v>test.ImageData_14_</v>
      </c>
      <c r="D416">
        <v>9</v>
      </c>
      <c r="E416" s="4">
        <v>0.58872651356993733</v>
      </c>
      <c r="F416" s="4">
        <v>0.51791461365384073</v>
      </c>
      <c r="G416" s="4" t="str">
        <f t="shared" si="55"/>
        <v/>
      </c>
      <c r="H416" s="4" t="str">
        <f t="shared" si="56"/>
        <v/>
      </c>
      <c r="I416" s="4">
        <f t="shared" si="57"/>
        <v>0.58872651356993733</v>
      </c>
      <c r="J416" s="4" t="str">
        <f t="shared" si="58"/>
        <v/>
      </c>
      <c r="K416" s="4" t="str">
        <f t="shared" si="59"/>
        <v/>
      </c>
      <c r="L416" s="4" t="str">
        <f t="shared" si="60"/>
        <v/>
      </c>
      <c r="M416" s="4"/>
      <c r="N416" s="4"/>
      <c r="O416" s="4"/>
      <c r="P416" s="4"/>
      <c r="Q416" s="4"/>
      <c r="R416" s="4"/>
      <c r="S416" s="4"/>
      <c r="T416" s="4"/>
      <c r="U416" s="4"/>
    </row>
    <row r="417" spans="1:21">
      <c r="A417" t="s">
        <v>225</v>
      </c>
      <c r="B417">
        <v>14</v>
      </c>
      <c r="C417" t="str">
        <f t="shared" si="54"/>
        <v>test.ImageData_14_</v>
      </c>
      <c r="D417">
        <v>10</v>
      </c>
      <c r="E417" s="4">
        <v>0.9989561586638831</v>
      </c>
      <c r="F417" s="4">
        <v>0.78985218307652871</v>
      </c>
      <c r="G417" s="4" t="str">
        <f t="shared" si="55"/>
        <v/>
      </c>
      <c r="H417" s="4" t="str">
        <f t="shared" si="56"/>
        <v/>
      </c>
      <c r="I417" s="4" t="str">
        <f t="shared" si="57"/>
        <v/>
      </c>
      <c r="J417" s="4">
        <f t="shared" si="58"/>
        <v>0.9989561586638831</v>
      </c>
      <c r="K417" s="4" t="str">
        <f t="shared" si="59"/>
        <v/>
      </c>
      <c r="L417" s="4" t="str">
        <f t="shared" si="60"/>
        <v/>
      </c>
      <c r="M417" s="4"/>
      <c r="N417" s="4"/>
      <c r="O417" s="4"/>
      <c r="P417" s="4"/>
      <c r="Q417" s="4"/>
      <c r="R417" s="4"/>
      <c r="S417" s="4"/>
      <c r="T417" s="4"/>
      <c r="U417" s="4"/>
    </row>
    <row r="418" spans="1:21">
      <c r="A418" t="s">
        <v>225</v>
      </c>
      <c r="B418">
        <v>14</v>
      </c>
      <c r="C418" t="str">
        <f t="shared" si="54"/>
        <v>test.ImageData_14_</v>
      </c>
      <c r="D418">
        <v>11</v>
      </c>
      <c r="E418" s="4">
        <v>1</v>
      </c>
      <c r="F418" s="4">
        <v>0.82763236592520861</v>
      </c>
      <c r="G418" s="4" t="str">
        <f t="shared" si="55"/>
        <v/>
      </c>
      <c r="H418" s="4" t="str">
        <f t="shared" si="56"/>
        <v/>
      </c>
      <c r="I418" s="4" t="str">
        <f t="shared" si="57"/>
        <v/>
      </c>
      <c r="J418" s="4" t="str">
        <f t="shared" si="58"/>
        <v/>
      </c>
      <c r="K418" s="4">
        <f t="shared" si="59"/>
        <v>1</v>
      </c>
      <c r="L418" s="4" t="str">
        <f t="shared" si="60"/>
        <v/>
      </c>
      <c r="M418" s="4"/>
      <c r="N418" s="4"/>
      <c r="O418" s="4"/>
      <c r="P418" s="4"/>
      <c r="Q418" s="4"/>
      <c r="R418" s="4"/>
      <c r="S418" s="4"/>
      <c r="T418" s="4"/>
      <c r="U418" s="4"/>
    </row>
    <row r="419" spans="1:21">
      <c r="A419" t="s">
        <v>225</v>
      </c>
      <c r="B419">
        <v>15</v>
      </c>
      <c r="C419" t="str">
        <f t="shared" si="54"/>
        <v>test.ImageData_15_</v>
      </c>
      <c r="D419">
        <v>1</v>
      </c>
      <c r="E419" s="4">
        <v>2.1052631578947368E-3</v>
      </c>
      <c r="F419" s="4">
        <v>4.1951664386684906E-2</v>
      </c>
      <c r="G419" s="4">
        <f t="shared" si="55"/>
        <v>2.1052631578947368E-3</v>
      </c>
      <c r="H419" s="4" t="str">
        <f t="shared" si="56"/>
        <v/>
      </c>
      <c r="I419" s="4" t="str">
        <f t="shared" si="57"/>
        <v/>
      </c>
      <c r="J419" s="4" t="str">
        <f t="shared" si="58"/>
        <v/>
      </c>
      <c r="K419" s="4" t="str">
        <f t="shared" si="59"/>
        <v/>
      </c>
      <c r="L419" s="4" t="str">
        <f t="shared" si="60"/>
        <v/>
      </c>
      <c r="M419" s="4"/>
      <c r="N419" s="4"/>
      <c r="O419" s="4"/>
      <c r="P419" s="4"/>
      <c r="Q419" s="4"/>
      <c r="R419" s="4"/>
      <c r="S419" s="4"/>
      <c r="T419" s="4"/>
      <c r="U419" s="4"/>
    </row>
    <row r="420" spans="1:21">
      <c r="A420" t="s">
        <v>225</v>
      </c>
      <c r="B420">
        <v>15</v>
      </c>
      <c r="C420" t="str">
        <f t="shared" si="54"/>
        <v>test.ImageData_15_</v>
      </c>
      <c r="D420">
        <v>2</v>
      </c>
      <c r="E420" s="4">
        <v>2.1052631578947368E-3</v>
      </c>
      <c r="F420" s="4">
        <v>4.6258296600293868E-2</v>
      </c>
      <c r="G420" s="4">
        <f t="shared" si="55"/>
        <v>2.1052631578947368E-3</v>
      </c>
      <c r="H420" s="4" t="str">
        <f t="shared" si="56"/>
        <v/>
      </c>
      <c r="I420" s="4" t="str">
        <f t="shared" si="57"/>
        <v/>
      </c>
      <c r="J420" s="4" t="str">
        <f t="shared" si="58"/>
        <v/>
      </c>
      <c r="K420" s="4" t="str">
        <f t="shared" si="59"/>
        <v/>
      </c>
      <c r="L420" s="4" t="str">
        <f t="shared" si="60"/>
        <v/>
      </c>
      <c r="M420" s="4"/>
      <c r="N420" s="4"/>
      <c r="O420" s="4"/>
      <c r="P420" s="4"/>
      <c r="Q420" s="4"/>
      <c r="R420" s="4"/>
      <c r="S420" s="4"/>
      <c r="T420" s="4"/>
      <c r="U420" s="4"/>
    </row>
    <row r="421" spans="1:21">
      <c r="A421" t="s">
        <v>225</v>
      </c>
      <c r="B421">
        <v>15</v>
      </c>
      <c r="C421" t="str">
        <f t="shared" si="54"/>
        <v>test.ImageData_15_</v>
      </c>
      <c r="D421">
        <v>3</v>
      </c>
      <c r="E421" s="4">
        <v>8.4210526315789472E-3</v>
      </c>
      <c r="F421" s="4">
        <v>4.9044940973805545E-2</v>
      </c>
      <c r="G421" s="4">
        <f t="shared" si="55"/>
        <v>8.4210526315789472E-3</v>
      </c>
      <c r="H421" s="4" t="str">
        <f t="shared" si="56"/>
        <v/>
      </c>
      <c r="I421" s="4" t="str">
        <f t="shared" si="57"/>
        <v/>
      </c>
      <c r="J421" s="4" t="str">
        <f t="shared" si="58"/>
        <v/>
      </c>
      <c r="K421" s="4" t="str">
        <f t="shared" si="59"/>
        <v/>
      </c>
      <c r="L421" s="4" t="str">
        <f t="shared" si="60"/>
        <v/>
      </c>
      <c r="M421" s="4"/>
      <c r="N421" s="4"/>
      <c r="O421" s="4"/>
      <c r="P421" s="4"/>
      <c r="Q421" s="4"/>
      <c r="R421" s="4"/>
      <c r="S421" s="4"/>
      <c r="T421" s="4"/>
      <c r="U421" s="4"/>
    </row>
    <row r="422" spans="1:21">
      <c r="A422" t="s">
        <v>225</v>
      </c>
      <c r="B422">
        <v>15</v>
      </c>
      <c r="C422" t="str">
        <f t="shared" si="54"/>
        <v>test.ImageData_15_</v>
      </c>
      <c r="D422">
        <v>4</v>
      </c>
      <c r="E422" s="4">
        <v>1</v>
      </c>
      <c r="F422" s="4">
        <v>0.98652277448447079</v>
      </c>
      <c r="G422" s="4" t="str">
        <f t="shared" si="55"/>
        <v/>
      </c>
      <c r="H422" s="4" t="str">
        <f t="shared" si="56"/>
        <v/>
      </c>
      <c r="I422" s="4" t="str">
        <f t="shared" si="57"/>
        <v/>
      </c>
      <c r="J422" s="4" t="str">
        <f t="shared" si="58"/>
        <v/>
      </c>
      <c r="K422" s="4">
        <f t="shared" si="59"/>
        <v>1</v>
      </c>
      <c r="L422" s="4" t="str">
        <f t="shared" si="60"/>
        <v/>
      </c>
      <c r="M422" s="4"/>
      <c r="N422" s="4"/>
      <c r="O422" s="4"/>
      <c r="P422" s="4"/>
      <c r="Q422" s="4"/>
      <c r="R422" s="4"/>
      <c r="S422" s="4"/>
      <c r="T422" s="4"/>
      <c r="U422" s="4"/>
    </row>
    <row r="423" spans="1:21">
      <c r="A423" t="s">
        <v>225</v>
      </c>
      <c r="B423">
        <v>16</v>
      </c>
      <c r="C423" t="str">
        <f t="shared" si="54"/>
        <v>test.ImageData_16_</v>
      </c>
      <c r="D423">
        <v>1</v>
      </c>
      <c r="E423" s="4">
        <v>1.6474464579901153E-3</v>
      </c>
      <c r="F423" s="4">
        <v>2.7355206534550338E-2</v>
      </c>
      <c r="G423" s="4">
        <f t="shared" si="55"/>
        <v>1.6474464579901153E-3</v>
      </c>
      <c r="H423" s="4" t="str">
        <f t="shared" si="56"/>
        <v/>
      </c>
      <c r="I423" s="4" t="str">
        <f t="shared" si="57"/>
        <v/>
      </c>
      <c r="J423" s="4" t="str">
        <f t="shared" si="58"/>
        <v/>
      </c>
      <c r="K423" s="4" t="str">
        <f t="shared" si="59"/>
        <v/>
      </c>
      <c r="L423" s="4" t="str">
        <f t="shared" si="60"/>
        <v/>
      </c>
      <c r="M423" s="4"/>
      <c r="N423" s="4"/>
      <c r="O423" s="4"/>
      <c r="P423" s="4"/>
      <c r="Q423" s="4"/>
      <c r="R423" s="4"/>
      <c r="S423" s="4"/>
      <c r="T423" s="4"/>
      <c r="U423" s="4"/>
    </row>
    <row r="424" spans="1:21">
      <c r="A424" t="s">
        <v>225</v>
      </c>
      <c r="B424">
        <v>16</v>
      </c>
      <c r="C424" t="str">
        <f t="shared" si="54"/>
        <v>test.ImageData_16_</v>
      </c>
      <c r="D424">
        <v>2</v>
      </c>
      <c r="E424" s="4">
        <v>4.9423393739703456E-3</v>
      </c>
      <c r="F424" s="4">
        <v>3.0726639804840611E-2</v>
      </c>
      <c r="G424" s="4">
        <f t="shared" si="55"/>
        <v>4.9423393739703456E-3</v>
      </c>
      <c r="H424" s="4" t="str">
        <f t="shared" si="56"/>
        <v/>
      </c>
      <c r="I424" s="4" t="str">
        <f t="shared" si="57"/>
        <v/>
      </c>
      <c r="J424" s="4" t="str">
        <f t="shared" si="58"/>
        <v/>
      </c>
      <c r="K424" s="4" t="str">
        <f t="shared" si="59"/>
        <v/>
      </c>
      <c r="L424" s="4" t="str">
        <f t="shared" si="60"/>
        <v/>
      </c>
      <c r="M424" s="4"/>
      <c r="N424" s="4"/>
      <c r="O424" s="4"/>
      <c r="P424" s="4"/>
      <c r="Q424" s="4"/>
      <c r="R424" s="4"/>
      <c r="S424" s="4"/>
      <c r="T424" s="4"/>
      <c r="U424" s="4"/>
    </row>
    <row r="425" spans="1:21">
      <c r="A425" t="s">
        <v>225</v>
      </c>
      <c r="B425">
        <v>16</v>
      </c>
      <c r="C425" t="str">
        <f t="shared" si="54"/>
        <v>test.ImageData_16_</v>
      </c>
      <c r="D425">
        <v>3</v>
      </c>
      <c r="E425" s="4">
        <v>8.2372322899505763E-3</v>
      </c>
      <c r="F425" s="4">
        <v>3.1466710522709204E-2</v>
      </c>
      <c r="G425" s="4">
        <f t="shared" si="55"/>
        <v>8.2372322899505763E-3</v>
      </c>
      <c r="H425" s="4" t="str">
        <f t="shared" si="56"/>
        <v/>
      </c>
      <c r="I425" s="4" t="str">
        <f t="shared" si="57"/>
        <v/>
      </c>
      <c r="J425" s="4" t="str">
        <f t="shared" si="58"/>
        <v/>
      </c>
      <c r="K425" s="4" t="str">
        <f t="shared" si="59"/>
        <v/>
      </c>
      <c r="L425" s="4" t="str">
        <f t="shared" si="60"/>
        <v/>
      </c>
      <c r="M425" s="4"/>
      <c r="N425" s="4"/>
      <c r="O425" s="4"/>
      <c r="P425" s="4"/>
      <c r="Q425" s="4"/>
      <c r="R425" s="4"/>
      <c r="S425" s="4"/>
      <c r="T425" s="4"/>
      <c r="U425" s="4"/>
    </row>
    <row r="426" spans="1:21">
      <c r="A426" t="s">
        <v>225</v>
      </c>
      <c r="B426">
        <v>16</v>
      </c>
      <c r="C426" t="str">
        <f t="shared" si="54"/>
        <v>test.ImageData_16_</v>
      </c>
      <c r="D426">
        <v>4</v>
      </c>
      <c r="E426" s="4">
        <v>1</v>
      </c>
      <c r="F426" s="4">
        <v>0.98777512814187429</v>
      </c>
      <c r="G426" s="4" t="str">
        <f t="shared" si="55"/>
        <v/>
      </c>
      <c r="H426" s="4" t="str">
        <f t="shared" si="56"/>
        <v/>
      </c>
      <c r="I426" s="4" t="str">
        <f t="shared" si="57"/>
        <v/>
      </c>
      <c r="J426" s="4" t="str">
        <f t="shared" si="58"/>
        <v/>
      </c>
      <c r="K426" s="4">
        <f t="shared" si="59"/>
        <v>1</v>
      </c>
      <c r="L426" s="4" t="str">
        <f t="shared" si="60"/>
        <v/>
      </c>
      <c r="M426" s="4"/>
      <c r="N426" s="4"/>
      <c r="O426" s="4"/>
      <c r="P426" s="4"/>
      <c r="Q426" s="4"/>
      <c r="R426" s="4"/>
      <c r="S426" s="4"/>
      <c r="T426" s="4"/>
      <c r="U426" s="4"/>
    </row>
    <row r="427" spans="1:21">
      <c r="A427" t="s">
        <v>225</v>
      </c>
      <c r="B427">
        <v>20</v>
      </c>
      <c r="C427" t="str">
        <f t="shared" si="54"/>
        <v>test.ImageData_20_</v>
      </c>
      <c r="D427">
        <v>1</v>
      </c>
      <c r="E427" s="4">
        <v>0.59259259259259256</v>
      </c>
      <c r="F427" s="4">
        <v>0.53985692386305573</v>
      </c>
      <c r="G427" s="4" t="str">
        <f t="shared" si="55"/>
        <v/>
      </c>
      <c r="H427" s="4" t="str">
        <f t="shared" si="56"/>
        <v/>
      </c>
      <c r="I427" s="4">
        <f t="shared" si="57"/>
        <v>0.59259259259259256</v>
      </c>
      <c r="J427" s="4" t="str">
        <f t="shared" si="58"/>
        <v/>
      </c>
      <c r="K427" s="4" t="str">
        <f t="shared" si="59"/>
        <v/>
      </c>
      <c r="L427" s="4" t="str">
        <f t="shared" si="60"/>
        <v/>
      </c>
      <c r="M427" s="4"/>
      <c r="N427" s="4"/>
      <c r="O427" s="4"/>
      <c r="P427" s="4"/>
      <c r="Q427" s="4"/>
      <c r="R427" s="4"/>
      <c r="S427" s="4"/>
      <c r="T427" s="4"/>
      <c r="U427" s="4"/>
    </row>
    <row r="428" spans="1:21">
      <c r="A428" t="s">
        <v>225</v>
      </c>
      <c r="B428">
        <v>20</v>
      </c>
      <c r="C428" t="str">
        <f t="shared" si="54"/>
        <v>test.ImageData_20_</v>
      </c>
      <c r="D428">
        <v>2</v>
      </c>
      <c r="E428" s="4">
        <v>1</v>
      </c>
      <c r="F428" s="4">
        <v>0.54982115482881966</v>
      </c>
      <c r="G428" s="4" t="str">
        <f t="shared" si="55"/>
        <v/>
      </c>
      <c r="H428" s="4" t="str">
        <f t="shared" si="56"/>
        <v/>
      </c>
      <c r="I428" s="4">
        <f t="shared" si="57"/>
        <v>1</v>
      </c>
      <c r="J428" s="4" t="str">
        <f t="shared" si="58"/>
        <v/>
      </c>
      <c r="K428" s="4" t="str">
        <f t="shared" si="59"/>
        <v/>
      </c>
      <c r="L428" s="4" t="str">
        <f t="shared" si="60"/>
        <v/>
      </c>
      <c r="M428" s="4"/>
      <c r="N428" s="4"/>
      <c r="O428" s="4"/>
      <c r="P428" s="4"/>
      <c r="Q428" s="4"/>
      <c r="R428" s="4"/>
      <c r="S428" s="4"/>
      <c r="T428" s="4"/>
      <c r="U428" s="4"/>
    </row>
    <row r="429" spans="1:21">
      <c r="A429" t="s">
        <v>225</v>
      </c>
      <c r="B429">
        <v>21</v>
      </c>
      <c r="C429" t="str">
        <f t="shared" si="54"/>
        <v>test.ImageData_21_</v>
      </c>
      <c r="D429">
        <v>1</v>
      </c>
      <c r="E429" s="4">
        <v>0.54385964912280704</v>
      </c>
      <c r="F429" s="4">
        <v>0.51102894300650259</v>
      </c>
      <c r="G429" s="4" t="str">
        <f t="shared" si="55"/>
        <v/>
      </c>
      <c r="H429" s="4" t="str">
        <f t="shared" si="56"/>
        <v/>
      </c>
      <c r="I429" s="4">
        <f t="shared" si="57"/>
        <v>0.54385964912280704</v>
      </c>
      <c r="J429" s="4" t="str">
        <f t="shared" si="58"/>
        <v/>
      </c>
      <c r="K429" s="4" t="str">
        <f t="shared" si="59"/>
        <v/>
      </c>
      <c r="L429" s="4" t="str">
        <f t="shared" si="60"/>
        <v/>
      </c>
      <c r="M429" s="4"/>
      <c r="N429" s="4"/>
      <c r="O429" s="4"/>
      <c r="P429" s="4"/>
      <c r="Q429" s="4"/>
      <c r="R429" s="4"/>
      <c r="S429" s="4"/>
      <c r="T429" s="4"/>
      <c r="U429" s="4"/>
    </row>
    <row r="430" spans="1:21">
      <c r="A430" t="s">
        <v>225</v>
      </c>
      <c r="B430">
        <v>21</v>
      </c>
      <c r="C430" t="str">
        <f t="shared" si="54"/>
        <v>test.ImageData_21_</v>
      </c>
      <c r="D430">
        <v>2</v>
      </c>
      <c r="E430" s="4">
        <v>1</v>
      </c>
      <c r="F430" s="4">
        <v>0.51428024990437338</v>
      </c>
      <c r="G430" s="4" t="str">
        <f t="shared" si="55"/>
        <v/>
      </c>
      <c r="H430" s="4" t="str">
        <f t="shared" si="56"/>
        <v/>
      </c>
      <c r="I430" s="4">
        <f t="shared" si="57"/>
        <v>1</v>
      </c>
      <c r="J430" s="4" t="str">
        <f t="shared" si="58"/>
        <v/>
      </c>
      <c r="K430" s="4" t="str">
        <f t="shared" si="59"/>
        <v/>
      </c>
      <c r="L430" s="4" t="str">
        <f t="shared" si="60"/>
        <v/>
      </c>
      <c r="M430" s="4"/>
      <c r="N430" s="4"/>
      <c r="O430" s="4"/>
      <c r="P430" s="4"/>
      <c r="Q430" s="4"/>
      <c r="R430" s="4"/>
      <c r="S430" s="4"/>
      <c r="T430" s="4"/>
      <c r="U430" s="4"/>
    </row>
    <row r="431" spans="1:21">
      <c r="A431" t="s">
        <v>227</v>
      </c>
      <c r="B431">
        <v>0</v>
      </c>
      <c r="C431" t="str">
        <f t="shared" si="54"/>
        <v>test.QRCodeDataBlockReader_0_</v>
      </c>
      <c r="D431">
        <v>1</v>
      </c>
      <c r="E431" s="4">
        <v>0.1</v>
      </c>
      <c r="F431" s="4">
        <v>0.52459016393442626</v>
      </c>
      <c r="G431" s="4" t="str">
        <f t="shared" si="55"/>
        <v/>
      </c>
      <c r="H431" s="4" t="str">
        <f t="shared" si="56"/>
        <v/>
      </c>
      <c r="I431" s="4">
        <f t="shared" si="57"/>
        <v>0.1</v>
      </c>
      <c r="J431" s="4" t="str">
        <f t="shared" si="58"/>
        <v/>
      </c>
      <c r="K431" s="4" t="str">
        <f t="shared" si="59"/>
        <v/>
      </c>
      <c r="L431" s="4" t="str">
        <f t="shared" si="60"/>
        <v/>
      </c>
      <c r="M431" s="4"/>
      <c r="N431" s="4"/>
      <c r="O431" s="4"/>
      <c r="P431" s="4"/>
      <c r="Q431" s="4"/>
      <c r="R431" s="4"/>
      <c r="S431" s="4"/>
      <c r="T431" s="4"/>
      <c r="U431" s="4"/>
    </row>
    <row r="432" spans="1:21">
      <c r="A432" t="s">
        <v>227</v>
      </c>
      <c r="B432">
        <v>0</v>
      </c>
      <c r="C432" t="str">
        <f t="shared" si="54"/>
        <v>test.QRCodeDataBlockReader_0_</v>
      </c>
      <c r="D432">
        <v>2</v>
      </c>
      <c r="E432" s="4">
        <v>0.4</v>
      </c>
      <c r="F432" s="4">
        <v>0.72677595628415304</v>
      </c>
      <c r="G432" s="4" t="str">
        <f t="shared" si="55"/>
        <v/>
      </c>
      <c r="H432" s="4" t="str">
        <f t="shared" si="56"/>
        <v/>
      </c>
      <c r="I432" s="4" t="str">
        <f t="shared" si="57"/>
        <v/>
      </c>
      <c r="J432" s="4">
        <f t="shared" si="58"/>
        <v>0.4</v>
      </c>
      <c r="K432" s="4" t="str">
        <f t="shared" si="59"/>
        <v/>
      </c>
      <c r="L432" s="4" t="str">
        <f t="shared" si="60"/>
        <v/>
      </c>
      <c r="M432" s="4"/>
      <c r="N432" s="4"/>
      <c r="O432" s="4"/>
      <c r="P432" s="4"/>
      <c r="Q432" s="4"/>
      <c r="R432" s="4"/>
      <c r="S432" s="4"/>
      <c r="T432" s="4"/>
      <c r="U432" s="4"/>
    </row>
    <row r="433" spans="1:21">
      <c r="A433" t="s">
        <v>227</v>
      </c>
      <c r="B433">
        <v>0</v>
      </c>
      <c r="C433" t="str">
        <f t="shared" si="54"/>
        <v>test.QRCodeDataBlockReader_0_</v>
      </c>
      <c r="D433">
        <v>3</v>
      </c>
      <c r="E433" s="4">
        <v>0.6</v>
      </c>
      <c r="F433" s="4">
        <v>0.76502732240437155</v>
      </c>
      <c r="G433" s="4" t="str">
        <f t="shared" si="55"/>
        <v/>
      </c>
      <c r="H433" s="4" t="str">
        <f t="shared" si="56"/>
        <v/>
      </c>
      <c r="I433" s="4" t="str">
        <f t="shared" si="57"/>
        <v/>
      </c>
      <c r="J433" s="4">
        <f t="shared" si="58"/>
        <v>0.6</v>
      </c>
      <c r="K433" s="4" t="str">
        <f t="shared" si="59"/>
        <v/>
      </c>
      <c r="L433" s="4" t="str">
        <f t="shared" si="60"/>
        <v/>
      </c>
      <c r="M433" s="4"/>
      <c r="N433" s="4"/>
      <c r="O433" s="4"/>
      <c r="P433" s="4"/>
      <c r="Q433" s="4"/>
      <c r="R433" s="4"/>
      <c r="S433" s="4"/>
      <c r="T433" s="4"/>
      <c r="U433" s="4"/>
    </row>
    <row r="434" spans="1:21">
      <c r="A434" t="s">
        <v>227</v>
      </c>
      <c r="B434">
        <v>0</v>
      </c>
      <c r="C434" t="str">
        <f t="shared" si="54"/>
        <v>test.QRCodeDataBlockReader_0_</v>
      </c>
      <c r="D434">
        <v>4</v>
      </c>
      <c r="E434" s="4">
        <v>1</v>
      </c>
      <c r="F434" s="4">
        <v>0.98907103825136611</v>
      </c>
      <c r="G434" s="4" t="str">
        <f t="shared" si="55"/>
        <v/>
      </c>
      <c r="H434" s="4" t="str">
        <f t="shared" si="56"/>
        <v/>
      </c>
      <c r="I434" s="4" t="str">
        <f t="shared" si="57"/>
        <v/>
      </c>
      <c r="J434" s="4" t="str">
        <f t="shared" si="58"/>
        <v/>
      </c>
      <c r="K434" s="4">
        <f t="shared" si="59"/>
        <v>1</v>
      </c>
      <c r="L434" s="4" t="str">
        <f t="shared" si="60"/>
        <v/>
      </c>
      <c r="M434" s="4"/>
      <c r="N434" s="4"/>
      <c r="O434" s="4"/>
      <c r="P434" s="4"/>
      <c r="Q434" s="4"/>
      <c r="R434" s="4"/>
      <c r="S434" s="4"/>
      <c r="T434" s="4"/>
      <c r="U434" s="4"/>
    </row>
    <row r="435" spans="1:21">
      <c r="A435" t="s">
        <v>227</v>
      </c>
      <c r="B435">
        <v>1</v>
      </c>
      <c r="C435" t="str">
        <f t="shared" si="54"/>
        <v>test.QRCodeDataBlockReader_1_</v>
      </c>
      <c r="D435">
        <v>1</v>
      </c>
      <c r="E435" s="4">
        <v>9.7345132743362831E-2</v>
      </c>
      <c r="F435" s="4">
        <v>8.250314343746977E-2</v>
      </c>
      <c r="G435" s="4">
        <f t="shared" si="55"/>
        <v>9.7345132743362831E-2</v>
      </c>
      <c r="H435" s="4" t="str">
        <f t="shared" si="56"/>
        <v/>
      </c>
      <c r="I435" s="4" t="str">
        <f t="shared" si="57"/>
        <v/>
      </c>
      <c r="J435" s="4" t="str">
        <f t="shared" si="58"/>
        <v/>
      </c>
      <c r="K435" s="4" t="str">
        <f t="shared" si="59"/>
        <v/>
      </c>
      <c r="L435" s="4" t="str">
        <f t="shared" si="60"/>
        <v/>
      </c>
      <c r="M435" s="4"/>
      <c r="N435" s="4"/>
      <c r="O435" s="4"/>
      <c r="P435" s="4"/>
      <c r="Q435" s="4"/>
      <c r="R435" s="4"/>
      <c r="S435" s="4"/>
      <c r="T435" s="4"/>
      <c r="U435" s="4"/>
    </row>
    <row r="436" spans="1:21">
      <c r="A436" t="s">
        <v>227</v>
      </c>
      <c r="B436">
        <v>1</v>
      </c>
      <c r="C436" t="str">
        <f t="shared" si="54"/>
        <v>test.QRCodeDataBlockReader_1_</v>
      </c>
      <c r="D436">
        <v>2</v>
      </c>
      <c r="E436" s="4">
        <v>0.26548672566371684</v>
      </c>
      <c r="F436" s="4">
        <v>0.19644066157268594</v>
      </c>
      <c r="G436" s="4">
        <f t="shared" si="55"/>
        <v>0.26548672566371684</v>
      </c>
      <c r="H436" s="4" t="str">
        <f t="shared" si="56"/>
        <v/>
      </c>
      <c r="I436" s="4" t="str">
        <f t="shared" si="57"/>
        <v/>
      </c>
      <c r="J436" s="4" t="str">
        <f t="shared" si="58"/>
        <v/>
      </c>
      <c r="K436" s="4" t="str">
        <f t="shared" si="59"/>
        <v/>
      </c>
      <c r="L436" s="4" t="str">
        <f t="shared" si="60"/>
        <v/>
      </c>
      <c r="M436" s="4"/>
      <c r="N436" s="4"/>
      <c r="O436" s="4"/>
      <c r="P436" s="4"/>
      <c r="Q436" s="4"/>
      <c r="R436" s="4"/>
      <c r="S436" s="4"/>
      <c r="T436" s="4"/>
      <c r="U436" s="4"/>
    </row>
    <row r="437" spans="1:21">
      <c r="A437" t="s">
        <v>227</v>
      </c>
      <c r="B437">
        <v>1</v>
      </c>
      <c r="C437" t="str">
        <f t="shared" si="54"/>
        <v>test.QRCodeDataBlockReader_1_</v>
      </c>
      <c r="D437">
        <v>3</v>
      </c>
      <c r="E437" s="4">
        <v>0.51327433628318586</v>
      </c>
      <c r="F437" s="4">
        <v>0.28397330496179513</v>
      </c>
      <c r="G437" s="4" t="str">
        <f t="shared" si="55"/>
        <v/>
      </c>
      <c r="H437" s="4">
        <f t="shared" si="56"/>
        <v>0.51327433628318586</v>
      </c>
      <c r="I437" s="4" t="str">
        <f t="shared" si="57"/>
        <v/>
      </c>
      <c r="J437" s="4" t="str">
        <f t="shared" si="58"/>
        <v/>
      </c>
      <c r="K437" s="4" t="str">
        <f t="shared" si="59"/>
        <v/>
      </c>
      <c r="L437" s="4" t="str">
        <f t="shared" si="60"/>
        <v/>
      </c>
      <c r="M437" s="4"/>
      <c r="N437" s="4"/>
      <c r="O437" s="4"/>
      <c r="P437" s="4"/>
      <c r="Q437" s="4"/>
      <c r="R437" s="4"/>
      <c r="S437" s="4"/>
      <c r="T437" s="4"/>
      <c r="U437" s="4"/>
    </row>
    <row r="438" spans="1:21">
      <c r="A438" t="s">
        <v>227</v>
      </c>
      <c r="B438">
        <v>1</v>
      </c>
      <c r="C438" t="str">
        <f t="shared" si="54"/>
        <v>test.QRCodeDataBlockReader_1_</v>
      </c>
      <c r="D438">
        <v>4</v>
      </c>
      <c r="E438" s="4">
        <v>1</v>
      </c>
      <c r="F438" s="4">
        <v>0.59764000386884608</v>
      </c>
      <c r="G438" s="4" t="str">
        <f t="shared" si="55"/>
        <v/>
      </c>
      <c r="H438" s="4" t="str">
        <f t="shared" si="56"/>
        <v/>
      </c>
      <c r="I438" s="4">
        <f t="shared" si="57"/>
        <v>1</v>
      </c>
      <c r="J438" s="4" t="str">
        <f t="shared" si="58"/>
        <v/>
      </c>
      <c r="K438" s="4" t="str">
        <f t="shared" si="59"/>
        <v/>
      </c>
      <c r="L438" s="4" t="str">
        <f t="shared" si="60"/>
        <v/>
      </c>
      <c r="M438" s="4"/>
      <c r="N438" s="4"/>
      <c r="O438" s="4"/>
      <c r="P438" s="4"/>
      <c r="Q438" s="4"/>
      <c r="R438" s="4"/>
      <c r="S438" s="4"/>
      <c r="T438" s="4"/>
      <c r="U438" s="4"/>
    </row>
    <row r="439" spans="1:21">
      <c r="A439" t="s">
        <v>228</v>
      </c>
      <c r="B439">
        <v>1</v>
      </c>
      <c r="C439" t="str">
        <f t="shared" si="54"/>
        <v>test.StructurePanel_1_</v>
      </c>
      <c r="D439">
        <v>1</v>
      </c>
      <c r="E439" s="4">
        <v>0.10638297872340426</v>
      </c>
      <c r="F439" s="4">
        <v>0.11046511627906977</v>
      </c>
      <c r="G439" s="4">
        <f t="shared" si="55"/>
        <v>0.10638297872340426</v>
      </c>
      <c r="H439" s="4" t="str">
        <f t="shared" si="56"/>
        <v/>
      </c>
      <c r="I439" s="4" t="str">
        <f t="shared" si="57"/>
        <v/>
      </c>
      <c r="J439" s="4" t="str">
        <f t="shared" si="58"/>
        <v/>
      </c>
      <c r="K439" s="4" t="str">
        <f t="shared" si="59"/>
        <v/>
      </c>
      <c r="L439" s="4" t="str">
        <f t="shared" si="60"/>
        <v/>
      </c>
      <c r="M439" s="4"/>
      <c r="N439" s="4"/>
      <c r="O439" s="4"/>
      <c r="P439" s="4"/>
      <c r="Q439" s="4"/>
      <c r="R439" s="4"/>
      <c r="S439" s="4"/>
      <c r="T439" s="4"/>
      <c r="U439" s="4"/>
    </row>
    <row r="440" spans="1:21">
      <c r="A440" t="s">
        <v>228</v>
      </c>
      <c r="B440">
        <v>1</v>
      </c>
      <c r="C440" t="str">
        <f t="shared" si="54"/>
        <v>test.StructurePanel_1_</v>
      </c>
      <c r="D440">
        <v>2</v>
      </c>
      <c r="E440" s="4">
        <v>0.18085106382978725</v>
      </c>
      <c r="F440" s="4">
        <v>0.11085271317829458</v>
      </c>
      <c r="G440" s="4">
        <f t="shared" si="55"/>
        <v>0.18085106382978725</v>
      </c>
      <c r="H440" s="4" t="str">
        <f t="shared" si="56"/>
        <v/>
      </c>
      <c r="I440" s="4" t="str">
        <f t="shared" si="57"/>
        <v/>
      </c>
      <c r="J440" s="4" t="str">
        <f t="shared" si="58"/>
        <v/>
      </c>
      <c r="K440" s="4" t="str">
        <f t="shared" si="59"/>
        <v/>
      </c>
      <c r="L440" s="4" t="str">
        <f t="shared" si="60"/>
        <v/>
      </c>
      <c r="M440" s="4"/>
      <c r="N440" s="4"/>
      <c r="O440" s="4"/>
      <c r="P440" s="4"/>
      <c r="Q440" s="4"/>
      <c r="R440" s="4"/>
      <c r="S440" s="4"/>
      <c r="T440" s="4"/>
      <c r="U440" s="4"/>
    </row>
    <row r="441" spans="1:21">
      <c r="A441" t="s">
        <v>228</v>
      </c>
      <c r="B441">
        <v>1</v>
      </c>
      <c r="C441" t="str">
        <f t="shared" si="54"/>
        <v>test.StructurePanel_1_</v>
      </c>
      <c r="D441">
        <v>3</v>
      </c>
      <c r="E441" s="4">
        <v>0.2978723404255319</v>
      </c>
      <c r="F441" s="4">
        <v>0.22364341085271316</v>
      </c>
      <c r="G441" s="4" t="str">
        <f t="shared" si="55"/>
        <v/>
      </c>
      <c r="H441" s="4">
        <f t="shared" si="56"/>
        <v>0.2978723404255319</v>
      </c>
      <c r="I441" s="4" t="str">
        <f t="shared" si="57"/>
        <v/>
      </c>
      <c r="J441" s="4" t="str">
        <f t="shared" si="58"/>
        <v/>
      </c>
      <c r="K441" s="4" t="str">
        <f t="shared" si="59"/>
        <v/>
      </c>
      <c r="L441" s="4" t="str">
        <f t="shared" si="60"/>
        <v/>
      </c>
      <c r="M441" s="4"/>
      <c r="N441" s="4"/>
      <c r="O441" s="4"/>
      <c r="P441" s="4"/>
      <c r="Q441" s="4"/>
      <c r="R441" s="4"/>
      <c r="S441" s="4"/>
      <c r="T441" s="4"/>
      <c r="U441" s="4"/>
    </row>
    <row r="442" spans="1:21">
      <c r="A442" t="s">
        <v>228</v>
      </c>
      <c r="B442">
        <v>1</v>
      </c>
      <c r="C442" t="str">
        <f t="shared" si="54"/>
        <v>test.StructurePanel_1_</v>
      </c>
      <c r="D442">
        <v>4</v>
      </c>
      <c r="E442" s="4">
        <v>0.43617021276595747</v>
      </c>
      <c r="F442" s="4">
        <v>0.22693798449612404</v>
      </c>
      <c r="G442" s="4" t="str">
        <f t="shared" si="55"/>
        <v/>
      </c>
      <c r="H442" s="4">
        <f t="shared" si="56"/>
        <v>0.43617021276595747</v>
      </c>
      <c r="I442" s="4" t="str">
        <f t="shared" si="57"/>
        <v/>
      </c>
      <c r="J442" s="4" t="str">
        <f t="shared" si="58"/>
        <v/>
      </c>
      <c r="K442" s="4" t="str">
        <f t="shared" si="59"/>
        <v/>
      </c>
      <c r="L442" s="4" t="str">
        <f t="shared" si="60"/>
        <v/>
      </c>
      <c r="M442" s="4"/>
      <c r="N442" s="4"/>
      <c r="O442" s="4"/>
      <c r="P442" s="4"/>
      <c r="Q442" s="4"/>
      <c r="R442" s="4"/>
      <c r="S442" s="4"/>
      <c r="T442" s="4"/>
      <c r="U442" s="4"/>
    </row>
    <row r="443" spans="1:21">
      <c r="A443" t="s">
        <v>228</v>
      </c>
      <c r="B443">
        <v>1</v>
      </c>
      <c r="C443" t="str">
        <f t="shared" si="54"/>
        <v>test.StructurePanel_1_</v>
      </c>
      <c r="D443">
        <v>5</v>
      </c>
      <c r="E443" s="4">
        <v>0.56382978723404253</v>
      </c>
      <c r="F443" s="4">
        <v>0.23682170542635658</v>
      </c>
      <c r="G443" s="4" t="str">
        <f t="shared" si="55"/>
        <v/>
      </c>
      <c r="H443" s="4">
        <f t="shared" si="56"/>
        <v>0.56382978723404253</v>
      </c>
      <c r="I443" s="4" t="str">
        <f t="shared" si="57"/>
        <v/>
      </c>
      <c r="J443" s="4" t="str">
        <f t="shared" si="58"/>
        <v/>
      </c>
      <c r="K443" s="4" t="str">
        <f t="shared" si="59"/>
        <v/>
      </c>
      <c r="L443" s="4" t="str">
        <f t="shared" si="60"/>
        <v/>
      </c>
      <c r="M443" s="4"/>
      <c r="N443" s="4"/>
      <c r="O443" s="4"/>
      <c r="P443" s="4"/>
      <c r="Q443" s="4"/>
      <c r="R443" s="4"/>
      <c r="S443" s="4"/>
      <c r="T443" s="4"/>
      <c r="U443" s="4"/>
    </row>
    <row r="444" spans="1:21">
      <c r="A444" t="s">
        <v>228</v>
      </c>
      <c r="B444">
        <v>1</v>
      </c>
      <c r="C444" t="str">
        <f t="shared" si="54"/>
        <v>test.StructurePanel_1_</v>
      </c>
      <c r="D444">
        <v>6</v>
      </c>
      <c r="E444" s="4">
        <v>0.69148936170212771</v>
      </c>
      <c r="F444" s="4">
        <v>0.24031007751937986</v>
      </c>
      <c r="G444" s="4" t="str">
        <f t="shared" si="55"/>
        <v/>
      </c>
      <c r="H444" s="4">
        <f t="shared" si="56"/>
        <v>0.69148936170212771</v>
      </c>
      <c r="I444" s="4" t="str">
        <f t="shared" si="57"/>
        <v/>
      </c>
      <c r="J444" s="4" t="str">
        <f t="shared" si="58"/>
        <v/>
      </c>
      <c r="K444" s="4" t="str">
        <f t="shared" si="59"/>
        <v/>
      </c>
      <c r="L444" s="4" t="str">
        <f t="shared" si="60"/>
        <v/>
      </c>
      <c r="M444" s="4"/>
      <c r="N444" s="4"/>
      <c r="O444" s="4"/>
      <c r="P444" s="4"/>
      <c r="Q444" s="4"/>
      <c r="R444" s="4"/>
      <c r="S444" s="4"/>
      <c r="T444" s="4"/>
      <c r="U444" s="4"/>
    </row>
    <row r="445" spans="1:21">
      <c r="A445" t="s">
        <v>228</v>
      </c>
      <c r="B445">
        <v>1</v>
      </c>
      <c r="C445" t="str">
        <f t="shared" si="54"/>
        <v>test.StructurePanel_1_</v>
      </c>
      <c r="D445">
        <v>7</v>
      </c>
      <c r="E445" s="4">
        <v>0.85106382978723405</v>
      </c>
      <c r="F445" s="4">
        <v>0.24825581395348836</v>
      </c>
      <c r="G445" s="4" t="str">
        <f t="shared" si="55"/>
        <v/>
      </c>
      <c r="H445" s="4">
        <f t="shared" si="56"/>
        <v>0.85106382978723405</v>
      </c>
      <c r="I445" s="4" t="str">
        <f t="shared" si="57"/>
        <v/>
      </c>
      <c r="J445" s="4" t="str">
        <f t="shared" si="58"/>
        <v/>
      </c>
      <c r="K445" s="4" t="str">
        <f t="shared" si="59"/>
        <v/>
      </c>
      <c r="L445" s="4" t="str">
        <f t="shared" si="60"/>
        <v/>
      </c>
      <c r="M445" s="4"/>
      <c r="N445" s="4"/>
      <c r="O445" s="4"/>
      <c r="P445" s="4"/>
      <c r="Q445" s="4"/>
      <c r="R445" s="4"/>
      <c r="S445" s="4"/>
      <c r="T445" s="4"/>
      <c r="U445" s="4"/>
    </row>
    <row r="446" spans="1:21">
      <c r="A446" t="s">
        <v>228</v>
      </c>
      <c r="B446">
        <v>1</v>
      </c>
      <c r="C446" t="str">
        <f t="shared" si="54"/>
        <v>test.StructurePanel_1_</v>
      </c>
      <c r="D446">
        <v>8</v>
      </c>
      <c r="E446" s="4">
        <v>1</v>
      </c>
      <c r="F446" s="4">
        <v>0.30019379844961241</v>
      </c>
      <c r="G446" s="4" t="str">
        <f t="shared" si="55"/>
        <v/>
      </c>
      <c r="H446" s="4">
        <f t="shared" si="56"/>
        <v>1</v>
      </c>
      <c r="I446" s="4" t="str">
        <f t="shared" si="57"/>
        <v/>
      </c>
      <c r="J446" s="4" t="str">
        <f t="shared" si="58"/>
        <v/>
      </c>
      <c r="K446" s="4" t="str">
        <f t="shared" si="59"/>
        <v/>
      </c>
      <c r="L446" s="4" t="str">
        <f t="shared" si="60"/>
        <v/>
      </c>
      <c r="M446" s="4"/>
      <c r="N446" s="4"/>
      <c r="O446" s="4"/>
      <c r="P446" s="4"/>
      <c r="Q446" s="4"/>
      <c r="R446" s="4"/>
      <c r="S446" s="4"/>
      <c r="T446" s="4"/>
      <c r="U446" s="4"/>
    </row>
    <row r="447" spans="1:21">
      <c r="A447" t="s">
        <v>230</v>
      </c>
      <c r="B447">
        <v>1</v>
      </c>
      <c r="C447" t="str">
        <f t="shared" si="54"/>
        <v>test.WorldController_1_</v>
      </c>
      <c r="D447">
        <v>1</v>
      </c>
      <c r="E447" s="4">
        <v>0.21301775147928995</v>
      </c>
      <c r="F447" s="4">
        <v>0.20820329915292018</v>
      </c>
      <c r="G447" s="4" t="str">
        <f t="shared" si="55"/>
        <v/>
      </c>
      <c r="H447" s="4">
        <f t="shared" si="56"/>
        <v>0.21301775147928995</v>
      </c>
      <c r="I447" s="4" t="str">
        <f t="shared" si="57"/>
        <v/>
      </c>
      <c r="J447" s="4" t="str">
        <f t="shared" si="58"/>
        <v/>
      </c>
      <c r="K447" s="4" t="str">
        <f t="shared" si="59"/>
        <v/>
      </c>
      <c r="L447" s="4" t="str">
        <f t="shared" si="60"/>
        <v/>
      </c>
      <c r="M447" s="4"/>
      <c r="N447" s="4"/>
      <c r="O447" s="4"/>
      <c r="P447" s="4"/>
      <c r="Q447" s="4"/>
      <c r="R447" s="4"/>
      <c r="S447" s="4"/>
      <c r="T447" s="4"/>
      <c r="U447" s="4"/>
    </row>
    <row r="448" spans="1:21">
      <c r="A448" t="s">
        <v>230</v>
      </c>
      <c r="B448">
        <v>1</v>
      </c>
      <c r="C448" t="str">
        <f t="shared" si="54"/>
        <v>test.WorldController_1_</v>
      </c>
      <c r="D448">
        <v>2</v>
      </c>
      <c r="E448" s="4">
        <v>0.40828402366863903</v>
      </c>
      <c r="F448" s="4">
        <v>0.24357259622529351</v>
      </c>
      <c r="G448" s="4" t="str">
        <f t="shared" si="55"/>
        <v/>
      </c>
      <c r="H448" s="4">
        <f t="shared" si="56"/>
        <v>0.40828402366863903</v>
      </c>
      <c r="I448" s="4" t="str">
        <f t="shared" si="57"/>
        <v/>
      </c>
      <c r="J448" s="4" t="str">
        <f t="shared" si="58"/>
        <v/>
      </c>
      <c r="K448" s="4" t="str">
        <f t="shared" si="59"/>
        <v/>
      </c>
      <c r="L448" s="4" t="str">
        <f t="shared" si="60"/>
        <v/>
      </c>
      <c r="M448" s="4"/>
      <c r="N448" s="4"/>
      <c r="O448" s="4"/>
      <c r="P448" s="4"/>
      <c r="Q448" s="4"/>
      <c r="R448" s="4"/>
      <c r="S448" s="4"/>
      <c r="T448" s="4"/>
      <c r="U448" s="4"/>
    </row>
    <row r="449" spans="1:21">
      <c r="A449" t="s">
        <v>230</v>
      </c>
      <c r="B449">
        <v>1</v>
      </c>
      <c r="C449" t="str">
        <f t="shared" si="54"/>
        <v>test.WorldController_1_</v>
      </c>
      <c r="D449">
        <v>3</v>
      </c>
      <c r="E449" s="4">
        <v>0.60355029585798814</v>
      </c>
      <c r="F449" s="4">
        <v>0.25837420121860605</v>
      </c>
      <c r="G449" s="4" t="str">
        <f t="shared" si="55"/>
        <v/>
      </c>
      <c r="H449" s="4">
        <f t="shared" si="56"/>
        <v>0.60355029585798814</v>
      </c>
      <c r="I449" s="4" t="str">
        <f t="shared" si="57"/>
        <v/>
      </c>
      <c r="J449" s="4" t="str">
        <f t="shared" si="58"/>
        <v/>
      </c>
      <c r="K449" s="4" t="str">
        <f t="shared" si="59"/>
        <v/>
      </c>
      <c r="L449" s="4" t="str">
        <f t="shared" si="60"/>
        <v/>
      </c>
      <c r="M449" s="4"/>
      <c r="N449" s="4"/>
      <c r="O449" s="4"/>
      <c r="P449" s="4"/>
      <c r="Q449" s="4"/>
      <c r="R449" s="4"/>
      <c r="S449" s="4"/>
      <c r="T449" s="4"/>
      <c r="U449" s="4"/>
    </row>
    <row r="450" spans="1:21">
      <c r="A450" t="s">
        <v>230</v>
      </c>
      <c r="B450">
        <v>1</v>
      </c>
      <c r="C450" t="str">
        <f t="shared" si="54"/>
        <v>test.WorldController_1_</v>
      </c>
      <c r="D450">
        <v>4</v>
      </c>
      <c r="E450" s="4">
        <v>0.79881656804733725</v>
      </c>
      <c r="F450" s="4">
        <v>0.27463218903254571</v>
      </c>
      <c r="G450" s="4" t="str">
        <f t="shared" si="55"/>
        <v/>
      </c>
      <c r="H450" s="4">
        <f t="shared" si="56"/>
        <v>0.79881656804733725</v>
      </c>
      <c r="I450" s="4" t="str">
        <f t="shared" si="57"/>
        <v/>
      </c>
      <c r="J450" s="4" t="str">
        <f t="shared" si="58"/>
        <v/>
      </c>
      <c r="K450" s="4" t="str">
        <f t="shared" si="59"/>
        <v/>
      </c>
      <c r="L450" s="4" t="str">
        <f t="shared" si="60"/>
        <v/>
      </c>
      <c r="M450" s="4"/>
      <c r="N450" s="4"/>
      <c r="O450" s="4"/>
      <c r="P450" s="4"/>
      <c r="Q450" s="4"/>
      <c r="R450" s="4"/>
      <c r="S450" s="4"/>
      <c r="T450" s="4"/>
      <c r="U450" s="4"/>
    </row>
    <row r="451" spans="1:21">
      <c r="A451" t="s">
        <v>230</v>
      </c>
      <c r="B451">
        <v>1</v>
      </c>
      <c r="C451" t="str">
        <f t="shared" ref="C451:C514" si="61">CONCATENATE(A451, "_",B451,"_")</f>
        <v>test.WorldController_1_</v>
      </c>
      <c r="D451">
        <v>5</v>
      </c>
      <c r="E451" s="4">
        <v>1</v>
      </c>
      <c r="F451" s="4">
        <v>0.28857185317283401</v>
      </c>
      <c r="G451" s="4" t="str">
        <f t="shared" ref="G451:G514" si="62">IF($F451 &lt;= 0.2,$E451,"")</f>
        <v/>
      </c>
      <c r="H451" s="4">
        <f t="shared" ref="H451:H514" si="63">IF(AND($F451 &gt; 0.2,$F451 &lt;= 0.4),$E451,"")</f>
        <v>1</v>
      </c>
      <c r="I451" s="4" t="str">
        <f t="shared" ref="I451:I514" si="64">IF(AND($F451 &gt; 0.4,$F451 &lt;= 0.6),$E451,"")</f>
        <v/>
      </c>
      <c r="J451" s="4" t="str">
        <f t="shared" ref="J451:J514" si="65">IF(AND($F451 &gt; 0.6,$F451 &lt;= 0.8),$E451,"")</f>
        <v/>
      </c>
      <c r="K451" s="4" t="str">
        <f t="shared" ref="K451:K514" si="66">IF(AND($F451 &gt; 0.8, $F451 &lt;=1.1),$E451,"")</f>
        <v/>
      </c>
      <c r="L451" s="4" t="str">
        <f t="shared" ref="L451:L514" si="67">IF(AND($F451 &gt; 1.1),$E451,"")</f>
        <v/>
      </c>
      <c r="M451" s="4"/>
      <c r="N451" s="4"/>
      <c r="O451" s="4"/>
      <c r="P451" s="4"/>
      <c r="Q451" s="4"/>
      <c r="R451" s="4"/>
      <c r="S451" s="4"/>
      <c r="T451" s="4"/>
      <c r="U451" s="4"/>
    </row>
    <row r="452" spans="1:21">
      <c r="A452" t="s">
        <v>231</v>
      </c>
      <c r="B452">
        <v>5</v>
      </c>
      <c r="C452" t="str">
        <f t="shared" si="61"/>
        <v>test.TIFFFaxDecoder_5_</v>
      </c>
      <c r="D452">
        <v>1</v>
      </c>
      <c r="E452" s="4">
        <v>0.31707317073170732</v>
      </c>
      <c r="F452" s="4">
        <v>0.2001037647135121</v>
      </c>
      <c r="G452" s="4" t="str">
        <f t="shared" si="62"/>
        <v/>
      </c>
      <c r="H452" s="4">
        <f t="shared" si="63"/>
        <v>0.31707317073170732</v>
      </c>
      <c r="I452" s="4" t="str">
        <f t="shared" si="64"/>
        <v/>
      </c>
      <c r="J452" s="4" t="str">
        <f t="shared" si="65"/>
        <v/>
      </c>
      <c r="K452" s="4" t="str">
        <f t="shared" si="66"/>
        <v/>
      </c>
      <c r="L452" s="4" t="str">
        <f t="shared" si="67"/>
        <v/>
      </c>
      <c r="M452" s="4"/>
      <c r="N452" s="4"/>
      <c r="O452" s="4"/>
      <c r="P452" s="4"/>
      <c r="Q452" s="4"/>
      <c r="R452" s="4"/>
      <c r="S452" s="4"/>
      <c r="T452" s="4"/>
      <c r="U452" s="4"/>
    </row>
    <row r="453" spans="1:21">
      <c r="A453" t="s">
        <v>231</v>
      </c>
      <c r="B453">
        <v>5</v>
      </c>
      <c r="C453" t="str">
        <f t="shared" si="61"/>
        <v>test.TIFFFaxDecoder_5_</v>
      </c>
      <c r="D453">
        <v>2</v>
      </c>
      <c r="E453" s="4">
        <v>0.35772357723577236</v>
      </c>
      <c r="F453" s="4">
        <v>0.2044813385648043</v>
      </c>
      <c r="G453" s="4" t="str">
        <f t="shared" si="62"/>
        <v/>
      </c>
      <c r="H453" s="4">
        <f t="shared" si="63"/>
        <v>0.35772357723577236</v>
      </c>
      <c r="I453" s="4" t="str">
        <f t="shared" si="64"/>
        <v/>
      </c>
      <c r="J453" s="4" t="str">
        <f t="shared" si="65"/>
        <v/>
      </c>
      <c r="K453" s="4" t="str">
        <f t="shared" si="66"/>
        <v/>
      </c>
      <c r="L453" s="4" t="str">
        <f t="shared" si="67"/>
        <v/>
      </c>
      <c r="M453" s="4"/>
      <c r="N453" s="4"/>
      <c r="O453" s="4"/>
      <c r="P453" s="4"/>
      <c r="Q453" s="4"/>
      <c r="R453" s="4"/>
      <c r="S453" s="4"/>
      <c r="T453" s="4"/>
      <c r="U453" s="4"/>
    </row>
    <row r="454" spans="1:21">
      <c r="A454" t="s">
        <v>231</v>
      </c>
      <c r="B454">
        <v>5</v>
      </c>
      <c r="C454" t="str">
        <f t="shared" si="61"/>
        <v>test.TIFFFaxDecoder_5_</v>
      </c>
      <c r="D454">
        <v>3</v>
      </c>
      <c r="E454" s="4">
        <v>0.44715447154471544</v>
      </c>
      <c r="F454" s="4">
        <v>0.30260384577969457</v>
      </c>
      <c r="G454" s="4" t="str">
        <f t="shared" si="62"/>
        <v/>
      </c>
      <c r="H454" s="4">
        <f t="shared" si="63"/>
        <v>0.44715447154471544</v>
      </c>
      <c r="I454" s="4" t="str">
        <f t="shared" si="64"/>
        <v/>
      </c>
      <c r="J454" s="4" t="str">
        <f t="shared" si="65"/>
        <v/>
      </c>
      <c r="K454" s="4" t="str">
        <f t="shared" si="66"/>
        <v/>
      </c>
      <c r="L454" s="4" t="str">
        <f t="shared" si="67"/>
        <v/>
      </c>
      <c r="M454" s="4"/>
      <c r="N454" s="4"/>
      <c r="O454" s="4"/>
      <c r="P454" s="4"/>
      <c r="Q454" s="4"/>
      <c r="R454" s="4"/>
      <c r="S454" s="4"/>
      <c r="T454" s="4"/>
      <c r="U454" s="4"/>
    </row>
    <row r="455" spans="1:21">
      <c r="A455" t="s">
        <v>231</v>
      </c>
      <c r="B455">
        <v>5</v>
      </c>
      <c r="C455" t="str">
        <f t="shared" si="61"/>
        <v>test.TIFFFaxDecoder_5_</v>
      </c>
      <c r="D455">
        <v>4</v>
      </c>
      <c r="E455" s="4">
        <v>0.57723577235772361</v>
      </c>
      <c r="F455" s="4">
        <v>0.48698077110152727</v>
      </c>
      <c r="G455" s="4" t="str">
        <f t="shared" si="62"/>
        <v/>
      </c>
      <c r="H455" s="4" t="str">
        <f t="shared" si="63"/>
        <v/>
      </c>
      <c r="I455" s="4">
        <f t="shared" si="64"/>
        <v>0.57723577235772361</v>
      </c>
      <c r="J455" s="4" t="str">
        <f t="shared" si="65"/>
        <v/>
      </c>
      <c r="K455" s="4" t="str">
        <f t="shared" si="66"/>
        <v/>
      </c>
      <c r="L455" s="4" t="str">
        <f t="shared" si="67"/>
        <v/>
      </c>
      <c r="M455" s="4"/>
      <c r="N455" s="4"/>
      <c r="O455" s="4"/>
      <c r="P455" s="4"/>
      <c r="Q455" s="4"/>
      <c r="R455" s="4"/>
      <c r="S455" s="4"/>
      <c r="T455" s="4"/>
      <c r="U455" s="4"/>
    </row>
    <row r="456" spans="1:21">
      <c r="A456" t="s">
        <v>231</v>
      </c>
      <c r="B456">
        <v>5</v>
      </c>
      <c r="C456" t="str">
        <f t="shared" si="61"/>
        <v>test.TIFFFaxDecoder_5_</v>
      </c>
      <c r="D456">
        <v>5</v>
      </c>
      <c r="E456" s="4">
        <v>1</v>
      </c>
      <c r="F456" s="4">
        <v>0.66688284315315027</v>
      </c>
      <c r="G456" s="4" t="str">
        <f t="shared" si="62"/>
        <v/>
      </c>
      <c r="H456" s="4" t="str">
        <f t="shared" si="63"/>
        <v/>
      </c>
      <c r="I456" s="4" t="str">
        <f t="shared" si="64"/>
        <v/>
      </c>
      <c r="J456" s="4">
        <f t="shared" si="65"/>
        <v>1</v>
      </c>
      <c r="K456" s="4" t="str">
        <f t="shared" si="66"/>
        <v/>
      </c>
      <c r="L456" s="4" t="str">
        <f t="shared" si="67"/>
        <v/>
      </c>
      <c r="M456" s="4"/>
      <c r="N456" s="4"/>
      <c r="O456" s="4"/>
      <c r="P456" s="4"/>
      <c r="Q456" s="4"/>
      <c r="R456" s="4"/>
      <c r="S456" s="4"/>
      <c r="T456" s="4"/>
      <c r="U456" s="4"/>
    </row>
    <row r="457" spans="1:21">
      <c r="A457" t="s">
        <v>231</v>
      </c>
      <c r="B457">
        <v>7</v>
      </c>
      <c r="C457" t="str">
        <f t="shared" si="61"/>
        <v>test.TIFFFaxDecoder_7_</v>
      </c>
      <c r="D457">
        <v>1</v>
      </c>
      <c r="E457" s="4">
        <v>0.30303030303030304</v>
      </c>
      <c r="F457" s="4">
        <v>0.28599801390268126</v>
      </c>
      <c r="G457" s="4" t="str">
        <f t="shared" si="62"/>
        <v/>
      </c>
      <c r="H457" s="4">
        <f t="shared" si="63"/>
        <v>0.30303030303030304</v>
      </c>
      <c r="I457" s="4" t="str">
        <f t="shared" si="64"/>
        <v/>
      </c>
      <c r="J457" s="4" t="str">
        <f t="shared" si="65"/>
        <v/>
      </c>
      <c r="K457" s="4" t="str">
        <f t="shared" si="66"/>
        <v/>
      </c>
      <c r="L457" s="4" t="str">
        <f t="shared" si="67"/>
        <v/>
      </c>
      <c r="M457" s="4"/>
      <c r="N457" s="4"/>
      <c r="O457" s="4"/>
      <c r="P457" s="4"/>
      <c r="Q457" s="4"/>
      <c r="R457" s="4"/>
      <c r="S457" s="4"/>
      <c r="T457" s="4"/>
      <c r="U457" s="4"/>
    </row>
    <row r="458" spans="1:21">
      <c r="A458" t="s">
        <v>231</v>
      </c>
      <c r="B458">
        <v>7</v>
      </c>
      <c r="C458" t="str">
        <f t="shared" si="61"/>
        <v>test.TIFFFaxDecoder_7_</v>
      </c>
      <c r="D458">
        <v>2</v>
      </c>
      <c r="E458" s="4">
        <v>0.66666666666666663</v>
      </c>
      <c r="F458" s="4">
        <v>0.52432969215491554</v>
      </c>
      <c r="G458" s="4" t="str">
        <f t="shared" si="62"/>
        <v/>
      </c>
      <c r="H458" s="4" t="str">
        <f t="shared" si="63"/>
        <v/>
      </c>
      <c r="I458" s="4">
        <f t="shared" si="64"/>
        <v>0.66666666666666663</v>
      </c>
      <c r="J458" s="4" t="str">
        <f t="shared" si="65"/>
        <v/>
      </c>
      <c r="K458" s="4" t="str">
        <f t="shared" si="66"/>
        <v/>
      </c>
      <c r="L458" s="4" t="str">
        <f t="shared" si="67"/>
        <v/>
      </c>
      <c r="M458" s="4"/>
      <c r="N458" s="4"/>
      <c r="O458" s="4"/>
      <c r="P458" s="4"/>
      <c r="Q458" s="4"/>
      <c r="R458" s="4"/>
      <c r="S458" s="4"/>
      <c r="T458" s="4"/>
      <c r="U458" s="4"/>
    </row>
    <row r="459" spans="1:21">
      <c r="A459" t="s">
        <v>231</v>
      </c>
      <c r="B459">
        <v>7</v>
      </c>
      <c r="C459" t="str">
        <f t="shared" si="61"/>
        <v>test.TIFFFaxDecoder_7_</v>
      </c>
      <c r="D459">
        <v>3</v>
      </c>
      <c r="E459" s="4">
        <v>1</v>
      </c>
      <c r="F459" s="4">
        <v>0.86593843098311818</v>
      </c>
      <c r="G459" s="4" t="str">
        <f t="shared" si="62"/>
        <v/>
      </c>
      <c r="H459" s="4" t="str">
        <f t="shared" si="63"/>
        <v/>
      </c>
      <c r="I459" s="4" t="str">
        <f t="shared" si="64"/>
        <v/>
      </c>
      <c r="J459" s="4" t="str">
        <f t="shared" si="65"/>
        <v/>
      </c>
      <c r="K459" s="4">
        <f t="shared" si="66"/>
        <v>1</v>
      </c>
      <c r="L459" s="4" t="str">
        <f t="shared" si="67"/>
        <v/>
      </c>
      <c r="M459" s="4"/>
      <c r="N459" s="4"/>
      <c r="O459" s="4"/>
      <c r="P459" s="4"/>
      <c r="Q459" s="4"/>
      <c r="R459" s="4"/>
      <c r="S459" s="4"/>
      <c r="T459" s="4"/>
      <c r="U459" s="4"/>
    </row>
    <row r="460" spans="1:21">
      <c r="A460" t="s">
        <v>231</v>
      </c>
      <c r="B460">
        <v>9</v>
      </c>
      <c r="C460" t="str">
        <f t="shared" si="61"/>
        <v>test.TIFFFaxDecoder_9_</v>
      </c>
      <c r="D460">
        <v>1</v>
      </c>
      <c r="E460" s="4">
        <v>0.19444444444444445</v>
      </c>
      <c r="F460" s="4">
        <v>0.23691460055096419</v>
      </c>
      <c r="G460" s="4" t="str">
        <f t="shared" si="62"/>
        <v/>
      </c>
      <c r="H460" s="4">
        <f t="shared" si="63"/>
        <v>0.19444444444444445</v>
      </c>
      <c r="I460" s="4" t="str">
        <f t="shared" si="64"/>
        <v/>
      </c>
      <c r="J460" s="4" t="str">
        <f t="shared" si="65"/>
        <v/>
      </c>
      <c r="K460" s="4" t="str">
        <f t="shared" si="66"/>
        <v/>
      </c>
      <c r="L460" s="4" t="str">
        <f t="shared" si="67"/>
        <v/>
      </c>
      <c r="M460" s="4"/>
      <c r="N460" s="4"/>
      <c r="O460" s="4"/>
      <c r="P460" s="4"/>
      <c r="Q460" s="4"/>
      <c r="R460" s="4"/>
      <c r="S460" s="4"/>
      <c r="T460" s="4"/>
      <c r="U460" s="4"/>
    </row>
    <row r="461" spans="1:21">
      <c r="A461" t="s">
        <v>231</v>
      </c>
      <c r="B461">
        <v>9</v>
      </c>
      <c r="C461" t="str">
        <f t="shared" si="61"/>
        <v>test.TIFFFaxDecoder_9_</v>
      </c>
      <c r="D461">
        <v>2</v>
      </c>
      <c r="E461" s="4">
        <v>0.22222222222222221</v>
      </c>
      <c r="F461" s="4">
        <v>0.24609733700642791</v>
      </c>
      <c r="G461" s="4" t="str">
        <f t="shared" si="62"/>
        <v/>
      </c>
      <c r="H461" s="4">
        <f t="shared" si="63"/>
        <v>0.22222222222222221</v>
      </c>
      <c r="I461" s="4" t="str">
        <f t="shared" si="64"/>
        <v/>
      </c>
      <c r="J461" s="4" t="str">
        <f t="shared" si="65"/>
        <v/>
      </c>
      <c r="K461" s="4" t="str">
        <f t="shared" si="66"/>
        <v/>
      </c>
      <c r="L461" s="4" t="str">
        <f t="shared" si="67"/>
        <v/>
      </c>
      <c r="M461" s="4"/>
      <c r="N461" s="4"/>
      <c r="O461" s="4"/>
      <c r="P461" s="4"/>
      <c r="Q461" s="4"/>
      <c r="R461" s="4"/>
      <c r="S461" s="4"/>
      <c r="T461" s="4"/>
      <c r="U461" s="4"/>
    </row>
    <row r="462" spans="1:21">
      <c r="A462" t="s">
        <v>231</v>
      </c>
      <c r="B462">
        <v>9</v>
      </c>
      <c r="C462" t="str">
        <f t="shared" si="61"/>
        <v>test.TIFFFaxDecoder_9_</v>
      </c>
      <c r="D462">
        <v>3</v>
      </c>
      <c r="E462" s="4">
        <v>0.33333333333333331</v>
      </c>
      <c r="F462" s="4">
        <v>0.25068870523415976</v>
      </c>
      <c r="G462" s="4" t="str">
        <f t="shared" si="62"/>
        <v/>
      </c>
      <c r="H462" s="4">
        <f t="shared" si="63"/>
        <v>0.33333333333333331</v>
      </c>
      <c r="I462" s="4" t="str">
        <f t="shared" si="64"/>
        <v/>
      </c>
      <c r="J462" s="4" t="str">
        <f t="shared" si="65"/>
        <v/>
      </c>
      <c r="K462" s="4" t="str">
        <f t="shared" si="66"/>
        <v/>
      </c>
      <c r="L462" s="4" t="str">
        <f t="shared" si="67"/>
        <v/>
      </c>
      <c r="M462" s="4"/>
      <c r="N462" s="4"/>
      <c r="O462" s="4"/>
      <c r="P462" s="4"/>
      <c r="Q462" s="4"/>
      <c r="R462" s="4"/>
      <c r="S462" s="4"/>
      <c r="T462" s="4"/>
      <c r="U462" s="4"/>
    </row>
    <row r="463" spans="1:21">
      <c r="A463" t="s">
        <v>231</v>
      </c>
      <c r="B463">
        <v>9</v>
      </c>
      <c r="C463" t="str">
        <f t="shared" si="61"/>
        <v>test.TIFFFaxDecoder_9_</v>
      </c>
      <c r="D463">
        <v>4</v>
      </c>
      <c r="E463" s="4">
        <v>0.47222222222222221</v>
      </c>
      <c r="F463" s="4">
        <v>0.27915518824609736</v>
      </c>
      <c r="G463" s="4" t="str">
        <f t="shared" si="62"/>
        <v/>
      </c>
      <c r="H463" s="4">
        <f t="shared" si="63"/>
        <v>0.47222222222222221</v>
      </c>
      <c r="I463" s="4" t="str">
        <f t="shared" si="64"/>
        <v/>
      </c>
      <c r="J463" s="4" t="str">
        <f t="shared" si="65"/>
        <v/>
      </c>
      <c r="K463" s="4" t="str">
        <f t="shared" si="66"/>
        <v/>
      </c>
      <c r="L463" s="4" t="str">
        <f t="shared" si="67"/>
        <v/>
      </c>
      <c r="M463" s="4"/>
      <c r="N463" s="4"/>
      <c r="O463" s="4"/>
      <c r="P463" s="4"/>
      <c r="Q463" s="4"/>
      <c r="R463" s="4"/>
      <c r="S463" s="4"/>
      <c r="T463" s="4"/>
      <c r="U463" s="4"/>
    </row>
    <row r="464" spans="1:21">
      <c r="A464" t="s">
        <v>231</v>
      </c>
      <c r="B464">
        <v>9</v>
      </c>
      <c r="C464" t="str">
        <f t="shared" si="61"/>
        <v>test.TIFFFaxDecoder_9_</v>
      </c>
      <c r="D464">
        <v>5</v>
      </c>
      <c r="E464" s="4">
        <v>0.52777777777777779</v>
      </c>
      <c r="F464" s="4">
        <v>0.30762167125803491</v>
      </c>
      <c r="G464" s="4" t="str">
        <f t="shared" si="62"/>
        <v/>
      </c>
      <c r="H464" s="4">
        <f t="shared" si="63"/>
        <v>0.52777777777777779</v>
      </c>
      <c r="I464" s="4" t="str">
        <f t="shared" si="64"/>
        <v/>
      </c>
      <c r="J464" s="4" t="str">
        <f t="shared" si="65"/>
        <v/>
      </c>
      <c r="K464" s="4" t="str">
        <f t="shared" si="66"/>
        <v/>
      </c>
      <c r="L464" s="4" t="str">
        <f t="shared" si="67"/>
        <v/>
      </c>
      <c r="M464" s="4"/>
      <c r="N464" s="4"/>
      <c r="O464" s="4"/>
      <c r="P464" s="4"/>
      <c r="Q464" s="4"/>
      <c r="R464" s="4"/>
      <c r="S464" s="4"/>
      <c r="T464" s="4"/>
      <c r="U464" s="4"/>
    </row>
    <row r="465" spans="1:21">
      <c r="A465" t="s">
        <v>231</v>
      </c>
      <c r="B465">
        <v>9</v>
      </c>
      <c r="C465" t="str">
        <f t="shared" si="61"/>
        <v>test.TIFFFaxDecoder_9_</v>
      </c>
      <c r="D465">
        <v>6</v>
      </c>
      <c r="E465" s="4">
        <v>0.55555555555555558</v>
      </c>
      <c r="F465" s="4">
        <v>0.31404958677685951</v>
      </c>
      <c r="G465" s="4" t="str">
        <f t="shared" si="62"/>
        <v/>
      </c>
      <c r="H465" s="4">
        <f t="shared" si="63"/>
        <v>0.55555555555555558</v>
      </c>
      <c r="I465" s="4" t="str">
        <f t="shared" si="64"/>
        <v/>
      </c>
      <c r="J465" s="4" t="str">
        <f t="shared" si="65"/>
        <v/>
      </c>
      <c r="K465" s="4" t="str">
        <f t="shared" si="66"/>
        <v/>
      </c>
      <c r="L465" s="4" t="str">
        <f t="shared" si="67"/>
        <v/>
      </c>
      <c r="M465" s="4"/>
      <c r="N465" s="4"/>
      <c r="O465" s="4"/>
      <c r="P465" s="4"/>
      <c r="Q465" s="4"/>
      <c r="R465" s="4"/>
      <c r="S465" s="4"/>
      <c r="T465" s="4"/>
      <c r="U465" s="4"/>
    </row>
    <row r="466" spans="1:21">
      <c r="A466" t="s">
        <v>231</v>
      </c>
      <c r="B466">
        <v>9</v>
      </c>
      <c r="C466" t="str">
        <f t="shared" si="61"/>
        <v>test.TIFFFaxDecoder_9_</v>
      </c>
      <c r="D466">
        <v>7</v>
      </c>
      <c r="E466" s="4">
        <v>0.63888888888888884</v>
      </c>
      <c r="F466" s="4">
        <v>0.31496786042240588</v>
      </c>
      <c r="G466" s="4" t="str">
        <f t="shared" si="62"/>
        <v/>
      </c>
      <c r="H466" s="4">
        <f t="shared" si="63"/>
        <v>0.63888888888888884</v>
      </c>
      <c r="I466" s="4" t="str">
        <f t="shared" si="64"/>
        <v/>
      </c>
      <c r="J466" s="4" t="str">
        <f t="shared" si="65"/>
        <v/>
      </c>
      <c r="K466" s="4" t="str">
        <f t="shared" si="66"/>
        <v/>
      </c>
      <c r="L466" s="4" t="str">
        <f t="shared" si="67"/>
        <v/>
      </c>
      <c r="M466" s="4"/>
      <c r="N466" s="4"/>
      <c r="O466" s="4"/>
      <c r="P466" s="4"/>
      <c r="Q466" s="4"/>
      <c r="R466" s="4"/>
      <c r="S466" s="4"/>
      <c r="T466" s="4"/>
      <c r="U466" s="4"/>
    </row>
    <row r="467" spans="1:21">
      <c r="A467" t="s">
        <v>231</v>
      </c>
      <c r="B467">
        <v>9</v>
      </c>
      <c r="C467" t="str">
        <f t="shared" si="61"/>
        <v>test.TIFFFaxDecoder_9_</v>
      </c>
      <c r="D467">
        <v>8</v>
      </c>
      <c r="E467" s="4">
        <v>0.66666666666666663</v>
      </c>
      <c r="F467" s="4">
        <v>0.31772268135904502</v>
      </c>
      <c r="G467" s="4" t="str">
        <f t="shared" si="62"/>
        <v/>
      </c>
      <c r="H467" s="4">
        <f t="shared" si="63"/>
        <v>0.66666666666666663</v>
      </c>
      <c r="I467" s="4" t="str">
        <f t="shared" si="64"/>
        <v/>
      </c>
      <c r="J467" s="4" t="str">
        <f t="shared" si="65"/>
        <v/>
      </c>
      <c r="K467" s="4" t="str">
        <f t="shared" si="66"/>
        <v/>
      </c>
      <c r="L467" s="4" t="str">
        <f t="shared" si="67"/>
        <v/>
      </c>
      <c r="M467" s="4"/>
      <c r="N467" s="4"/>
      <c r="O467" s="4"/>
      <c r="P467" s="4"/>
      <c r="Q467" s="4"/>
      <c r="R467" s="4"/>
      <c r="S467" s="4"/>
      <c r="T467" s="4"/>
      <c r="U467" s="4"/>
    </row>
    <row r="468" spans="1:21">
      <c r="A468" t="s">
        <v>231</v>
      </c>
      <c r="B468">
        <v>9</v>
      </c>
      <c r="C468" t="str">
        <f t="shared" si="61"/>
        <v>test.TIFFFaxDecoder_9_</v>
      </c>
      <c r="D468">
        <v>9</v>
      </c>
      <c r="E468" s="4">
        <v>0.66666666666666663</v>
      </c>
      <c r="F468" s="4">
        <v>0.31955922865013775</v>
      </c>
      <c r="G468" s="4" t="str">
        <f t="shared" si="62"/>
        <v/>
      </c>
      <c r="H468" s="4">
        <f t="shared" si="63"/>
        <v>0.66666666666666663</v>
      </c>
      <c r="I468" s="4" t="str">
        <f t="shared" si="64"/>
        <v/>
      </c>
      <c r="J468" s="4" t="str">
        <f t="shared" si="65"/>
        <v/>
      </c>
      <c r="K468" s="4" t="str">
        <f t="shared" si="66"/>
        <v/>
      </c>
      <c r="L468" s="4" t="str">
        <f t="shared" si="67"/>
        <v/>
      </c>
      <c r="M468" s="4"/>
      <c r="N468" s="4"/>
      <c r="O468" s="4"/>
      <c r="P468" s="4"/>
      <c r="Q468" s="4"/>
      <c r="R468" s="4"/>
      <c r="S468" s="4"/>
      <c r="T468" s="4"/>
      <c r="U468" s="4"/>
    </row>
    <row r="469" spans="1:21">
      <c r="A469" t="s">
        <v>231</v>
      </c>
      <c r="B469">
        <v>9</v>
      </c>
      <c r="C469" t="str">
        <f t="shared" si="61"/>
        <v>test.TIFFFaxDecoder_9_</v>
      </c>
      <c r="D469">
        <v>10</v>
      </c>
      <c r="E469" s="4">
        <v>0.66666666666666663</v>
      </c>
      <c r="F469" s="4">
        <v>0.32231404958677684</v>
      </c>
      <c r="G469" s="4" t="str">
        <f t="shared" si="62"/>
        <v/>
      </c>
      <c r="H469" s="4">
        <f t="shared" si="63"/>
        <v>0.66666666666666663</v>
      </c>
      <c r="I469" s="4" t="str">
        <f t="shared" si="64"/>
        <v/>
      </c>
      <c r="J469" s="4" t="str">
        <f t="shared" si="65"/>
        <v/>
      </c>
      <c r="K469" s="4" t="str">
        <f t="shared" si="66"/>
        <v/>
      </c>
      <c r="L469" s="4" t="str">
        <f t="shared" si="67"/>
        <v/>
      </c>
      <c r="M469" s="4"/>
      <c r="N469" s="4"/>
      <c r="O469" s="4"/>
      <c r="P469" s="4"/>
      <c r="Q469" s="4"/>
      <c r="R469" s="4"/>
      <c r="S469" s="4"/>
      <c r="T469" s="4"/>
      <c r="U469" s="4"/>
    </row>
    <row r="470" spans="1:21">
      <c r="A470" t="s">
        <v>231</v>
      </c>
      <c r="B470">
        <v>9</v>
      </c>
      <c r="C470" t="str">
        <f t="shared" si="61"/>
        <v>test.TIFFFaxDecoder_9_</v>
      </c>
      <c r="D470">
        <v>11</v>
      </c>
      <c r="E470" s="4">
        <v>0.66666666666666663</v>
      </c>
      <c r="F470" s="4">
        <v>0.32415059687786962</v>
      </c>
      <c r="G470" s="4" t="str">
        <f t="shared" si="62"/>
        <v/>
      </c>
      <c r="H470" s="4">
        <f t="shared" si="63"/>
        <v>0.66666666666666663</v>
      </c>
      <c r="I470" s="4" t="str">
        <f t="shared" si="64"/>
        <v/>
      </c>
      <c r="J470" s="4" t="str">
        <f t="shared" si="65"/>
        <v/>
      </c>
      <c r="K470" s="4" t="str">
        <f t="shared" si="66"/>
        <v/>
      </c>
      <c r="L470" s="4" t="str">
        <f t="shared" si="67"/>
        <v/>
      </c>
      <c r="M470" s="4"/>
      <c r="N470" s="4"/>
      <c r="O470" s="4"/>
      <c r="P470" s="4"/>
      <c r="Q470" s="4"/>
      <c r="R470" s="4"/>
      <c r="S470" s="4"/>
      <c r="T470" s="4"/>
      <c r="U470" s="4"/>
    </row>
    <row r="471" spans="1:21">
      <c r="A471" t="s">
        <v>231</v>
      </c>
      <c r="B471">
        <v>9</v>
      </c>
      <c r="C471" t="str">
        <f t="shared" si="61"/>
        <v>test.TIFFFaxDecoder_9_</v>
      </c>
      <c r="D471">
        <v>12</v>
      </c>
      <c r="E471" s="4">
        <v>0.66666666666666663</v>
      </c>
      <c r="F471" s="4">
        <v>0.38475665748393023</v>
      </c>
      <c r="G471" s="4" t="str">
        <f t="shared" si="62"/>
        <v/>
      </c>
      <c r="H471" s="4">
        <f t="shared" si="63"/>
        <v>0.66666666666666663</v>
      </c>
      <c r="I471" s="4" t="str">
        <f t="shared" si="64"/>
        <v/>
      </c>
      <c r="J471" s="4" t="str">
        <f t="shared" si="65"/>
        <v/>
      </c>
      <c r="K471" s="4" t="str">
        <f t="shared" si="66"/>
        <v/>
      </c>
      <c r="L471" s="4" t="str">
        <f t="shared" si="67"/>
        <v/>
      </c>
      <c r="M471" s="4"/>
      <c r="N471" s="4"/>
      <c r="O471" s="4"/>
      <c r="P471" s="4"/>
      <c r="Q471" s="4"/>
      <c r="R471" s="4"/>
      <c r="S471" s="4"/>
      <c r="T471" s="4"/>
      <c r="U471" s="4"/>
    </row>
    <row r="472" spans="1:21">
      <c r="A472" t="s">
        <v>231</v>
      </c>
      <c r="B472">
        <v>9</v>
      </c>
      <c r="C472" t="str">
        <f t="shared" si="61"/>
        <v>test.TIFFFaxDecoder_9_</v>
      </c>
      <c r="D472">
        <v>13</v>
      </c>
      <c r="E472" s="4">
        <v>0.66666666666666663</v>
      </c>
      <c r="F472" s="4">
        <v>0.3985307621671258</v>
      </c>
      <c r="G472" s="4" t="str">
        <f t="shared" si="62"/>
        <v/>
      </c>
      <c r="H472" s="4">
        <f t="shared" si="63"/>
        <v>0.66666666666666663</v>
      </c>
      <c r="I472" s="4" t="str">
        <f t="shared" si="64"/>
        <v/>
      </c>
      <c r="J472" s="4" t="str">
        <f t="shared" si="65"/>
        <v/>
      </c>
      <c r="K472" s="4" t="str">
        <f t="shared" si="66"/>
        <v/>
      </c>
      <c r="L472" s="4" t="str">
        <f t="shared" si="67"/>
        <v/>
      </c>
      <c r="M472" s="4"/>
      <c r="N472" s="4"/>
      <c r="O472" s="4"/>
      <c r="P472" s="4"/>
      <c r="Q472" s="4"/>
      <c r="R472" s="4"/>
      <c r="S472" s="4"/>
      <c r="T472" s="4"/>
      <c r="U472" s="4"/>
    </row>
    <row r="473" spans="1:21">
      <c r="A473" t="s">
        <v>231</v>
      </c>
      <c r="B473">
        <v>9</v>
      </c>
      <c r="C473" t="str">
        <f t="shared" si="61"/>
        <v>test.TIFFFaxDecoder_9_</v>
      </c>
      <c r="D473">
        <v>14</v>
      </c>
      <c r="E473" s="4">
        <v>0.77777777777777779</v>
      </c>
      <c r="F473" s="4">
        <v>0.45179063360881544</v>
      </c>
      <c r="G473" s="4" t="str">
        <f t="shared" si="62"/>
        <v/>
      </c>
      <c r="H473" s="4" t="str">
        <f t="shared" si="63"/>
        <v/>
      </c>
      <c r="I473" s="4">
        <f t="shared" si="64"/>
        <v>0.77777777777777779</v>
      </c>
      <c r="J473" s="4" t="str">
        <f t="shared" si="65"/>
        <v/>
      </c>
      <c r="K473" s="4" t="str">
        <f t="shared" si="66"/>
        <v/>
      </c>
      <c r="L473" s="4" t="str">
        <f t="shared" si="67"/>
        <v/>
      </c>
      <c r="M473" s="4"/>
      <c r="N473" s="4"/>
      <c r="O473" s="4"/>
      <c r="P473" s="4"/>
      <c r="Q473" s="4"/>
      <c r="R473" s="4"/>
      <c r="S473" s="4"/>
      <c r="T473" s="4"/>
      <c r="U473" s="4"/>
    </row>
    <row r="474" spans="1:21">
      <c r="A474" t="s">
        <v>231</v>
      </c>
      <c r="B474">
        <v>9</v>
      </c>
      <c r="C474" t="str">
        <f t="shared" si="61"/>
        <v>test.TIFFFaxDecoder_9_</v>
      </c>
      <c r="D474">
        <v>15</v>
      </c>
      <c r="E474" s="4">
        <v>0.97222222222222221</v>
      </c>
      <c r="F474" s="4">
        <v>0.61432506887052341</v>
      </c>
      <c r="G474" s="4" t="str">
        <f t="shared" si="62"/>
        <v/>
      </c>
      <c r="H474" s="4" t="str">
        <f t="shared" si="63"/>
        <v/>
      </c>
      <c r="I474" s="4" t="str">
        <f t="shared" si="64"/>
        <v/>
      </c>
      <c r="J474" s="4">
        <f t="shared" si="65"/>
        <v>0.97222222222222221</v>
      </c>
      <c r="K474" s="4" t="str">
        <f t="shared" si="66"/>
        <v/>
      </c>
      <c r="L474" s="4" t="str">
        <f t="shared" si="67"/>
        <v/>
      </c>
      <c r="M474" s="4"/>
      <c r="N474" s="4"/>
      <c r="O474" s="4"/>
      <c r="P474" s="4"/>
      <c r="Q474" s="4"/>
      <c r="R474" s="4"/>
      <c r="S474" s="4"/>
      <c r="T474" s="4"/>
      <c r="U474" s="4"/>
    </row>
    <row r="475" spans="1:21">
      <c r="A475" t="s">
        <v>231</v>
      </c>
      <c r="B475">
        <v>9</v>
      </c>
      <c r="C475" t="str">
        <f t="shared" si="61"/>
        <v>test.TIFFFaxDecoder_9_</v>
      </c>
      <c r="D475">
        <v>16</v>
      </c>
      <c r="E475" s="4">
        <v>0.97222222222222221</v>
      </c>
      <c r="F475" s="4">
        <v>0.63636363636363635</v>
      </c>
      <c r="G475" s="4" t="str">
        <f t="shared" si="62"/>
        <v/>
      </c>
      <c r="H475" s="4" t="str">
        <f t="shared" si="63"/>
        <v/>
      </c>
      <c r="I475" s="4" t="str">
        <f t="shared" si="64"/>
        <v/>
      </c>
      <c r="J475" s="4">
        <f t="shared" si="65"/>
        <v>0.97222222222222221</v>
      </c>
      <c r="K475" s="4" t="str">
        <f t="shared" si="66"/>
        <v/>
      </c>
      <c r="L475" s="4" t="str">
        <f t="shared" si="67"/>
        <v/>
      </c>
      <c r="M475" s="4"/>
      <c r="N475" s="4"/>
      <c r="O475" s="4"/>
      <c r="P475" s="4"/>
      <c r="Q475" s="4"/>
      <c r="R475" s="4"/>
      <c r="S475" s="4"/>
      <c r="T475" s="4"/>
      <c r="U475" s="4"/>
    </row>
    <row r="476" spans="1:21">
      <c r="A476" t="s">
        <v>231</v>
      </c>
      <c r="B476">
        <v>9</v>
      </c>
      <c r="C476" t="str">
        <f t="shared" si="61"/>
        <v>test.TIFFFaxDecoder_9_</v>
      </c>
      <c r="D476">
        <v>17</v>
      </c>
      <c r="E476" s="4">
        <v>1</v>
      </c>
      <c r="F476" s="4">
        <v>0.6831955922865014</v>
      </c>
      <c r="G476" s="4" t="str">
        <f t="shared" si="62"/>
        <v/>
      </c>
      <c r="H476" s="4" t="str">
        <f t="shared" si="63"/>
        <v/>
      </c>
      <c r="I476" s="4" t="str">
        <f t="shared" si="64"/>
        <v/>
      </c>
      <c r="J476" s="4">
        <f t="shared" si="65"/>
        <v>1</v>
      </c>
      <c r="K476" s="4" t="str">
        <f t="shared" si="66"/>
        <v/>
      </c>
      <c r="L476" s="4" t="str">
        <f t="shared" si="67"/>
        <v/>
      </c>
      <c r="M476" s="4"/>
      <c r="N476" s="4"/>
      <c r="O476" s="4"/>
      <c r="P476" s="4"/>
      <c r="Q476" s="4"/>
      <c r="R476" s="4"/>
      <c r="S476" s="4"/>
      <c r="T476" s="4"/>
      <c r="U476" s="4"/>
    </row>
    <row r="477" spans="1:21">
      <c r="A477" t="s">
        <v>231</v>
      </c>
      <c r="B477">
        <v>9</v>
      </c>
      <c r="C477" t="str">
        <f t="shared" si="61"/>
        <v>test.TIFFFaxDecoder_9_</v>
      </c>
      <c r="D477">
        <v>18</v>
      </c>
      <c r="E477" s="4">
        <v>1</v>
      </c>
      <c r="F477" s="4">
        <v>0.6960514233241506</v>
      </c>
      <c r="G477" s="4" t="str">
        <f t="shared" si="62"/>
        <v/>
      </c>
      <c r="H477" s="4" t="str">
        <f t="shared" si="63"/>
        <v/>
      </c>
      <c r="I477" s="4" t="str">
        <f t="shared" si="64"/>
        <v/>
      </c>
      <c r="J477" s="4">
        <f t="shared" si="65"/>
        <v>1</v>
      </c>
      <c r="K477" s="4" t="str">
        <f t="shared" si="66"/>
        <v/>
      </c>
      <c r="L477" s="4" t="str">
        <f t="shared" si="67"/>
        <v/>
      </c>
      <c r="M477" s="4"/>
      <c r="N477" s="4"/>
      <c r="O477" s="4"/>
      <c r="P477" s="4"/>
      <c r="Q477" s="4"/>
      <c r="R477" s="4"/>
      <c r="S477" s="4"/>
      <c r="T477" s="4"/>
      <c r="U477" s="4"/>
    </row>
    <row r="478" spans="1:21">
      <c r="A478" t="s">
        <v>231</v>
      </c>
      <c r="B478">
        <v>10</v>
      </c>
      <c r="C478" t="str">
        <f t="shared" si="61"/>
        <v>test.TIFFFaxDecoder_10_</v>
      </c>
      <c r="D478">
        <v>1</v>
      </c>
      <c r="E478" s="4">
        <v>0.9</v>
      </c>
      <c r="F478" s="4">
        <v>0.93565891472868212</v>
      </c>
      <c r="G478" s="4" t="str">
        <f t="shared" si="62"/>
        <v/>
      </c>
      <c r="H478" s="4" t="str">
        <f t="shared" si="63"/>
        <v/>
      </c>
      <c r="I478" s="4" t="str">
        <f t="shared" si="64"/>
        <v/>
      </c>
      <c r="J478" s="4" t="str">
        <f t="shared" si="65"/>
        <v/>
      </c>
      <c r="K478" s="4">
        <f t="shared" si="66"/>
        <v>0.9</v>
      </c>
      <c r="L478" s="4" t="str">
        <f t="shared" si="67"/>
        <v/>
      </c>
      <c r="M478" s="4"/>
      <c r="N478" s="4"/>
      <c r="O478" s="4"/>
      <c r="P478" s="4"/>
      <c r="Q478" s="4"/>
      <c r="R478" s="4"/>
      <c r="S478" s="4"/>
      <c r="T478" s="4"/>
      <c r="U478" s="4"/>
    </row>
    <row r="479" spans="1:21">
      <c r="A479" t="s">
        <v>231</v>
      </c>
      <c r="B479">
        <v>10</v>
      </c>
      <c r="C479" t="str">
        <f t="shared" si="61"/>
        <v>test.TIFFFaxDecoder_10_</v>
      </c>
      <c r="D479">
        <v>2</v>
      </c>
      <c r="E479" s="4">
        <v>1</v>
      </c>
      <c r="F479" s="4">
        <v>0.94418604651162785</v>
      </c>
      <c r="G479" s="4" t="str">
        <f t="shared" si="62"/>
        <v/>
      </c>
      <c r="H479" s="4" t="str">
        <f t="shared" si="63"/>
        <v/>
      </c>
      <c r="I479" s="4" t="str">
        <f t="shared" si="64"/>
        <v/>
      </c>
      <c r="J479" s="4" t="str">
        <f t="shared" si="65"/>
        <v/>
      </c>
      <c r="K479" s="4">
        <f t="shared" si="66"/>
        <v>1</v>
      </c>
      <c r="L479" s="4" t="str">
        <f t="shared" si="67"/>
        <v/>
      </c>
      <c r="M479" s="4"/>
      <c r="N479" s="4"/>
      <c r="O479" s="4"/>
      <c r="P479" s="4"/>
      <c r="Q479" s="4"/>
      <c r="R479" s="4"/>
      <c r="S479" s="4"/>
      <c r="T479" s="4"/>
      <c r="U479" s="4"/>
    </row>
    <row r="480" spans="1:21">
      <c r="A480" t="s">
        <v>231</v>
      </c>
      <c r="B480">
        <v>10</v>
      </c>
      <c r="C480" t="str">
        <f t="shared" si="61"/>
        <v>test.TIFFFaxDecoder_10_</v>
      </c>
      <c r="D480">
        <v>3</v>
      </c>
      <c r="E480" s="4">
        <v>1</v>
      </c>
      <c r="F480" s="4">
        <v>0.94961240310077522</v>
      </c>
      <c r="G480" s="4" t="str">
        <f t="shared" si="62"/>
        <v/>
      </c>
      <c r="H480" s="4" t="str">
        <f t="shared" si="63"/>
        <v/>
      </c>
      <c r="I480" s="4" t="str">
        <f t="shared" si="64"/>
        <v/>
      </c>
      <c r="J480" s="4" t="str">
        <f t="shared" si="65"/>
        <v/>
      </c>
      <c r="K480" s="4">
        <f t="shared" si="66"/>
        <v>1</v>
      </c>
      <c r="L480" s="4" t="str">
        <f t="shared" si="67"/>
        <v/>
      </c>
      <c r="M480" s="4"/>
      <c r="N480" s="4"/>
      <c r="O480" s="4"/>
      <c r="P480" s="4"/>
      <c r="Q480" s="4"/>
      <c r="R480" s="4"/>
      <c r="S480" s="4"/>
      <c r="T480" s="4"/>
      <c r="U480" s="4"/>
    </row>
    <row r="481" spans="1:21">
      <c r="A481" t="s">
        <v>231</v>
      </c>
      <c r="B481">
        <v>10</v>
      </c>
      <c r="C481" t="str">
        <f t="shared" si="61"/>
        <v>test.TIFFFaxDecoder_10_</v>
      </c>
      <c r="D481">
        <v>4</v>
      </c>
      <c r="E481" s="4">
        <v>1</v>
      </c>
      <c r="F481" s="4">
        <v>0.95038759689922481</v>
      </c>
      <c r="G481" s="4" t="str">
        <f t="shared" si="62"/>
        <v/>
      </c>
      <c r="H481" s="4" t="str">
        <f t="shared" si="63"/>
        <v/>
      </c>
      <c r="I481" s="4" t="str">
        <f t="shared" si="64"/>
        <v/>
      </c>
      <c r="J481" s="4" t="str">
        <f t="shared" si="65"/>
        <v/>
      </c>
      <c r="K481" s="4">
        <f t="shared" si="66"/>
        <v>1</v>
      </c>
      <c r="L481" s="4" t="str">
        <f t="shared" si="67"/>
        <v/>
      </c>
      <c r="M481" s="4"/>
      <c r="N481" s="4"/>
      <c r="O481" s="4"/>
      <c r="P481" s="4"/>
      <c r="Q481" s="4"/>
      <c r="R481" s="4"/>
      <c r="S481" s="4"/>
      <c r="T481" s="4"/>
      <c r="U481" s="4"/>
    </row>
    <row r="482" spans="1:21">
      <c r="A482" t="s">
        <v>231</v>
      </c>
      <c r="B482">
        <v>11</v>
      </c>
      <c r="C482" t="str">
        <f t="shared" si="61"/>
        <v>test.TIFFFaxDecoder_11_</v>
      </c>
      <c r="D482">
        <v>1</v>
      </c>
      <c r="E482" s="4">
        <v>7.9545454545454544E-2</v>
      </c>
      <c r="F482" s="4">
        <v>0.11521152115211521</v>
      </c>
      <c r="G482" s="4">
        <f t="shared" si="62"/>
        <v>7.9545454545454544E-2</v>
      </c>
      <c r="H482" s="4" t="str">
        <f t="shared" si="63"/>
        <v/>
      </c>
      <c r="I482" s="4" t="str">
        <f t="shared" si="64"/>
        <v/>
      </c>
      <c r="J482" s="4" t="str">
        <f t="shared" si="65"/>
        <v/>
      </c>
      <c r="K482" s="4" t="str">
        <f t="shared" si="66"/>
        <v/>
      </c>
      <c r="L482" s="4" t="str">
        <f t="shared" si="67"/>
        <v/>
      </c>
      <c r="M482" s="4"/>
      <c r="N482" s="4"/>
      <c r="O482" s="4"/>
      <c r="P482" s="4"/>
      <c r="Q482" s="4"/>
      <c r="R482" s="4"/>
      <c r="S482" s="4"/>
      <c r="T482" s="4"/>
      <c r="U482" s="4"/>
    </row>
    <row r="483" spans="1:21">
      <c r="A483" t="s">
        <v>231</v>
      </c>
      <c r="B483">
        <v>11</v>
      </c>
      <c r="C483" t="str">
        <f t="shared" si="61"/>
        <v>test.TIFFFaxDecoder_11_</v>
      </c>
      <c r="D483">
        <v>2</v>
      </c>
      <c r="E483" s="4">
        <v>0.38636363636363635</v>
      </c>
      <c r="F483" s="4">
        <v>0.43069306930693069</v>
      </c>
      <c r="G483" s="4" t="str">
        <f t="shared" si="62"/>
        <v/>
      </c>
      <c r="H483" s="4" t="str">
        <f t="shared" si="63"/>
        <v/>
      </c>
      <c r="I483" s="4">
        <f t="shared" si="64"/>
        <v>0.38636363636363635</v>
      </c>
      <c r="J483" s="4" t="str">
        <f t="shared" si="65"/>
        <v/>
      </c>
      <c r="K483" s="4" t="str">
        <f t="shared" si="66"/>
        <v/>
      </c>
      <c r="L483" s="4" t="str">
        <f t="shared" si="67"/>
        <v/>
      </c>
      <c r="M483" s="4"/>
      <c r="N483" s="4"/>
      <c r="O483" s="4"/>
      <c r="P483" s="4"/>
      <c r="Q483" s="4"/>
      <c r="R483" s="4"/>
      <c r="S483" s="4"/>
      <c r="T483" s="4"/>
      <c r="U483" s="4"/>
    </row>
    <row r="484" spans="1:21">
      <c r="A484" t="s">
        <v>231</v>
      </c>
      <c r="B484">
        <v>11</v>
      </c>
      <c r="C484" t="str">
        <f t="shared" si="61"/>
        <v>test.TIFFFaxDecoder_11_</v>
      </c>
      <c r="D484">
        <v>3</v>
      </c>
      <c r="E484" s="4">
        <v>0.48863636363636365</v>
      </c>
      <c r="F484" s="4">
        <v>0.45859585958595861</v>
      </c>
      <c r="G484" s="4" t="str">
        <f t="shared" si="62"/>
        <v/>
      </c>
      <c r="H484" s="4" t="str">
        <f t="shared" si="63"/>
        <v/>
      </c>
      <c r="I484" s="4">
        <f t="shared" si="64"/>
        <v>0.48863636363636365</v>
      </c>
      <c r="J484" s="4" t="str">
        <f t="shared" si="65"/>
        <v/>
      </c>
      <c r="K484" s="4" t="str">
        <f t="shared" si="66"/>
        <v/>
      </c>
      <c r="L484" s="4" t="str">
        <f t="shared" si="67"/>
        <v/>
      </c>
      <c r="M484" s="4"/>
      <c r="N484" s="4"/>
      <c r="O484" s="4"/>
      <c r="P484" s="4"/>
      <c r="Q484" s="4"/>
      <c r="R484" s="4"/>
      <c r="S484" s="4"/>
      <c r="T484" s="4"/>
      <c r="U484" s="4"/>
    </row>
    <row r="485" spans="1:21">
      <c r="A485" t="s">
        <v>231</v>
      </c>
      <c r="B485">
        <v>11</v>
      </c>
      <c r="C485" t="str">
        <f t="shared" si="61"/>
        <v>test.TIFFFaxDecoder_11_</v>
      </c>
      <c r="D485">
        <v>4</v>
      </c>
      <c r="E485" s="4">
        <v>0.52272727272727271</v>
      </c>
      <c r="F485" s="4">
        <v>0.46129612961296129</v>
      </c>
      <c r="G485" s="4" t="str">
        <f t="shared" si="62"/>
        <v/>
      </c>
      <c r="H485" s="4" t="str">
        <f t="shared" si="63"/>
        <v/>
      </c>
      <c r="I485" s="4">
        <f t="shared" si="64"/>
        <v>0.52272727272727271</v>
      </c>
      <c r="J485" s="4" t="str">
        <f t="shared" si="65"/>
        <v/>
      </c>
      <c r="K485" s="4" t="str">
        <f t="shared" si="66"/>
        <v/>
      </c>
      <c r="L485" s="4" t="str">
        <f t="shared" si="67"/>
        <v/>
      </c>
      <c r="M485" s="4"/>
      <c r="N485" s="4"/>
      <c r="O485" s="4"/>
      <c r="P485" s="4"/>
      <c r="Q485" s="4"/>
      <c r="R485" s="4"/>
      <c r="S485" s="4"/>
      <c r="T485" s="4"/>
      <c r="U485" s="4"/>
    </row>
    <row r="486" spans="1:21">
      <c r="A486" t="s">
        <v>231</v>
      </c>
      <c r="B486">
        <v>11</v>
      </c>
      <c r="C486" t="str">
        <f t="shared" si="61"/>
        <v>test.TIFFFaxDecoder_11_</v>
      </c>
      <c r="D486">
        <v>5</v>
      </c>
      <c r="E486" s="4">
        <v>0.61363636363636365</v>
      </c>
      <c r="F486" s="4">
        <v>0.4774977497749775</v>
      </c>
      <c r="G486" s="4" t="str">
        <f t="shared" si="62"/>
        <v/>
      </c>
      <c r="H486" s="4" t="str">
        <f t="shared" si="63"/>
        <v/>
      </c>
      <c r="I486" s="4">
        <f t="shared" si="64"/>
        <v>0.61363636363636365</v>
      </c>
      <c r="J486" s="4" t="str">
        <f t="shared" si="65"/>
        <v/>
      </c>
      <c r="K486" s="4" t="str">
        <f t="shared" si="66"/>
        <v/>
      </c>
      <c r="L486" s="4" t="str">
        <f t="shared" si="67"/>
        <v/>
      </c>
      <c r="M486" s="4"/>
      <c r="N486" s="4"/>
      <c r="O486" s="4"/>
      <c r="P486" s="4"/>
      <c r="Q486" s="4"/>
      <c r="R486" s="4"/>
      <c r="S486" s="4"/>
      <c r="T486" s="4"/>
      <c r="U486" s="4"/>
    </row>
    <row r="487" spans="1:21">
      <c r="A487" t="s">
        <v>231</v>
      </c>
      <c r="B487">
        <v>11</v>
      </c>
      <c r="C487" t="str">
        <f t="shared" si="61"/>
        <v>test.TIFFFaxDecoder_11_</v>
      </c>
      <c r="D487">
        <v>6</v>
      </c>
      <c r="E487" s="4">
        <v>0.61363636363636365</v>
      </c>
      <c r="F487" s="4">
        <v>0.48424842484248426</v>
      </c>
      <c r="G487" s="4" t="str">
        <f t="shared" si="62"/>
        <v/>
      </c>
      <c r="H487" s="4" t="str">
        <f t="shared" si="63"/>
        <v/>
      </c>
      <c r="I487" s="4">
        <f t="shared" si="64"/>
        <v>0.61363636363636365</v>
      </c>
      <c r="J487" s="4" t="str">
        <f t="shared" si="65"/>
        <v/>
      </c>
      <c r="K487" s="4" t="str">
        <f t="shared" si="66"/>
        <v/>
      </c>
      <c r="L487" s="4" t="str">
        <f t="shared" si="67"/>
        <v/>
      </c>
      <c r="M487" s="4"/>
      <c r="N487" s="4"/>
      <c r="O487" s="4"/>
      <c r="P487" s="4"/>
      <c r="Q487" s="4"/>
      <c r="R487" s="4"/>
      <c r="S487" s="4"/>
      <c r="T487" s="4"/>
      <c r="U487" s="4"/>
    </row>
    <row r="488" spans="1:21">
      <c r="A488" t="s">
        <v>231</v>
      </c>
      <c r="B488">
        <v>11</v>
      </c>
      <c r="C488" t="str">
        <f t="shared" si="61"/>
        <v>test.TIFFFaxDecoder_11_</v>
      </c>
      <c r="D488">
        <v>7</v>
      </c>
      <c r="E488" s="4">
        <v>0.61363636363636365</v>
      </c>
      <c r="F488" s="4">
        <v>0.49729972997299732</v>
      </c>
      <c r="G488" s="4" t="str">
        <f t="shared" si="62"/>
        <v/>
      </c>
      <c r="H488" s="4" t="str">
        <f t="shared" si="63"/>
        <v/>
      </c>
      <c r="I488" s="4">
        <f t="shared" si="64"/>
        <v>0.61363636363636365</v>
      </c>
      <c r="J488" s="4" t="str">
        <f t="shared" si="65"/>
        <v/>
      </c>
      <c r="K488" s="4" t="str">
        <f t="shared" si="66"/>
        <v/>
      </c>
      <c r="L488" s="4" t="str">
        <f t="shared" si="67"/>
        <v/>
      </c>
      <c r="M488" s="4"/>
      <c r="N488" s="4"/>
      <c r="O488" s="4"/>
      <c r="P488" s="4"/>
      <c r="Q488" s="4"/>
      <c r="R488" s="4"/>
      <c r="S488" s="4"/>
      <c r="T488" s="4"/>
      <c r="U488" s="4"/>
    </row>
    <row r="489" spans="1:21">
      <c r="A489" t="s">
        <v>231</v>
      </c>
      <c r="B489">
        <v>11</v>
      </c>
      <c r="C489" t="str">
        <f t="shared" si="61"/>
        <v>test.TIFFFaxDecoder_11_</v>
      </c>
      <c r="D489">
        <v>8</v>
      </c>
      <c r="E489" s="4">
        <v>0.70454545454545459</v>
      </c>
      <c r="F489" s="4">
        <v>0.54095409540954098</v>
      </c>
      <c r="G489" s="4" t="str">
        <f t="shared" si="62"/>
        <v/>
      </c>
      <c r="H489" s="4" t="str">
        <f t="shared" si="63"/>
        <v/>
      </c>
      <c r="I489" s="4">
        <f t="shared" si="64"/>
        <v>0.70454545454545459</v>
      </c>
      <c r="J489" s="4" t="str">
        <f t="shared" si="65"/>
        <v/>
      </c>
      <c r="K489" s="4" t="str">
        <f t="shared" si="66"/>
        <v/>
      </c>
      <c r="L489" s="4" t="str">
        <f t="shared" si="67"/>
        <v/>
      </c>
      <c r="M489" s="4"/>
      <c r="N489" s="4"/>
      <c r="O489" s="4"/>
      <c r="P489" s="4"/>
      <c r="Q489" s="4"/>
      <c r="R489" s="4"/>
      <c r="S489" s="4"/>
      <c r="T489" s="4"/>
      <c r="U489" s="4"/>
    </row>
    <row r="490" spans="1:21">
      <c r="A490" t="s">
        <v>231</v>
      </c>
      <c r="B490">
        <v>11</v>
      </c>
      <c r="C490" t="str">
        <f t="shared" si="61"/>
        <v>test.TIFFFaxDecoder_11_</v>
      </c>
      <c r="D490">
        <v>9</v>
      </c>
      <c r="E490" s="4">
        <v>0.77272727272727271</v>
      </c>
      <c r="F490" s="4">
        <v>0.54320432043204325</v>
      </c>
      <c r="G490" s="4" t="str">
        <f t="shared" si="62"/>
        <v/>
      </c>
      <c r="H490" s="4" t="str">
        <f t="shared" si="63"/>
        <v/>
      </c>
      <c r="I490" s="4">
        <f t="shared" si="64"/>
        <v>0.77272727272727271</v>
      </c>
      <c r="J490" s="4" t="str">
        <f t="shared" si="65"/>
        <v/>
      </c>
      <c r="K490" s="4" t="str">
        <f t="shared" si="66"/>
        <v/>
      </c>
      <c r="L490" s="4" t="str">
        <f t="shared" si="67"/>
        <v/>
      </c>
      <c r="M490" s="4"/>
      <c r="N490" s="4"/>
      <c r="O490" s="4"/>
      <c r="P490" s="4"/>
      <c r="Q490" s="4"/>
      <c r="R490" s="4"/>
      <c r="S490" s="4"/>
      <c r="T490" s="4"/>
      <c r="U490" s="4"/>
    </row>
    <row r="491" spans="1:21">
      <c r="A491" t="s">
        <v>231</v>
      </c>
      <c r="B491">
        <v>11</v>
      </c>
      <c r="C491" t="str">
        <f t="shared" si="61"/>
        <v>test.TIFFFaxDecoder_11_</v>
      </c>
      <c r="D491">
        <v>10</v>
      </c>
      <c r="E491" s="4">
        <v>0.77272727272727271</v>
      </c>
      <c r="F491" s="4">
        <v>0.56300630063006296</v>
      </c>
      <c r="G491" s="4" t="str">
        <f t="shared" si="62"/>
        <v/>
      </c>
      <c r="H491" s="4" t="str">
        <f t="shared" si="63"/>
        <v/>
      </c>
      <c r="I491" s="4">
        <f t="shared" si="64"/>
        <v>0.77272727272727271</v>
      </c>
      <c r="J491" s="4" t="str">
        <f t="shared" si="65"/>
        <v/>
      </c>
      <c r="K491" s="4" t="str">
        <f t="shared" si="66"/>
        <v/>
      </c>
      <c r="L491" s="4" t="str">
        <f t="shared" si="67"/>
        <v/>
      </c>
      <c r="M491" s="4"/>
      <c r="N491" s="4"/>
      <c r="O491" s="4"/>
      <c r="P491" s="4"/>
      <c r="Q491" s="4"/>
      <c r="R491" s="4"/>
      <c r="S491" s="4"/>
      <c r="T491" s="4"/>
      <c r="U491" s="4"/>
    </row>
    <row r="492" spans="1:21">
      <c r="A492" t="s">
        <v>231</v>
      </c>
      <c r="B492">
        <v>11</v>
      </c>
      <c r="C492" t="str">
        <f t="shared" si="61"/>
        <v>test.TIFFFaxDecoder_11_</v>
      </c>
      <c r="D492">
        <v>11</v>
      </c>
      <c r="E492" s="4">
        <v>0.77272727272727271</v>
      </c>
      <c r="F492" s="4">
        <v>0.56615661566156616</v>
      </c>
      <c r="G492" s="4" t="str">
        <f t="shared" si="62"/>
        <v/>
      </c>
      <c r="H492" s="4" t="str">
        <f t="shared" si="63"/>
        <v/>
      </c>
      <c r="I492" s="4">
        <f t="shared" si="64"/>
        <v>0.77272727272727271</v>
      </c>
      <c r="J492" s="4" t="str">
        <f t="shared" si="65"/>
        <v/>
      </c>
      <c r="K492" s="4" t="str">
        <f t="shared" si="66"/>
        <v/>
      </c>
      <c r="L492" s="4" t="str">
        <f t="shared" si="67"/>
        <v/>
      </c>
      <c r="M492" s="4"/>
      <c r="N492" s="4"/>
      <c r="O492" s="4"/>
      <c r="P492" s="4"/>
      <c r="Q492" s="4"/>
      <c r="R492" s="4"/>
      <c r="S492" s="4"/>
      <c r="T492" s="4"/>
      <c r="U492" s="4"/>
    </row>
    <row r="493" spans="1:21">
      <c r="A493" t="s">
        <v>231</v>
      </c>
      <c r="B493">
        <v>11</v>
      </c>
      <c r="C493" t="str">
        <f t="shared" si="61"/>
        <v>test.TIFFFaxDecoder_11_</v>
      </c>
      <c r="D493">
        <v>12</v>
      </c>
      <c r="E493" s="4">
        <v>0.77272727272727271</v>
      </c>
      <c r="F493" s="4">
        <v>0.57200720072007205</v>
      </c>
      <c r="G493" s="4" t="str">
        <f t="shared" si="62"/>
        <v/>
      </c>
      <c r="H493" s="4" t="str">
        <f t="shared" si="63"/>
        <v/>
      </c>
      <c r="I493" s="4">
        <f t="shared" si="64"/>
        <v>0.77272727272727271</v>
      </c>
      <c r="J493" s="4" t="str">
        <f t="shared" si="65"/>
        <v/>
      </c>
      <c r="K493" s="4" t="str">
        <f t="shared" si="66"/>
        <v/>
      </c>
      <c r="L493" s="4" t="str">
        <f t="shared" si="67"/>
        <v/>
      </c>
      <c r="M493" s="4"/>
      <c r="N493" s="4"/>
      <c r="O493" s="4"/>
      <c r="P493" s="4"/>
      <c r="Q493" s="4"/>
      <c r="R493" s="4"/>
      <c r="S493" s="4"/>
      <c r="T493" s="4"/>
      <c r="U493" s="4"/>
    </row>
    <row r="494" spans="1:21">
      <c r="A494" t="s">
        <v>231</v>
      </c>
      <c r="B494">
        <v>11</v>
      </c>
      <c r="C494" t="str">
        <f t="shared" si="61"/>
        <v>test.TIFFFaxDecoder_11_</v>
      </c>
      <c r="D494">
        <v>13</v>
      </c>
      <c r="E494" s="4">
        <v>0.88636363636363635</v>
      </c>
      <c r="F494" s="4">
        <v>0.57245724572457246</v>
      </c>
      <c r="G494" s="4" t="str">
        <f t="shared" si="62"/>
        <v/>
      </c>
      <c r="H494" s="4" t="str">
        <f t="shared" si="63"/>
        <v/>
      </c>
      <c r="I494" s="4">
        <f t="shared" si="64"/>
        <v>0.88636363636363635</v>
      </c>
      <c r="J494" s="4" t="str">
        <f t="shared" si="65"/>
        <v/>
      </c>
      <c r="K494" s="4" t="str">
        <f t="shared" si="66"/>
        <v/>
      </c>
      <c r="L494" s="4" t="str">
        <f t="shared" si="67"/>
        <v/>
      </c>
      <c r="M494" s="4"/>
      <c r="N494" s="4"/>
      <c r="O494" s="4"/>
      <c r="P494" s="4"/>
      <c r="Q494" s="4"/>
      <c r="R494" s="4"/>
      <c r="S494" s="4"/>
      <c r="T494" s="4"/>
      <c r="U494" s="4"/>
    </row>
    <row r="495" spans="1:21">
      <c r="A495" t="s">
        <v>231</v>
      </c>
      <c r="B495">
        <v>11</v>
      </c>
      <c r="C495" t="str">
        <f t="shared" si="61"/>
        <v>test.TIFFFaxDecoder_11_</v>
      </c>
      <c r="D495">
        <v>14</v>
      </c>
      <c r="E495" s="4">
        <v>0.88636363636363635</v>
      </c>
      <c r="F495" s="4">
        <v>0.5738073807380738</v>
      </c>
      <c r="G495" s="4" t="str">
        <f t="shared" si="62"/>
        <v/>
      </c>
      <c r="H495" s="4" t="str">
        <f t="shared" si="63"/>
        <v/>
      </c>
      <c r="I495" s="4">
        <f t="shared" si="64"/>
        <v>0.88636363636363635</v>
      </c>
      <c r="J495" s="4" t="str">
        <f t="shared" si="65"/>
        <v/>
      </c>
      <c r="K495" s="4" t="str">
        <f t="shared" si="66"/>
        <v/>
      </c>
      <c r="L495" s="4" t="str">
        <f t="shared" si="67"/>
        <v/>
      </c>
      <c r="M495" s="4"/>
      <c r="N495" s="4"/>
      <c r="O495" s="4"/>
      <c r="P495" s="4"/>
      <c r="Q495" s="4"/>
      <c r="R495" s="4"/>
      <c r="S495" s="4"/>
      <c r="T495" s="4"/>
      <c r="U495" s="4"/>
    </row>
    <row r="496" spans="1:21">
      <c r="A496" t="s">
        <v>231</v>
      </c>
      <c r="B496">
        <v>11</v>
      </c>
      <c r="C496" t="str">
        <f t="shared" si="61"/>
        <v>test.TIFFFaxDecoder_11_</v>
      </c>
      <c r="D496">
        <v>15</v>
      </c>
      <c r="E496" s="4">
        <v>1</v>
      </c>
      <c r="F496" s="4">
        <v>0.59000900090009001</v>
      </c>
      <c r="G496" s="4" t="str">
        <f t="shared" si="62"/>
        <v/>
      </c>
      <c r="H496" s="4" t="str">
        <f t="shared" si="63"/>
        <v/>
      </c>
      <c r="I496" s="4">
        <f t="shared" si="64"/>
        <v>1</v>
      </c>
      <c r="J496" s="4" t="str">
        <f t="shared" si="65"/>
        <v/>
      </c>
      <c r="K496" s="4" t="str">
        <f t="shared" si="66"/>
        <v/>
      </c>
      <c r="L496" s="4" t="str">
        <f t="shared" si="67"/>
        <v/>
      </c>
      <c r="M496" s="4"/>
      <c r="N496" s="4"/>
      <c r="O496" s="4"/>
      <c r="P496" s="4"/>
      <c r="Q496" s="4"/>
      <c r="R496" s="4"/>
      <c r="S496" s="4"/>
      <c r="T496" s="4"/>
      <c r="U496" s="4"/>
    </row>
    <row r="497" spans="1:21">
      <c r="A497" t="s">
        <v>231</v>
      </c>
      <c r="B497">
        <v>11</v>
      </c>
      <c r="C497" t="str">
        <f t="shared" si="61"/>
        <v>test.TIFFFaxDecoder_11_</v>
      </c>
      <c r="D497">
        <v>16</v>
      </c>
      <c r="E497" s="4">
        <v>1</v>
      </c>
      <c r="F497" s="4">
        <v>0.59585958595859589</v>
      </c>
      <c r="G497" s="4" t="str">
        <f t="shared" si="62"/>
        <v/>
      </c>
      <c r="H497" s="4" t="str">
        <f t="shared" si="63"/>
        <v/>
      </c>
      <c r="I497" s="4">
        <f t="shared" si="64"/>
        <v>1</v>
      </c>
      <c r="J497" s="4" t="str">
        <f t="shared" si="65"/>
        <v/>
      </c>
      <c r="K497" s="4" t="str">
        <f t="shared" si="66"/>
        <v/>
      </c>
      <c r="L497" s="4" t="str">
        <f t="shared" si="67"/>
        <v/>
      </c>
      <c r="M497" s="4"/>
      <c r="N497" s="4"/>
      <c r="O497" s="4"/>
      <c r="P497" s="4"/>
      <c r="Q497" s="4"/>
      <c r="R497" s="4"/>
      <c r="S497" s="4"/>
      <c r="T497" s="4"/>
      <c r="U497" s="4"/>
    </row>
    <row r="498" spans="1:21">
      <c r="A498" t="s">
        <v>231</v>
      </c>
      <c r="B498">
        <v>11</v>
      </c>
      <c r="C498" t="str">
        <f t="shared" si="61"/>
        <v>test.TIFFFaxDecoder_11_</v>
      </c>
      <c r="D498">
        <v>17</v>
      </c>
      <c r="E498" s="4">
        <v>1</v>
      </c>
      <c r="F498" s="4">
        <v>0.59810981098109806</v>
      </c>
      <c r="G498" s="4" t="str">
        <f t="shared" si="62"/>
        <v/>
      </c>
      <c r="H498" s="4" t="str">
        <f t="shared" si="63"/>
        <v/>
      </c>
      <c r="I498" s="4">
        <f t="shared" si="64"/>
        <v>1</v>
      </c>
      <c r="J498" s="4" t="str">
        <f t="shared" si="65"/>
        <v/>
      </c>
      <c r="K498" s="4" t="str">
        <f t="shared" si="66"/>
        <v/>
      </c>
      <c r="L498" s="4" t="str">
        <f t="shared" si="67"/>
        <v/>
      </c>
      <c r="M498" s="4"/>
      <c r="N498" s="4"/>
      <c r="O498" s="4"/>
      <c r="P498" s="4"/>
      <c r="Q498" s="4"/>
      <c r="R498" s="4"/>
      <c r="S498" s="4"/>
      <c r="T498" s="4"/>
      <c r="U498" s="4"/>
    </row>
    <row r="499" spans="1:21">
      <c r="A499" t="s">
        <v>231</v>
      </c>
      <c r="B499">
        <v>11</v>
      </c>
      <c r="C499" t="str">
        <f t="shared" si="61"/>
        <v>test.TIFFFaxDecoder_11_</v>
      </c>
      <c r="D499">
        <v>18</v>
      </c>
      <c r="E499" s="4">
        <v>1</v>
      </c>
      <c r="F499" s="4">
        <v>0.60756075607560756</v>
      </c>
      <c r="G499" s="4" t="str">
        <f t="shared" si="62"/>
        <v/>
      </c>
      <c r="H499" s="4" t="str">
        <f t="shared" si="63"/>
        <v/>
      </c>
      <c r="I499" s="4" t="str">
        <f t="shared" si="64"/>
        <v/>
      </c>
      <c r="J499" s="4">
        <f t="shared" si="65"/>
        <v>1</v>
      </c>
      <c r="K499" s="4" t="str">
        <f t="shared" si="66"/>
        <v/>
      </c>
      <c r="L499" s="4" t="str">
        <f t="shared" si="67"/>
        <v/>
      </c>
      <c r="M499" s="4"/>
      <c r="N499" s="4"/>
      <c r="O499" s="4"/>
      <c r="P499" s="4"/>
      <c r="Q499" s="4"/>
      <c r="R499" s="4"/>
      <c r="S499" s="4"/>
      <c r="T499" s="4"/>
      <c r="U499" s="4"/>
    </row>
    <row r="500" spans="1:21">
      <c r="A500" t="s">
        <v>231</v>
      </c>
      <c r="B500">
        <v>11</v>
      </c>
      <c r="C500" t="str">
        <f t="shared" si="61"/>
        <v>test.TIFFFaxDecoder_11_</v>
      </c>
      <c r="D500">
        <v>19</v>
      </c>
      <c r="E500" s="4">
        <v>1</v>
      </c>
      <c r="F500" s="4">
        <v>0.62151215121512149</v>
      </c>
      <c r="G500" s="4" t="str">
        <f t="shared" si="62"/>
        <v/>
      </c>
      <c r="H500" s="4" t="str">
        <f t="shared" si="63"/>
        <v/>
      </c>
      <c r="I500" s="4" t="str">
        <f t="shared" si="64"/>
        <v/>
      </c>
      <c r="J500" s="4">
        <f t="shared" si="65"/>
        <v>1</v>
      </c>
      <c r="K500" s="4" t="str">
        <f t="shared" si="66"/>
        <v/>
      </c>
      <c r="L500" s="4" t="str">
        <f t="shared" si="67"/>
        <v/>
      </c>
      <c r="M500" s="4"/>
      <c r="N500" s="4"/>
      <c r="O500" s="4"/>
      <c r="P500" s="4"/>
      <c r="Q500" s="4"/>
      <c r="R500" s="4"/>
      <c r="S500" s="4"/>
      <c r="T500" s="4"/>
      <c r="U500" s="4"/>
    </row>
    <row r="501" spans="1:21">
      <c r="A501" t="s">
        <v>231</v>
      </c>
      <c r="B501">
        <v>12</v>
      </c>
      <c r="C501" t="str">
        <f t="shared" si="61"/>
        <v>test.TIFFFaxDecoder_12_</v>
      </c>
      <c r="D501">
        <v>1</v>
      </c>
      <c r="E501" s="4">
        <v>0.125</v>
      </c>
      <c r="F501" s="4">
        <v>0.18230358504958047</v>
      </c>
      <c r="G501" s="4">
        <f t="shared" si="62"/>
        <v>0.125</v>
      </c>
      <c r="H501" s="4" t="str">
        <f t="shared" si="63"/>
        <v/>
      </c>
      <c r="I501" s="4" t="str">
        <f t="shared" si="64"/>
        <v/>
      </c>
      <c r="J501" s="4" t="str">
        <f t="shared" si="65"/>
        <v/>
      </c>
      <c r="K501" s="4" t="str">
        <f t="shared" si="66"/>
        <v/>
      </c>
      <c r="L501" s="4" t="str">
        <f t="shared" si="67"/>
        <v/>
      </c>
      <c r="M501" s="4"/>
      <c r="N501" s="4"/>
      <c r="O501" s="4"/>
      <c r="P501" s="4"/>
      <c r="Q501" s="4"/>
      <c r="R501" s="4"/>
      <c r="S501" s="4"/>
      <c r="T501" s="4"/>
      <c r="U501" s="4"/>
    </row>
    <row r="502" spans="1:21">
      <c r="A502" t="s">
        <v>231</v>
      </c>
      <c r="B502">
        <v>12</v>
      </c>
      <c r="C502" t="str">
        <f t="shared" si="61"/>
        <v>test.TIFFFaxDecoder_12_</v>
      </c>
      <c r="D502">
        <v>2</v>
      </c>
      <c r="E502" s="4">
        <v>0.5178571428571429</v>
      </c>
      <c r="F502" s="4">
        <v>0.57818459191456906</v>
      </c>
      <c r="G502" s="4" t="str">
        <f t="shared" si="62"/>
        <v/>
      </c>
      <c r="H502" s="4" t="str">
        <f t="shared" si="63"/>
        <v/>
      </c>
      <c r="I502" s="4">
        <f t="shared" si="64"/>
        <v>0.5178571428571429</v>
      </c>
      <c r="J502" s="4" t="str">
        <f t="shared" si="65"/>
        <v/>
      </c>
      <c r="K502" s="4" t="str">
        <f t="shared" si="66"/>
        <v/>
      </c>
      <c r="L502" s="4" t="str">
        <f t="shared" si="67"/>
        <v/>
      </c>
      <c r="M502" s="4"/>
      <c r="N502" s="4"/>
      <c r="O502" s="4"/>
      <c r="P502" s="4"/>
      <c r="Q502" s="4"/>
      <c r="R502" s="4"/>
      <c r="S502" s="4"/>
      <c r="T502" s="4"/>
      <c r="U502" s="4"/>
    </row>
    <row r="503" spans="1:21">
      <c r="A503" t="s">
        <v>231</v>
      </c>
      <c r="B503">
        <v>12</v>
      </c>
      <c r="C503" t="str">
        <f t="shared" si="61"/>
        <v>test.TIFFFaxDecoder_12_</v>
      </c>
      <c r="D503">
        <v>3</v>
      </c>
      <c r="E503" s="4">
        <v>0.5714285714285714</v>
      </c>
      <c r="F503" s="4">
        <v>0.58657513348588863</v>
      </c>
      <c r="G503" s="4" t="str">
        <f t="shared" si="62"/>
        <v/>
      </c>
      <c r="H503" s="4" t="str">
        <f t="shared" si="63"/>
        <v/>
      </c>
      <c r="I503" s="4">
        <f t="shared" si="64"/>
        <v>0.5714285714285714</v>
      </c>
      <c r="J503" s="4" t="str">
        <f t="shared" si="65"/>
        <v/>
      </c>
      <c r="K503" s="4" t="str">
        <f t="shared" si="66"/>
        <v/>
      </c>
      <c r="L503" s="4" t="str">
        <f t="shared" si="67"/>
        <v/>
      </c>
      <c r="M503" s="4"/>
      <c r="N503" s="4"/>
      <c r="O503" s="4"/>
      <c r="P503" s="4"/>
      <c r="Q503" s="4"/>
      <c r="R503" s="4"/>
      <c r="S503" s="4"/>
      <c r="T503" s="4"/>
      <c r="U503" s="4"/>
    </row>
    <row r="504" spans="1:21">
      <c r="A504" t="s">
        <v>231</v>
      </c>
      <c r="B504">
        <v>12</v>
      </c>
      <c r="C504" t="str">
        <f t="shared" si="61"/>
        <v>test.TIFFFaxDecoder_12_</v>
      </c>
      <c r="D504">
        <v>4</v>
      </c>
      <c r="E504" s="4">
        <v>0.7678571428571429</v>
      </c>
      <c r="F504" s="4">
        <v>0.60640732265446229</v>
      </c>
      <c r="G504" s="4" t="str">
        <f t="shared" si="62"/>
        <v/>
      </c>
      <c r="H504" s="4" t="str">
        <f t="shared" si="63"/>
        <v/>
      </c>
      <c r="I504" s="4" t="str">
        <f t="shared" si="64"/>
        <v/>
      </c>
      <c r="J504" s="4">
        <f t="shared" si="65"/>
        <v>0.7678571428571429</v>
      </c>
      <c r="K504" s="4" t="str">
        <f t="shared" si="66"/>
        <v/>
      </c>
      <c r="L504" s="4" t="str">
        <f t="shared" si="67"/>
        <v/>
      </c>
      <c r="M504" s="4"/>
      <c r="N504" s="4"/>
      <c r="O504" s="4"/>
      <c r="P504" s="4"/>
      <c r="Q504" s="4"/>
      <c r="R504" s="4"/>
      <c r="S504" s="4"/>
      <c r="T504" s="4"/>
      <c r="U504" s="4"/>
    </row>
    <row r="505" spans="1:21">
      <c r="A505" t="s">
        <v>231</v>
      </c>
      <c r="B505">
        <v>12</v>
      </c>
      <c r="C505" t="str">
        <f t="shared" si="61"/>
        <v>test.TIFFFaxDecoder_12_</v>
      </c>
      <c r="D505">
        <v>5</v>
      </c>
      <c r="E505" s="4">
        <v>0.7678571428571429</v>
      </c>
      <c r="F505" s="4">
        <v>0.62013729977116705</v>
      </c>
      <c r="G505" s="4" t="str">
        <f t="shared" si="62"/>
        <v/>
      </c>
      <c r="H505" s="4" t="str">
        <f t="shared" si="63"/>
        <v/>
      </c>
      <c r="I505" s="4" t="str">
        <f t="shared" si="64"/>
        <v/>
      </c>
      <c r="J505" s="4">
        <f t="shared" si="65"/>
        <v>0.7678571428571429</v>
      </c>
      <c r="K505" s="4" t="str">
        <f t="shared" si="66"/>
        <v/>
      </c>
      <c r="L505" s="4" t="str">
        <f t="shared" si="67"/>
        <v/>
      </c>
      <c r="M505" s="4"/>
      <c r="N505" s="4"/>
      <c r="O505" s="4"/>
      <c r="P505" s="4"/>
      <c r="Q505" s="4"/>
      <c r="R505" s="4"/>
      <c r="S505" s="4"/>
      <c r="T505" s="4"/>
      <c r="U505" s="4"/>
    </row>
    <row r="506" spans="1:21">
      <c r="A506" t="s">
        <v>231</v>
      </c>
      <c r="B506">
        <v>12</v>
      </c>
      <c r="C506" t="str">
        <f t="shared" si="61"/>
        <v>test.TIFFFaxDecoder_12_</v>
      </c>
      <c r="D506">
        <v>6</v>
      </c>
      <c r="E506" s="4">
        <v>0.9464285714285714</v>
      </c>
      <c r="F506" s="4">
        <v>0.63081617086193742</v>
      </c>
      <c r="G506" s="4" t="str">
        <f t="shared" si="62"/>
        <v/>
      </c>
      <c r="H506" s="4" t="str">
        <f t="shared" si="63"/>
        <v/>
      </c>
      <c r="I506" s="4" t="str">
        <f t="shared" si="64"/>
        <v/>
      </c>
      <c r="J506" s="4">
        <f t="shared" si="65"/>
        <v>0.9464285714285714</v>
      </c>
      <c r="K506" s="4" t="str">
        <f t="shared" si="66"/>
        <v/>
      </c>
      <c r="L506" s="4" t="str">
        <f t="shared" si="67"/>
        <v/>
      </c>
      <c r="M506" s="4"/>
      <c r="N506" s="4"/>
      <c r="O506" s="4"/>
      <c r="P506" s="4"/>
      <c r="Q506" s="4"/>
      <c r="R506" s="4"/>
      <c r="S506" s="4"/>
      <c r="T506" s="4"/>
      <c r="U506" s="4"/>
    </row>
    <row r="507" spans="1:21">
      <c r="A507" t="s">
        <v>231</v>
      </c>
      <c r="B507">
        <v>12</v>
      </c>
      <c r="C507" t="str">
        <f t="shared" si="61"/>
        <v>test.TIFFFaxDecoder_12_</v>
      </c>
      <c r="D507">
        <v>7</v>
      </c>
      <c r="E507" s="4">
        <v>1</v>
      </c>
      <c r="F507" s="4">
        <v>0.6414950419527079</v>
      </c>
      <c r="G507" s="4" t="str">
        <f t="shared" si="62"/>
        <v/>
      </c>
      <c r="H507" s="4" t="str">
        <f t="shared" si="63"/>
        <v/>
      </c>
      <c r="I507" s="4" t="str">
        <f t="shared" si="64"/>
        <v/>
      </c>
      <c r="J507" s="4">
        <f t="shared" si="65"/>
        <v>1</v>
      </c>
      <c r="K507" s="4" t="str">
        <f t="shared" si="66"/>
        <v/>
      </c>
      <c r="L507" s="4" t="str">
        <f t="shared" si="67"/>
        <v/>
      </c>
      <c r="M507" s="4"/>
      <c r="N507" s="4"/>
      <c r="O507" s="4"/>
      <c r="P507" s="4"/>
      <c r="Q507" s="4"/>
      <c r="R507" s="4"/>
      <c r="S507" s="4"/>
      <c r="T507" s="4"/>
      <c r="U507" s="4"/>
    </row>
    <row r="508" spans="1:21">
      <c r="A508" t="s">
        <v>231</v>
      </c>
      <c r="B508">
        <v>12</v>
      </c>
      <c r="C508" t="str">
        <f t="shared" si="61"/>
        <v>test.TIFFFaxDecoder_12_</v>
      </c>
      <c r="D508">
        <v>8</v>
      </c>
      <c r="E508" s="4">
        <v>1</v>
      </c>
      <c r="F508" s="4">
        <v>0.65751334858886346</v>
      </c>
      <c r="G508" s="4" t="str">
        <f t="shared" si="62"/>
        <v/>
      </c>
      <c r="H508" s="4" t="str">
        <f t="shared" si="63"/>
        <v/>
      </c>
      <c r="I508" s="4" t="str">
        <f t="shared" si="64"/>
        <v/>
      </c>
      <c r="J508" s="4">
        <f t="shared" si="65"/>
        <v>1</v>
      </c>
      <c r="K508" s="4" t="str">
        <f t="shared" si="66"/>
        <v/>
      </c>
      <c r="L508" s="4" t="str">
        <f t="shared" si="67"/>
        <v/>
      </c>
      <c r="M508" s="4"/>
      <c r="N508" s="4"/>
      <c r="O508" s="4"/>
      <c r="P508" s="4"/>
      <c r="Q508" s="4"/>
      <c r="R508" s="4"/>
      <c r="S508" s="4"/>
      <c r="T508" s="4"/>
      <c r="U508" s="4"/>
    </row>
    <row r="509" spans="1:21">
      <c r="A509" t="s">
        <v>231</v>
      </c>
      <c r="B509">
        <v>12</v>
      </c>
      <c r="C509" t="str">
        <f t="shared" si="61"/>
        <v>test.TIFFFaxDecoder_12_</v>
      </c>
      <c r="D509">
        <v>9</v>
      </c>
      <c r="E509" s="4">
        <v>1</v>
      </c>
      <c r="F509" s="4">
        <v>0.67200610221205181</v>
      </c>
      <c r="G509" s="4" t="str">
        <f t="shared" si="62"/>
        <v/>
      </c>
      <c r="H509" s="4" t="str">
        <f t="shared" si="63"/>
        <v/>
      </c>
      <c r="I509" s="4" t="str">
        <f t="shared" si="64"/>
        <v/>
      </c>
      <c r="J509" s="4">
        <f t="shared" si="65"/>
        <v>1</v>
      </c>
      <c r="K509" s="4" t="str">
        <f t="shared" si="66"/>
        <v/>
      </c>
      <c r="L509" s="4" t="str">
        <f t="shared" si="67"/>
        <v/>
      </c>
      <c r="M509" s="4"/>
      <c r="N509" s="4"/>
      <c r="O509" s="4"/>
      <c r="P509" s="4"/>
      <c r="Q509" s="4"/>
      <c r="R509" s="4"/>
      <c r="S509" s="4"/>
      <c r="T509" s="4"/>
      <c r="U509" s="4"/>
    </row>
    <row r="510" spans="1:21">
      <c r="A510" t="s">
        <v>231</v>
      </c>
      <c r="B510">
        <v>13</v>
      </c>
      <c r="C510" t="str">
        <f t="shared" si="61"/>
        <v>test.TIFFFaxDecoder_13_</v>
      </c>
      <c r="D510">
        <v>1</v>
      </c>
      <c r="E510" s="4">
        <v>0.42857142857142855</v>
      </c>
      <c r="F510" s="4">
        <v>0.64197530864197527</v>
      </c>
      <c r="G510" s="4" t="str">
        <f t="shared" si="62"/>
        <v/>
      </c>
      <c r="H510" s="4" t="str">
        <f t="shared" si="63"/>
        <v/>
      </c>
      <c r="I510" s="4" t="str">
        <f t="shared" si="64"/>
        <v/>
      </c>
      <c r="J510" s="4">
        <f t="shared" si="65"/>
        <v>0.42857142857142855</v>
      </c>
      <c r="K510" s="4" t="str">
        <f t="shared" si="66"/>
        <v/>
      </c>
      <c r="L510" s="4" t="str">
        <f t="shared" si="67"/>
        <v/>
      </c>
      <c r="M510" s="4"/>
      <c r="N510" s="4"/>
      <c r="O510" s="4"/>
      <c r="P510" s="4"/>
      <c r="Q510" s="4"/>
      <c r="R510" s="4"/>
      <c r="S510" s="4"/>
      <c r="T510" s="4"/>
      <c r="U510" s="4"/>
    </row>
    <row r="511" spans="1:21">
      <c r="A511" t="s">
        <v>231</v>
      </c>
      <c r="B511">
        <v>13</v>
      </c>
      <c r="C511" t="str">
        <f t="shared" si="61"/>
        <v>test.TIFFFaxDecoder_13_</v>
      </c>
      <c r="D511">
        <v>2</v>
      </c>
      <c r="E511" s="4">
        <v>1</v>
      </c>
      <c r="F511" s="4">
        <v>0.94650205761316875</v>
      </c>
      <c r="G511" s="4" t="str">
        <f t="shared" si="62"/>
        <v/>
      </c>
      <c r="H511" s="4" t="str">
        <f t="shared" si="63"/>
        <v/>
      </c>
      <c r="I511" s="4" t="str">
        <f t="shared" si="64"/>
        <v/>
      </c>
      <c r="J511" s="4" t="str">
        <f t="shared" si="65"/>
        <v/>
      </c>
      <c r="K511" s="4">
        <f t="shared" si="66"/>
        <v>1</v>
      </c>
      <c r="L511" s="4" t="str">
        <f t="shared" si="67"/>
        <v/>
      </c>
      <c r="M511" s="4"/>
      <c r="N511" s="4"/>
      <c r="O511" s="4"/>
      <c r="P511" s="4"/>
      <c r="Q511" s="4"/>
      <c r="R511" s="4"/>
      <c r="S511" s="4"/>
      <c r="T511" s="4"/>
      <c r="U511" s="4"/>
    </row>
    <row r="512" spans="1:21">
      <c r="A512" t="s">
        <v>598</v>
      </c>
      <c r="B512">
        <v>2</v>
      </c>
      <c r="C512" t="str">
        <f t="shared" si="61"/>
        <v>test.TIFFFaxEncoder_2_</v>
      </c>
      <c r="D512">
        <v>1</v>
      </c>
      <c r="E512" s="4">
        <v>0.352112676056338</v>
      </c>
      <c r="F512" s="4">
        <v>0.30935779816513759</v>
      </c>
      <c r="G512" s="4" t="str">
        <f t="shared" si="62"/>
        <v/>
      </c>
      <c r="H512" s="4">
        <f t="shared" si="63"/>
        <v>0.352112676056338</v>
      </c>
      <c r="I512" s="4" t="str">
        <f t="shared" si="64"/>
        <v/>
      </c>
      <c r="J512" s="4" t="str">
        <f t="shared" si="65"/>
        <v/>
      </c>
      <c r="K512" s="4" t="str">
        <f t="shared" si="66"/>
        <v/>
      </c>
      <c r="L512" s="4" t="str">
        <f t="shared" si="67"/>
        <v/>
      </c>
      <c r="M512" s="4"/>
      <c r="N512" s="4"/>
      <c r="O512" s="4"/>
      <c r="P512" s="4"/>
      <c r="Q512" s="4"/>
      <c r="R512" s="4"/>
      <c r="S512" s="4"/>
      <c r="T512" s="4"/>
      <c r="U512" s="4"/>
    </row>
    <row r="513" spans="1:21">
      <c r="A513" t="s">
        <v>598</v>
      </c>
      <c r="B513">
        <v>2</v>
      </c>
      <c r="C513" t="str">
        <f t="shared" si="61"/>
        <v>test.TIFFFaxEncoder_2_</v>
      </c>
      <c r="D513">
        <v>2</v>
      </c>
      <c r="E513" s="4">
        <v>0.70422535211267601</v>
      </c>
      <c r="F513" s="4">
        <v>0.46385321100917432</v>
      </c>
      <c r="G513" s="4" t="str">
        <f t="shared" si="62"/>
        <v/>
      </c>
      <c r="H513" s="4" t="str">
        <f t="shared" si="63"/>
        <v/>
      </c>
      <c r="I513" s="4">
        <f t="shared" si="64"/>
        <v>0.70422535211267601</v>
      </c>
      <c r="J513" s="4" t="str">
        <f t="shared" si="65"/>
        <v/>
      </c>
      <c r="K513" s="4" t="str">
        <f t="shared" si="66"/>
        <v/>
      </c>
      <c r="L513" s="4" t="str">
        <f t="shared" si="67"/>
        <v/>
      </c>
      <c r="M513" s="4"/>
      <c r="N513" s="4"/>
      <c r="O513" s="4"/>
      <c r="P513" s="4"/>
      <c r="Q513" s="4"/>
      <c r="R513" s="4"/>
      <c r="S513" s="4"/>
      <c r="T513" s="4"/>
      <c r="U513" s="4"/>
    </row>
    <row r="514" spans="1:21">
      <c r="A514" t="s">
        <v>598</v>
      </c>
      <c r="B514">
        <v>2</v>
      </c>
      <c r="C514" t="str">
        <f t="shared" si="61"/>
        <v>test.TIFFFaxEncoder_2_</v>
      </c>
      <c r="D514">
        <v>3</v>
      </c>
      <c r="E514" s="4">
        <v>1</v>
      </c>
      <c r="F514" s="4">
        <v>0.65688073394495416</v>
      </c>
      <c r="G514" s="4" t="str">
        <f t="shared" si="62"/>
        <v/>
      </c>
      <c r="H514" s="4" t="str">
        <f t="shared" si="63"/>
        <v/>
      </c>
      <c r="I514" s="4" t="str">
        <f t="shared" si="64"/>
        <v/>
      </c>
      <c r="J514" s="4">
        <f t="shared" si="65"/>
        <v>1</v>
      </c>
      <c r="K514" s="4" t="str">
        <f t="shared" si="66"/>
        <v/>
      </c>
      <c r="L514" s="4" t="str">
        <f t="shared" si="67"/>
        <v/>
      </c>
      <c r="M514" s="4"/>
      <c r="N514" s="4"/>
      <c r="O514" s="4"/>
      <c r="P514" s="4"/>
      <c r="Q514" s="4"/>
      <c r="R514" s="4"/>
      <c r="S514" s="4"/>
      <c r="T514" s="4"/>
      <c r="U514" s="4"/>
    </row>
    <row r="515" spans="1:21">
      <c r="A515" t="s">
        <v>598</v>
      </c>
      <c r="B515">
        <v>6</v>
      </c>
      <c r="C515" t="str">
        <f t="shared" ref="C515:C522" si="68">CONCATENATE(A515, "_",B515,"_")</f>
        <v>test.TIFFFaxEncoder_6_</v>
      </c>
      <c r="D515">
        <v>1</v>
      </c>
      <c r="E515" s="4">
        <v>0.29577464788732394</v>
      </c>
      <c r="F515" s="4">
        <v>0.77338129496402874</v>
      </c>
      <c r="G515" s="4" t="str">
        <f t="shared" ref="G515:G522" si="69">IF($F515 &lt;= 0.2,$E515,"")</f>
        <v/>
      </c>
      <c r="H515" s="4" t="str">
        <f t="shared" ref="H515:H522" si="70">IF(AND($F515 &gt; 0.2,$F515 &lt;= 0.4),$E515,"")</f>
        <v/>
      </c>
      <c r="I515" s="4" t="str">
        <f t="shared" ref="I515:I522" si="71">IF(AND($F515 &gt; 0.4,$F515 &lt;= 0.6),$E515,"")</f>
        <v/>
      </c>
      <c r="J515" s="4">
        <f t="shared" ref="J515:J522" si="72">IF(AND($F515 &gt; 0.6,$F515 &lt;= 0.8),$E515,"")</f>
        <v>0.29577464788732394</v>
      </c>
      <c r="K515" s="4" t="str">
        <f t="shared" ref="K515:K522" si="73">IF(AND($F515 &gt; 0.8, $F515 &lt;=1.1),$E515,"")</f>
        <v/>
      </c>
      <c r="L515" s="4" t="str">
        <f t="shared" ref="L515:L522" si="74">IF(AND($F515 &gt; 1.1),$E515,"")</f>
        <v/>
      </c>
      <c r="M515" s="4"/>
      <c r="N515" s="4"/>
      <c r="O515" s="4"/>
      <c r="P515" s="4"/>
      <c r="Q515" s="4"/>
      <c r="R515" s="4"/>
      <c r="S515" s="4"/>
      <c r="T515" s="4"/>
      <c r="U515" s="4"/>
    </row>
    <row r="516" spans="1:21">
      <c r="A516" t="s">
        <v>598</v>
      </c>
      <c r="B516">
        <v>6</v>
      </c>
      <c r="C516" t="str">
        <f t="shared" si="68"/>
        <v>test.TIFFFaxEncoder_6_</v>
      </c>
      <c r="D516">
        <v>2</v>
      </c>
      <c r="E516" s="4">
        <v>0.323943661971831</v>
      </c>
      <c r="F516" s="4">
        <v>0.78237410071942448</v>
      </c>
      <c r="G516" s="4" t="str">
        <f t="shared" si="69"/>
        <v/>
      </c>
      <c r="H516" s="4" t="str">
        <f t="shared" si="70"/>
        <v/>
      </c>
      <c r="I516" s="4" t="str">
        <f t="shared" si="71"/>
        <v/>
      </c>
      <c r="J516" s="4">
        <f t="shared" si="72"/>
        <v>0.323943661971831</v>
      </c>
      <c r="K516" s="4" t="str">
        <f t="shared" si="73"/>
        <v/>
      </c>
      <c r="L516" s="4" t="str">
        <f t="shared" si="74"/>
        <v/>
      </c>
      <c r="M516" s="4"/>
      <c r="N516" s="4"/>
      <c r="O516" s="4"/>
      <c r="P516" s="4"/>
      <c r="Q516" s="4"/>
      <c r="R516" s="4"/>
      <c r="S516" s="4"/>
      <c r="T516" s="4"/>
      <c r="U516" s="4"/>
    </row>
    <row r="517" spans="1:21">
      <c r="A517" t="s">
        <v>598</v>
      </c>
      <c r="B517">
        <v>6</v>
      </c>
      <c r="C517" t="str">
        <f t="shared" si="68"/>
        <v>test.TIFFFaxEncoder_6_</v>
      </c>
      <c r="D517">
        <v>3</v>
      </c>
      <c r="E517" s="4">
        <v>0.42253521126760563</v>
      </c>
      <c r="F517" s="4">
        <v>0.87589928057553956</v>
      </c>
      <c r="G517" s="4" t="str">
        <f t="shared" si="69"/>
        <v/>
      </c>
      <c r="H517" s="4" t="str">
        <f t="shared" si="70"/>
        <v/>
      </c>
      <c r="I517" s="4" t="str">
        <f t="shared" si="71"/>
        <v/>
      </c>
      <c r="J517" s="4" t="str">
        <f t="shared" si="72"/>
        <v/>
      </c>
      <c r="K517" s="4">
        <f t="shared" si="73"/>
        <v>0.42253521126760563</v>
      </c>
      <c r="L517" s="4" t="str">
        <f t="shared" si="74"/>
        <v/>
      </c>
      <c r="M517" s="4"/>
      <c r="N517" s="4"/>
      <c r="O517" s="4"/>
      <c r="P517" s="4"/>
      <c r="Q517" s="4"/>
      <c r="R517" s="4"/>
      <c r="S517" s="4"/>
      <c r="T517" s="4"/>
      <c r="U517" s="4"/>
    </row>
    <row r="518" spans="1:21">
      <c r="A518" t="s">
        <v>598</v>
      </c>
      <c r="B518">
        <v>6</v>
      </c>
      <c r="C518" t="str">
        <f t="shared" si="68"/>
        <v>test.TIFFFaxEncoder_6_</v>
      </c>
      <c r="D518">
        <v>4</v>
      </c>
      <c r="E518" s="4">
        <v>1</v>
      </c>
      <c r="F518" s="4">
        <v>0.87949640287769781</v>
      </c>
      <c r="G518" s="4" t="str">
        <f t="shared" si="69"/>
        <v/>
      </c>
      <c r="H518" s="4" t="str">
        <f t="shared" si="70"/>
        <v/>
      </c>
      <c r="I518" s="4" t="str">
        <f t="shared" si="71"/>
        <v/>
      </c>
      <c r="J518" s="4" t="str">
        <f t="shared" si="72"/>
        <v/>
      </c>
      <c r="K518" s="4">
        <f t="shared" si="73"/>
        <v>1</v>
      </c>
      <c r="L518" s="4" t="str">
        <f t="shared" si="74"/>
        <v/>
      </c>
      <c r="M518" s="4"/>
      <c r="N518" s="4"/>
      <c r="O518" s="4"/>
      <c r="P518" s="4"/>
      <c r="Q518" s="4"/>
      <c r="R518" s="4"/>
      <c r="S518" s="4"/>
      <c r="T518" s="4"/>
      <c r="U518" s="4"/>
    </row>
    <row r="519" spans="1:21">
      <c r="A519" t="s">
        <v>598</v>
      </c>
      <c r="B519">
        <v>6</v>
      </c>
      <c r="C519" t="str">
        <f t="shared" si="68"/>
        <v>test.TIFFFaxEncoder_6_</v>
      </c>
      <c r="D519">
        <v>5</v>
      </c>
      <c r="E519" s="4">
        <v>1</v>
      </c>
      <c r="F519" s="4">
        <v>0.88039568345323738</v>
      </c>
      <c r="G519" s="4" t="str">
        <f t="shared" si="69"/>
        <v/>
      </c>
      <c r="H519" s="4" t="str">
        <f t="shared" si="70"/>
        <v/>
      </c>
      <c r="I519" s="4" t="str">
        <f t="shared" si="71"/>
        <v/>
      </c>
      <c r="J519" s="4" t="str">
        <f t="shared" si="72"/>
        <v/>
      </c>
      <c r="K519" s="4">
        <f t="shared" si="73"/>
        <v>1</v>
      </c>
      <c r="L519" s="4" t="str">
        <f t="shared" si="74"/>
        <v/>
      </c>
      <c r="M519" s="4"/>
      <c r="N519" s="4"/>
      <c r="O519" s="4"/>
      <c r="P519" s="4"/>
      <c r="Q519" s="4"/>
      <c r="R519" s="4"/>
      <c r="S519" s="4"/>
      <c r="T519" s="4"/>
      <c r="U519" s="4"/>
    </row>
    <row r="520" spans="1:21">
      <c r="A520" t="s">
        <v>598</v>
      </c>
      <c r="B520">
        <v>6</v>
      </c>
      <c r="C520" t="str">
        <f t="shared" si="68"/>
        <v>test.TIFFFaxEncoder_6_</v>
      </c>
      <c r="D520">
        <v>6</v>
      </c>
      <c r="E520" s="4">
        <v>1</v>
      </c>
      <c r="F520" s="4">
        <v>0.88129496402877694</v>
      </c>
      <c r="G520" s="4" t="str">
        <f t="shared" si="69"/>
        <v/>
      </c>
      <c r="H520" s="4" t="str">
        <f t="shared" si="70"/>
        <v/>
      </c>
      <c r="I520" s="4" t="str">
        <f t="shared" si="71"/>
        <v/>
      </c>
      <c r="J520" s="4" t="str">
        <f t="shared" si="72"/>
        <v/>
      </c>
      <c r="K520" s="4">
        <f t="shared" si="73"/>
        <v>1</v>
      </c>
      <c r="L520" s="4" t="str">
        <f t="shared" si="74"/>
        <v/>
      </c>
      <c r="M520" s="4"/>
      <c r="N520" s="4"/>
      <c r="O520" s="4"/>
      <c r="P520" s="4"/>
      <c r="Q520" s="4"/>
      <c r="R520" s="4"/>
      <c r="S520" s="4"/>
      <c r="T520" s="4"/>
      <c r="U520" s="4"/>
    </row>
    <row r="521" spans="1:21">
      <c r="A521" t="s">
        <v>598</v>
      </c>
      <c r="B521">
        <v>8</v>
      </c>
      <c r="C521" t="str">
        <f t="shared" si="68"/>
        <v>test.TIFFFaxEncoder_8_</v>
      </c>
      <c r="D521">
        <v>1</v>
      </c>
      <c r="E521" s="4">
        <v>0.89655172413793105</v>
      </c>
      <c r="F521" s="4">
        <v>0.92884764114462492</v>
      </c>
      <c r="G521" s="4" t="str">
        <f t="shared" si="69"/>
        <v/>
      </c>
      <c r="H521" s="4" t="str">
        <f t="shared" si="70"/>
        <v/>
      </c>
      <c r="I521" s="4" t="str">
        <f t="shared" si="71"/>
        <v/>
      </c>
      <c r="J521" s="4" t="str">
        <f t="shared" si="72"/>
        <v/>
      </c>
      <c r="K521" s="4">
        <f t="shared" si="73"/>
        <v>0.89655172413793105</v>
      </c>
      <c r="L521" s="4" t="str">
        <f t="shared" si="74"/>
        <v/>
      </c>
      <c r="M521" s="4"/>
      <c r="N521" s="4"/>
      <c r="O521" s="4"/>
      <c r="P521" s="4"/>
      <c r="Q521" s="4"/>
      <c r="R521" s="4"/>
      <c r="S521" s="4"/>
      <c r="T521" s="4"/>
      <c r="U521" s="4"/>
    </row>
    <row r="522" spans="1:21">
      <c r="A522" t="s">
        <v>598</v>
      </c>
      <c r="B522">
        <v>8</v>
      </c>
      <c r="C522" t="str">
        <f t="shared" si="68"/>
        <v>test.TIFFFaxEncoder_8_</v>
      </c>
      <c r="D522">
        <v>2</v>
      </c>
      <c r="E522" s="4">
        <v>1</v>
      </c>
      <c r="F522" s="4">
        <v>0.95746326372776491</v>
      </c>
      <c r="G522" s="4" t="str">
        <f t="shared" si="69"/>
        <v/>
      </c>
      <c r="H522" s="4" t="str">
        <f t="shared" si="70"/>
        <v/>
      </c>
      <c r="I522" s="4" t="str">
        <f t="shared" si="71"/>
        <v/>
      </c>
      <c r="J522" s="4" t="str">
        <f t="shared" si="72"/>
        <v/>
      </c>
      <c r="K522" s="4">
        <f t="shared" si="73"/>
        <v>1</v>
      </c>
      <c r="L522" s="4" t="str">
        <f t="shared" si="74"/>
        <v/>
      </c>
      <c r="M522" s="4"/>
      <c r="N522" s="4"/>
      <c r="O522" s="4"/>
      <c r="P522" s="4"/>
      <c r="Q522" s="4"/>
      <c r="R522" s="4"/>
      <c r="S522" s="4"/>
      <c r="T522" s="4"/>
      <c r="U522" s="4"/>
    </row>
    <row r="523" spans="1:21">
      <c r="E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1:21">
      <c r="E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1:21">
      <c r="E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1:21">
      <c r="E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1:21">
      <c r="E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1:21">
      <c r="E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5:21">
      <c r="E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5:21">
      <c r="E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5:21">
      <c r="E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5:21">
      <c r="E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5:21">
      <c r="E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5:21">
      <c r="E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5:21">
      <c r="E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5:21">
      <c r="E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5:21">
      <c r="E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5:21">
      <c r="E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5:21">
      <c r="E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5:21">
      <c r="E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2"/>
  <sheetViews>
    <sheetView tabSelected="1" topLeftCell="A19" workbookViewId="0">
      <selection activeCell="C59" sqref="C59"/>
    </sheetView>
  </sheetViews>
  <sheetFormatPr baseColWidth="10" defaultRowHeight="15" x14ac:dyDescent="0"/>
  <cols>
    <col min="1" max="1" width="29.1640625" bestFit="1" customWidth="1"/>
    <col min="2" max="2" width="18" bestFit="1" customWidth="1"/>
    <col min="3" max="3" width="26.1640625" bestFit="1" customWidth="1"/>
    <col min="4" max="4" width="9.6640625" bestFit="1" customWidth="1"/>
    <col min="5" max="5" width="8.1640625" customWidth="1"/>
    <col min="6" max="6" width="9.5" customWidth="1"/>
    <col min="7" max="7" width="9" customWidth="1"/>
    <col min="8" max="8" width="15.5" bestFit="1" customWidth="1"/>
    <col min="11" max="11" width="13.83203125" bestFit="1" customWidth="1"/>
    <col min="16" max="16" width="9" customWidth="1"/>
  </cols>
  <sheetData>
    <row r="1" spans="1:19">
      <c r="B1" s="2" t="s">
        <v>3</v>
      </c>
      <c r="C1" s="2" t="s">
        <v>4</v>
      </c>
      <c r="D1" s="2" t="s">
        <v>5</v>
      </c>
      <c r="E1" s="2" t="s">
        <v>172</v>
      </c>
      <c r="F1" s="2" t="s">
        <v>173</v>
      </c>
      <c r="G1" s="2" t="s">
        <v>170</v>
      </c>
      <c r="H1" s="2" t="s">
        <v>166</v>
      </c>
      <c r="I1" s="2" t="s">
        <v>167</v>
      </c>
      <c r="J1" s="2" t="s">
        <v>168</v>
      </c>
      <c r="K1" s="2" t="s">
        <v>171</v>
      </c>
      <c r="O1" t="s">
        <v>942</v>
      </c>
      <c r="Q1" t="s">
        <v>941</v>
      </c>
      <c r="S1" t="s">
        <v>218</v>
      </c>
    </row>
    <row r="2" spans="1:19">
      <c r="A2" t="s">
        <v>702</v>
      </c>
      <c r="B2" s="2" t="s">
        <v>165</v>
      </c>
      <c r="C2" s="2" t="s">
        <v>6</v>
      </c>
      <c r="D2" s="2">
        <v>1</v>
      </c>
      <c r="E2" s="2">
        <v>3</v>
      </c>
      <c r="F2" s="2">
        <v>60</v>
      </c>
      <c r="G2" s="2">
        <v>4</v>
      </c>
      <c r="H2" s="2" t="s">
        <v>169</v>
      </c>
      <c r="I2" s="2">
        <v>3</v>
      </c>
      <c r="J2" s="2">
        <v>60</v>
      </c>
      <c r="K2" s="2">
        <v>16</v>
      </c>
      <c r="O2" t="s">
        <v>619</v>
      </c>
      <c r="Q2" s="2" t="s">
        <v>619</v>
      </c>
      <c r="S2">
        <f>IF(Q2&lt;&gt;"",K2,"")</f>
        <v>16</v>
      </c>
    </row>
    <row r="3" spans="1:19">
      <c r="A3" t="s">
        <v>703</v>
      </c>
      <c r="B3" s="2"/>
      <c r="C3" s="2" t="s">
        <v>9</v>
      </c>
      <c r="D3" s="2">
        <v>2</v>
      </c>
      <c r="E3" s="2">
        <v>3</v>
      </c>
      <c r="F3" s="2">
        <v>60</v>
      </c>
      <c r="G3" s="2">
        <v>15</v>
      </c>
      <c r="H3" s="2" t="s">
        <v>78</v>
      </c>
      <c r="I3" s="2"/>
      <c r="J3" s="2"/>
      <c r="O3" t="s">
        <v>620</v>
      </c>
      <c r="S3" t="str">
        <f t="shared" ref="S3:S66" si="0">IF(Q3&lt;&gt;"",K3,"")</f>
        <v/>
      </c>
    </row>
    <row r="4" spans="1:19">
      <c r="A4" t="s">
        <v>704</v>
      </c>
      <c r="B4" s="2"/>
      <c r="C4" s="2" t="s">
        <v>18</v>
      </c>
      <c r="D4" s="2">
        <v>6</v>
      </c>
      <c r="E4" s="2">
        <v>3</v>
      </c>
      <c r="F4" s="2">
        <v>60</v>
      </c>
      <c r="G4" s="2">
        <v>5</v>
      </c>
      <c r="H4" s="2" t="s">
        <v>78</v>
      </c>
      <c r="I4" s="2"/>
      <c r="J4" s="2"/>
      <c r="O4" t="s">
        <v>621</v>
      </c>
      <c r="S4" t="str">
        <f t="shared" si="0"/>
        <v/>
      </c>
    </row>
    <row r="5" spans="1:19">
      <c r="A5" t="s">
        <v>705</v>
      </c>
      <c r="B5" s="2"/>
      <c r="C5" s="2" t="s">
        <v>22</v>
      </c>
      <c r="D5" s="2">
        <v>7</v>
      </c>
      <c r="E5" s="2">
        <v>3</v>
      </c>
      <c r="F5" s="2">
        <v>60</v>
      </c>
      <c r="G5" s="2">
        <v>0</v>
      </c>
      <c r="H5" s="2" t="s">
        <v>169</v>
      </c>
      <c r="I5" s="2">
        <v>3</v>
      </c>
      <c r="J5" s="2">
        <v>60</v>
      </c>
      <c r="K5" s="2">
        <v>16</v>
      </c>
      <c r="Q5" s="2" t="s">
        <v>943</v>
      </c>
      <c r="S5">
        <f t="shared" si="0"/>
        <v>16</v>
      </c>
    </row>
    <row r="6" spans="1:19">
      <c r="A6" t="s">
        <v>706</v>
      </c>
      <c r="B6" s="2"/>
      <c r="C6" s="2" t="s">
        <v>27</v>
      </c>
      <c r="D6" s="2">
        <v>9</v>
      </c>
      <c r="E6" s="2">
        <v>3</v>
      </c>
      <c r="F6" s="2">
        <v>60</v>
      </c>
      <c r="G6" s="2">
        <v>10</v>
      </c>
      <c r="H6" s="2" t="s">
        <v>78</v>
      </c>
      <c r="I6" s="2"/>
      <c r="J6" s="2"/>
      <c r="O6" t="s">
        <v>622</v>
      </c>
      <c r="S6" t="str">
        <f t="shared" si="0"/>
        <v/>
      </c>
    </row>
    <row r="7" spans="1:19">
      <c r="A7" t="s">
        <v>707</v>
      </c>
      <c r="B7" s="2" t="s">
        <v>28</v>
      </c>
      <c r="C7" s="2" t="s">
        <v>29</v>
      </c>
      <c r="D7" s="2">
        <v>2</v>
      </c>
      <c r="E7" s="2">
        <v>3</v>
      </c>
      <c r="F7" s="2">
        <v>60</v>
      </c>
      <c r="G7" s="2">
        <v>4</v>
      </c>
      <c r="H7" s="2" t="s">
        <v>78</v>
      </c>
      <c r="I7" s="2"/>
      <c r="J7" s="2"/>
      <c r="O7" t="s">
        <v>623</v>
      </c>
      <c r="S7" t="str">
        <f t="shared" si="0"/>
        <v/>
      </c>
    </row>
    <row r="8" spans="1:19">
      <c r="A8" t="s">
        <v>708</v>
      </c>
      <c r="B8" s="2"/>
      <c r="C8" s="2" t="s">
        <v>30</v>
      </c>
      <c r="D8" s="2">
        <v>4</v>
      </c>
      <c r="E8" s="2">
        <v>3</v>
      </c>
      <c r="F8" s="2">
        <v>60</v>
      </c>
      <c r="G8" s="2">
        <v>4</v>
      </c>
      <c r="H8" s="2" t="s">
        <v>78</v>
      </c>
      <c r="I8" s="2"/>
      <c r="J8" s="2"/>
      <c r="O8" t="s">
        <v>624</v>
      </c>
      <c r="S8" t="str">
        <f t="shared" si="0"/>
        <v/>
      </c>
    </row>
    <row r="9" spans="1:19">
      <c r="A9" t="s">
        <v>709</v>
      </c>
      <c r="B9" s="2"/>
      <c r="C9" s="2" t="s">
        <v>33</v>
      </c>
      <c r="D9" s="2">
        <v>13</v>
      </c>
      <c r="E9" s="2">
        <v>3</v>
      </c>
      <c r="F9" s="2">
        <v>60</v>
      </c>
      <c r="G9" s="2">
        <v>5</v>
      </c>
      <c r="H9" s="2" t="s">
        <v>78</v>
      </c>
      <c r="I9" s="2"/>
      <c r="J9" s="2"/>
      <c r="O9" t="s">
        <v>625</v>
      </c>
      <c r="S9" t="str">
        <f t="shared" si="0"/>
        <v/>
      </c>
    </row>
    <row r="10" spans="1:19">
      <c r="A10" t="s">
        <v>710</v>
      </c>
      <c r="B10" s="2"/>
      <c r="C10" s="2" t="s">
        <v>30</v>
      </c>
      <c r="D10" s="2">
        <v>16</v>
      </c>
      <c r="E10" s="2">
        <v>3</v>
      </c>
      <c r="F10" s="2">
        <v>60</v>
      </c>
      <c r="G10" s="2">
        <v>4</v>
      </c>
      <c r="H10" s="2" t="s">
        <v>169</v>
      </c>
      <c r="I10" s="2">
        <v>3</v>
      </c>
      <c r="J10" s="2">
        <v>60</v>
      </c>
      <c r="K10" s="2">
        <v>4</v>
      </c>
      <c r="L10" t="s">
        <v>174</v>
      </c>
      <c r="O10" t="s">
        <v>626</v>
      </c>
      <c r="S10" t="str">
        <f t="shared" si="0"/>
        <v/>
      </c>
    </row>
    <row r="11" spans="1:19">
      <c r="A11" t="s">
        <v>711</v>
      </c>
      <c r="B11" s="2"/>
      <c r="C11" s="2" t="s">
        <v>36</v>
      </c>
      <c r="D11" s="2">
        <v>18</v>
      </c>
      <c r="E11" s="2">
        <v>15</v>
      </c>
      <c r="F11" s="2">
        <v>60</v>
      </c>
      <c r="G11" s="2">
        <v>24</v>
      </c>
      <c r="H11" s="2" t="s">
        <v>169</v>
      </c>
      <c r="I11" s="2">
        <v>15</v>
      </c>
      <c r="J11" s="2">
        <v>60</v>
      </c>
      <c r="K11" s="2">
        <v>27</v>
      </c>
      <c r="L11" t="s">
        <v>175</v>
      </c>
      <c r="O11" t="s">
        <v>627</v>
      </c>
      <c r="Q11" s="2" t="s">
        <v>627</v>
      </c>
      <c r="S11">
        <f t="shared" si="0"/>
        <v>27</v>
      </c>
    </row>
    <row r="12" spans="1:19">
      <c r="A12" t="s">
        <v>712</v>
      </c>
      <c r="B12" s="2"/>
      <c r="C12" s="2" t="s">
        <v>32</v>
      </c>
      <c r="D12" s="2">
        <v>19</v>
      </c>
      <c r="E12" s="2">
        <v>3</v>
      </c>
      <c r="F12" s="2">
        <v>60</v>
      </c>
      <c r="G12" s="2">
        <v>28</v>
      </c>
      <c r="H12" s="2" t="s">
        <v>169</v>
      </c>
      <c r="I12" s="2">
        <v>3</v>
      </c>
      <c r="J12" s="2">
        <v>60</v>
      </c>
      <c r="K12" s="2">
        <v>29</v>
      </c>
      <c r="O12" t="s">
        <v>628</v>
      </c>
      <c r="Q12" s="2" t="s">
        <v>628</v>
      </c>
      <c r="S12">
        <f t="shared" si="0"/>
        <v>29</v>
      </c>
    </row>
    <row r="13" spans="1:19">
      <c r="A13" t="s">
        <v>713</v>
      </c>
      <c r="B13" s="2"/>
      <c r="C13" s="2" t="s">
        <v>39</v>
      </c>
      <c r="D13" s="2">
        <v>20</v>
      </c>
      <c r="E13" s="2">
        <v>15</v>
      </c>
      <c r="F13" s="2">
        <v>60</v>
      </c>
      <c r="G13" s="2">
        <v>33</v>
      </c>
      <c r="H13" s="2" t="s">
        <v>169</v>
      </c>
      <c r="I13" s="2">
        <v>15</v>
      </c>
      <c r="J13" s="2">
        <v>60</v>
      </c>
      <c r="K13" s="2">
        <v>45</v>
      </c>
      <c r="O13" t="s">
        <v>629</v>
      </c>
      <c r="P13" t="s">
        <v>697</v>
      </c>
      <c r="Q13" s="2" t="s">
        <v>629</v>
      </c>
      <c r="S13">
        <f t="shared" si="0"/>
        <v>45</v>
      </c>
    </row>
    <row r="14" spans="1:19">
      <c r="A14" t="s">
        <v>714</v>
      </c>
      <c r="B14" s="10" t="s">
        <v>40</v>
      </c>
      <c r="C14" s="10" t="s">
        <v>41</v>
      </c>
      <c r="D14" s="10">
        <v>1</v>
      </c>
      <c r="E14" s="10">
        <v>3</v>
      </c>
      <c r="F14" s="10">
        <v>60</v>
      </c>
      <c r="G14" s="10">
        <v>0</v>
      </c>
      <c r="H14" s="2" t="s">
        <v>169</v>
      </c>
      <c r="I14" s="2">
        <v>3</v>
      </c>
      <c r="J14" s="2">
        <v>60</v>
      </c>
      <c r="K14" s="2">
        <v>5</v>
      </c>
      <c r="O14" s="9"/>
      <c r="P14" s="9"/>
      <c r="Q14" s="2" t="s">
        <v>615</v>
      </c>
      <c r="S14">
        <f t="shared" si="0"/>
        <v>5</v>
      </c>
    </row>
    <row r="15" spans="1:19">
      <c r="A15" t="s">
        <v>715</v>
      </c>
      <c r="B15" s="2"/>
      <c r="C15" s="2" t="s">
        <v>42</v>
      </c>
      <c r="D15" s="2">
        <v>2</v>
      </c>
      <c r="E15" s="2">
        <v>3</v>
      </c>
      <c r="F15" s="2">
        <v>60</v>
      </c>
      <c r="G15" s="2">
        <v>3</v>
      </c>
      <c r="H15" s="2" t="s">
        <v>78</v>
      </c>
      <c r="I15" s="2"/>
      <c r="J15" s="2"/>
      <c r="O15" t="s">
        <v>617</v>
      </c>
      <c r="S15" t="str">
        <f t="shared" si="0"/>
        <v/>
      </c>
    </row>
    <row r="16" spans="1:19">
      <c r="A16" t="s">
        <v>716</v>
      </c>
      <c r="B16" s="2"/>
      <c r="C16" s="2" t="s">
        <v>44</v>
      </c>
      <c r="D16" s="2">
        <v>3</v>
      </c>
      <c r="E16" s="2">
        <v>3</v>
      </c>
      <c r="F16" s="2">
        <v>60</v>
      </c>
      <c r="G16" s="2">
        <v>2</v>
      </c>
      <c r="H16" s="2" t="s">
        <v>169</v>
      </c>
      <c r="I16" s="2">
        <v>3</v>
      </c>
      <c r="J16" s="2">
        <v>60</v>
      </c>
      <c r="K16" s="2">
        <v>2</v>
      </c>
      <c r="L16" t="s">
        <v>174</v>
      </c>
      <c r="O16" t="s">
        <v>616</v>
      </c>
      <c r="S16" t="str">
        <f t="shared" si="0"/>
        <v/>
      </c>
    </row>
    <row r="17" spans="1:19">
      <c r="A17" t="s">
        <v>717</v>
      </c>
      <c r="B17" s="2"/>
      <c r="C17" s="2" t="s">
        <v>48</v>
      </c>
      <c r="D17" s="2">
        <v>6</v>
      </c>
      <c r="E17" s="2">
        <v>3</v>
      </c>
      <c r="F17" s="2">
        <v>60</v>
      </c>
      <c r="G17" s="2">
        <v>0</v>
      </c>
      <c r="H17" s="2" t="s">
        <v>78</v>
      </c>
      <c r="I17" s="2">
        <v>3</v>
      </c>
      <c r="J17" s="2">
        <v>60</v>
      </c>
      <c r="K17" s="2">
        <v>3</v>
      </c>
      <c r="Q17" s="2" t="s">
        <v>944</v>
      </c>
      <c r="S17">
        <f t="shared" si="0"/>
        <v>3</v>
      </c>
    </row>
    <row r="18" spans="1:19">
      <c r="A18" t="s">
        <v>718</v>
      </c>
      <c r="B18" s="2"/>
      <c r="C18" s="2" t="s">
        <v>49</v>
      </c>
      <c r="D18" s="2">
        <v>7</v>
      </c>
      <c r="E18" s="2">
        <v>3</v>
      </c>
      <c r="F18" s="2">
        <v>60</v>
      </c>
      <c r="G18" s="2">
        <v>2</v>
      </c>
      <c r="H18" s="2" t="s">
        <v>169</v>
      </c>
      <c r="I18" s="2">
        <v>3</v>
      </c>
      <c r="J18" s="2">
        <v>60</v>
      </c>
      <c r="K18" s="2">
        <v>2</v>
      </c>
      <c r="L18" t="s">
        <v>174</v>
      </c>
      <c r="O18" t="s">
        <v>684</v>
      </c>
      <c r="S18" t="str">
        <f t="shared" si="0"/>
        <v/>
      </c>
    </row>
    <row r="19" spans="1:19">
      <c r="A19" t="s">
        <v>719</v>
      </c>
      <c r="B19" s="2"/>
      <c r="C19" s="2" t="s">
        <v>53</v>
      </c>
      <c r="D19" s="2">
        <v>10</v>
      </c>
      <c r="E19" s="2">
        <v>15</v>
      </c>
      <c r="F19" s="2">
        <v>30</v>
      </c>
      <c r="G19" s="2">
        <v>32</v>
      </c>
      <c r="H19" s="2" t="s">
        <v>78</v>
      </c>
      <c r="I19" s="2"/>
      <c r="J19" s="2"/>
      <c r="O19" t="s">
        <v>618</v>
      </c>
      <c r="S19" t="str">
        <f t="shared" si="0"/>
        <v/>
      </c>
    </row>
    <row r="20" spans="1:19">
      <c r="A20" t="s">
        <v>720</v>
      </c>
      <c r="B20" s="2"/>
      <c r="C20" s="2" t="s">
        <v>54</v>
      </c>
      <c r="D20" s="2">
        <v>11</v>
      </c>
      <c r="E20" s="2">
        <v>20</v>
      </c>
      <c r="F20" s="2">
        <v>15</v>
      </c>
      <c r="G20" s="2">
        <v>13</v>
      </c>
      <c r="H20" s="2" t="s">
        <v>78</v>
      </c>
      <c r="I20" s="2"/>
      <c r="J20" s="2"/>
      <c r="O20" t="s">
        <v>630</v>
      </c>
      <c r="S20" t="str">
        <f t="shared" si="0"/>
        <v/>
      </c>
    </row>
    <row r="21" spans="1:19">
      <c r="A21" t="s">
        <v>721</v>
      </c>
      <c r="B21" s="2"/>
      <c r="C21" s="2" t="s">
        <v>56</v>
      </c>
      <c r="D21" s="2">
        <v>12</v>
      </c>
      <c r="E21" s="2">
        <v>20</v>
      </c>
      <c r="F21" s="2">
        <v>30</v>
      </c>
      <c r="G21" s="2">
        <v>17</v>
      </c>
      <c r="H21" s="2" t="s">
        <v>78</v>
      </c>
      <c r="I21" s="2"/>
      <c r="J21" s="2"/>
      <c r="O21" t="s">
        <v>631</v>
      </c>
      <c r="S21" t="str">
        <f t="shared" si="0"/>
        <v/>
      </c>
    </row>
    <row r="22" spans="1:19">
      <c r="A22" t="s">
        <v>722</v>
      </c>
      <c r="B22" s="2" t="s">
        <v>58</v>
      </c>
      <c r="C22" s="2" t="s">
        <v>59</v>
      </c>
      <c r="D22" s="2">
        <v>1</v>
      </c>
      <c r="E22" s="2">
        <v>3</v>
      </c>
      <c r="F22" s="2">
        <v>60</v>
      </c>
      <c r="G22" s="2">
        <v>7</v>
      </c>
      <c r="H22" s="2" t="s">
        <v>78</v>
      </c>
      <c r="I22" s="2"/>
      <c r="J22" s="2"/>
      <c r="O22" t="s">
        <v>632</v>
      </c>
      <c r="S22" t="str">
        <f t="shared" si="0"/>
        <v/>
      </c>
    </row>
    <row r="23" spans="1:19">
      <c r="A23" t="s">
        <v>723</v>
      </c>
      <c r="B23" s="2" t="s">
        <v>62</v>
      </c>
      <c r="C23" s="2" t="s">
        <v>63</v>
      </c>
      <c r="D23" s="2">
        <v>1</v>
      </c>
      <c r="E23" s="2">
        <v>3</v>
      </c>
      <c r="F23" s="2">
        <v>60</v>
      </c>
      <c r="G23" s="2">
        <v>16</v>
      </c>
      <c r="H23" s="2" t="s">
        <v>169</v>
      </c>
      <c r="I23" s="2">
        <v>3</v>
      </c>
      <c r="J23" s="2">
        <v>60</v>
      </c>
      <c r="K23" s="2">
        <v>16</v>
      </c>
      <c r="L23" t="s">
        <v>174</v>
      </c>
      <c r="O23" t="s">
        <v>633</v>
      </c>
      <c r="S23" t="str">
        <f t="shared" si="0"/>
        <v/>
      </c>
    </row>
    <row r="24" spans="1:19">
      <c r="A24" t="s">
        <v>724</v>
      </c>
      <c r="B24" s="2"/>
      <c r="C24" s="2" t="s">
        <v>65</v>
      </c>
      <c r="D24" s="2">
        <v>3</v>
      </c>
      <c r="E24" s="2">
        <v>3</v>
      </c>
      <c r="F24" s="2">
        <v>60</v>
      </c>
      <c r="G24" s="2">
        <v>3</v>
      </c>
      <c r="H24" s="2" t="s">
        <v>169</v>
      </c>
      <c r="I24" s="2">
        <v>3</v>
      </c>
      <c r="J24" s="2">
        <v>60</v>
      </c>
      <c r="K24" s="2">
        <v>3</v>
      </c>
      <c r="L24" t="s">
        <v>174</v>
      </c>
      <c r="O24" t="s">
        <v>634</v>
      </c>
      <c r="S24" t="str">
        <f t="shared" si="0"/>
        <v/>
      </c>
    </row>
    <row r="25" spans="1:19">
      <c r="A25" t="s">
        <v>725</v>
      </c>
      <c r="B25" s="2"/>
      <c r="C25" s="2" t="s">
        <v>66</v>
      </c>
      <c r="D25" s="2">
        <v>4</v>
      </c>
      <c r="E25" s="2">
        <v>3</v>
      </c>
      <c r="F25" s="2">
        <v>60</v>
      </c>
      <c r="G25" s="2">
        <v>9</v>
      </c>
      <c r="H25" s="2" t="s">
        <v>169</v>
      </c>
      <c r="I25" s="2">
        <v>3</v>
      </c>
      <c r="J25" s="2">
        <v>60</v>
      </c>
      <c r="K25" s="2">
        <v>9</v>
      </c>
      <c r="L25" t="s">
        <v>174</v>
      </c>
      <c r="O25" t="s">
        <v>635</v>
      </c>
      <c r="S25" t="str">
        <f t="shared" si="0"/>
        <v/>
      </c>
    </row>
    <row r="26" spans="1:19">
      <c r="A26" t="s">
        <v>726</v>
      </c>
      <c r="B26" s="2"/>
      <c r="C26" s="2" t="s">
        <v>68</v>
      </c>
      <c r="D26" s="2">
        <v>6</v>
      </c>
      <c r="E26" s="2">
        <v>3</v>
      </c>
      <c r="F26" s="2">
        <v>60</v>
      </c>
      <c r="G26" s="2">
        <v>2</v>
      </c>
      <c r="H26" s="2" t="s">
        <v>169</v>
      </c>
      <c r="I26" s="2">
        <v>3</v>
      </c>
      <c r="J26" s="2">
        <v>60</v>
      </c>
      <c r="K26" s="2">
        <v>2</v>
      </c>
      <c r="L26" t="s">
        <v>174</v>
      </c>
      <c r="O26" t="s">
        <v>636</v>
      </c>
      <c r="S26" t="str">
        <f t="shared" si="0"/>
        <v/>
      </c>
    </row>
    <row r="27" spans="1:19">
      <c r="A27" t="s">
        <v>727</v>
      </c>
      <c r="B27" s="2"/>
      <c r="C27" s="2" t="s">
        <v>69</v>
      </c>
      <c r="D27" s="2">
        <v>7</v>
      </c>
      <c r="E27" s="2">
        <v>3</v>
      </c>
      <c r="F27" s="2">
        <v>60</v>
      </c>
      <c r="G27" s="2">
        <v>7</v>
      </c>
      <c r="H27" s="2" t="s">
        <v>78</v>
      </c>
      <c r="I27" s="2"/>
      <c r="J27" s="2"/>
      <c r="O27" t="s">
        <v>637</v>
      </c>
      <c r="S27" t="str">
        <f t="shared" si="0"/>
        <v/>
      </c>
    </row>
    <row r="28" spans="1:19">
      <c r="A28" t="s">
        <v>728</v>
      </c>
      <c r="B28" s="2" t="s">
        <v>72</v>
      </c>
      <c r="C28" s="2" t="s">
        <v>75</v>
      </c>
      <c r="D28" s="2">
        <v>3</v>
      </c>
      <c r="E28" s="2">
        <v>3</v>
      </c>
      <c r="F28" s="2">
        <v>60</v>
      </c>
      <c r="G28" s="2">
        <v>3</v>
      </c>
      <c r="H28" s="2" t="s">
        <v>169</v>
      </c>
      <c r="I28" s="2">
        <v>3</v>
      </c>
      <c r="J28" s="2">
        <v>60</v>
      </c>
      <c r="K28" s="2">
        <v>3</v>
      </c>
      <c r="L28" t="s">
        <v>174</v>
      </c>
      <c r="O28" t="s">
        <v>638</v>
      </c>
      <c r="S28" t="str">
        <f t="shared" si="0"/>
        <v/>
      </c>
    </row>
    <row r="29" spans="1:19">
      <c r="A29" t="s">
        <v>729</v>
      </c>
      <c r="B29" s="2"/>
      <c r="C29" s="2" t="s">
        <v>82</v>
      </c>
      <c r="D29" s="2">
        <v>7</v>
      </c>
      <c r="E29" s="2">
        <v>3</v>
      </c>
      <c r="F29" s="2">
        <v>60</v>
      </c>
      <c r="G29" s="2">
        <v>6</v>
      </c>
      <c r="H29" s="2" t="s">
        <v>169</v>
      </c>
      <c r="I29" s="2">
        <v>3</v>
      </c>
      <c r="J29" s="2">
        <v>60</v>
      </c>
      <c r="K29" s="2">
        <v>6</v>
      </c>
      <c r="L29" t="s">
        <v>174</v>
      </c>
      <c r="O29" t="s">
        <v>639</v>
      </c>
      <c r="S29" t="str">
        <f t="shared" si="0"/>
        <v/>
      </c>
    </row>
    <row r="30" spans="1:19">
      <c r="A30" t="s">
        <v>730</v>
      </c>
      <c r="B30" s="2"/>
      <c r="C30" s="2" t="s">
        <v>83</v>
      </c>
      <c r="D30" s="2">
        <v>8</v>
      </c>
      <c r="E30" s="2">
        <v>3</v>
      </c>
      <c r="F30" s="2">
        <v>60</v>
      </c>
      <c r="G30" s="2">
        <v>11</v>
      </c>
      <c r="H30" s="2" t="s">
        <v>169</v>
      </c>
      <c r="I30" s="2">
        <v>3</v>
      </c>
      <c r="J30" s="2">
        <v>60</v>
      </c>
      <c r="K30" s="2">
        <v>11</v>
      </c>
      <c r="L30" t="s">
        <v>174</v>
      </c>
      <c r="O30" t="s">
        <v>640</v>
      </c>
      <c r="S30" t="str">
        <f t="shared" si="0"/>
        <v/>
      </c>
    </row>
    <row r="31" spans="1:19">
      <c r="A31" t="s">
        <v>731</v>
      </c>
      <c r="B31" s="2"/>
      <c r="C31" s="2" t="s">
        <v>84</v>
      </c>
      <c r="D31" s="2">
        <v>9</v>
      </c>
      <c r="E31" s="2">
        <v>3</v>
      </c>
      <c r="F31" s="2">
        <v>60</v>
      </c>
      <c r="G31" s="2">
        <v>5</v>
      </c>
      <c r="H31" s="2" t="s">
        <v>169</v>
      </c>
      <c r="I31" s="2">
        <v>3</v>
      </c>
      <c r="J31" s="2">
        <v>60</v>
      </c>
      <c r="K31" s="2">
        <v>5</v>
      </c>
      <c r="L31" t="s">
        <v>174</v>
      </c>
      <c r="O31" t="s">
        <v>641</v>
      </c>
      <c r="S31" t="str">
        <f t="shared" si="0"/>
        <v/>
      </c>
    </row>
    <row r="32" spans="1:19">
      <c r="A32" t="s">
        <v>732</v>
      </c>
      <c r="B32" s="2"/>
      <c r="C32" s="2" t="s">
        <v>85</v>
      </c>
      <c r="D32" s="2">
        <v>10</v>
      </c>
      <c r="E32" s="2">
        <v>3</v>
      </c>
      <c r="F32" s="2">
        <v>60</v>
      </c>
      <c r="G32" s="2">
        <v>32</v>
      </c>
      <c r="H32" s="2" t="s">
        <v>78</v>
      </c>
      <c r="I32" s="2"/>
      <c r="J32" s="2"/>
      <c r="O32" t="s">
        <v>642</v>
      </c>
      <c r="S32" t="str">
        <f t="shared" si="0"/>
        <v/>
      </c>
    </row>
    <row r="33" spans="1:19">
      <c r="A33" t="s">
        <v>733</v>
      </c>
      <c r="B33" s="2" t="s">
        <v>86</v>
      </c>
      <c r="C33" s="2" t="s">
        <v>87</v>
      </c>
      <c r="D33" s="2">
        <v>3</v>
      </c>
      <c r="E33" s="2">
        <v>3</v>
      </c>
      <c r="F33" s="2">
        <v>60</v>
      </c>
      <c r="G33" s="2">
        <v>2</v>
      </c>
      <c r="H33" s="2" t="s">
        <v>169</v>
      </c>
      <c r="I33" s="2">
        <v>3</v>
      </c>
      <c r="J33" s="2">
        <v>60</v>
      </c>
      <c r="K33" s="2">
        <v>2</v>
      </c>
      <c r="L33" t="s">
        <v>174</v>
      </c>
      <c r="O33" t="s">
        <v>643</v>
      </c>
      <c r="S33" t="str">
        <f t="shared" si="0"/>
        <v/>
      </c>
    </row>
    <row r="34" spans="1:19">
      <c r="A34" t="s">
        <v>734</v>
      </c>
      <c r="B34" s="2" t="s">
        <v>88</v>
      </c>
      <c r="C34" s="2" t="s">
        <v>89</v>
      </c>
      <c r="D34" s="2">
        <v>2</v>
      </c>
      <c r="E34" s="2">
        <v>3</v>
      </c>
      <c r="F34" s="2">
        <v>60</v>
      </c>
      <c r="G34" s="2">
        <v>8</v>
      </c>
      <c r="H34" s="2" t="s">
        <v>78</v>
      </c>
      <c r="I34" s="2"/>
      <c r="J34" s="2"/>
      <c r="O34" t="s">
        <v>644</v>
      </c>
      <c r="S34" t="str">
        <f t="shared" si="0"/>
        <v/>
      </c>
    </row>
    <row r="35" spans="1:19">
      <c r="A35" t="s">
        <v>735</v>
      </c>
      <c r="B35" s="2"/>
      <c r="C35" s="2" t="s">
        <v>90</v>
      </c>
      <c r="D35" s="2">
        <v>3</v>
      </c>
      <c r="E35" s="2">
        <v>3</v>
      </c>
      <c r="F35" s="2">
        <v>60</v>
      </c>
      <c r="G35" s="2">
        <v>6</v>
      </c>
      <c r="H35" s="2" t="s">
        <v>169</v>
      </c>
      <c r="I35" s="2">
        <v>3</v>
      </c>
      <c r="J35" s="2">
        <v>60</v>
      </c>
      <c r="K35" s="2">
        <v>9</v>
      </c>
      <c r="O35" t="s">
        <v>645</v>
      </c>
      <c r="Q35" s="2" t="s">
        <v>645</v>
      </c>
      <c r="S35">
        <f t="shared" si="0"/>
        <v>9</v>
      </c>
    </row>
    <row r="36" spans="1:19">
      <c r="A36" t="s">
        <v>736</v>
      </c>
      <c r="B36" s="2"/>
      <c r="C36" s="2" t="s">
        <v>90</v>
      </c>
      <c r="D36" s="2">
        <v>4</v>
      </c>
      <c r="E36" s="2">
        <v>3</v>
      </c>
      <c r="F36" s="2">
        <v>60</v>
      </c>
      <c r="G36" s="2">
        <v>9</v>
      </c>
      <c r="H36" s="2" t="s">
        <v>169</v>
      </c>
      <c r="I36" s="2">
        <v>3</v>
      </c>
      <c r="J36" s="2">
        <v>60</v>
      </c>
      <c r="K36" s="2">
        <v>10</v>
      </c>
      <c r="O36" t="s">
        <v>646</v>
      </c>
      <c r="Q36" s="2" t="s">
        <v>646</v>
      </c>
      <c r="S36">
        <f t="shared" si="0"/>
        <v>10</v>
      </c>
    </row>
    <row r="37" spans="1:19">
      <c r="A37" t="s">
        <v>737</v>
      </c>
      <c r="B37" s="2"/>
      <c r="C37" s="2" t="s">
        <v>91</v>
      </c>
      <c r="D37" s="2">
        <v>5</v>
      </c>
      <c r="E37" s="2">
        <v>3</v>
      </c>
      <c r="F37" s="2">
        <v>60</v>
      </c>
      <c r="G37" s="2">
        <v>6</v>
      </c>
      <c r="H37" s="2" t="s">
        <v>78</v>
      </c>
      <c r="I37" s="2"/>
      <c r="J37" s="2"/>
      <c r="O37" t="s">
        <v>647</v>
      </c>
      <c r="S37" t="str">
        <f t="shared" si="0"/>
        <v/>
      </c>
    </row>
    <row r="38" spans="1:19">
      <c r="A38" t="s">
        <v>738</v>
      </c>
      <c r="B38" s="2"/>
      <c r="C38" s="2" t="s">
        <v>92</v>
      </c>
      <c r="D38" s="2">
        <v>6</v>
      </c>
      <c r="E38" s="2">
        <v>3</v>
      </c>
      <c r="F38" s="2">
        <v>60</v>
      </c>
      <c r="G38" s="2">
        <v>10</v>
      </c>
      <c r="H38" s="2" t="s">
        <v>78</v>
      </c>
      <c r="I38" s="2"/>
      <c r="J38" s="2"/>
      <c r="O38" t="s">
        <v>648</v>
      </c>
      <c r="S38" t="str">
        <f t="shared" si="0"/>
        <v/>
      </c>
    </row>
    <row r="39" spans="1:19">
      <c r="A39" t="s">
        <v>739</v>
      </c>
      <c r="B39" s="2"/>
      <c r="C39" s="2" t="s">
        <v>93</v>
      </c>
      <c r="D39" s="2">
        <v>7</v>
      </c>
      <c r="E39" s="2">
        <v>3</v>
      </c>
      <c r="F39" s="2">
        <v>60</v>
      </c>
      <c r="G39" s="2">
        <v>10</v>
      </c>
      <c r="H39" s="2" t="s">
        <v>78</v>
      </c>
      <c r="I39" s="2"/>
      <c r="J39" s="2"/>
      <c r="O39" t="s">
        <v>649</v>
      </c>
      <c r="S39" t="str">
        <f t="shared" si="0"/>
        <v/>
      </c>
    </row>
    <row r="40" spans="1:19">
      <c r="A40" t="s">
        <v>740</v>
      </c>
      <c r="B40" s="2"/>
      <c r="C40" s="2" t="s">
        <v>94</v>
      </c>
      <c r="D40" s="2">
        <v>8</v>
      </c>
      <c r="E40" s="2">
        <v>3</v>
      </c>
      <c r="F40" s="2">
        <v>60</v>
      </c>
      <c r="G40" s="2">
        <v>6</v>
      </c>
      <c r="H40" s="2" t="s">
        <v>169</v>
      </c>
      <c r="I40" s="2">
        <v>3</v>
      </c>
      <c r="J40" s="2">
        <v>60</v>
      </c>
      <c r="K40" s="2">
        <v>10</v>
      </c>
      <c r="O40" t="s">
        <v>650</v>
      </c>
      <c r="Q40" s="2" t="s">
        <v>650</v>
      </c>
      <c r="S40">
        <f t="shared" si="0"/>
        <v>10</v>
      </c>
    </row>
    <row r="41" spans="1:19">
      <c r="A41" t="s">
        <v>741</v>
      </c>
      <c r="B41" s="2"/>
      <c r="C41" s="2" t="s">
        <v>94</v>
      </c>
      <c r="D41" s="2">
        <v>9</v>
      </c>
      <c r="E41" s="2">
        <v>3</v>
      </c>
      <c r="F41" s="2">
        <v>60</v>
      </c>
      <c r="G41" s="2">
        <v>9</v>
      </c>
      <c r="H41" s="2" t="s">
        <v>169</v>
      </c>
      <c r="I41" s="2">
        <v>3</v>
      </c>
      <c r="J41" s="2">
        <v>60</v>
      </c>
      <c r="K41" s="2">
        <v>10</v>
      </c>
      <c r="O41" t="s">
        <v>651</v>
      </c>
      <c r="Q41" s="2" t="s">
        <v>651</v>
      </c>
      <c r="S41">
        <f t="shared" si="0"/>
        <v>10</v>
      </c>
    </row>
    <row r="42" spans="1:19">
      <c r="A42" t="s">
        <v>742</v>
      </c>
      <c r="B42" s="2"/>
      <c r="C42" s="2" t="s">
        <v>95</v>
      </c>
      <c r="D42" s="2">
        <v>10</v>
      </c>
      <c r="E42" s="2">
        <v>3</v>
      </c>
      <c r="F42" s="2">
        <v>60</v>
      </c>
      <c r="G42" s="2">
        <v>0</v>
      </c>
      <c r="H42" s="2" t="s">
        <v>169</v>
      </c>
      <c r="I42" s="2">
        <v>3</v>
      </c>
      <c r="J42" s="2">
        <v>60</v>
      </c>
      <c r="K42" s="2">
        <v>2</v>
      </c>
      <c r="O42" s="9"/>
      <c r="Q42" s="2" t="s">
        <v>652</v>
      </c>
      <c r="S42">
        <f t="shared" si="0"/>
        <v>2</v>
      </c>
    </row>
    <row r="43" spans="1:19">
      <c r="A43" t="s">
        <v>743</v>
      </c>
      <c r="B43" s="2"/>
      <c r="C43" s="2" t="s">
        <v>98</v>
      </c>
      <c r="D43" s="2">
        <v>11</v>
      </c>
      <c r="E43" s="2">
        <v>3</v>
      </c>
      <c r="F43" s="2">
        <v>60</v>
      </c>
      <c r="G43" s="2">
        <v>2</v>
      </c>
      <c r="H43" s="2" t="s">
        <v>169</v>
      </c>
      <c r="I43" s="2">
        <v>3</v>
      </c>
      <c r="J43" s="2">
        <v>60</v>
      </c>
      <c r="K43" s="2">
        <v>3</v>
      </c>
      <c r="O43" t="s">
        <v>653</v>
      </c>
      <c r="Q43" s="2" t="s">
        <v>653</v>
      </c>
      <c r="S43">
        <f t="shared" si="0"/>
        <v>3</v>
      </c>
    </row>
    <row r="44" spans="1:19">
      <c r="A44" t="s">
        <v>744</v>
      </c>
      <c r="B44" s="2"/>
      <c r="C44" s="2" t="s">
        <v>100</v>
      </c>
      <c r="D44" s="2">
        <v>13</v>
      </c>
      <c r="E44" s="2">
        <v>3</v>
      </c>
      <c r="F44" s="2">
        <v>60</v>
      </c>
      <c r="G44" s="2">
        <v>4</v>
      </c>
      <c r="H44" s="2" t="s">
        <v>169</v>
      </c>
      <c r="I44" s="2">
        <v>3</v>
      </c>
      <c r="J44" s="2">
        <v>60</v>
      </c>
      <c r="K44" s="2">
        <v>4</v>
      </c>
      <c r="L44" t="s">
        <v>701</v>
      </c>
      <c r="O44" t="s">
        <v>654</v>
      </c>
      <c r="S44" t="str">
        <f t="shared" si="0"/>
        <v/>
      </c>
    </row>
    <row r="45" spans="1:19">
      <c r="A45" t="s">
        <v>745</v>
      </c>
      <c r="B45" s="2"/>
      <c r="C45" s="2" t="s">
        <v>100</v>
      </c>
      <c r="D45" s="2">
        <v>14</v>
      </c>
      <c r="E45" s="2">
        <v>3</v>
      </c>
      <c r="F45" s="2">
        <v>60</v>
      </c>
      <c r="G45" s="2">
        <v>11</v>
      </c>
      <c r="H45" s="2" t="s">
        <v>169</v>
      </c>
      <c r="I45" s="2">
        <v>3</v>
      </c>
      <c r="J45" s="2">
        <v>60</v>
      </c>
      <c r="K45" s="2">
        <v>15</v>
      </c>
      <c r="L45" t="s">
        <v>176</v>
      </c>
      <c r="O45" s="2" t="s">
        <v>696</v>
      </c>
      <c r="Q45" s="2" t="s">
        <v>696</v>
      </c>
      <c r="S45">
        <f t="shared" si="0"/>
        <v>15</v>
      </c>
    </row>
    <row r="46" spans="1:19">
      <c r="A46" t="s">
        <v>746</v>
      </c>
      <c r="B46" s="2"/>
      <c r="C46" s="2" t="s">
        <v>100</v>
      </c>
      <c r="D46" s="2">
        <v>15</v>
      </c>
      <c r="E46" s="2">
        <v>3</v>
      </c>
      <c r="F46" s="2">
        <v>60</v>
      </c>
      <c r="G46" s="2">
        <v>4</v>
      </c>
      <c r="H46" s="2" t="s">
        <v>169</v>
      </c>
      <c r="I46" s="2">
        <v>3</v>
      </c>
      <c r="J46" s="2">
        <v>60</v>
      </c>
      <c r="K46" s="2">
        <v>4</v>
      </c>
      <c r="L46" t="s">
        <v>174</v>
      </c>
      <c r="O46" t="s">
        <v>655</v>
      </c>
      <c r="S46" t="str">
        <f t="shared" si="0"/>
        <v/>
      </c>
    </row>
    <row r="47" spans="1:19">
      <c r="A47" t="s">
        <v>747</v>
      </c>
      <c r="B47" s="2"/>
      <c r="C47" s="2" t="s">
        <v>100</v>
      </c>
      <c r="D47" s="2">
        <v>16</v>
      </c>
      <c r="E47" s="2">
        <v>3</v>
      </c>
      <c r="F47" s="2">
        <v>60</v>
      </c>
      <c r="G47" s="2">
        <v>4</v>
      </c>
      <c r="H47" s="2" t="s">
        <v>169</v>
      </c>
      <c r="I47" s="2">
        <v>3</v>
      </c>
      <c r="J47" s="2">
        <v>60</v>
      </c>
      <c r="K47" s="2">
        <v>4</v>
      </c>
      <c r="L47" t="s">
        <v>178</v>
      </c>
      <c r="O47" t="s">
        <v>656</v>
      </c>
      <c r="S47" t="str">
        <f t="shared" si="0"/>
        <v/>
      </c>
    </row>
    <row r="48" spans="1:19">
      <c r="A48" t="s">
        <v>748</v>
      </c>
      <c r="B48" s="2"/>
      <c r="C48" s="2" t="s">
        <v>105</v>
      </c>
      <c r="D48" s="2">
        <v>20</v>
      </c>
      <c r="E48" s="2">
        <v>3</v>
      </c>
      <c r="F48" s="2">
        <v>60</v>
      </c>
      <c r="G48" s="2">
        <v>2</v>
      </c>
      <c r="H48" s="2" t="s">
        <v>169</v>
      </c>
      <c r="I48" s="2">
        <v>3</v>
      </c>
      <c r="J48" s="2">
        <v>60</v>
      </c>
      <c r="K48" s="2">
        <v>2</v>
      </c>
      <c r="L48" t="s">
        <v>174</v>
      </c>
      <c r="O48" t="s">
        <v>657</v>
      </c>
      <c r="S48" t="str">
        <f t="shared" si="0"/>
        <v/>
      </c>
    </row>
    <row r="49" spans="1:19">
      <c r="A49" t="s">
        <v>749</v>
      </c>
      <c r="B49" s="2"/>
      <c r="C49" s="2" t="s">
        <v>106</v>
      </c>
      <c r="D49" s="2">
        <v>21</v>
      </c>
      <c r="E49" s="2">
        <v>3</v>
      </c>
      <c r="F49" s="2">
        <v>60</v>
      </c>
      <c r="G49" s="2">
        <v>2</v>
      </c>
      <c r="H49" s="2" t="s">
        <v>169</v>
      </c>
      <c r="I49" s="2">
        <v>3</v>
      </c>
      <c r="J49" s="2">
        <v>60</v>
      </c>
      <c r="K49" s="2">
        <v>4</v>
      </c>
      <c r="O49" t="s">
        <v>658</v>
      </c>
      <c r="Q49" s="2" t="s">
        <v>658</v>
      </c>
      <c r="S49">
        <f t="shared" si="0"/>
        <v>4</v>
      </c>
    </row>
    <row r="50" spans="1:19">
      <c r="A50" t="s">
        <v>750</v>
      </c>
      <c r="B50" s="2" t="s">
        <v>110</v>
      </c>
      <c r="C50" s="2" t="s">
        <v>121</v>
      </c>
      <c r="D50" s="2">
        <v>2</v>
      </c>
      <c r="E50" s="2">
        <v>3</v>
      </c>
      <c r="F50" s="2">
        <v>60</v>
      </c>
      <c r="G50" s="2">
        <v>0</v>
      </c>
      <c r="H50" s="2" t="s">
        <v>169</v>
      </c>
      <c r="I50" s="2">
        <v>3</v>
      </c>
      <c r="J50" s="2">
        <v>60</v>
      </c>
      <c r="K50" s="2">
        <v>2</v>
      </c>
      <c r="O50" s="9"/>
      <c r="Q50" s="2" t="s">
        <v>659</v>
      </c>
      <c r="S50">
        <f t="shared" si="0"/>
        <v>2</v>
      </c>
    </row>
    <row r="51" spans="1:19">
      <c r="A51" t="s">
        <v>751</v>
      </c>
      <c r="B51" s="2"/>
      <c r="C51" s="2" t="s">
        <v>120</v>
      </c>
      <c r="D51" s="2">
        <v>3</v>
      </c>
      <c r="E51" s="2">
        <v>3</v>
      </c>
      <c r="F51" s="2">
        <v>60</v>
      </c>
      <c r="G51" s="2">
        <v>0</v>
      </c>
      <c r="H51" s="2" t="s">
        <v>169</v>
      </c>
      <c r="I51" s="2">
        <v>3</v>
      </c>
      <c r="J51" s="2">
        <v>60</v>
      </c>
      <c r="K51" s="2">
        <v>6</v>
      </c>
      <c r="O51" s="9"/>
      <c r="Q51" s="2" t="s">
        <v>660</v>
      </c>
      <c r="S51">
        <f t="shared" si="0"/>
        <v>6</v>
      </c>
    </row>
    <row r="52" spans="1:19">
      <c r="A52" t="s">
        <v>752</v>
      </c>
      <c r="B52" s="2" t="s">
        <v>111</v>
      </c>
      <c r="C52" s="2" t="s">
        <v>122</v>
      </c>
      <c r="D52" s="2">
        <v>0</v>
      </c>
      <c r="E52" s="2">
        <v>3</v>
      </c>
      <c r="F52" s="2">
        <v>60</v>
      </c>
      <c r="G52" s="2">
        <v>4</v>
      </c>
      <c r="H52" s="2" t="s">
        <v>78</v>
      </c>
      <c r="I52" s="2"/>
      <c r="J52" s="2"/>
      <c r="O52" t="s">
        <v>661</v>
      </c>
      <c r="S52" t="str">
        <f t="shared" si="0"/>
        <v/>
      </c>
    </row>
    <row r="53" spans="1:19">
      <c r="A53" t="s">
        <v>753</v>
      </c>
      <c r="B53" s="2"/>
      <c r="C53" s="2" t="s">
        <v>124</v>
      </c>
      <c r="D53" s="2">
        <v>1</v>
      </c>
      <c r="E53" s="2">
        <v>3</v>
      </c>
      <c r="F53" s="2">
        <v>60</v>
      </c>
      <c r="G53" s="2">
        <v>4</v>
      </c>
      <c r="H53" s="2" t="s">
        <v>169</v>
      </c>
      <c r="I53" s="2">
        <v>3</v>
      </c>
      <c r="J53" s="2">
        <v>60</v>
      </c>
      <c r="K53" s="2">
        <v>4</v>
      </c>
      <c r="L53" t="s">
        <v>174</v>
      </c>
      <c r="O53" t="s">
        <v>662</v>
      </c>
      <c r="S53" t="str">
        <f t="shared" si="0"/>
        <v/>
      </c>
    </row>
    <row r="54" spans="1:19">
      <c r="A54" t="s">
        <v>754</v>
      </c>
      <c r="B54" s="2" t="s">
        <v>112</v>
      </c>
      <c r="C54" s="2" t="s">
        <v>128</v>
      </c>
      <c r="D54" s="2">
        <v>1</v>
      </c>
      <c r="E54" s="2">
        <v>3</v>
      </c>
      <c r="F54" s="2">
        <v>60</v>
      </c>
      <c r="G54" s="2">
        <v>8</v>
      </c>
      <c r="H54" s="2" t="s">
        <v>78</v>
      </c>
      <c r="I54" s="2"/>
      <c r="J54" s="2"/>
      <c r="O54" t="s">
        <v>663</v>
      </c>
      <c r="S54" t="str">
        <f t="shared" si="0"/>
        <v/>
      </c>
    </row>
    <row r="55" spans="1:19">
      <c r="A55" t="s">
        <v>755</v>
      </c>
      <c r="B55" s="2" t="s">
        <v>113</v>
      </c>
      <c r="C55" s="2" t="s">
        <v>131</v>
      </c>
      <c r="D55" s="2">
        <v>3</v>
      </c>
      <c r="E55" s="2">
        <v>3</v>
      </c>
      <c r="F55" s="2">
        <v>60</v>
      </c>
      <c r="G55" s="2">
        <v>0</v>
      </c>
      <c r="H55" s="2" t="s">
        <v>169</v>
      </c>
      <c r="I55" s="2">
        <v>3</v>
      </c>
      <c r="J55" s="2">
        <v>60</v>
      </c>
      <c r="K55" s="2">
        <v>2</v>
      </c>
      <c r="O55" s="9"/>
      <c r="Q55" t="s">
        <v>947</v>
      </c>
      <c r="S55">
        <f t="shared" si="0"/>
        <v>2</v>
      </c>
    </row>
    <row r="56" spans="1:19">
      <c r="A56" t="s">
        <v>756</v>
      </c>
      <c r="B56" s="2" t="s">
        <v>114</v>
      </c>
      <c r="C56" s="2" t="s">
        <v>133</v>
      </c>
      <c r="D56" s="2">
        <v>1</v>
      </c>
      <c r="E56" s="2">
        <v>3</v>
      </c>
      <c r="F56" s="2">
        <v>60</v>
      </c>
      <c r="G56" s="2">
        <v>5</v>
      </c>
      <c r="H56" s="2" t="s">
        <v>169</v>
      </c>
      <c r="I56" s="2">
        <v>3</v>
      </c>
      <c r="J56" s="2">
        <v>60</v>
      </c>
      <c r="K56" s="2">
        <v>16</v>
      </c>
      <c r="O56" t="s">
        <v>665</v>
      </c>
      <c r="Q56" s="2" t="s">
        <v>665</v>
      </c>
      <c r="S56">
        <f t="shared" si="0"/>
        <v>16</v>
      </c>
    </row>
    <row r="57" spans="1:19">
      <c r="A57" t="s">
        <v>757</v>
      </c>
      <c r="B57" s="2" t="s">
        <v>137</v>
      </c>
      <c r="C57" s="2" t="s">
        <v>135</v>
      </c>
      <c r="D57" s="2">
        <v>4</v>
      </c>
      <c r="E57" s="2">
        <v>3</v>
      </c>
      <c r="F57" s="2">
        <v>60</v>
      </c>
      <c r="G57" s="2">
        <v>0</v>
      </c>
      <c r="H57" s="2" t="s">
        <v>169</v>
      </c>
      <c r="I57" s="2">
        <v>3</v>
      </c>
      <c r="J57" s="2">
        <v>60</v>
      </c>
      <c r="K57" s="2">
        <v>7</v>
      </c>
      <c r="O57" s="9"/>
      <c r="Q57" s="2" t="s">
        <v>666</v>
      </c>
      <c r="S57">
        <f t="shared" si="0"/>
        <v>7</v>
      </c>
    </row>
    <row r="58" spans="1:19">
      <c r="A58" t="s">
        <v>758</v>
      </c>
      <c r="B58" s="2"/>
      <c r="C58" s="2" t="s">
        <v>139</v>
      </c>
      <c r="D58" s="2">
        <v>5</v>
      </c>
      <c r="E58" s="2">
        <v>3</v>
      </c>
      <c r="F58" s="2">
        <v>60</v>
      </c>
      <c r="G58" s="2">
        <v>5</v>
      </c>
      <c r="H58" s="2" t="s">
        <v>169</v>
      </c>
      <c r="I58" s="2">
        <v>3</v>
      </c>
      <c r="J58" s="2">
        <v>60</v>
      </c>
      <c r="K58" s="2">
        <v>8</v>
      </c>
      <c r="O58" t="s">
        <v>667</v>
      </c>
      <c r="Q58" s="2" t="s">
        <v>667</v>
      </c>
      <c r="S58">
        <f t="shared" si="0"/>
        <v>8</v>
      </c>
    </row>
    <row r="59" spans="1:19">
      <c r="A59" t="s">
        <v>759</v>
      </c>
      <c r="B59" s="2"/>
      <c r="C59" s="2" t="s">
        <v>177</v>
      </c>
      <c r="D59" s="2">
        <v>7</v>
      </c>
      <c r="E59" s="2">
        <v>3</v>
      </c>
      <c r="F59" s="2">
        <v>60</v>
      </c>
      <c r="G59" s="2">
        <v>3</v>
      </c>
      <c r="H59" s="2" t="s">
        <v>169</v>
      </c>
      <c r="I59" s="2">
        <v>3</v>
      </c>
      <c r="J59" s="2">
        <v>60</v>
      </c>
      <c r="K59" s="2">
        <v>4</v>
      </c>
      <c r="O59" t="s">
        <v>668</v>
      </c>
      <c r="Q59" s="2" t="s">
        <v>668</v>
      </c>
      <c r="S59">
        <f t="shared" si="0"/>
        <v>4</v>
      </c>
    </row>
    <row r="60" spans="1:19">
      <c r="A60" t="s">
        <v>760</v>
      </c>
      <c r="B60" s="2"/>
      <c r="C60" s="2" t="s">
        <v>142</v>
      </c>
      <c r="D60" s="2">
        <v>8</v>
      </c>
      <c r="E60" s="2">
        <v>3</v>
      </c>
      <c r="F60" s="2">
        <v>60</v>
      </c>
      <c r="G60" s="2">
        <v>0</v>
      </c>
      <c r="H60" s="2" t="s">
        <v>169</v>
      </c>
      <c r="I60" s="2">
        <v>3</v>
      </c>
      <c r="J60" s="2">
        <v>60</v>
      </c>
      <c r="K60" s="2">
        <v>5</v>
      </c>
      <c r="O60" s="9"/>
      <c r="Q60" s="2" t="s">
        <v>669</v>
      </c>
      <c r="S60">
        <f t="shared" si="0"/>
        <v>5</v>
      </c>
    </row>
    <row r="61" spans="1:19">
      <c r="A61" t="s">
        <v>761</v>
      </c>
      <c r="B61" s="2"/>
      <c r="C61" s="2" t="s">
        <v>143</v>
      </c>
      <c r="D61" s="2">
        <v>9</v>
      </c>
      <c r="E61" s="2">
        <v>3</v>
      </c>
      <c r="F61" s="2">
        <v>60</v>
      </c>
      <c r="G61" s="2">
        <v>18</v>
      </c>
      <c r="H61" s="2" t="s">
        <v>169</v>
      </c>
      <c r="I61" s="2">
        <v>3</v>
      </c>
      <c r="J61" s="2">
        <v>60</v>
      </c>
      <c r="K61" s="2">
        <v>20</v>
      </c>
      <c r="O61" t="s">
        <v>670</v>
      </c>
      <c r="Q61" s="2" t="s">
        <v>670</v>
      </c>
      <c r="S61">
        <f t="shared" si="0"/>
        <v>20</v>
      </c>
    </row>
    <row r="62" spans="1:19">
      <c r="A62" t="s">
        <v>762</v>
      </c>
      <c r="B62" s="2"/>
      <c r="C62" s="2" t="s">
        <v>144</v>
      </c>
      <c r="D62" s="2">
        <v>10</v>
      </c>
      <c r="E62" s="2">
        <v>3</v>
      </c>
      <c r="F62" s="2">
        <v>60</v>
      </c>
      <c r="G62" s="2">
        <v>4</v>
      </c>
      <c r="H62" s="2" t="s">
        <v>169</v>
      </c>
      <c r="I62" s="2">
        <v>3</v>
      </c>
      <c r="J62" s="2">
        <v>60</v>
      </c>
      <c r="K62" s="2">
        <v>8</v>
      </c>
      <c r="O62" t="s">
        <v>671</v>
      </c>
      <c r="Q62" s="2" t="s">
        <v>671</v>
      </c>
      <c r="S62">
        <f t="shared" si="0"/>
        <v>8</v>
      </c>
    </row>
    <row r="63" spans="1:19">
      <c r="A63" t="s">
        <v>763</v>
      </c>
      <c r="B63" s="2"/>
      <c r="C63" s="2" t="s">
        <v>146</v>
      </c>
      <c r="D63" s="2">
        <v>11</v>
      </c>
      <c r="E63" s="2">
        <v>3</v>
      </c>
      <c r="F63" s="2">
        <v>60</v>
      </c>
      <c r="G63" s="2">
        <v>19</v>
      </c>
      <c r="H63" s="2" t="s">
        <v>78</v>
      </c>
      <c r="I63" s="2"/>
      <c r="J63" s="2"/>
      <c r="O63" t="s">
        <v>672</v>
      </c>
      <c r="Q63" s="10"/>
      <c r="S63" t="str">
        <f t="shared" si="0"/>
        <v/>
      </c>
    </row>
    <row r="64" spans="1:19">
      <c r="A64" t="s">
        <v>764</v>
      </c>
      <c r="B64" s="2"/>
      <c r="C64" s="2" t="s">
        <v>148</v>
      </c>
      <c r="D64" s="2">
        <v>12</v>
      </c>
      <c r="E64" s="2">
        <v>3</v>
      </c>
      <c r="F64" s="2">
        <v>60</v>
      </c>
      <c r="G64" s="2">
        <v>9</v>
      </c>
      <c r="H64" s="2" t="s">
        <v>78</v>
      </c>
      <c r="I64" s="2"/>
      <c r="J64" s="2"/>
      <c r="O64" t="s">
        <v>673</v>
      </c>
      <c r="S64" t="str">
        <f t="shared" si="0"/>
        <v/>
      </c>
    </row>
    <row r="65" spans="1:19">
      <c r="A65" t="s">
        <v>765</v>
      </c>
      <c r="B65" s="2"/>
      <c r="C65" s="2" t="s">
        <v>150</v>
      </c>
      <c r="D65" s="2">
        <v>13</v>
      </c>
      <c r="E65" s="2">
        <v>3</v>
      </c>
      <c r="F65" s="2">
        <v>60</v>
      </c>
      <c r="G65" s="2">
        <v>2</v>
      </c>
      <c r="H65" s="2" t="s">
        <v>78</v>
      </c>
      <c r="I65" s="2"/>
      <c r="J65" s="2"/>
      <c r="O65" t="s">
        <v>674</v>
      </c>
      <c r="S65" t="str">
        <f t="shared" si="0"/>
        <v/>
      </c>
    </row>
    <row r="66" spans="1:19">
      <c r="A66" t="s">
        <v>766</v>
      </c>
      <c r="B66" s="2" t="s">
        <v>134</v>
      </c>
      <c r="C66" s="2" t="s">
        <v>151</v>
      </c>
      <c r="D66" s="2">
        <v>2</v>
      </c>
      <c r="E66" s="2">
        <v>3</v>
      </c>
      <c r="F66" s="2">
        <v>60</v>
      </c>
      <c r="G66" s="2">
        <v>3</v>
      </c>
      <c r="H66" s="2" t="s">
        <v>169</v>
      </c>
      <c r="I66" s="2">
        <v>3</v>
      </c>
      <c r="J66" s="2">
        <v>60</v>
      </c>
      <c r="K66" s="2">
        <v>5</v>
      </c>
      <c r="O66" t="s">
        <v>675</v>
      </c>
      <c r="Q66" s="2" t="s">
        <v>675</v>
      </c>
      <c r="S66">
        <f t="shared" si="0"/>
        <v>5</v>
      </c>
    </row>
    <row r="67" spans="1:19">
      <c r="A67" t="s">
        <v>767</v>
      </c>
      <c r="B67" s="2"/>
      <c r="C67" s="2" t="s">
        <v>154</v>
      </c>
      <c r="D67" s="2">
        <v>6</v>
      </c>
      <c r="E67" s="2">
        <v>3</v>
      </c>
      <c r="F67" s="2">
        <v>60</v>
      </c>
      <c r="G67" s="2">
        <v>6</v>
      </c>
      <c r="H67" s="2" t="s">
        <v>169</v>
      </c>
      <c r="I67" s="2">
        <v>3</v>
      </c>
      <c r="J67" s="2">
        <v>60</v>
      </c>
      <c r="K67" s="2">
        <v>6</v>
      </c>
      <c r="L67" t="s">
        <v>174</v>
      </c>
      <c r="O67" t="s">
        <v>676</v>
      </c>
      <c r="S67" t="str">
        <f t="shared" ref="S67:S69" si="1">IF(Q67&lt;&gt;"",K67,"")</f>
        <v/>
      </c>
    </row>
    <row r="68" spans="1:19">
      <c r="A68" t="s">
        <v>768</v>
      </c>
      <c r="B68" s="2"/>
      <c r="C68" s="2" t="s">
        <v>156</v>
      </c>
      <c r="D68" s="2">
        <v>8</v>
      </c>
      <c r="E68" s="2">
        <v>3</v>
      </c>
      <c r="F68" s="2">
        <v>60</v>
      </c>
      <c r="G68" s="2">
        <v>2</v>
      </c>
      <c r="H68" s="2" t="s">
        <v>169</v>
      </c>
      <c r="I68" s="2">
        <v>3</v>
      </c>
      <c r="J68" s="2">
        <v>60</v>
      </c>
      <c r="K68" s="2">
        <v>2</v>
      </c>
      <c r="L68" t="s">
        <v>174</v>
      </c>
      <c r="O68" t="s">
        <v>677</v>
      </c>
      <c r="S68" t="str">
        <f t="shared" si="1"/>
        <v/>
      </c>
    </row>
    <row r="69" spans="1:19">
      <c r="A69" t="s">
        <v>769</v>
      </c>
      <c r="B69" s="2"/>
      <c r="C69" s="2" t="s">
        <v>160</v>
      </c>
      <c r="D69" s="2">
        <v>11</v>
      </c>
      <c r="E69" s="2">
        <v>3</v>
      </c>
      <c r="F69" s="2">
        <v>60</v>
      </c>
      <c r="G69" s="2">
        <v>0</v>
      </c>
      <c r="H69" s="2" t="s">
        <v>169</v>
      </c>
      <c r="I69" s="2">
        <v>3</v>
      </c>
      <c r="J69" s="2">
        <v>60</v>
      </c>
      <c r="K69" s="2">
        <v>24</v>
      </c>
      <c r="O69" s="9"/>
      <c r="Q69" s="2" t="s">
        <v>678</v>
      </c>
      <c r="S69">
        <f t="shared" si="1"/>
        <v>24</v>
      </c>
    </row>
    <row r="70" spans="1:19">
      <c r="B70" s="2"/>
      <c r="G70">
        <f>COUNTIF(G2:G69,"&lt;&gt;0")</f>
        <v>58</v>
      </c>
      <c r="H70" s="2">
        <f>COUNTIF(H2:H69,"=yes")</f>
        <v>45</v>
      </c>
      <c r="I70" s="2"/>
      <c r="J70" s="2"/>
      <c r="Q70">
        <f>COUNTA(Q2:Q69)</f>
        <v>27</v>
      </c>
    </row>
    <row r="71" spans="1:19">
      <c r="B71" s="2"/>
      <c r="G71">
        <f>AVERAGEIF(G2:G69,"&lt;&gt;0")</f>
        <v>8.5</v>
      </c>
      <c r="H71" s="2"/>
      <c r="I71" s="2"/>
      <c r="J71" s="2"/>
      <c r="S71">
        <f>AVERAGEIF(S2:S69,"&lt;&gt;0")</f>
        <v>11.518518518518519</v>
      </c>
    </row>
    <row r="72" spans="1:19">
      <c r="G72">
        <f>SUM(G2:G69)</f>
        <v>493</v>
      </c>
      <c r="S72">
        <f>SUM(S2:S69)</f>
        <v>311</v>
      </c>
    </row>
  </sheetData>
  <sortState ref="B1:B16">
    <sortCondition ref="B1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workbookViewId="0">
      <selection activeCell="C105" sqref="C105"/>
    </sheetView>
  </sheetViews>
  <sheetFormatPr baseColWidth="10" defaultRowHeight="15" x14ac:dyDescent="0"/>
  <cols>
    <col min="1" max="1" width="21.83203125" bestFit="1" customWidth="1"/>
    <col min="2" max="2" width="22.1640625" customWidth="1"/>
  </cols>
  <sheetData>
    <row r="1" spans="1:11">
      <c r="A1" t="s">
        <v>3</v>
      </c>
      <c r="B1" t="s">
        <v>4</v>
      </c>
      <c r="C1" t="s">
        <v>5</v>
      </c>
      <c r="D1" t="s">
        <v>7</v>
      </c>
      <c r="E1" t="s">
        <v>8</v>
      </c>
      <c r="F1" t="s">
        <v>162</v>
      </c>
      <c r="G1" t="s">
        <v>10</v>
      </c>
      <c r="H1" t="s">
        <v>11</v>
      </c>
      <c r="I1" t="s">
        <v>12</v>
      </c>
      <c r="J1" t="s">
        <v>19</v>
      </c>
      <c r="K1" t="s">
        <v>20</v>
      </c>
    </row>
    <row r="2" spans="1:11">
      <c r="A2" t="s">
        <v>165</v>
      </c>
      <c r="B2" t="s">
        <v>6</v>
      </c>
      <c r="C2">
        <v>1</v>
      </c>
      <c r="D2">
        <v>16</v>
      </c>
      <c r="E2">
        <v>7590</v>
      </c>
      <c r="F2" s="4">
        <f>(E2-G2)/E2</f>
        <v>0.38102766798418974</v>
      </c>
      <c r="G2">
        <v>4698</v>
      </c>
      <c r="H2">
        <v>1295</v>
      </c>
      <c r="I2">
        <v>11</v>
      </c>
      <c r="J2">
        <v>0</v>
      </c>
      <c r="K2" t="s">
        <v>21</v>
      </c>
    </row>
    <row r="3" spans="1:11">
      <c r="B3" t="s">
        <v>9</v>
      </c>
      <c r="C3">
        <v>2</v>
      </c>
      <c r="D3">
        <v>15</v>
      </c>
      <c r="E3">
        <v>1029</v>
      </c>
      <c r="F3" s="4">
        <f>(E3-G3)/E3</f>
        <v>4.1788143828960157E-2</v>
      </c>
      <c r="G3">
        <v>986</v>
      </c>
      <c r="H3">
        <v>338</v>
      </c>
      <c r="I3">
        <v>0</v>
      </c>
    </row>
    <row r="4" spans="1:11">
      <c r="B4" t="s">
        <v>13</v>
      </c>
      <c r="C4">
        <v>3</v>
      </c>
      <c r="D4" t="s">
        <v>14</v>
      </c>
      <c r="F4" s="4" t="s">
        <v>163</v>
      </c>
    </row>
    <row r="5" spans="1:11">
      <c r="B5" t="s">
        <v>15</v>
      </c>
      <c r="C5">
        <v>4</v>
      </c>
      <c r="D5" t="s">
        <v>16</v>
      </c>
      <c r="F5" s="4" t="s">
        <v>163</v>
      </c>
    </row>
    <row r="6" spans="1:11">
      <c r="B6" t="s">
        <v>17</v>
      </c>
      <c r="C6">
        <v>5</v>
      </c>
      <c r="D6" t="s">
        <v>16</v>
      </c>
      <c r="F6" s="4" t="s">
        <v>163</v>
      </c>
    </row>
    <row r="7" spans="1:11">
      <c r="B7" t="s">
        <v>18</v>
      </c>
      <c r="C7">
        <v>6</v>
      </c>
      <c r="D7">
        <v>5</v>
      </c>
      <c r="E7">
        <v>752</v>
      </c>
      <c r="F7" s="4">
        <f t="shared" ref="F7:F65" si="0">(E7-G7)/E7</f>
        <v>6.9148936170212769E-2</v>
      </c>
      <c r="G7">
        <v>700</v>
      </c>
      <c r="H7">
        <v>91</v>
      </c>
      <c r="I7">
        <v>0</v>
      </c>
    </row>
    <row r="8" spans="1:11">
      <c r="B8" t="s">
        <v>22</v>
      </c>
      <c r="C8">
        <v>7</v>
      </c>
      <c r="D8">
        <v>20736</v>
      </c>
      <c r="E8">
        <v>4486</v>
      </c>
      <c r="F8" s="4">
        <f t="shared" si="0"/>
        <v>4.1462327240303166E-2</v>
      </c>
      <c r="G8">
        <v>4300</v>
      </c>
      <c r="H8">
        <v>4100</v>
      </c>
      <c r="J8" t="s">
        <v>23</v>
      </c>
      <c r="K8" t="s">
        <v>25</v>
      </c>
    </row>
    <row r="9" spans="1:11">
      <c r="B9" t="s">
        <v>26</v>
      </c>
      <c r="C9">
        <v>8</v>
      </c>
      <c r="D9" t="s">
        <v>14</v>
      </c>
      <c r="F9" s="4" t="s">
        <v>163</v>
      </c>
    </row>
    <row r="10" spans="1:11">
      <c r="B10" t="s">
        <v>27</v>
      </c>
      <c r="C10">
        <v>9</v>
      </c>
      <c r="D10">
        <v>10</v>
      </c>
      <c r="E10">
        <v>1997</v>
      </c>
      <c r="F10" s="4">
        <f t="shared" si="0"/>
        <v>0.64947421131697547</v>
      </c>
      <c r="G10">
        <v>700</v>
      </c>
      <c r="H10">
        <v>18</v>
      </c>
      <c r="J10" t="s">
        <v>24</v>
      </c>
    </row>
    <row r="11" spans="1:11">
      <c r="A11" t="s">
        <v>28</v>
      </c>
      <c r="B11" t="s">
        <v>29</v>
      </c>
      <c r="C11">
        <v>2</v>
      </c>
      <c r="D11">
        <v>4</v>
      </c>
      <c r="E11">
        <v>1144</v>
      </c>
      <c r="F11" s="4">
        <f t="shared" si="0"/>
        <v>4.5454545454545456E-2</v>
      </c>
      <c r="G11">
        <v>1092</v>
      </c>
    </row>
    <row r="12" spans="1:11">
      <c r="B12" t="s">
        <v>30</v>
      </c>
      <c r="C12">
        <v>4</v>
      </c>
      <c r="D12">
        <v>4</v>
      </c>
      <c r="E12">
        <v>1151</v>
      </c>
      <c r="F12" s="4">
        <f t="shared" si="0"/>
        <v>3.4752389226759342E-2</v>
      </c>
      <c r="G12">
        <v>1111</v>
      </c>
    </row>
    <row r="13" spans="1:11">
      <c r="B13" t="s">
        <v>31</v>
      </c>
      <c r="C13">
        <v>7</v>
      </c>
      <c r="D13" t="s">
        <v>16</v>
      </c>
      <c r="F13" s="4" t="s">
        <v>163</v>
      </c>
    </row>
    <row r="14" spans="1:11">
      <c r="B14" t="s">
        <v>32</v>
      </c>
      <c r="C14">
        <v>8</v>
      </c>
      <c r="D14" t="s">
        <v>16</v>
      </c>
      <c r="F14" s="4" t="s">
        <v>163</v>
      </c>
    </row>
    <row r="15" spans="1:11">
      <c r="B15" t="s">
        <v>33</v>
      </c>
      <c r="C15">
        <v>13</v>
      </c>
      <c r="D15">
        <v>5</v>
      </c>
      <c r="E15">
        <v>369</v>
      </c>
      <c r="F15" s="4">
        <f t="shared" si="0"/>
        <v>-5.9620596205962058E-2</v>
      </c>
      <c r="G15">
        <v>391</v>
      </c>
    </row>
    <row r="16" spans="1:11">
      <c r="B16" t="s">
        <v>34</v>
      </c>
      <c r="C16">
        <v>14</v>
      </c>
      <c r="D16" t="s">
        <v>35</v>
      </c>
      <c r="F16" s="4" t="s">
        <v>163</v>
      </c>
    </row>
    <row r="17" spans="1:10">
      <c r="B17" t="s">
        <v>30</v>
      </c>
      <c r="C17">
        <v>16</v>
      </c>
      <c r="D17">
        <v>12</v>
      </c>
      <c r="E17">
        <v>20633</v>
      </c>
      <c r="F17" s="4">
        <f t="shared" si="0"/>
        <v>5.0065429166868611E-2</v>
      </c>
      <c r="G17">
        <v>19600</v>
      </c>
      <c r="J17" t="s">
        <v>55</v>
      </c>
    </row>
    <row r="18" spans="1:10">
      <c r="B18" t="s">
        <v>36</v>
      </c>
      <c r="C18">
        <v>18</v>
      </c>
      <c r="D18">
        <v>15</v>
      </c>
      <c r="E18">
        <v>10064</v>
      </c>
      <c r="F18" s="4">
        <f t="shared" si="0"/>
        <v>2.3350556438791734E-2</v>
      </c>
      <c r="G18">
        <v>9829</v>
      </c>
      <c r="H18">
        <v>798</v>
      </c>
    </row>
    <row r="19" spans="1:10">
      <c r="B19" t="s">
        <v>32</v>
      </c>
      <c r="C19">
        <v>19</v>
      </c>
      <c r="D19">
        <v>15</v>
      </c>
      <c r="E19">
        <v>8729</v>
      </c>
      <c r="F19" s="4">
        <f t="shared" si="0"/>
        <v>8.6378737541528236E-2</v>
      </c>
      <c r="G19">
        <v>7975</v>
      </c>
      <c r="H19">
        <v>239</v>
      </c>
      <c r="I19">
        <v>0</v>
      </c>
      <c r="J19" t="s">
        <v>37</v>
      </c>
    </row>
    <row r="20" spans="1:10">
      <c r="B20" t="s">
        <v>38</v>
      </c>
      <c r="C20">
        <v>21</v>
      </c>
      <c r="D20" t="s">
        <v>16</v>
      </c>
      <c r="F20" s="4" t="s">
        <v>163</v>
      </c>
    </row>
    <row r="21" spans="1:10">
      <c r="B21" t="s">
        <v>39</v>
      </c>
      <c r="C21">
        <v>20</v>
      </c>
      <c r="D21">
        <v>11</v>
      </c>
      <c r="E21">
        <v>6269</v>
      </c>
      <c r="F21" s="4">
        <f t="shared" si="0"/>
        <v>-0.15233689583665658</v>
      </c>
      <c r="G21">
        <v>7224</v>
      </c>
      <c r="I21">
        <v>0</v>
      </c>
    </row>
    <row r="22" spans="1:10">
      <c r="A22" t="s">
        <v>40</v>
      </c>
      <c r="B22" t="s">
        <v>41</v>
      </c>
      <c r="C22">
        <v>1</v>
      </c>
      <c r="D22">
        <v>5</v>
      </c>
      <c r="E22">
        <v>6471</v>
      </c>
      <c r="F22" s="4">
        <f t="shared" si="0"/>
        <v>0.31556173698037399</v>
      </c>
      <c r="G22">
        <v>4429</v>
      </c>
      <c r="I22">
        <v>2</v>
      </c>
      <c r="J22" t="s">
        <v>45</v>
      </c>
    </row>
    <row r="23" spans="1:10">
      <c r="B23" t="s">
        <v>42</v>
      </c>
      <c r="C23">
        <v>2</v>
      </c>
      <c r="D23" t="s">
        <v>43</v>
      </c>
      <c r="F23" s="4" t="s">
        <v>163</v>
      </c>
    </row>
    <row r="24" spans="1:10">
      <c r="B24" t="s">
        <v>44</v>
      </c>
      <c r="C24">
        <v>3</v>
      </c>
      <c r="D24">
        <v>4</v>
      </c>
      <c r="E24">
        <v>1928</v>
      </c>
      <c r="F24" s="4">
        <f t="shared" si="0"/>
        <v>2.0746887966804979E-3</v>
      </c>
      <c r="G24">
        <v>1924</v>
      </c>
      <c r="I24">
        <v>0</v>
      </c>
      <c r="J24" t="s">
        <v>46</v>
      </c>
    </row>
    <row r="25" spans="1:10">
      <c r="B25" t="s">
        <v>47</v>
      </c>
      <c r="C25">
        <v>4</v>
      </c>
      <c r="D25" t="s">
        <v>14</v>
      </c>
      <c r="F25" s="4" t="s">
        <v>163</v>
      </c>
    </row>
    <row r="26" spans="1:10">
      <c r="B26" t="s">
        <v>48</v>
      </c>
      <c r="C26">
        <v>6</v>
      </c>
      <c r="D26" t="s">
        <v>16</v>
      </c>
      <c r="F26" s="4" t="s">
        <v>163</v>
      </c>
    </row>
    <row r="27" spans="1:10">
      <c r="B27" t="s">
        <v>49</v>
      </c>
      <c r="C27">
        <v>7</v>
      </c>
      <c r="D27">
        <v>4</v>
      </c>
      <c r="E27">
        <v>1845</v>
      </c>
      <c r="F27" s="4">
        <f t="shared" si="0"/>
        <v>-9.7560975609756097E-3</v>
      </c>
      <c r="G27">
        <v>1863</v>
      </c>
      <c r="I27">
        <v>0</v>
      </c>
      <c r="J27" t="s">
        <v>46</v>
      </c>
    </row>
    <row r="28" spans="1:10">
      <c r="B28" t="s">
        <v>50</v>
      </c>
      <c r="C28">
        <v>8</v>
      </c>
      <c r="D28" t="s">
        <v>14</v>
      </c>
      <c r="F28" s="4" t="s">
        <v>163</v>
      </c>
    </row>
    <row r="29" spans="1:10">
      <c r="B29" t="s">
        <v>52</v>
      </c>
      <c r="C29">
        <v>9</v>
      </c>
      <c r="D29" t="s">
        <v>14</v>
      </c>
      <c r="F29" s="4" t="s">
        <v>163</v>
      </c>
    </row>
    <row r="30" spans="1:10">
      <c r="B30" t="s">
        <v>53</v>
      </c>
      <c r="C30">
        <v>10</v>
      </c>
      <c r="D30">
        <v>24</v>
      </c>
      <c r="E30">
        <v>16891</v>
      </c>
      <c r="F30" s="4">
        <f t="shared" si="0"/>
        <v>0.59286010301343905</v>
      </c>
      <c r="G30">
        <v>6877</v>
      </c>
      <c r="I30">
        <v>0</v>
      </c>
      <c r="J30" t="s">
        <v>51</v>
      </c>
    </row>
    <row r="31" spans="1:10">
      <c r="B31" t="s">
        <v>54</v>
      </c>
      <c r="C31">
        <v>11</v>
      </c>
      <c r="D31">
        <v>19</v>
      </c>
      <c r="E31">
        <v>7407</v>
      </c>
      <c r="F31" s="4">
        <f t="shared" si="0"/>
        <v>3.4561900904549747E-2</v>
      </c>
      <c r="G31">
        <v>7151</v>
      </c>
      <c r="I31">
        <v>0</v>
      </c>
      <c r="J31" t="s">
        <v>57</v>
      </c>
    </row>
    <row r="32" spans="1:10">
      <c r="B32" t="s">
        <v>56</v>
      </c>
      <c r="C32">
        <v>12</v>
      </c>
      <c r="D32">
        <v>25</v>
      </c>
      <c r="E32">
        <v>4790</v>
      </c>
      <c r="F32" s="4">
        <f t="shared" si="0"/>
        <v>2.5678496868475991E-2</v>
      </c>
      <c r="G32">
        <v>4667</v>
      </c>
    </row>
    <row r="33" spans="1:10">
      <c r="A33" t="s">
        <v>58</v>
      </c>
      <c r="B33" t="s">
        <v>59</v>
      </c>
      <c r="C33">
        <v>1</v>
      </c>
      <c r="D33">
        <v>7</v>
      </c>
      <c r="E33">
        <v>3381</v>
      </c>
      <c r="F33" s="4">
        <f t="shared" si="0"/>
        <v>-6.9210292812777283E-2</v>
      </c>
      <c r="G33">
        <v>3615</v>
      </c>
    </row>
    <row r="34" spans="1:10">
      <c r="B34" t="s">
        <v>60</v>
      </c>
      <c r="C34">
        <v>2</v>
      </c>
      <c r="D34" t="s">
        <v>61</v>
      </c>
      <c r="F34" s="4" t="s">
        <v>163</v>
      </c>
    </row>
    <row r="35" spans="1:10">
      <c r="A35" t="s">
        <v>62</v>
      </c>
      <c r="B35" t="s">
        <v>63</v>
      </c>
      <c r="C35">
        <v>1</v>
      </c>
      <c r="D35">
        <v>10</v>
      </c>
      <c r="E35">
        <v>16006</v>
      </c>
      <c r="F35" s="4">
        <f t="shared" si="0"/>
        <v>3.0738473072597777E-2</v>
      </c>
      <c r="G35">
        <v>15514</v>
      </c>
      <c r="I35">
        <v>0</v>
      </c>
    </row>
    <row r="36" spans="1:10">
      <c r="B36" t="s">
        <v>64</v>
      </c>
      <c r="C36">
        <v>2</v>
      </c>
      <c r="D36" t="s">
        <v>16</v>
      </c>
      <c r="F36" s="4" t="s">
        <v>163</v>
      </c>
    </row>
    <row r="37" spans="1:10">
      <c r="B37" t="s">
        <v>65</v>
      </c>
      <c r="C37">
        <v>3</v>
      </c>
      <c r="D37" t="s">
        <v>70</v>
      </c>
      <c r="F37" s="4" t="s">
        <v>163</v>
      </c>
    </row>
    <row r="38" spans="1:10">
      <c r="B38" t="s">
        <v>66</v>
      </c>
      <c r="C38">
        <v>4</v>
      </c>
      <c r="D38">
        <v>32</v>
      </c>
      <c r="E38">
        <v>4859</v>
      </c>
      <c r="F38" s="4">
        <f t="shared" si="0"/>
        <v>7.4089318789874459E-2</v>
      </c>
      <c r="G38">
        <v>4499</v>
      </c>
      <c r="I38">
        <v>0</v>
      </c>
      <c r="J38" t="s">
        <v>71</v>
      </c>
    </row>
    <row r="39" spans="1:10">
      <c r="B39" t="s">
        <v>67</v>
      </c>
      <c r="C39">
        <v>5</v>
      </c>
      <c r="D39" t="s">
        <v>16</v>
      </c>
      <c r="F39" s="4" t="s">
        <v>163</v>
      </c>
    </row>
    <row r="40" spans="1:10">
      <c r="B40" t="s">
        <v>68</v>
      </c>
      <c r="C40">
        <v>6</v>
      </c>
      <c r="D40">
        <v>34</v>
      </c>
      <c r="E40">
        <v>7696</v>
      </c>
      <c r="F40" s="4">
        <f t="shared" si="0"/>
        <v>0.1645010395010395</v>
      </c>
      <c r="G40">
        <v>6430</v>
      </c>
      <c r="I40">
        <v>0</v>
      </c>
    </row>
    <row r="41" spans="1:10">
      <c r="B41" t="s">
        <v>69</v>
      </c>
      <c r="C41">
        <v>7</v>
      </c>
      <c r="D41" t="s">
        <v>16</v>
      </c>
      <c r="F41" s="4" t="s">
        <v>163</v>
      </c>
    </row>
    <row r="42" spans="1:10">
      <c r="A42" t="s">
        <v>73</v>
      </c>
      <c r="B42" t="s">
        <v>74</v>
      </c>
      <c r="C42">
        <v>1</v>
      </c>
      <c r="D42" t="s">
        <v>16</v>
      </c>
      <c r="F42" s="4" t="s">
        <v>163</v>
      </c>
    </row>
    <row r="43" spans="1:10">
      <c r="A43" t="s">
        <v>72</v>
      </c>
      <c r="B43" t="s">
        <v>75</v>
      </c>
      <c r="C43">
        <v>3</v>
      </c>
      <c r="D43">
        <v>3</v>
      </c>
      <c r="E43">
        <v>6341</v>
      </c>
      <c r="F43" s="4">
        <f t="shared" si="0"/>
        <v>0.36035325658413497</v>
      </c>
      <c r="G43">
        <v>4056</v>
      </c>
      <c r="I43">
        <v>0</v>
      </c>
      <c r="J43" s="1" t="s">
        <v>76</v>
      </c>
    </row>
    <row r="44" spans="1:10">
      <c r="B44" t="s">
        <v>77</v>
      </c>
      <c r="C44">
        <v>4</v>
      </c>
      <c r="D44" t="s">
        <v>14</v>
      </c>
      <c r="F44" s="4" t="s">
        <v>163</v>
      </c>
    </row>
    <row r="45" spans="1:10">
      <c r="B45" t="s">
        <v>79</v>
      </c>
      <c r="C45">
        <v>5</v>
      </c>
      <c r="D45" t="s">
        <v>14</v>
      </c>
      <c r="F45" s="4" t="s">
        <v>163</v>
      </c>
    </row>
    <row r="46" spans="1:10">
      <c r="B46" t="s">
        <v>80</v>
      </c>
      <c r="C46">
        <v>6</v>
      </c>
      <c r="D46" t="s">
        <v>14</v>
      </c>
      <c r="F46" s="4" t="s">
        <v>163</v>
      </c>
    </row>
    <row r="47" spans="1:10">
      <c r="B47" t="s">
        <v>82</v>
      </c>
      <c r="C47">
        <v>7</v>
      </c>
      <c r="D47">
        <v>16</v>
      </c>
      <c r="E47">
        <v>5794</v>
      </c>
      <c r="F47" s="4">
        <f t="shared" si="0"/>
        <v>5.695547117707974E-3</v>
      </c>
      <c r="G47">
        <v>5761</v>
      </c>
      <c r="J47" t="s">
        <v>81</v>
      </c>
    </row>
    <row r="48" spans="1:10">
      <c r="B48" t="s">
        <v>83</v>
      </c>
      <c r="C48">
        <v>8</v>
      </c>
      <c r="D48">
        <v>12</v>
      </c>
      <c r="E48">
        <v>3936</v>
      </c>
      <c r="F48" s="4">
        <f t="shared" si="0"/>
        <v>0.11229674796747967</v>
      </c>
      <c r="G48">
        <v>3494</v>
      </c>
      <c r="I48">
        <v>0</v>
      </c>
      <c r="J48" t="s">
        <v>81</v>
      </c>
    </row>
    <row r="49" spans="1:10">
      <c r="B49" t="s">
        <v>84</v>
      </c>
      <c r="C49">
        <v>9</v>
      </c>
      <c r="D49">
        <v>5</v>
      </c>
      <c r="E49">
        <v>2535</v>
      </c>
      <c r="F49" s="4">
        <f t="shared" si="0"/>
        <v>1.0256410256410256E-2</v>
      </c>
      <c r="G49">
        <v>2509</v>
      </c>
    </row>
    <row r="50" spans="1:10">
      <c r="B50" t="s">
        <v>85</v>
      </c>
      <c r="C50">
        <v>10</v>
      </c>
      <c r="D50">
        <v>25</v>
      </c>
      <c r="E50">
        <v>1242</v>
      </c>
      <c r="F50" s="4">
        <f t="shared" si="0"/>
        <v>5.7165861513687598E-2</v>
      </c>
      <c r="G50">
        <v>1171</v>
      </c>
    </row>
    <row r="51" spans="1:10">
      <c r="A51" t="s">
        <v>86</v>
      </c>
      <c r="B51" t="s">
        <v>87</v>
      </c>
      <c r="C51">
        <v>3</v>
      </c>
      <c r="D51">
        <v>2</v>
      </c>
      <c r="E51" s="2">
        <v>41974</v>
      </c>
      <c r="F51" s="4">
        <f t="shared" si="0"/>
        <v>-0.12807928717777672</v>
      </c>
      <c r="G51">
        <v>47350</v>
      </c>
      <c r="H51">
        <v>40714</v>
      </c>
      <c r="I51">
        <v>0</v>
      </c>
    </row>
    <row r="52" spans="1:10">
      <c r="A52" t="s">
        <v>88</v>
      </c>
      <c r="B52" t="s">
        <v>89</v>
      </c>
      <c r="C52">
        <v>2</v>
      </c>
      <c r="D52">
        <v>14</v>
      </c>
      <c r="E52">
        <v>4089</v>
      </c>
      <c r="F52" s="4">
        <f t="shared" si="0"/>
        <v>0.58840792369772565</v>
      </c>
      <c r="G52">
        <v>1683</v>
      </c>
      <c r="H52">
        <v>708</v>
      </c>
      <c r="I52">
        <v>0</v>
      </c>
    </row>
    <row r="53" spans="1:10">
      <c r="B53" t="s">
        <v>90</v>
      </c>
      <c r="C53">
        <v>3</v>
      </c>
      <c r="D53">
        <v>12</v>
      </c>
      <c r="E53">
        <v>12187</v>
      </c>
      <c r="F53" s="4">
        <f t="shared" si="0"/>
        <v>0.51604168376138504</v>
      </c>
      <c r="G53">
        <v>5898</v>
      </c>
      <c r="H53">
        <v>132</v>
      </c>
      <c r="I53">
        <v>0</v>
      </c>
    </row>
    <row r="54" spans="1:10">
      <c r="B54" t="s">
        <v>90</v>
      </c>
      <c r="C54">
        <v>4</v>
      </c>
      <c r="D54">
        <v>8</v>
      </c>
      <c r="E54">
        <v>31459</v>
      </c>
      <c r="F54" s="4">
        <f t="shared" si="0"/>
        <v>0.73063352299818807</v>
      </c>
      <c r="G54">
        <v>8474</v>
      </c>
      <c r="H54">
        <v>2511</v>
      </c>
      <c r="I54">
        <v>0</v>
      </c>
    </row>
    <row r="55" spans="1:10">
      <c r="B55" t="s">
        <v>91</v>
      </c>
      <c r="C55">
        <v>5</v>
      </c>
      <c r="D55">
        <v>6</v>
      </c>
      <c r="E55">
        <v>1165</v>
      </c>
      <c r="F55" s="4">
        <f t="shared" si="0"/>
        <v>0.12703862660944207</v>
      </c>
      <c r="G55">
        <v>1017</v>
      </c>
      <c r="H55">
        <v>457</v>
      </c>
      <c r="I55">
        <v>0</v>
      </c>
    </row>
    <row r="56" spans="1:10">
      <c r="B56" t="s">
        <v>92</v>
      </c>
      <c r="C56">
        <v>6</v>
      </c>
      <c r="D56">
        <v>5</v>
      </c>
      <c r="E56">
        <v>1229</v>
      </c>
      <c r="F56" s="4">
        <f t="shared" si="0"/>
        <v>0.15134255492270138</v>
      </c>
      <c r="G56">
        <v>1043</v>
      </c>
      <c r="H56">
        <v>398</v>
      </c>
      <c r="I56">
        <v>0</v>
      </c>
    </row>
    <row r="57" spans="1:10">
      <c r="B57" t="s">
        <v>93</v>
      </c>
      <c r="C57">
        <v>7</v>
      </c>
      <c r="D57">
        <v>9</v>
      </c>
      <c r="E57">
        <v>4187</v>
      </c>
      <c r="F57" s="4">
        <f t="shared" si="0"/>
        <v>0.14974922378791497</v>
      </c>
      <c r="G57">
        <v>3560</v>
      </c>
      <c r="H57">
        <v>1056</v>
      </c>
      <c r="I57">
        <v>0</v>
      </c>
    </row>
    <row r="58" spans="1:10">
      <c r="B58" t="s">
        <v>94</v>
      </c>
      <c r="C58">
        <v>8</v>
      </c>
      <c r="D58">
        <v>12</v>
      </c>
      <c r="E58">
        <v>13469</v>
      </c>
      <c r="F58" s="4">
        <f t="shared" si="0"/>
        <v>0.5471081743262306</v>
      </c>
      <c r="G58">
        <v>6100</v>
      </c>
      <c r="H58">
        <v>747</v>
      </c>
      <c r="I58">
        <v>0</v>
      </c>
    </row>
    <row r="59" spans="1:10">
      <c r="B59" t="s">
        <v>94</v>
      </c>
      <c r="C59">
        <v>9</v>
      </c>
      <c r="D59">
        <v>8</v>
      </c>
      <c r="E59">
        <v>33821</v>
      </c>
      <c r="F59" s="4">
        <f t="shared" si="0"/>
        <v>0.71902072676739304</v>
      </c>
      <c r="G59">
        <v>9503</v>
      </c>
      <c r="H59">
        <v>903</v>
      </c>
      <c r="I59">
        <v>0</v>
      </c>
    </row>
    <row r="60" spans="1:10">
      <c r="B60" t="s">
        <v>95</v>
      </c>
      <c r="C60">
        <v>10</v>
      </c>
      <c r="D60">
        <v>2</v>
      </c>
      <c r="E60">
        <v>1224</v>
      </c>
      <c r="F60" s="4">
        <f t="shared" si="0"/>
        <v>4.7385620915032678E-2</v>
      </c>
      <c r="G60">
        <v>1166</v>
      </c>
      <c r="H60">
        <v>202</v>
      </c>
      <c r="I60">
        <v>1</v>
      </c>
      <c r="J60" t="s">
        <v>96</v>
      </c>
    </row>
    <row r="61" spans="1:10">
      <c r="B61" t="s">
        <v>98</v>
      </c>
      <c r="C61">
        <v>11</v>
      </c>
      <c r="D61">
        <v>2</v>
      </c>
      <c r="E61">
        <v>10849</v>
      </c>
      <c r="F61" s="4">
        <f t="shared" si="0"/>
        <v>0.20591759609180571</v>
      </c>
      <c r="G61">
        <v>8615</v>
      </c>
      <c r="H61">
        <v>403</v>
      </c>
      <c r="I61">
        <v>0</v>
      </c>
      <c r="J61" t="s">
        <v>97</v>
      </c>
    </row>
    <row r="62" spans="1:10">
      <c r="B62" t="s">
        <v>99</v>
      </c>
      <c r="C62">
        <v>12</v>
      </c>
      <c r="D62" t="s">
        <v>16</v>
      </c>
      <c r="F62" s="4" t="s">
        <v>163</v>
      </c>
    </row>
    <row r="63" spans="1:10">
      <c r="B63" t="s">
        <v>100</v>
      </c>
      <c r="C63">
        <v>13</v>
      </c>
      <c r="D63">
        <v>4</v>
      </c>
      <c r="E63">
        <v>28623</v>
      </c>
      <c r="F63" s="4">
        <f t="shared" si="0"/>
        <v>7.1760472347412924E-2</v>
      </c>
      <c r="G63">
        <v>26569</v>
      </c>
      <c r="H63">
        <v>1104</v>
      </c>
      <c r="I63">
        <v>0</v>
      </c>
      <c r="J63" t="s">
        <v>101</v>
      </c>
    </row>
    <row r="64" spans="1:10">
      <c r="B64" t="s">
        <v>100</v>
      </c>
      <c r="C64">
        <v>14</v>
      </c>
      <c r="D64">
        <v>11</v>
      </c>
      <c r="E64">
        <v>77024</v>
      </c>
      <c r="F64" s="4">
        <f t="shared" si="0"/>
        <v>0.23901641046946406</v>
      </c>
      <c r="G64">
        <v>58614</v>
      </c>
      <c r="H64">
        <v>1050</v>
      </c>
      <c r="I64">
        <v>0</v>
      </c>
    </row>
    <row r="65" spans="1:10">
      <c r="B65" t="s">
        <v>100</v>
      </c>
      <c r="C65">
        <v>15</v>
      </c>
      <c r="D65">
        <v>6</v>
      </c>
      <c r="E65">
        <v>21196</v>
      </c>
      <c r="F65" s="4">
        <f t="shared" si="0"/>
        <v>8.3695036799396119E-2</v>
      </c>
      <c r="G65">
        <v>19422</v>
      </c>
      <c r="H65">
        <v>396</v>
      </c>
      <c r="I65">
        <v>0</v>
      </c>
    </row>
    <row r="66" spans="1:10">
      <c r="B66" t="s">
        <v>100</v>
      </c>
      <c r="C66">
        <v>16</v>
      </c>
      <c r="F66" s="4" t="s">
        <v>163</v>
      </c>
      <c r="J66" s="9" t="s">
        <v>102</v>
      </c>
    </row>
    <row r="67" spans="1:10">
      <c r="B67" t="s">
        <v>103</v>
      </c>
      <c r="C67">
        <v>17</v>
      </c>
      <c r="D67" t="s">
        <v>16</v>
      </c>
      <c r="F67" s="4" t="s">
        <v>163</v>
      </c>
    </row>
    <row r="68" spans="1:10">
      <c r="B68" t="s">
        <v>104</v>
      </c>
      <c r="C68">
        <v>18</v>
      </c>
      <c r="D68" t="s">
        <v>16</v>
      </c>
      <c r="F68" s="4" t="s">
        <v>163</v>
      </c>
    </row>
    <row r="69" spans="1:10">
      <c r="B69" t="s">
        <v>105</v>
      </c>
      <c r="C69">
        <v>20</v>
      </c>
      <c r="D69">
        <v>2</v>
      </c>
      <c r="E69">
        <v>4302</v>
      </c>
      <c r="F69" s="4">
        <f t="shared" ref="F69:F105" si="1">(E69-G69)/E69</f>
        <v>0.44932589493258951</v>
      </c>
      <c r="G69">
        <v>2369</v>
      </c>
      <c r="H69">
        <v>2276</v>
      </c>
      <c r="I69">
        <v>0</v>
      </c>
    </row>
    <row r="70" spans="1:10">
      <c r="B70" t="s">
        <v>106</v>
      </c>
      <c r="C70">
        <v>21</v>
      </c>
      <c r="D70">
        <v>2</v>
      </c>
      <c r="E70">
        <v>18483</v>
      </c>
      <c r="F70" s="4">
        <f t="shared" si="1"/>
        <v>0.53048747497700588</v>
      </c>
      <c r="G70">
        <v>8678</v>
      </c>
      <c r="H70">
        <v>8444</v>
      </c>
      <c r="I70">
        <v>0</v>
      </c>
    </row>
    <row r="71" spans="1:10" s="3" customFormat="1">
      <c r="A71" s="3" t="s">
        <v>107</v>
      </c>
      <c r="B71" s="3" t="s">
        <v>115</v>
      </c>
      <c r="C71" s="3">
        <v>2</v>
      </c>
      <c r="F71" s="5" t="s">
        <v>163</v>
      </c>
      <c r="J71" s="3" t="s">
        <v>116</v>
      </c>
    </row>
    <row r="72" spans="1:10" s="3" customFormat="1">
      <c r="A72" s="3" t="s">
        <v>108</v>
      </c>
      <c r="B72" s="3" t="s">
        <v>115</v>
      </c>
      <c r="C72" s="3">
        <v>2</v>
      </c>
      <c r="F72" s="5" t="s">
        <v>163</v>
      </c>
      <c r="J72" s="3" t="s">
        <v>116</v>
      </c>
    </row>
    <row r="73" spans="1:10" s="3" customFormat="1">
      <c r="A73" s="3" t="s">
        <v>109</v>
      </c>
      <c r="B73" s="3" t="s">
        <v>117</v>
      </c>
      <c r="C73" s="3">
        <v>2</v>
      </c>
      <c r="D73" s="3" t="s">
        <v>118</v>
      </c>
      <c r="F73" s="5" t="s">
        <v>163</v>
      </c>
      <c r="J73" s="3" t="s">
        <v>119</v>
      </c>
    </row>
    <row r="74" spans="1:10">
      <c r="A74" t="s">
        <v>110</v>
      </c>
      <c r="B74" t="s">
        <v>121</v>
      </c>
      <c r="C74">
        <v>2</v>
      </c>
      <c r="D74">
        <v>2</v>
      </c>
      <c r="E74">
        <v>17673</v>
      </c>
      <c r="F74" s="4">
        <f t="shared" si="1"/>
        <v>0.12929327222316528</v>
      </c>
      <c r="G74">
        <v>15388</v>
      </c>
      <c r="H74">
        <v>10348</v>
      </c>
      <c r="I74">
        <v>2</v>
      </c>
      <c r="J74" t="s">
        <v>96</v>
      </c>
    </row>
    <row r="75" spans="1:10">
      <c r="B75" t="s">
        <v>120</v>
      </c>
      <c r="C75">
        <v>3</v>
      </c>
      <c r="D75">
        <v>6</v>
      </c>
      <c r="E75">
        <v>40086</v>
      </c>
      <c r="F75" s="4">
        <f t="shared" si="1"/>
        <v>3.6845781569625306E-2</v>
      </c>
      <c r="G75">
        <v>38609</v>
      </c>
      <c r="H75">
        <v>1315</v>
      </c>
      <c r="I75">
        <v>0</v>
      </c>
      <c r="J75" t="s">
        <v>96</v>
      </c>
    </row>
    <row r="76" spans="1:10">
      <c r="A76" t="s">
        <v>111</v>
      </c>
      <c r="B76" t="s">
        <v>122</v>
      </c>
      <c r="C76">
        <v>0</v>
      </c>
      <c r="D76">
        <v>4</v>
      </c>
      <c r="E76">
        <v>184</v>
      </c>
      <c r="F76" s="4">
        <f t="shared" si="1"/>
        <v>1.0869565217391304E-2</v>
      </c>
      <c r="G76">
        <v>182</v>
      </c>
      <c r="I76">
        <v>0</v>
      </c>
      <c r="J76" t="s">
        <v>123</v>
      </c>
    </row>
    <row r="77" spans="1:10">
      <c r="B77" t="s">
        <v>124</v>
      </c>
      <c r="C77">
        <v>1</v>
      </c>
      <c r="D77">
        <v>4</v>
      </c>
      <c r="E77">
        <v>10593</v>
      </c>
      <c r="F77" s="4">
        <f t="shared" si="1"/>
        <v>0.37392617766449543</v>
      </c>
      <c r="G77">
        <v>6632</v>
      </c>
      <c r="H77">
        <v>938</v>
      </c>
      <c r="I77">
        <v>0</v>
      </c>
      <c r="J77" t="s">
        <v>125</v>
      </c>
    </row>
    <row r="78" spans="1:10">
      <c r="B78" t="s">
        <v>127</v>
      </c>
      <c r="C78">
        <v>2</v>
      </c>
      <c r="D78" t="s">
        <v>126</v>
      </c>
      <c r="F78" s="4" t="s">
        <v>163</v>
      </c>
    </row>
    <row r="79" spans="1:10">
      <c r="A79" t="s">
        <v>112</v>
      </c>
      <c r="B79" t="s">
        <v>128</v>
      </c>
      <c r="C79">
        <v>1</v>
      </c>
      <c r="D79">
        <v>8</v>
      </c>
      <c r="E79">
        <v>3602</v>
      </c>
      <c r="F79" s="4">
        <f t="shared" si="1"/>
        <v>0.72820655191560246</v>
      </c>
      <c r="G79">
        <v>979</v>
      </c>
      <c r="H79">
        <v>738</v>
      </c>
      <c r="I79">
        <v>0</v>
      </c>
    </row>
    <row r="80" spans="1:10">
      <c r="A80" t="s">
        <v>113</v>
      </c>
      <c r="B80" t="s">
        <v>122</v>
      </c>
      <c r="C80">
        <v>1</v>
      </c>
      <c r="D80" t="s">
        <v>14</v>
      </c>
      <c r="F80" s="4" t="s">
        <v>163</v>
      </c>
    </row>
    <row r="81" spans="1:13">
      <c r="B81" t="s">
        <v>131</v>
      </c>
      <c r="C81">
        <v>3</v>
      </c>
      <c r="D81">
        <v>2</v>
      </c>
      <c r="E81">
        <v>62456</v>
      </c>
      <c r="F81" s="4">
        <f t="shared" si="1"/>
        <v>0.16264250032022542</v>
      </c>
      <c r="G81">
        <v>52298</v>
      </c>
      <c r="H81">
        <v>49719</v>
      </c>
      <c r="I81">
        <v>0</v>
      </c>
      <c r="J81" t="s">
        <v>129</v>
      </c>
    </row>
    <row r="82" spans="1:13" s="3" customFormat="1">
      <c r="B82" s="3" t="s">
        <v>130</v>
      </c>
      <c r="C82" s="3">
        <v>4</v>
      </c>
      <c r="F82" s="5" t="s">
        <v>163</v>
      </c>
      <c r="J82" s="3" t="s">
        <v>132</v>
      </c>
    </row>
    <row r="83" spans="1:13">
      <c r="C83">
        <v>5</v>
      </c>
      <c r="D83" t="s">
        <v>14</v>
      </c>
      <c r="F83" s="4" t="s">
        <v>163</v>
      </c>
    </row>
    <row r="84" spans="1:13">
      <c r="A84" t="s">
        <v>114</v>
      </c>
      <c r="B84" t="s">
        <v>133</v>
      </c>
      <c r="C84">
        <v>1</v>
      </c>
      <c r="D84">
        <v>5</v>
      </c>
      <c r="E84">
        <v>32925</v>
      </c>
      <c r="F84" s="4">
        <f t="shared" si="1"/>
        <v>0.72151860288534553</v>
      </c>
      <c r="G84">
        <v>9169</v>
      </c>
      <c r="H84">
        <v>7057</v>
      </c>
      <c r="I84">
        <v>0</v>
      </c>
    </row>
    <row r="85" spans="1:13">
      <c r="A85" t="s">
        <v>137</v>
      </c>
      <c r="B85" t="s">
        <v>122</v>
      </c>
      <c r="C85">
        <v>2</v>
      </c>
      <c r="D85" t="s">
        <v>14</v>
      </c>
      <c r="F85" s="4" t="s">
        <v>163</v>
      </c>
    </row>
    <row r="86" spans="1:13">
      <c r="B86" t="s">
        <v>135</v>
      </c>
      <c r="C86">
        <v>4</v>
      </c>
      <c r="D86">
        <v>2</v>
      </c>
      <c r="E86">
        <v>18636</v>
      </c>
      <c r="F86" s="4">
        <f t="shared" si="1"/>
        <v>-1.7385705086928525E-2</v>
      </c>
      <c r="G86">
        <v>18960</v>
      </c>
      <c r="H86">
        <v>216</v>
      </c>
      <c r="J86" t="s">
        <v>136</v>
      </c>
      <c r="K86">
        <v>14366</v>
      </c>
      <c r="L86">
        <v>160</v>
      </c>
      <c r="M86" t="s">
        <v>138</v>
      </c>
    </row>
    <row r="87" spans="1:13">
      <c r="B87" t="s">
        <v>139</v>
      </c>
      <c r="C87">
        <v>5</v>
      </c>
      <c r="D87">
        <v>8</v>
      </c>
      <c r="E87">
        <v>31833</v>
      </c>
      <c r="F87" s="4">
        <f t="shared" si="1"/>
        <v>0.38579461565042567</v>
      </c>
      <c r="G87">
        <v>19552</v>
      </c>
      <c r="H87">
        <v>6084</v>
      </c>
      <c r="I87">
        <v>4</v>
      </c>
      <c r="J87" t="s">
        <v>140</v>
      </c>
    </row>
    <row r="88" spans="1:13">
      <c r="B88" t="s">
        <v>141</v>
      </c>
      <c r="C88">
        <v>6</v>
      </c>
      <c r="D88" t="s">
        <v>14</v>
      </c>
      <c r="F88" s="4" t="s">
        <v>163</v>
      </c>
      <c r="J88" t="s">
        <v>96</v>
      </c>
    </row>
    <row r="89" spans="1:13">
      <c r="C89">
        <v>7</v>
      </c>
      <c r="D89">
        <v>4</v>
      </c>
      <c r="E89">
        <v>1105</v>
      </c>
      <c r="F89" s="4">
        <f t="shared" si="1"/>
        <v>0.151131221719457</v>
      </c>
      <c r="G89">
        <v>938</v>
      </c>
      <c r="H89">
        <v>268</v>
      </c>
      <c r="I89">
        <v>0</v>
      </c>
    </row>
    <row r="90" spans="1:13">
      <c r="B90" t="s">
        <v>142</v>
      </c>
      <c r="C90">
        <v>8</v>
      </c>
      <c r="D90">
        <v>5</v>
      </c>
      <c r="E90">
        <v>1375</v>
      </c>
      <c r="F90" s="4">
        <f t="shared" si="1"/>
        <v>0.34836363636363638</v>
      </c>
      <c r="G90">
        <v>896</v>
      </c>
      <c r="H90">
        <v>462</v>
      </c>
      <c r="I90">
        <v>0</v>
      </c>
      <c r="J90" t="s">
        <v>96</v>
      </c>
    </row>
    <row r="91" spans="1:13">
      <c r="B91" t="s">
        <v>143</v>
      </c>
      <c r="C91">
        <v>9</v>
      </c>
      <c r="D91">
        <v>18</v>
      </c>
      <c r="E91">
        <v>1158</v>
      </c>
      <c r="F91" s="4">
        <f t="shared" si="1"/>
        <v>0.31347150259067358</v>
      </c>
      <c r="G91">
        <v>795</v>
      </c>
      <c r="H91">
        <v>289</v>
      </c>
      <c r="I91">
        <v>0</v>
      </c>
    </row>
    <row r="92" spans="1:13">
      <c r="B92" t="s">
        <v>144</v>
      </c>
      <c r="C92">
        <v>10</v>
      </c>
      <c r="D92">
        <v>4</v>
      </c>
      <c r="E92">
        <v>1298</v>
      </c>
      <c r="F92" s="4">
        <f t="shared" si="1"/>
        <v>2.6194144838212634E-2</v>
      </c>
      <c r="G92">
        <v>1264</v>
      </c>
      <c r="H92">
        <v>1155</v>
      </c>
      <c r="I92">
        <v>0</v>
      </c>
      <c r="J92" t="s">
        <v>145</v>
      </c>
    </row>
    <row r="93" spans="1:13">
      <c r="B93" t="s">
        <v>146</v>
      </c>
      <c r="C93">
        <v>11</v>
      </c>
      <c r="D93">
        <v>19</v>
      </c>
      <c r="E93">
        <v>2362</v>
      </c>
      <c r="F93" s="4">
        <f t="shared" si="1"/>
        <v>0.43945808636748518</v>
      </c>
      <c r="G93">
        <v>1324</v>
      </c>
      <c r="H93">
        <v>217</v>
      </c>
      <c r="I93">
        <v>0</v>
      </c>
    </row>
    <row r="94" spans="1:13">
      <c r="B94" t="s">
        <v>148</v>
      </c>
      <c r="C94">
        <v>12</v>
      </c>
      <c r="D94">
        <v>5</v>
      </c>
      <c r="E94">
        <v>1430</v>
      </c>
      <c r="F94" s="4">
        <f t="shared" si="1"/>
        <v>0.27552447552447551</v>
      </c>
      <c r="G94">
        <v>1036</v>
      </c>
      <c r="H94">
        <v>732</v>
      </c>
      <c r="I94">
        <v>0</v>
      </c>
      <c r="J94" t="s">
        <v>147</v>
      </c>
    </row>
    <row r="95" spans="1:13">
      <c r="B95" t="s">
        <v>150</v>
      </c>
      <c r="C95">
        <v>13</v>
      </c>
      <c r="D95" t="s">
        <v>16</v>
      </c>
      <c r="F95" s="4" t="s">
        <v>163</v>
      </c>
      <c r="J95" t="s">
        <v>149</v>
      </c>
    </row>
    <row r="96" spans="1:13">
      <c r="C96">
        <v>14</v>
      </c>
      <c r="D96" t="s">
        <v>14</v>
      </c>
      <c r="F96" s="4" t="s">
        <v>163</v>
      </c>
      <c r="J96" t="s">
        <v>149</v>
      </c>
    </row>
    <row r="97" spans="1:10">
      <c r="A97" t="s">
        <v>134</v>
      </c>
      <c r="B97" t="s">
        <v>151</v>
      </c>
      <c r="C97">
        <v>2</v>
      </c>
      <c r="D97">
        <v>9</v>
      </c>
      <c r="E97">
        <v>2821</v>
      </c>
      <c r="F97" s="4">
        <f t="shared" si="1"/>
        <v>0.31690889755405882</v>
      </c>
      <c r="G97">
        <v>1927</v>
      </c>
      <c r="H97">
        <v>751</v>
      </c>
      <c r="I97">
        <v>0</v>
      </c>
    </row>
    <row r="98" spans="1:10">
      <c r="B98" t="s">
        <v>152</v>
      </c>
      <c r="C98">
        <v>4</v>
      </c>
      <c r="D98" t="s">
        <v>16</v>
      </c>
      <c r="F98" s="4" t="s">
        <v>163</v>
      </c>
    </row>
    <row r="99" spans="1:10">
      <c r="B99" t="s">
        <v>153</v>
      </c>
      <c r="C99">
        <v>5</v>
      </c>
      <c r="D99" t="s">
        <v>14</v>
      </c>
      <c r="F99" s="4" t="s">
        <v>163</v>
      </c>
    </row>
    <row r="100" spans="1:10">
      <c r="B100" t="s">
        <v>154</v>
      </c>
      <c r="C100">
        <v>6</v>
      </c>
      <c r="D100">
        <v>6</v>
      </c>
      <c r="E100">
        <v>1290</v>
      </c>
      <c r="F100" s="4">
        <f t="shared" si="1"/>
        <v>0.20232558139534884</v>
      </c>
      <c r="G100">
        <v>1029</v>
      </c>
      <c r="H100">
        <v>962</v>
      </c>
      <c r="I100">
        <v>0</v>
      </c>
    </row>
    <row r="101" spans="1:10">
      <c r="B101" t="s">
        <v>155</v>
      </c>
      <c r="C101">
        <v>7</v>
      </c>
      <c r="D101" t="s">
        <v>16</v>
      </c>
      <c r="F101" s="4" t="s">
        <v>163</v>
      </c>
    </row>
    <row r="102" spans="1:10">
      <c r="B102" t="s">
        <v>156</v>
      </c>
      <c r="C102">
        <v>8</v>
      </c>
      <c r="D102">
        <v>2</v>
      </c>
      <c r="E102">
        <v>1305</v>
      </c>
      <c r="F102" s="4">
        <f t="shared" si="1"/>
        <v>2.681992337164751E-2</v>
      </c>
      <c r="G102">
        <v>1270</v>
      </c>
      <c r="H102">
        <v>1247</v>
      </c>
      <c r="I102">
        <v>0</v>
      </c>
    </row>
    <row r="103" spans="1:10">
      <c r="B103" t="s">
        <v>157</v>
      </c>
      <c r="C103">
        <v>9</v>
      </c>
      <c r="D103" t="s">
        <v>16</v>
      </c>
      <c r="F103" s="4" t="s">
        <v>163</v>
      </c>
    </row>
    <row r="104" spans="1:10" s="3" customFormat="1">
      <c r="B104" s="3" t="s">
        <v>158</v>
      </c>
      <c r="C104" s="3">
        <v>10</v>
      </c>
      <c r="F104" s="5" t="s">
        <v>163</v>
      </c>
      <c r="J104" s="3" t="s">
        <v>159</v>
      </c>
    </row>
    <row r="105" spans="1:10">
      <c r="B105" t="s">
        <v>160</v>
      </c>
      <c r="C105">
        <v>11</v>
      </c>
      <c r="D105">
        <v>4</v>
      </c>
      <c r="E105">
        <v>12665</v>
      </c>
      <c r="F105" s="4">
        <f t="shared" si="1"/>
        <v>6.356099486774576E-2</v>
      </c>
      <c r="G105">
        <v>11860</v>
      </c>
      <c r="H105">
        <v>7897</v>
      </c>
      <c r="I105">
        <v>0</v>
      </c>
      <c r="J105" t="s">
        <v>161</v>
      </c>
    </row>
    <row r="106" spans="1:10">
      <c r="E106" t="s">
        <v>164</v>
      </c>
      <c r="F106">
        <f>COUNT(F2:F105)</f>
        <v>62</v>
      </c>
    </row>
    <row r="107" spans="1:10">
      <c r="F107">
        <f>COUNTIF(F2:F105, "&lt;=.10")</f>
        <v>30</v>
      </c>
    </row>
    <row r="108" spans="1:10">
      <c r="F108">
        <f>COUNTIF(F2:F105, "&lt;=.50")-F107</f>
        <v>22</v>
      </c>
    </row>
    <row r="109" spans="1:10">
      <c r="F109">
        <f>COUNTIF(F2:F105,"&gt;.50")</f>
        <v>10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3"/>
  <sheetViews>
    <sheetView workbookViewId="0">
      <selection activeCell="Q1" sqref="Q1:Q1048576"/>
    </sheetView>
  </sheetViews>
  <sheetFormatPr baseColWidth="10" defaultRowHeight="15" x14ac:dyDescent="0"/>
  <cols>
    <col min="1" max="1" width="25.33203125" bestFit="1" customWidth="1"/>
    <col min="8" max="8" width="10.83203125" style="9"/>
    <col min="10" max="10" width="16" customWidth="1"/>
  </cols>
  <sheetData>
    <row r="1" spans="1:17">
      <c r="A1" t="s">
        <v>216</v>
      </c>
      <c r="B1" t="s">
        <v>217</v>
      </c>
      <c r="C1" t="s">
        <v>218</v>
      </c>
      <c r="D1" s="2" t="s">
        <v>181</v>
      </c>
      <c r="E1" s="2" t="s">
        <v>183</v>
      </c>
      <c r="F1" s="2" t="s">
        <v>182</v>
      </c>
      <c r="G1" s="2" t="s">
        <v>184</v>
      </c>
      <c r="H1" s="10" t="s">
        <v>10</v>
      </c>
      <c r="I1" s="2" t="s">
        <v>232</v>
      </c>
      <c r="K1" t="s">
        <v>3</v>
      </c>
      <c r="L1" t="s">
        <v>5</v>
      </c>
      <c r="M1" t="s">
        <v>7</v>
      </c>
      <c r="N1" t="s">
        <v>186</v>
      </c>
      <c r="O1" t="s">
        <v>8</v>
      </c>
      <c r="P1" t="s">
        <v>187</v>
      </c>
      <c r="Q1" s="2" t="s">
        <v>940</v>
      </c>
    </row>
    <row r="2" spans="1:17">
      <c r="A2" t="s">
        <v>188</v>
      </c>
      <c r="B2">
        <v>1</v>
      </c>
      <c r="C2">
        <v>1</v>
      </c>
      <c r="D2">
        <v>26</v>
      </c>
      <c r="E2">
        <v>0</v>
      </c>
      <c r="F2">
        <v>15</v>
      </c>
      <c r="G2">
        <v>0</v>
      </c>
      <c r="H2" s="9">
        <v>51</v>
      </c>
      <c r="I2" s="4">
        <f>D2/H2</f>
        <v>0.50980392156862742</v>
      </c>
      <c r="K2" t="s">
        <v>188</v>
      </c>
      <c r="L2">
        <v>1</v>
      </c>
      <c r="M2" t="s">
        <v>207</v>
      </c>
      <c r="N2">
        <v>1</v>
      </c>
      <c r="O2">
        <v>7277</v>
      </c>
      <c r="P2">
        <v>1351</v>
      </c>
      <c r="Q2" s="4">
        <f>P2/O2</f>
        <v>0.18565342861069123</v>
      </c>
    </row>
    <row r="3" spans="1:17">
      <c r="A3" t="s">
        <v>188</v>
      </c>
      <c r="B3">
        <v>1</v>
      </c>
      <c r="C3">
        <v>2</v>
      </c>
      <c r="D3">
        <v>29</v>
      </c>
      <c r="E3">
        <v>0</v>
      </c>
      <c r="F3">
        <v>12</v>
      </c>
      <c r="G3">
        <v>0</v>
      </c>
      <c r="H3" s="9">
        <v>51</v>
      </c>
      <c r="I3" s="4">
        <f t="shared" ref="I3:I66" si="0">D3/H3</f>
        <v>0.56862745098039214</v>
      </c>
      <c r="K3" t="s">
        <v>188</v>
      </c>
      <c r="L3">
        <v>1</v>
      </c>
      <c r="M3" t="s">
        <v>772</v>
      </c>
      <c r="N3">
        <v>2</v>
      </c>
      <c r="O3">
        <v>7277</v>
      </c>
      <c r="P3">
        <v>1358</v>
      </c>
      <c r="Q3" s="4">
        <f t="shared" ref="Q3:Q66" si="1">P3/O3</f>
        <v>0.18661536347395905</v>
      </c>
    </row>
    <row r="4" spans="1:17">
      <c r="A4" t="s">
        <v>188</v>
      </c>
      <c r="B4">
        <v>1</v>
      </c>
      <c r="C4">
        <v>3</v>
      </c>
      <c r="D4">
        <v>31</v>
      </c>
      <c r="E4">
        <v>0</v>
      </c>
      <c r="F4">
        <v>15</v>
      </c>
      <c r="G4">
        <v>0</v>
      </c>
      <c r="H4" s="9">
        <v>51</v>
      </c>
      <c r="I4" s="4">
        <f t="shared" si="0"/>
        <v>0.60784313725490191</v>
      </c>
      <c r="K4" t="s">
        <v>188</v>
      </c>
      <c r="L4">
        <v>1</v>
      </c>
      <c r="M4" t="s">
        <v>770</v>
      </c>
      <c r="N4">
        <v>3</v>
      </c>
      <c r="O4">
        <v>7277</v>
      </c>
      <c r="P4">
        <v>1359</v>
      </c>
      <c r="Q4" s="4">
        <f t="shared" si="1"/>
        <v>0.18675278274014018</v>
      </c>
    </row>
    <row r="5" spans="1:17">
      <c r="A5" t="s">
        <v>188</v>
      </c>
      <c r="B5">
        <v>1</v>
      </c>
      <c r="C5">
        <v>4</v>
      </c>
      <c r="D5">
        <v>31</v>
      </c>
      <c r="E5">
        <v>0</v>
      </c>
      <c r="F5">
        <v>15</v>
      </c>
      <c r="G5">
        <v>0</v>
      </c>
      <c r="H5" s="9">
        <v>51</v>
      </c>
      <c r="I5" s="4">
        <f t="shared" si="0"/>
        <v>0.60784313725490191</v>
      </c>
      <c r="K5" t="s">
        <v>188</v>
      </c>
      <c r="L5">
        <v>1</v>
      </c>
      <c r="M5" t="s">
        <v>771</v>
      </c>
      <c r="N5">
        <v>4</v>
      </c>
      <c r="O5">
        <v>7277</v>
      </c>
      <c r="P5">
        <v>1363</v>
      </c>
      <c r="Q5" s="4">
        <f t="shared" si="1"/>
        <v>0.18730245980486465</v>
      </c>
    </row>
    <row r="6" spans="1:17">
      <c r="A6" t="s">
        <v>188</v>
      </c>
      <c r="B6">
        <v>1</v>
      </c>
      <c r="C6">
        <v>5</v>
      </c>
      <c r="D6">
        <v>31</v>
      </c>
      <c r="E6">
        <v>0</v>
      </c>
      <c r="F6">
        <v>15</v>
      </c>
      <c r="G6">
        <v>0</v>
      </c>
      <c r="H6" s="9">
        <v>51</v>
      </c>
      <c r="I6" s="4">
        <f t="shared" si="0"/>
        <v>0.60784313725490191</v>
      </c>
      <c r="K6" t="s">
        <v>188</v>
      </c>
      <c r="L6">
        <v>1</v>
      </c>
      <c r="M6" t="s">
        <v>773</v>
      </c>
      <c r="N6">
        <v>5</v>
      </c>
      <c r="O6">
        <v>7277</v>
      </c>
      <c r="P6">
        <v>1364</v>
      </c>
      <c r="Q6" s="4">
        <f t="shared" si="1"/>
        <v>0.18743987907104576</v>
      </c>
    </row>
    <row r="7" spans="1:17">
      <c r="A7" t="s">
        <v>188</v>
      </c>
      <c r="B7">
        <v>1</v>
      </c>
      <c r="C7">
        <v>6</v>
      </c>
      <c r="D7">
        <v>31</v>
      </c>
      <c r="E7">
        <v>0</v>
      </c>
      <c r="F7">
        <v>15</v>
      </c>
      <c r="G7">
        <v>0</v>
      </c>
      <c r="H7" s="9">
        <v>51</v>
      </c>
      <c r="I7" s="4">
        <f t="shared" si="0"/>
        <v>0.60784313725490191</v>
      </c>
      <c r="K7" t="s">
        <v>188</v>
      </c>
      <c r="L7">
        <v>1</v>
      </c>
      <c r="M7" t="s">
        <v>774</v>
      </c>
      <c r="N7">
        <v>6</v>
      </c>
      <c r="O7">
        <v>7277</v>
      </c>
      <c r="P7">
        <v>1366</v>
      </c>
      <c r="Q7" s="4">
        <f t="shared" si="1"/>
        <v>0.18771471760340799</v>
      </c>
    </row>
    <row r="8" spans="1:17">
      <c r="A8" t="s">
        <v>188</v>
      </c>
      <c r="B8">
        <v>1</v>
      </c>
      <c r="C8">
        <v>7</v>
      </c>
      <c r="D8">
        <v>31</v>
      </c>
      <c r="E8">
        <v>0</v>
      </c>
      <c r="F8">
        <v>15</v>
      </c>
      <c r="G8">
        <v>0</v>
      </c>
      <c r="H8" s="9">
        <v>51</v>
      </c>
      <c r="I8" s="4">
        <f t="shared" si="0"/>
        <v>0.60784313725490191</v>
      </c>
      <c r="K8" t="s">
        <v>188</v>
      </c>
      <c r="L8">
        <v>1</v>
      </c>
      <c r="M8" t="s">
        <v>775</v>
      </c>
      <c r="N8">
        <v>7</v>
      </c>
      <c r="O8">
        <v>7277</v>
      </c>
      <c r="P8">
        <v>1399</v>
      </c>
      <c r="Q8" s="4">
        <f t="shared" si="1"/>
        <v>0.19224955338738492</v>
      </c>
    </row>
    <row r="9" spans="1:17">
      <c r="A9" t="s">
        <v>188</v>
      </c>
      <c r="B9">
        <v>1</v>
      </c>
      <c r="C9">
        <v>8</v>
      </c>
      <c r="D9">
        <v>31</v>
      </c>
      <c r="E9">
        <v>0</v>
      </c>
      <c r="F9">
        <v>15</v>
      </c>
      <c r="G9">
        <v>0</v>
      </c>
      <c r="H9" s="9">
        <v>51</v>
      </c>
      <c r="I9" s="4">
        <f t="shared" si="0"/>
        <v>0.60784313725490191</v>
      </c>
      <c r="K9" t="s">
        <v>188</v>
      </c>
      <c r="L9">
        <v>1</v>
      </c>
      <c r="M9" t="s">
        <v>461</v>
      </c>
      <c r="N9">
        <v>8</v>
      </c>
      <c r="O9">
        <v>7277</v>
      </c>
      <c r="P9">
        <v>1417</v>
      </c>
      <c r="Q9" s="4">
        <f t="shared" si="1"/>
        <v>0.19472310017864505</v>
      </c>
    </row>
    <row r="10" spans="1:17">
      <c r="A10" t="s">
        <v>188</v>
      </c>
      <c r="B10">
        <v>1</v>
      </c>
      <c r="C10">
        <v>9</v>
      </c>
      <c r="D10">
        <v>32</v>
      </c>
      <c r="E10">
        <v>0</v>
      </c>
      <c r="F10">
        <v>16</v>
      </c>
      <c r="G10">
        <v>1</v>
      </c>
      <c r="H10" s="9">
        <v>51</v>
      </c>
      <c r="I10" s="4">
        <f t="shared" si="0"/>
        <v>0.62745098039215685</v>
      </c>
      <c r="K10" t="s">
        <v>188</v>
      </c>
      <c r="L10">
        <v>1</v>
      </c>
      <c r="M10" t="s">
        <v>777</v>
      </c>
      <c r="N10">
        <v>9</v>
      </c>
      <c r="O10">
        <v>7277</v>
      </c>
      <c r="P10">
        <v>1478</v>
      </c>
      <c r="Q10" s="4">
        <f t="shared" si="1"/>
        <v>0.20310567541569327</v>
      </c>
    </row>
    <row r="11" spans="1:17">
      <c r="A11" t="s">
        <v>188</v>
      </c>
      <c r="B11">
        <v>1</v>
      </c>
      <c r="C11">
        <v>10</v>
      </c>
      <c r="D11">
        <v>32</v>
      </c>
      <c r="E11">
        <v>0</v>
      </c>
      <c r="F11">
        <v>16</v>
      </c>
      <c r="G11">
        <v>1</v>
      </c>
      <c r="H11" s="9">
        <v>51</v>
      </c>
      <c r="I11" s="4">
        <f t="shared" si="0"/>
        <v>0.62745098039215685</v>
      </c>
      <c r="K11" t="s">
        <v>188</v>
      </c>
      <c r="L11">
        <v>1</v>
      </c>
      <c r="M11" t="s">
        <v>776</v>
      </c>
      <c r="N11">
        <v>10</v>
      </c>
      <c r="O11">
        <v>7277</v>
      </c>
      <c r="P11">
        <v>1479</v>
      </c>
      <c r="Q11" s="4">
        <f t="shared" si="1"/>
        <v>0.2032430946818744</v>
      </c>
    </row>
    <row r="12" spans="1:17">
      <c r="A12" t="s">
        <v>188</v>
      </c>
      <c r="B12">
        <v>1</v>
      </c>
      <c r="C12">
        <v>11</v>
      </c>
      <c r="D12">
        <v>32</v>
      </c>
      <c r="E12">
        <v>0</v>
      </c>
      <c r="F12">
        <v>16</v>
      </c>
      <c r="G12">
        <v>1</v>
      </c>
      <c r="H12" s="9">
        <v>51</v>
      </c>
      <c r="I12" s="4">
        <f t="shared" si="0"/>
        <v>0.62745098039215685</v>
      </c>
      <c r="K12" t="s">
        <v>188</v>
      </c>
      <c r="L12">
        <v>1</v>
      </c>
      <c r="M12" t="s">
        <v>778</v>
      </c>
      <c r="N12">
        <v>11</v>
      </c>
      <c r="O12">
        <v>7277</v>
      </c>
      <c r="P12">
        <v>1483</v>
      </c>
      <c r="Q12" s="4">
        <f t="shared" si="1"/>
        <v>0.20379277174659888</v>
      </c>
    </row>
    <row r="13" spans="1:17">
      <c r="A13" t="s">
        <v>188</v>
      </c>
      <c r="B13">
        <v>1</v>
      </c>
      <c r="C13">
        <v>12</v>
      </c>
      <c r="D13">
        <v>32</v>
      </c>
      <c r="E13">
        <v>0</v>
      </c>
      <c r="F13">
        <v>16</v>
      </c>
      <c r="G13">
        <v>1</v>
      </c>
      <c r="H13" s="9">
        <v>51</v>
      </c>
      <c r="I13" s="4">
        <f t="shared" si="0"/>
        <v>0.62745098039215685</v>
      </c>
      <c r="K13" t="s">
        <v>188</v>
      </c>
      <c r="L13">
        <v>1</v>
      </c>
      <c r="M13" t="s">
        <v>779</v>
      </c>
      <c r="N13">
        <v>12</v>
      </c>
      <c r="O13">
        <v>7277</v>
      </c>
      <c r="P13">
        <v>1485</v>
      </c>
      <c r="Q13" s="4">
        <f t="shared" si="1"/>
        <v>0.20406761027896111</v>
      </c>
    </row>
    <row r="14" spans="1:17">
      <c r="A14" t="s">
        <v>188</v>
      </c>
      <c r="B14">
        <v>1</v>
      </c>
      <c r="C14">
        <v>13</v>
      </c>
      <c r="D14">
        <v>41</v>
      </c>
      <c r="E14">
        <v>0</v>
      </c>
      <c r="F14">
        <v>9</v>
      </c>
      <c r="G14">
        <v>1</v>
      </c>
      <c r="H14" s="9">
        <v>51</v>
      </c>
      <c r="I14" s="4">
        <f t="shared" si="0"/>
        <v>0.80392156862745101</v>
      </c>
      <c r="K14" t="s">
        <v>188</v>
      </c>
      <c r="L14">
        <v>1</v>
      </c>
      <c r="M14" t="s">
        <v>780</v>
      </c>
      <c r="N14">
        <v>13</v>
      </c>
      <c r="O14">
        <v>7277</v>
      </c>
      <c r="P14">
        <v>4497</v>
      </c>
      <c r="Q14" s="4">
        <f t="shared" si="1"/>
        <v>0.61797444001649027</v>
      </c>
    </row>
    <row r="15" spans="1:17">
      <c r="A15" t="s">
        <v>188</v>
      </c>
      <c r="B15">
        <v>1</v>
      </c>
      <c r="C15">
        <v>14</v>
      </c>
      <c r="D15">
        <v>41</v>
      </c>
      <c r="E15">
        <v>0</v>
      </c>
      <c r="F15">
        <v>9</v>
      </c>
      <c r="G15">
        <v>1</v>
      </c>
      <c r="H15" s="9">
        <v>51</v>
      </c>
      <c r="I15" s="4">
        <f t="shared" si="0"/>
        <v>0.80392156862745101</v>
      </c>
      <c r="K15" t="s">
        <v>188</v>
      </c>
      <c r="L15">
        <v>1</v>
      </c>
      <c r="M15" t="s">
        <v>541</v>
      </c>
      <c r="N15">
        <v>14</v>
      </c>
      <c r="O15">
        <v>7277</v>
      </c>
      <c r="P15">
        <v>4528</v>
      </c>
      <c r="Q15" s="4">
        <f t="shared" si="1"/>
        <v>0.62223443726810501</v>
      </c>
    </row>
    <row r="16" spans="1:17">
      <c r="A16" t="s">
        <v>188</v>
      </c>
      <c r="B16">
        <v>1</v>
      </c>
      <c r="C16">
        <v>15</v>
      </c>
      <c r="D16">
        <v>41</v>
      </c>
      <c r="E16">
        <v>0</v>
      </c>
      <c r="F16">
        <v>9</v>
      </c>
      <c r="G16">
        <v>1</v>
      </c>
      <c r="H16" s="9">
        <v>51</v>
      </c>
      <c r="I16" s="4">
        <f t="shared" si="0"/>
        <v>0.80392156862745101</v>
      </c>
      <c r="K16" t="s">
        <v>188</v>
      </c>
      <c r="L16">
        <v>1</v>
      </c>
      <c r="M16" t="s">
        <v>233</v>
      </c>
      <c r="N16">
        <v>15</v>
      </c>
      <c r="O16">
        <v>7277</v>
      </c>
      <c r="P16">
        <v>4537</v>
      </c>
      <c r="Q16" s="4">
        <f t="shared" si="1"/>
        <v>0.62347121066373501</v>
      </c>
    </row>
    <row r="17" spans="1:17">
      <c r="A17" t="s">
        <v>188</v>
      </c>
      <c r="B17">
        <v>1</v>
      </c>
      <c r="C17">
        <v>16</v>
      </c>
      <c r="D17">
        <v>41</v>
      </c>
      <c r="E17">
        <v>0</v>
      </c>
      <c r="F17">
        <v>9</v>
      </c>
      <c r="G17">
        <v>1</v>
      </c>
      <c r="H17" s="9">
        <v>51</v>
      </c>
      <c r="I17" s="4">
        <f t="shared" si="0"/>
        <v>0.80392156862745101</v>
      </c>
      <c r="K17" t="s">
        <v>188</v>
      </c>
      <c r="L17">
        <v>1</v>
      </c>
      <c r="M17" t="s">
        <v>209</v>
      </c>
      <c r="N17">
        <v>16</v>
      </c>
      <c r="O17">
        <v>7277</v>
      </c>
      <c r="P17">
        <v>4550</v>
      </c>
      <c r="Q17" s="4">
        <f t="shared" si="1"/>
        <v>0.62525766112408965</v>
      </c>
    </row>
    <row r="18" spans="1:17">
      <c r="A18" t="s">
        <v>188</v>
      </c>
      <c r="B18">
        <v>7</v>
      </c>
      <c r="C18">
        <v>1</v>
      </c>
      <c r="D18">
        <v>32</v>
      </c>
      <c r="E18">
        <v>0</v>
      </c>
      <c r="F18">
        <v>4</v>
      </c>
      <c r="G18">
        <v>0</v>
      </c>
      <c r="H18" s="9">
        <v>132</v>
      </c>
      <c r="I18" s="4">
        <f t="shared" si="0"/>
        <v>0.24242424242424243</v>
      </c>
      <c r="K18" t="s">
        <v>188</v>
      </c>
      <c r="L18">
        <v>7</v>
      </c>
      <c r="M18" t="s">
        <v>784</v>
      </c>
      <c r="N18">
        <v>1</v>
      </c>
      <c r="O18">
        <v>4457</v>
      </c>
      <c r="P18">
        <v>1286</v>
      </c>
      <c r="Q18" s="4">
        <f t="shared" si="1"/>
        <v>0.28853488893874801</v>
      </c>
    </row>
    <row r="19" spans="1:17">
      <c r="A19" t="s">
        <v>188</v>
      </c>
      <c r="B19">
        <v>7</v>
      </c>
      <c r="C19">
        <v>2</v>
      </c>
      <c r="D19">
        <v>32</v>
      </c>
      <c r="E19">
        <v>0</v>
      </c>
      <c r="F19">
        <v>4</v>
      </c>
      <c r="G19">
        <v>0</v>
      </c>
      <c r="H19" s="9">
        <v>132</v>
      </c>
      <c r="I19" s="4">
        <f t="shared" si="0"/>
        <v>0.24242424242424243</v>
      </c>
      <c r="K19" t="s">
        <v>188</v>
      </c>
      <c r="L19">
        <v>7</v>
      </c>
      <c r="M19" t="s">
        <v>781</v>
      </c>
      <c r="N19">
        <v>2</v>
      </c>
      <c r="O19">
        <v>4457</v>
      </c>
      <c r="P19">
        <v>1287</v>
      </c>
      <c r="Q19" s="4">
        <f t="shared" si="1"/>
        <v>0.28875925510433026</v>
      </c>
    </row>
    <row r="20" spans="1:17">
      <c r="A20" t="s">
        <v>188</v>
      </c>
      <c r="B20">
        <v>7</v>
      </c>
      <c r="C20">
        <v>3</v>
      </c>
      <c r="D20">
        <v>32</v>
      </c>
      <c r="E20">
        <v>0</v>
      </c>
      <c r="F20">
        <v>4</v>
      </c>
      <c r="G20">
        <v>0</v>
      </c>
      <c r="H20" s="9">
        <v>132</v>
      </c>
      <c r="I20" s="4">
        <f t="shared" si="0"/>
        <v>0.24242424242424243</v>
      </c>
      <c r="K20" t="s">
        <v>188</v>
      </c>
      <c r="L20">
        <v>7</v>
      </c>
      <c r="M20" t="s">
        <v>786</v>
      </c>
      <c r="N20">
        <v>3</v>
      </c>
      <c r="O20">
        <v>4457</v>
      </c>
      <c r="P20">
        <v>1288</v>
      </c>
      <c r="Q20" s="4">
        <f t="shared" si="1"/>
        <v>0.28898362126991251</v>
      </c>
    </row>
    <row r="21" spans="1:17">
      <c r="A21" t="s">
        <v>188</v>
      </c>
      <c r="B21">
        <v>7</v>
      </c>
      <c r="C21">
        <v>4</v>
      </c>
      <c r="D21">
        <v>32</v>
      </c>
      <c r="E21">
        <v>0</v>
      </c>
      <c r="F21">
        <v>4</v>
      </c>
      <c r="G21">
        <v>0</v>
      </c>
      <c r="H21" s="9">
        <v>132</v>
      </c>
      <c r="I21" s="4">
        <f t="shared" si="0"/>
        <v>0.24242424242424243</v>
      </c>
      <c r="K21" t="s">
        <v>188</v>
      </c>
      <c r="L21">
        <v>7</v>
      </c>
      <c r="M21" t="s">
        <v>783</v>
      </c>
      <c r="N21">
        <v>4</v>
      </c>
      <c r="O21">
        <v>4457</v>
      </c>
      <c r="P21">
        <v>1289</v>
      </c>
      <c r="Q21" s="4">
        <f t="shared" si="1"/>
        <v>0.28920798743549475</v>
      </c>
    </row>
    <row r="22" spans="1:17">
      <c r="A22" t="s">
        <v>188</v>
      </c>
      <c r="B22">
        <v>7</v>
      </c>
      <c r="C22">
        <v>5</v>
      </c>
      <c r="D22">
        <v>32</v>
      </c>
      <c r="E22">
        <v>0</v>
      </c>
      <c r="F22">
        <v>4</v>
      </c>
      <c r="G22">
        <v>0</v>
      </c>
      <c r="H22" s="9">
        <v>132</v>
      </c>
      <c r="I22" s="4">
        <f t="shared" si="0"/>
        <v>0.24242424242424243</v>
      </c>
      <c r="K22" t="s">
        <v>188</v>
      </c>
      <c r="L22">
        <v>7</v>
      </c>
      <c r="M22" t="s">
        <v>787</v>
      </c>
      <c r="N22">
        <v>5</v>
      </c>
      <c r="O22">
        <v>4457</v>
      </c>
      <c r="P22">
        <v>1301</v>
      </c>
      <c r="Q22" s="4">
        <f t="shared" si="1"/>
        <v>0.29190038142248148</v>
      </c>
    </row>
    <row r="23" spans="1:17">
      <c r="A23" t="s">
        <v>188</v>
      </c>
      <c r="B23">
        <v>7</v>
      </c>
      <c r="C23">
        <v>6</v>
      </c>
      <c r="D23">
        <v>32</v>
      </c>
      <c r="E23">
        <v>0</v>
      </c>
      <c r="F23">
        <v>4</v>
      </c>
      <c r="G23">
        <v>0</v>
      </c>
      <c r="H23" s="9">
        <v>132</v>
      </c>
      <c r="I23" s="4">
        <f t="shared" si="0"/>
        <v>0.24242424242424243</v>
      </c>
      <c r="K23" t="s">
        <v>188</v>
      </c>
      <c r="L23">
        <v>7</v>
      </c>
      <c r="M23" t="s">
        <v>782</v>
      </c>
      <c r="N23">
        <v>6</v>
      </c>
      <c r="O23">
        <v>4457</v>
      </c>
      <c r="P23">
        <v>1309</v>
      </c>
      <c r="Q23" s="4">
        <f t="shared" si="1"/>
        <v>0.29369531074713934</v>
      </c>
    </row>
    <row r="24" spans="1:17">
      <c r="A24" t="s">
        <v>188</v>
      </c>
      <c r="B24">
        <v>7</v>
      </c>
      <c r="C24">
        <v>7</v>
      </c>
      <c r="D24">
        <v>32</v>
      </c>
      <c r="E24">
        <v>0</v>
      </c>
      <c r="F24">
        <v>4</v>
      </c>
      <c r="G24">
        <v>0</v>
      </c>
      <c r="H24" s="9">
        <v>132</v>
      </c>
      <c r="I24" s="4">
        <f t="shared" si="0"/>
        <v>0.24242424242424243</v>
      </c>
      <c r="K24" t="s">
        <v>188</v>
      </c>
      <c r="L24">
        <v>7</v>
      </c>
      <c r="M24" t="s">
        <v>785</v>
      </c>
      <c r="N24">
        <v>7</v>
      </c>
      <c r="O24">
        <v>4457</v>
      </c>
      <c r="P24">
        <v>1317</v>
      </c>
      <c r="Q24" s="4">
        <f t="shared" si="1"/>
        <v>0.29549024007179719</v>
      </c>
    </row>
    <row r="25" spans="1:17">
      <c r="A25" t="s">
        <v>188</v>
      </c>
      <c r="B25">
        <v>7</v>
      </c>
      <c r="C25">
        <v>8</v>
      </c>
      <c r="D25">
        <v>32</v>
      </c>
      <c r="E25">
        <v>0</v>
      </c>
      <c r="F25">
        <v>4</v>
      </c>
      <c r="G25">
        <v>0</v>
      </c>
      <c r="H25" s="9">
        <v>132</v>
      </c>
      <c r="I25" s="4">
        <f t="shared" si="0"/>
        <v>0.24242424242424243</v>
      </c>
      <c r="K25" t="s">
        <v>188</v>
      </c>
      <c r="L25">
        <v>7</v>
      </c>
      <c r="M25" t="s">
        <v>788</v>
      </c>
      <c r="N25">
        <v>8</v>
      </c>
      <c r="O25">
        <v>4457</v>
      </c>
      <c r="P25">
        <v>1322</v>
      </c>
      <c r="Q25" s="4">
        <f t="shared" si="1"/>
        <v>0.29661207089970831</v>
      </c>
    </row>
    <row r="26" spans="1:17">
      <c r="A26" t="s">
        <v>188</v>
      </c>
      <c r="B26">
        <v>7</v>
      </c>
      <c r="C26">
        <v>9</v>
      </c>
      <c r="D26">
        <v>64</v>
      </c>
      <c r="E26">
        <v>0</v>
      </c>
      <c r="F26">
        <v>4</v>
      </c>
      <c r="G26">
        <v>0</v>
      </c>
      <c r="H26" s="9">
        <v>132</v>
      </c>
      <c r="I26" s="4">
        <f t="shared" si="0"/>
        <v>0.48484848484848486</v>
      </c>
      <c r="K26" t="s">
        <v>188</v>
      </c>
      <c r="L26">
        <v>7</v>
      </c>
      <c r="M26" t="s">
        <v>790</v>
      </c>
      <c r="N26">
        <v>9</v>
      </c>
      <c r="O26">
        <v>4457</v>
      </c>
      <c r="P26">
        <v>2093</v>
      </c>
      <c r="Q26" s="4">
        <f t="shared" si="1"/>
        <v>0.46959838456360781</v>
      </c>
    </row>
    <row r="27" spans="1:17">
      <c r="A27" t="s">
        <v>188</v>
      </c>
      <c r="B27">
        <v>7</v>
      </c>
      <c r="C27">
        <v>10</v>
      </c>
      <c r="D27">
        <v>64</v>
      </c>
      <c r="E27">
        <v>0</v>
      </c>
      <c r="F27">
        <v>4</v>
      </c>
      <c r="G27">
        <v>0</v>
      </c>
      <c r="H27" s="9">
        <v>132</v>
      </c>
      <c r="I27" s="4">
        <f t="shared" si="0"/>
        <v>0.48484848484848486</v>
      </c>
      <c r="K27" t="s">
        <v>188</v>
      </c>
      <c r="L27">
        <v>7</v>
      </c>
      <c r="M27" t="s">
        <v>792</v>
      </c>
      <c r="N27">
        <v>10</v>
      </c>
      <c r="O27">
        <v>4457</v>
      </c>
      <c r="P27">
        <v>2117</v>
      </c>
      <c r="Q27" s="4">
        <f t="shared" si="1"/>
        <v>0.47498317253758132</v>
      </c>
    </row>
    <row r="28" spans="1:17">
      <c r="A28" t="s">
        <v>188</v>
      </c>
      <c r="B28">
        <v>7</v>
      </c>
      <c r="C28">
        <v>11</v>
      </c>
      <c r="D28">
        <v>64</v>
      </c>
      <c r="E28">
        <v>0</v>
      </c>
      <c r="F28">
        <v>4</v>
      </c>
      <c r="G28">
        <v>0</v>
      </c>
      <c r="H28" s="9">
        <v>132</v>
      </c>
      <c r="I28" s="4">
        <f t="shared" si="0"/>
        <v>0.48484848484848486</v>
      </c>
      <c r="K28" t="s">
        <v>188</v>
      </c>
      <c r="L28">
        <v>7</v>
      </c>
      <c r="M28" t="s">
        <v>789</v>
      </c>
      <c r="N28">
        <v>11</v>
      </c>
      <c r="O28">
        <v>4457</v>
      </c>
      <c r="P28">
        <v>2119</v>
      </c>
      <c r="Q28" s="4">
        <f t="shared" si="1"/>
        <v>0.47543190486874581</v>
      </c>
    </row>
    <row r="29" spans="1:17">
      <c r="A29" t="s">
        <v>188</v>
      </c>
      <c r="B29">
        <v>7</v>
      </c>
      <c r="C29">
        <v>12</v>
      </c>
      <c r="D29">
        <v>64</v>
      </c>
      <c r="E29">
        <v>0</v>
      </c>
      <c r="F29">
        <v>4</v>
      </c>
      <c r="G29">
        <v>0</v>
      </c>
      <c r="H29" s="9">
        <v>132</v>
      </c>
      <c r="I29" s="4">
        <f t="shared" si="0"/>
        <v>0.48484848484848486</v>
      </c>
      <c r="K29" t="s">
        <v>188</v>
      </c>
      <c r="L29">
        <v>7</v>
      </c>
      <c r="M29" t="s">
        <v>791</v>
      </c>
      <c r="N29">
        <v>12</v>
      </c>
      <c r="O29">
        <v>4457</v>
      </c>
      <c r="P29">
        <v>2140</v>
      </c>
      <c r="Q29" s="4">
        <f t="shared" si="1"/>
        <v>0.48014359434597265</v>
      </c>
    </row>
    <row r="30" spans="1:17">
      <c r="A30" t="s">
        <v>188</v>
      </c>
      <c r="B30">
        <v>7</v>
      </c>
      <c r="C30">
        <v>13</v>
      </c>
      <c r="D30">
        <v>93</v>
      </c>
      <c r="E30">
        <v>0</v>
      </c>
      <c r="F30">
        <v>4</v>
      </c>
      <c r="G30">
        <v>0</v>
      </c>
      <c r="H30" s="9">
        <v>132</v>
      </c>
      <c r="I30" s="4">
        <f t="shared" si="0"/>
        <v>0.70454545454545459</v>
      </c>
      <c r="K30" t="s">
        <v>188</v>
      </c>
      <c r="L30">
        <v>7</v>
      </c>
      <c r="M30" t="s">
        <v>793</v>
      </c>
      <c r="N30">
        <v>13</v>
      </c>
      <c r="O30">
        <v>4457</v>
      </c>
      <c r="P30">
        <v>2856</v>
      </c>
      <c r="Q30" s="4">
        <f t="shared" si="1"/>
        <v>0.64078976890284944</v>
      </c>
    </row>
    <row r="31" spans="1:17">
      <c r="A31" t="s">
        <v>188</v>
      </c>
      <c r="B31">
        <v>7</v>
      </c>
      <c r="C31">
        <v>14</v>
      </c>
      <c r="D31">
        <v>93</v>
      </c>
      <c r="E31">
        <v>0</v>
      </c>
      <c r="F31">
        <v>4</v>
      </c>
      <c r="G31">
        <v>0</v>
      </c>
      <c r="H31" s="9">
        <v>132</v>
      </c>
      <c r="I31" s="4">
        <f t="shared" si="0"/>
        <v>0.70454545454545459</v>
      </c>
      <c r="K31" t="s">
        <v>188</v>
      </c>
      <c r="L31">
        <v>7</v>
      </c>
      <c r="M31" t="s">
        <v>794</v>
      </c>
      <c r="N31">
        <v>14</v>
      </c>
      <c r="O31">
        <v>4457</v>
      </c>
      <c r="P31">
        <v>2890</v>
      </c>
      <c r="Q31" s="4">
        <f t="shared" si="1"/>
        <v>0.64841821853264525</v>
      </c>
    </row>
    <row r="32" spans="1:17">
      <c r="A32" t="s">
        <v>188</v>
      </c>
      <c r="B32">
        <v>7</v>
      </c>
      <c r="C32">
        <v>15</v>
      </c>
      <c r="D32">
        <v>125</v>
      </c>
      <c r="E32">
        <v>0</v>
      </c>
      <c r="F32">
        <v>3</v>
      </c>
      <c r="G32">
        <v>0</v>
      </c>
      <c r="H32" s="9">
        <v>132</v>
      </c>
      <c r="I32" s="4">
        <f t="shared" si="0"/>
        <v>0.94696969696969702</v>
      </c>
      <c r="K32" t="s">
        <v>188</v>
      </c>
      <c r="L32">
        <v>7</v>
      </c>
      <c r="M32" t="s">
        <v>795</v>
      </c>
      <c r="N32">
        <v>15</v>
      </c>
      <c r="O32">
        <v>4457</v>
      </c>
      <c r="P32">
        <v>3424</v>
      </c>
      <c r="Q32" s="4">
        <f t="shared" si="1"/>
        <v>0.76822975095355617</v>
      </c>
    </row>
    <row r="33" spans="1:17">
      <c r="A33" t="s">
        <v>188</v>
      </c>
      <c r="B33">
        <v>7</v>
      </c>
      <c r="C33">
        <v>16</v>
      </c>
      <c r="D33">
        <v>132</v>
      </c>
      <c r="E33">
        <v>0</v>
      </c>
      <c r="F33">
        <v>0</v>
      </c>
      <c r="G33">
        <v>0</v>
      </c>
      <c r="H33" s="9">
        <v>132</v>
      </c>
      <c r="I33" s="4">
        <f t="shared" si="0"/>
        <v>1</v>
      </c>
      <c r="K33" t="s">
        <v>188</v>
      </c>
      <c r="L33">
        <v>7</v>
      </c>
      <c r="M33" t="s">
        <v>796</v>
      </c>
      <c r="N33">
        <v>16</v>
      </c>
      <c r="O33">
        <v>4457</v>
      </c>
      <c r="P33">
        <v>3600</v>
      </c>
      <c r="Q33" s="4">
        <f t="shared" si="1"/>
        <v>0.80771819609602868</v>
      </c>
    </row>
    <row r="34" spans="1:17">
      <c r="A34" t="s">
        <v>219</v>
      </c>
      <c r="B34">
        <v>18</v>
      </c>
      <c r="C34">
        <v>1</v>
      </c>
      <c r="D34">
        <v>3</v>
      </c>
      <c r="E34">
        <v>0</v>
      </c>
      <c r="F34">
        <v>1</v>
      </c>
      <c r="G34">
        <v>0</v>
      </c>
      <c r="H34" s="9">
        <v>141</v>
      </c>
      <c r="I34" s="4">
        <f t="shared" si="0"/>
        <v>2.1276595744680851E-2</v>
      </c>
      <c r="K34" t="s">
        <v>219</v>
      </c>
      <c r="L34">
        <v>18</v>
      </c>
      <c r="M34" t="s">
        <v>2</v>
      </c>
      <c r="N34">
        <v>1</v>
      </c>
      <c r="O34">
        <v>10767</v>
      </c>
      <c r="P34">
        <v>161</v>
      </c>
      <c r="Q34" s="4">
        <f t="shared" si="1"/>
        <v>1.4953097427324232E-2</v>
      </c>
    </row>
    <row r="35" spans="1:17">
      <c r="A35" t="s">
        <v>219</v>
      </c>
      <c r="B35">
        <v>18</v>
      </c>
      <c r="C35">
        <v>2</v>
      </c>
      <c r="D35">
        <v>6</v>
      </c>
      <c r="E35">
        <v>0</v>
      </c>
      <c r="F35">
        <v>1</v>
      </c>
      <c r="G35">
        <v>0</v>
      </c>
      <c r="H35" s="9">
        <v>141</v>
      </c>
      <c r="I35" s="4">
        <f t="shared" si="0"/>
        <v>4.2553191489361701E-2</v>
      </c>
      <c r="K35" t="s">
        <v>219</v>
      </c>
      <c r="L35">
        <v>18</v>
      </c>
      <c r="M35" t="s">
        <v>1</v>
      </c>
      <c r="N35">
        <v>2</v>
      </c>
      <c r="O35">
        <v>10767</v>
      </c>
      <c r="P35">
        <v>289</v>
      </c>
      <c r="Q35" s="4">
        <f t="shared" si="1"/>
        <v>2.6841274263954676E-2</v>
      </c>
    </row>
    <row r="36" spans="1:17">
      <c r="A36" t="s">
        <v>219</v>
      </c>
      <c r="B36">
        <v>18</v>
      </c>
      <c r="C36">
        <v>3</v>
      </c>
      <c r="D36">
        <v>17</v>
      </c>
      <c r="E36">
        <v>0</v>
      </c>
      <c r="F36">
        <v>1</v>
      </c>
      <c r="G36">
        <v>0</v>
      </c>
      <c r="H36" s="9">
        <v>141</v>
      </c>
      <c r="I36" s="4">
        <f t="shared" si="0"/>
        <v>0.12056737588652482</v>
      </c>
      <c r="K36" t="s">
        <v>219</v>
      </c>
      <c r="L36">
        <v>18</v>
      </c>
      <c r="M36" t="s">
        <v>239</v>
      </c>
      <c r="N36">
        <v>3</v>
      </c>
      <c r="O36">
        <v>10767</v>
      </c>
      <c r="P36">
        <v>667</v>
      </c>
      <c r="Q36" s="4">
        <f t="shared" si="1"/>
        <v>6.1948546484628962E-2</v>
      </c>
    </row>
    <row r="37" spans="1:17">
      <c r="A37" t="s">
        <v>219</v>
      </c>
      <c r="B37">
        <v>18</v>
      </c>
      <c r="C37">
        <v>4</v>
      </c>
      <c r="D37">
        <v>23</v>
      </c>
      <c r="E37">
        <v>0</v>
      </c>
      <c r="F37">
        <v>1</v>
      </c>
      <c r="G37">
        <v>0</v>
      </c>
      <c r="H37" s="9">
        <v>141</v>
      </c>
      <c r="I37" s="4">
        <f t="shared" si="0"/>
        <v>0.16312056737588654</v>
      </c>
      <c r="K37" t="s">
        <v>219</v>
      </c>
      <c r="L37">
        <v>18</v>
      </c>
      <c r="M37" t="s">
        <v>240</v>
      </c>
      <c r="N37">
        <v>4</v>
      </c>
      <c r="O37">
        <v>10767</v>
      </c>
      <c r="P37">
        <v>835</v>
      </c>
      <c r="Q37" s="4">
        <f t="shared" si="1"/>
        <v>7.7551778582706413E-2</v>
      </c>
    </row>
    <row r="38" spans="1:17">
      <c r="A38" t="s">
        <v>219</v>
      </c>
      <c r="B38">
        <v>18</v>
      </c>
      <c r="C38">
        <v>5</v>
      </c>
      <c r="D38">
        <v>35</v>
      </c>
      <c r="E38">
        <v>0</v>
      </c>
      <c r="F38">
        <v>5</v>
      </c>
      <c r="G38">
        <v>0</v>
      </c>
      <c r="H38" s="9">
        <v>141</v>
      </c>
      <c r="I38" s="4">
        <f t="shared" si="0"/>
        <v>0.24822695035460993</v>
      </c>
      <c r="K38" t="s">
        <v>219</v>
      </c>
      <c r="L38">
        <v>18</v>
      </c>
      <c r="M38" t="s">
        <v>241</v>
      </c>
      <c r="N38">
        <v>5</v>
      </c>
      <c r="O38">
        <v>10767</v>
      </c>
      <c r="P38">
        <v>1158</v>
      </c>
      <c r="Q38" s="4">
        <f t="shared" si="1"/>
        <v>0.10755084981889106</v>
      </c>
    </row>
    <row r="39" spans="1:17">
      <c r="A39" t="s">
        <v>219</v>
      </c>
      <c r="B39">
        <v>18</v>
      </c>
      <c r="C39">
        <v>6</v>
      </c>
      <c r="D39">
        <v>38</v>
      </c>
      <c r="E39">
        <v>0</v>
      </c>
      <c r="F39">
        <v>5</v>
      </c>
      <c r="G39">
        <v>0</v>
      </c>
      <c r="H39" s="9">
        <v>141</v>
      </c>
      <c r="I39" s="4">
        <f t="shared" si="0"/>
        <v>0.26950354609929078</v>
      </c>
      <c r="K39" t="s">
        <v>219</v>
      </c>
      <c r="L39">
        <v>18</v>
      </c>
      <c r="M39" t="s">
        <v>243</v>
      </c>
      <c r="N39">
        <v>6</v>
      </c>
      <c r="O39">
        <v>10767</v>
      </c>
      <c r="P39">
        <v>1216</v>
      </c>
      <c r="Q39" s="4">
        <f t="shared" si="1"/>
        <v>0.11293767994798923</v>
      </c>
    </row>
    <row r="40" spans="1:17">
      <c r="A40" t="s">
        <v>219</v>
      </c>
      <c r="B40">
        <v>18</v>
      </c>
      <c r="C40">
        <v>7</v>
      </c>
      <c r="D40">
        <v>41</v>
      </c>
      <c r="E40">
        <v>0</v>
      </c>
      <c r="F40">
        <v>4</v>
      </c>
      <c r="G40">
        <v>0</v>
      </c>
      <c r="H40" s="9">
        <v>141</v>
      </c>
      <c r="I40" s="4">
        <f t="shared" si="0"/>
        <v>0.29078014184397161</v>
      </c>
      <c r="K40" t="s">
        <v>219</v>
      </c>
      <c r="L40">
        <v>18</v>
      </c>
      <c r="M40" t="s">
        <v>245</v>
      </c>
      <c r="N40">
        <v>7</v>
      </c>
      <c r="O40">
        <v>10767</v>
      </c>
      <c r="P40">
        <v>1218</v>
      </c>
      <c r="Q40" s="4">
        <f t="shared" si="1"/>
        <v>0.11312343271106158</v>
      </c>
    </row>
    <row r="41" spans="1:17">
      <c r="A41" t="s">
        <v>219</v>
      </c>
      <c r="B41">
        <v>18</v>
      </c>
      <c r="C41">
        <v>8</v>
      </c>
      <c r="D41">
        <v>41</v>
      </c>
      <c r="E41">
        <v>0</v>
      </c>
      <c r="F41">
        <v>4</v>
      </c>
      <c r="G41">
        <v>0</v>
      </c>
      <c r="H41" s="9">
        <v>141</v>
      </c>
      <c r="I41" s="4">
        <f t="shared" si="0"/>
        <v>0.29078014184397161</v>
      </c>
      <c r="K41" t="s">
        <v>219</v>
      </c>
      <c r="L41">
        <v>18</v>
      </c>
      <c r="M41" t="s">
        <v>246</v>
      </c>
      <c r="N41">
        <v>8</v>
      </c>
      <c r="O41">
        <v>10767</v>
      </c>
      <c r="P41">
        <v>1286</v>
      </c>
      <c r="Q41" s="4">
        <f t="shared" si="1"/>
        <v>0.1194390266555215</v>
      </c>
    </row>
    <row r="42" spans="1:17">
      <c r="A42" t="s">
        <v>219</v>
      </c>
      <c r="B42">
        <v>18</v>
      </c>
      <c r="C42">
        <v>9</v>
      </c>
      <c r="D42">
        <v>58</v>
      </c>
      <c r="E42">
        <v>0</v>
      </c>
      <c r="F42">
        <v>9</v>
      </c>
      <c r="G42">
        <v>0</v>
      </c>
      <c r="H42" s="9">
        <v>141</v>
      </c>
      <c r="I42" s="4">
        <f t="shared" si="0"/>
        <v>0.41134751773049644</v>
      </c>
      <c r="K42" t="s">
        <v>219</v>
      </c>
      <c r="L42">
        <v>18</v>
      </c>
      <c r="M42" t="s">
        <v>797</v>
      </c>
      <c r="N42">
        <v>9</v>
      </c>
      <c r="O42">
        <v>10767</v>
      </c>
      <c r="P42">
        <v>1872</v>
      </c>
      <c r="Q42" s="4">
        <f t="shared" si="1"/>
        <v>0.17386458623572026</v>
      </c>
    </row>
    <row r="43" spans="1:17">
      <c r="A43" t="s">
        <v>219</v>
      </c>
      <c r="B43">
        <v>18</v>
      </c>
      <c r="C43">
        <v>10</v>
      </c>
      <c r="D43">
        <v>77</v>
      </c>
      <c r="E43">
        <v>0</v>
      </c>
      <c r="F43">
        <v>8</v>
      </c>
      <c r="G43">
        <v>0</v>
      </c>
      <c r="H43" s="9">
        <v>141</v>
      </c>
      <c r="I43" s="4">
        <f t="shared" si="0"/>
        <v>0.54609929078014185</v>
      </c>
      <c r="K43" t="s">
        <v>219</v>
      </c>
      <c r="L43">
        <v>18</v>
      </c>
      <c r="M43" t="s">
        <v>256</v>
      </c>
      <c r="N43">
        <v>10</v>
      </c>
      <c r="O43">
        <v>10767</v>
      </c>
      <c r="P43">
        <v>1884</v>
      </c>
      <c r="Q43" s="4">
        <f t="shared" si="1"/>
        <v>0.17497910281415435</v>
      </c>
    </row>
    <row r="44" spans="1:17">
      <c r="A44" t="s">
        <v>219</v>
      </c>
      <c r="B44">
        <v>18</v>
      </c>
      <c r="C44">
        <v>11</v>
      </c>
      <c r="D44">
        <v>82</v>
      </c>
      <c r="E44">
        <v>0</v>
      </c>
      <c r="F44">
        <v>9</v>
      </c>
      <c r="G44">
        <v>0</v>
      </c>
      <c r="H44" s="9">
        <v>141</v>
      </c>
      <c r="I44" s="4">
        <f t="shared" si="0"/>
        <v>0.58156028368794321</v>
      </c>
      <c r="K44" t="s">
        <v>219</v>
      </c>
      <c r="L44">
        <v>18</v>
      </c>
      <c r="M44" t="s">
        <v>798</v>
      </c>
      <c r="N44">
        <v>11</v>
      </c>
      <c r="O44">
        <v>10767</v>
      </c>
      <c r="P44">
        <v>1928</v>
      </c>
      <c r="Q44" s="4">
        <f t="shared" si="1"/>
        <v>0.17906566360174608</v>
      </c>
    </row>
    <row r="45" spans="1:17">
      <c r="A45" t="s">
        <v>219</v>
      </c>
      <c r="B45">
        <v>18</v>
      </c>
      <c r="C45">
        <v>12</v>
      </c>
      <c r="D45">
        <v>82</v>
      </c>
      <c r="E45">
        <v>0</v>
      </c>
      <c r="F45">
        <v>9</v>
      </c>
      <c r="G45">
        <v>0</v>
      </c>
      <c r="H45" s="9">
        <v>141</v>
      </c>
      <c r="I45" s="4">
        <f t="shared" si="0"/>
        <v>0.58156028368794321</v>
      </c>
      <c r="K45" t="s">
        <v>219</v>
      </c>
      <c r="L45">
        <v>18</v>
      </c>
      <c r="M45" t="s">
        <v>799</v>
      </c>
      <c r="N45">
        <v>12</v>
      </c>
      <c r="O45">
        <v>10767</v>
      </c>
      <c r="P45">
        <v>1982</v>
      </c>
      <c r="Q45" s="4">
        <f t="shared" si="1"/>
        <v>0.18408098820469954</v>
      </c>
    </row>
    <row r="46" spans="1:17">
      <c r="A46" t="s">
        <v>219</v>
      </c>
      <c r="B46">
        <v>18</v>
      </c>
      <c r="C46">
        <v>13</v>
      </c>
      <c r="D46">
        <v>82</v>
      </c>
      <c r="E46">
        <v>0</v>
      </c>
      <c r="F46">
        <v>9</v>
      </c>
      <c r="G46">
        <v>0</v>
      </c>
      <c r="H46" s="9">
        <v>141</v>
      </c>
      <c r="I46" s="4">
        <f t="shared" si="0"/>
        <v>0.58156028368794321</v>
      </c>
      <c r="K46" t="s">
        <v>219</v>
      </c>
      <c r="L46">
        <v>18</v>
      </c>
      <c r="M46" t="s">
        <v>261</v>
      </c>
      <c r="N46">
        <v>13</v>
      </c>
      <c r="O46">
        <v>10767</v>
      </c>
      <c r="P46">
        <v>1988</v>
      </c>
      <c r="Q46" s="4">
        <f t="shared" si="1"/>
        <v>0.18463824649391661</v>
      </c>
    </row>
    <row r="47" spans="1:17">
      <c r="A47" t="s">
        <v>219</v>
      </c>
      <c r="B47">
        <v>18</v>
      </c>
      <c r="C47">
        <v>14</v>
      </c>
      <c r="D47">
        <v>87</v>
      </c>
      <c r="E47">
        <v>0</v>
      </c>
      <c r="F47">
        <v>10</v>
      </c>
      <c r="G47">
        <v>0</v>
      </c>
      <c r="H47" s="9">
        <v>141</v>
      </c>
      <c r="I47" s="4">
        <f t="shared" si="0"/>
        <v>0.61702127659574468</v>
      </c>
      <c r="K47" t="s">
        <v>219</v>
      </c>
      <c r="L47">
        <v>18</v>
      </c>
      <c r="M47" t="s">
        <v>800</v>
      </c>
      <c r="N47">
        <v>14</v>
      </c>
      <c r="O47">
        <v>10767</v>
      </c>
      <c r="P47">
        <v>2090</v>
      </c>
      <c r="Q47" s="4">
        <f t="shared" si="1"/>
        <v>0.19411163741060647</v>
      </c>
    </row>
    <row r="48" spans="1:17">
      <c r="A48" t="s">
        <v>219</v>
      </c>
      <c r="B48">
        <v>18</v>
      </c>
      <c r="C48">
        <v>15</v>
      </c>
      <c r="D48">
        <v>87</v>
      </c>
      <c r="E48">
        <v>0</v>
      </c>
      <c r="F48">
        <v>10</v>
      </c>
      <c r="G48">
        <v>0</v>
      </c>
      <c r="H48" s="9">
        <v>141</v>
      </c>
      <c r="I48" s="4">
        <f t="shared" si="0"/>
        <v>0.61702127659574468</v>
      </c>
      <c r="K48" t="s">
        <v>219</v>
      </c>
      <c r="L48">
        <v>18</v>
      </c>
      <c r="M48" t="s">
        <v>263</v>
      </c>
      <c r="N48">
        <v>15</v>
      </c>
      <c r="O48">
        <v>10767</v>
      </c>
      <c r="P48">
        <v>2171</v>
      </c>
      <c r="Q48" s="4">
        <f t="shared" si="1"/>
        <v>0.20163462431503668</v>
      </c>
    </row>
    <row r="49" spans="1:17">
      <c r="A49" t="s">
        <v>219</v>
      </c>
      <c r="B49">
        <v>18</v>
      </c>
      <c r="C49">
        <v>16</v>
      </c>
      <c r="D49">
        <v>87</v>
      </c>
      <c r="E49">
        <v>0</v>
      </c>
      <c r="F49">
        <v>10</v>
      </c>
      <c r="G49">
        <v>0</v>
      </c>
      <c r="H49" s="9">
        <v>141</v>
      </c>
      <c r="I49" s="4">
        <f t="shared" si="0"/>
        <v>0.61702127659574468</v>
      </c>
      <c r="K49" t="s">
        <v>219</v>
      </c>
      <c r="L49">
        <v>18</v>
      </c>
      <c r="M49" t="s">
        <v>801</v>
      </c>
      <c r="N49">
        <v>16</v>
      </c>
      <c r="O49">
        <v>10767</v>
      </c>
      <c r="P49">
        <v>2202</v>
      </c>
      <c r="Q49" s="4">
        <f t="shared" si="1"/>
        <v>0.20451379214265814</v>
      </c>
    </row>
    <row r="50" spans="1:17">
      <c r="A50" t="s">
        <v>219</v>
      </c>
      <c r="B50">
        <v>18</v>
      </c>
      <c r="C50">
        <v>17</v>
      </c>
      <c r="D50">
        <v>92</v>
      </c>
      <c r="E50">
        <v>0</v>
      </c>
      <c r="F50">
        <v>11</v>
      </c>
      <c r="G50">
        <v>0</v>
      </c>
      <c r="H50" s="9">
        <v>141</v>
      </c>
      <c r="I50" s="4">
        <f t="shared" si="0"/>
        <v>0.65248226950354615</v>
      </c>
      <c r="K50" t="s">
        <v>219</v>
      </c>
      <c r="L50">
        <v>18</v>
      </c>
      <c r="M50" t="s">
        <v>802</v>
      </c>
      <c r="N50">
        <v>17</v>
      </c>
      <c r="O50">
        <v>10767</v>
      </c>
      <c r="P50">
        <v>2246</v>
      </c>
      <c r="Q50" s="4">
        <f t="shared" si="1"/>
        <v>0.20860035293024984</v>
      </c>
    </row>
    <row r="51" spans="1:17">
      <c r="A51" t="s">
        <v>219</v>
      </c>
      <c r="B51">
        <v>18</v>
      </c>
      <c r="C51">
        <v>18</v>
      </c>
      <c r="D51">
        <v>92</v>
      </c>
      <c r="E51">
        <v>0</v>
      </c>
      <c r="F51">
        <v>11</v>
      </c>
      <c r="G51">
        <v>0</v>
      </c>
      <c r="H51" s="9">
        <v>141</v>
      </c>
      <c r="I51" s="4">
        <f t="shared" si="0"/>
        <v>0.65248226950354615</v>
      </c>
      <c r="K51" t="s">
        <v>219</v>
      </c>
      <c r="L51">
        <v>18</v>
      </c>
      <c r="M51" t="s">
        <v>803</v>
      </c>
      <c r="N51">
        <v>18</v>
      </c>
      <c r="O51">
        <v>10767</v>
      </c>
      <c r="P51">
        <v>2314</v>
      </c>
      <c r="Q51" s="4">
        <f t="shared" si="1"/>
        <v>0.21491594687470977</v>
      </c>
    </row>
    <row r="52" spans="1:17">
      <c r="A52" t="s">
        <v>219</v>
      </c>
      <c r="B52">
        <v>18</v>
      </c>
      <c r="C52">
        <v>19</v>
      </c>
      <c r="D52">
        <v>92</v>
      </c>
      <c r="E52">
        <v>0</v>
      </c>
      <c r="F52">
        <v>11</v>
      </c>
      <c r="G52">
        <v>0</v>
      </c>
      <c r="H52" s="9">
        <v>141</v>
      </c>
      <c r="I52" s="4">
        <f t="shared" si="0"/>
        <v>0.65248226950354615</v>
      </c>
      <c r="K52" t="s">
        <v>219</v>
      </c>
      <c r="L52">
        <v>18</v>
      </c>
      <c r="M52" t="s">
        <v>804</v>
      </c>
      <c r="N52">
        <v>19</v>
      </c>
      <c r="O52">
        <v>10767</v>
      </c>
      <c r="P52">
        <v>2322</v>
      </c>
      <c r="Q52" s="4">
        <f t="shared" si="1"/>
        <v>0.21565895792699916</v>
      </c>
    </row>
    <row r="53" spans="1:17">
      <c r="A53" t="s">
        <v>219</v>
      </c>
      <c r="B53">
        <v>18</v>
      </c>
      <c r="C53">
        <v>20</v>
      </c>
      <c r="D53">
        <v>92</v>
      </c>
      <c r="E53">
        <v>0</v>
      </c>
      <c r="F53">
        <v>11</v>
      </c>
      <c r="G53">
        <v>0</v>
      </c>
      <c r="H53" s="9">
        <v>141</v>
      </c>
      <c r="I53" s="4">
        <f t="shared" si="0"/>
        <v>0.65248226950354615</v>
      </c>
      <c r="K53" t="s">
        <v>219</v>
      </c>
      <c r="L53">
        <v>18</v>
      </c>
      <c r="M53" t="s">
        <v>805</v>
      </c>
      <c r="N53">
        <v>20</v>
      </c>
      <c r="O53">
        <v>10767</v>
      </c>
      <c r="P53">
        <v>2438</v>
      </c>
      <c r="Q53" s="4">
        <f t="shared" si="1"/>
        <v>0.2264326181851955</v>
      </c>
    </row>
    <row r="54" spans="1:17">
      <c r="A54" t="s">
        <v>219</v>
      </c>
      <c r="B54">
        <v>18</v>
      </c>
      <c r="C54">
        <v>21</v>
      </c>
      <c r="D54">
        <v>121</v>
      </c>
      <c r="E54">
        <v>0</v>
      </c>
      <c r="F54">
        <v>2</v>
      </c>
      <c r="G54">
        <v>0</v>
      </c>
      <c r="H54" s="9">
        <v>141</v>
      </c>
      <c r="I54" s="4">
        <f t="shared" si="0"/>
        <v>0.85815602836879434</v>
      </c>
      <c r="K54" t="s">
        <v>219</v>
      </c>
      <c r="L54">
        <v>18</v>
      </c>
      <c r="M54" t="s">
        <v>806</v>
      </c>
      <c r="N54">
        <v>21</v>
      </c>
      <c r="O54">
        <v>10767</v>
      </c>
      <c r="P54">
        <v>9916</v>
      </c>
      <c r="Q54" s="4">
        <f t="shared" si="1"/>
        <v>0.92096219931271472</v>
      </c>
    </row>
    <row r="55" spans="1:17">
      <c r="A55" t="s">
        <v>219</v>
      </c>
      <c r="B55">
        <v>18</v>
      </c>
      <c r="C55">
        <v>22</v>
      </c>
      <c r="D55">
        <v>121</v>
      </c>
      <c r="E55">
        <v>0</v>
      </c>
      <c r="F55">
        <v>2</v>
      </c>
      <c r="G55">
        <v>0</v>
      </c>
      <c r="H55" s="9">
        <v>141</v>
      </c>
      <c r="I55" s="4">
        <f t="shared" si="0"/>
        <v>0.85815602836879434</v>
      </c>
      <c r="K55" t="s">
        <v>219</v>
      </c>
      <c r="L55">
        <v>18</v>
      </c>
      <c r="M55" t="s">
        <v>807</v>
      </c>
      <c r="N55">
        <v>22</v>
      </c>
      <c r="O55">
        <v>10767</v>
      </c>
      <c r="P55">
        <v>9956</v>
      </c>
      <c r="Q55" s="4">
        <f t="shared" si="1"/>
        <v>0.92467725457416183</v>
      </c>
    </row>
    <row r="56" spans="1:17">
      <c r="A56" t="s">
        <v>219</v>
      </c>
      <c r="B56">
        <v>18</v>
      </c>
      <c r="C56">
        <v>23</v>
      </c>
      <c r="D56">
        <v>121</v>
      </c>
      <c r="E56">
        <v>0</v>
      </c>
      <c r="F56">
        <v>2</v>
      </c>
      <c r="G56">
        <v>0</v>
      </c>
      <c r="H56" s="9">
        <v>141</v>
      </c>
      <c r="I56" s="4">
        <f t="shared" si="0"/>
        <v>0.85815602836879434</v>
      </c>
      <c r="K56" t="s">
        <v>219</v>
      </c>
      <c r="L56">
        <v>18</v>
      </c>
      <c r="M56" t="s">
        <v>808</v>
      </c>
      <c r="N56">
        <v>23</v>
      </c>
      <c r="O56">
        <v>10767</v>
      </c>
      <c r="P56">
        <v>9997</v>
      </c>
      <c r="Q56" s="4">
        <f t="shared" si="1"/>
        <v>0.92848518621714493</v>
      </c>
    </row>
    <row r="57" spans="1:17">
      <c r="A57" t="s">
        <v>219</v>
      </c>
      <c r="B57">
        <v>18</v>
      </c>
      <c r="C57">
        <v>24</v>
      </c>
      <c r="D57">
        <v>141</v>
      </c>
      <c r="E57">
        <v>0</v>
      </c>
      <c r="F57">
        <v>0</v>
      </c>
      <c r="G57">
        <v>0</v>
      </c>
      <c r="H57" s="9">
        <v>141</v>
      </c>
      <c r="I57" s="4">
        <f t="shared" si="0"/>
        <v>1</v>
      </c>
      <c r="K57" t="s">
        <v>219</v>
      </c>
      <c r="L57">
        <v>18</v>
      </c>
      <c r="M57" t="s">
        <v>809</v>
      </c>
      <c r="N57">
        <v>24</v>
      </c>
      <c r="O57">
        <v>10767</v>
      </c>
      <c r="P57">
        <v>10085</v>
      </c>
      <c r="Q57" s="4">
        <f t="shared" si="1"/>
        <v>0.93665830779232839</v>
      </c>
    </row>
    <row r="58" spans="1:17">
      <c r="A58" t="s">
        <v>219</v>
      </c>
      <c r="B58">
        <v>18</v>
      </c>
      <c r="C58">
        <v>25</v>
      </c>
      <c r="D58">
        <v>141</v>
      </c>
      <c r="E58">
        <v>0</v>
      </c>
      <c r="F58">
        <v>0</v>
      </c>
      <c r="G58">
        <v>0</v>
      </c>
      <c r="H58" s="9">
        <v>141</v>
      </c>
      <c r="I58" s="4">
        <f t="shared" si="0"/>
        <v>1</v>
      </c>
      <c r="K58" t="s">
        <v>219</v>
      </c>
      <c r="L58">
        <v>18</v>
      </c>
      <c r="M58" t="s">
        <v>810</v>
      </c>
      <c r="N58">
        <v>25</v>
      </c>
      <c r="O58">
        <v>10767</v>
      </c>
      <c r="P58">
        <v>10136</v>
      </c>
      <c r="Q58" s="4">
        <f t="shared" si="1"/>
        <v>0.94139500325067338</v>
      </c>
    </row>
    <row r="59" spans="1:17">
      <c r="A59" t="s">
        <v>219</v>
      </c>
      <c r="B59">
        <v>18</v>
      </c>
      <c r="C59">
        <v>26</v>
      </c>
      <c r="D59">
        <v>141</v>
      </c>
      <c r="E59">
        <v>0</v>
      </c>
      <c r="F59">
        <v>0</v>
      </c>
      <c r="G59">
        <v>0</v>
      </c>
      <c r="H59" s="9">
        <v>141</v>
      </c>
      <c r="I59" s="4">
        <f t="shared" si="0"/>
        <v>1</v>
      </c>
      <c r="K59" t="s">
        <v>219</v>
      </c>
      <c r="L59">
        <v>18</v>
      </c>
      <c r="M59" t="s">
        <v>812</v>
      </c>
      <c r="N59">
        <v>26</v>
      </c>
      <c r="O59">
        <v>10767</v>
      </c>
      <c r="P59">
        <v>11978</v>
      </c>
      <c r="Q59" s="4">
        <f t="shared" si="1"/>
        <v>1.1124732980403083</v>
      </c>
    </row>
    <row r="60" spans="1:17">
      <c r="A60" t="s">
        <v>219</v>
      </c>
      <c r="B60">
        <v>18</v>
      </c>
      <c r="C60">
        <v>27</v>
      </c>
      <c r="D60">
        <v>141</v>
      </c>
      <c r="E60">
        <v>0</v>
      </c>
      <c r="F60">
        <v>0</v>
      </c>
      <c r="G60">
        <v>0</v>
      </c>
      <c r="H60" s="9">
        <v>141</v>
      </c>
      <c r="I60" s="4">
        <f t="shared" si="0"/>
        <v>1</v>
      </c>
      <c r="K60" t="s">
        <v>219</v>
      </c>
      <c r="L60">
        <v>18</v>
      </c>
      <c r="M60" t="s">
        <v>811</v>
      </c>
      <c r="N60">
        <v>27</v>
      </c>
      <c r="O60">
        <v>10767</v>
      </c>
      <c r="P60">
        <v>13470</v>
      </c>
      <c r="Q60" s="4">
        <f t="shared" si="1"/>
        <v>1.251044859292282</v>
      </c>
    </row>
    <row r="61" spans="1:17">
      <c r="A61" t="s">
        <v>219</v>
      </c>
      <c r="B61">
        <v>19</v>
      </c>
      <c r="C61">
        <v>1</v>
      </c>
      <c r="D61">
        <v>3</v>
      </c>
      <c r="E61">
        <v>0</v>
      </c>
      <c r="F61">
        <v>1</v>
      </c>
      <c r="G61">
        <v>0</v>
      </c>
      <c r="H61" s="9">
        <v>127</v>
      </c>
      <c r="I61" s="4">
        <f t="shared" si="0"/>
        <v>2.3622047244094488E-2</v>
      </c>
      <c r="K61" t="s">
        <v>219</v>
      </c>
      <c r="L61">
        <v>19</v>
      </c>
      <c r="M61" t="s">
        <v>2</v>
      </c>
      <c r="N61">
        <v>1</v>
      </c>
      <c r="O61">
        <v>9473</v>
      </c>
      <c r="P61">
        <v>152</v>
      </c>
      <c r="Q61" s="4">
        <f t="shared" si="1"/>
        <v>1.6045603293571201E-2</v>
      </c>
    </row>
    <row r="62" spans="1:17">
      <c r="A62" t="s">
        <v>219</v>
      </c>
      <c r="B62">
        <v>19</v>
      </c>
      <c r="C62">
        <v>2</v>
      </c>
      <c r="D62">
        <v>6</v>
      </c>
      <c r="E62">
        <v>0</v>
      </c>
      <c r="F62">
        <v>1</v>
      </c>
      <c r="G62">
        <v>0</v>
      </c>
      <c r="H62" s="9">
        <v>127</v>
      </c>
      <c r="I62" s="4">
        <f t="shared" si="0"/>
        <v>4.7244094488188976E-2</v>
      </c>
      <c r="K62" t="s">
        <v>219</v>
      </c>
      <c r="L62">
        <v>19</v>
      </c>
      <c r="M62" t="s">
        <v>1</v>
      </c>
      <c r="N62">
        <v>2</v>
      </c>
      <c r="O62">
        <v>9473</v>
      </c>
      <c r="P62">
        <v>289</v>
      </c>
      <c r="Q62" s="4">
        <f t="shared" si="1"/>
        <v>3.0507758893697879E-2</v>
      </c>
    </row>
    <row r="63" spans="1:17">
      <c r="A63" t="s">
        <v>219</v>
      </c>
      <c r="B63">
        <v>19</v>
      </c>
      <c r="C63">
        <v>3</v>
      </c>
      <c r="D63">
        <v>83</v>
      </c>
      <c r="E63">
        <v>0</v>
      </c>
      <c r="F63">
        <v>9</v>
      </c>
      <c r="G63">
        <v>0</v>
      </c>
      <c r="H63" s="9">
        <v>127</v>
      </c>
      <c r="I63" s="4">
        <f t="shared" si="0"/>
        <v>0.65354330708661412</v>
      </c>
      <c r="K63" t="s">
        <v>219</v>
      </c>
      <c r="L63">
        <v>19</v>
      </c>
      <c r="M63" t="s">
        <v>239</v>
      </c>
      <c r="N63">
        <v>3</v>
      </c>
      <c r="O63">
        <v>9473</v>
      </c>
      <c r="P63">
        <v>2218</v>
      </c>
      <c r="Q63" s="4">
        <f t="shared" si="1"/>
        <v>0.23413913227066399</v>
      </c>
    </row>
    <row r="64" spans="1:17">
      <c r="A64" t="s">
        <v>219</v>
      </c>
      <c r="B64">
        <v>19</v>
      </c>
      <c r="C64">
        <v>4</v>
      </c>
      <c r="D64">
        <v>92</v>
      </c>
      <c r="E64">
        <v>0</v>
      </c>
      <c r="F64">
        <v>12</v>
      </c>
      <c r="G64">
        <v>0</v>
      </c>
      <c r="H64" s="9">
        <v>127</v>
      </c>
      <c r="I64" s="4">
        <f t="shared" si="0"/>
        <v>0.72440944881889768</v>
      </c>
      <c r="K64" t="s">
        <v>219</v>
      </c>
      <c r="L64">
        <v>19</v>
      </c>
      <c r="M64" t="s">
        <v>284</v>
      </c>
      <c r="N64">
        <v>4</v>
      </c>
      <c r="O64">
        <v>9473</v>
      </c>
      <c r="P64">
        <v>2523</v>
      </c>
      <c r="Q64" s="4">
        <f t="shared" si="1"/>
        <v>0.26633590203736934</v>
      </c>
    </row>
    <row r="65" spans="1:17">
      <c r="A65" t="s">
        <v>219</v>
      </c>
      <c r="B65">
        <v>19</v>
      </c>
      <c r="C65">
        <v>5</v>
      </c>
      <c r="D65">
        <v>93</v>
      </c>
      <c r="E65">
        <v>0</v>
      </c>
      <c r="F65">
        <v>11</v>
      </c>
      <c r="G65">
        <v>0</v>
      </c>
      <c r="H65" s="9">
        <v>127</v>
      </c>
      <c r="I65" s="4">
        <f t="shared" si="0"/>
        <v>0.73228346456692917</v>
      </c>
      <c r="K65" t="s">
        <v>219</v>
      </c>
      <c r="L65">
        <v>19</v>
      </c>
      <c r="M65" t="s">
        <v>283</v>
      </c>
      <c r="N65">
        <v>5</v>
      </c>
      <c r="O65">
        <v>9473</v>
      </c>
      <c r="P65">
        <v>4037</v>
      </c>
      <c r="Q65" s="4">
        <f t="shared" si="1"/>
        <v>0.42615855589570356</v>
      </c>
    </row>
    <row r="66" spans="1:17">
      <c r="A66" t="s">
        <v>219</v>
      </c>
      <c r="B66">
        <v>19</v>
      </c>
      <c r="C66">
        <v>6</v>
      </c>
      <c r="D66">
        <v>98</v>
      </c>
      <c r="E66">
        <v>0</v>
      </c>
      <c r="F66">
        <v>12</v>
      </c>
      <c r="G66">
        <v>0</v>
      </c>
      <c r="H66" s="9">
        <v>127</v>
      </c>
      <c r="I66" s="4">
        <f t="shared" si="0"/>
        <v>0.77165354330708658</v>
      </c>
      <c r="K66" t="s">
        <v>219</v>
      </c>
      <c r="L66">
        <v>19</v>
      </c>
      <c r="M66" t="s">
        <v>813</v>
      </c>
      <c r="N66">
        <v>6</v>
      </c>
      <c r="O66">
        <v>9473</v>
      </c>
      <c r="P66">
        <v>6026</v>
      </c>
      <c r="Q66" s="4">
        <f t="shared" si="1"/>
        <v>0.63612372004644779</v>
      </c>
    </row>
    <row r="67" spans="1:17">
      <c r="A67" t="s">
        <v>219</v>
      </c>
      <c r="B67">
        <v>19</v>
      </c>
      <c r="C67">
        <v>7</v>
      </c>
      <c r="D67">
        <v>125</v>
      </c>
      <c r="E67">
        <v>0</v>
      </c>
      <c r="F67">
        <v>2</v>
      </c>
      <c r="G67">
        <v>0</v>
      </c>
      <c r="H67" s="9">
        <v>127</v>
      </c>
      <c r="I67" s="4">
        <f t="shared" ref="I67:I130" si="2">D67/H67</f>
        <v>0.98425196850393704</v>
      </c>
      <c r="K67" t="s">
        <v>219</v>
      </c>
      <c r="L67">
        <v>19</v>
      </c>
      <c r="M67" t="s">
        <v>814</v>
      </c>
      <c r="N67">
        <v>7</v>
      </c>
      <c r="O67">
        <v>9473</v>
      </c>
      <c r="P67">
        <v>8154</v>
      </c>
      <c r="Q67" s="4">
        <f t="shared" ref="Q67:Q130" si="3">P67/O67</f>
        <v>0.86076216615644463</v>
      </c>
    </row>
    <row r="68" spans="1:17">
      <c r="A68" t="s">
        <v>219</v>
      </c>
      <c r="B68">
        <v>19</v>
      </c>
      <c r="C68">
        <v>8</v>
      </c>
      <c r="D68">
        <v>126</v>
      </c>
      <c r="E68">
        <v>0</v>
      </c>
      <c r="F68">
        <v>1</v>
      </c>
      <c r="G68">
        <v>0</v>
      </c>
      <c r="H68" s="9">
        <v>127</v>
      </c>
      <c r="I68" s="4">
        <f t="shared" si="2"/>
        <v>0.99212598425196852</v>
      </c>
      <c r="K68" t="s">
        <v>219</v>
      </c>
      <c r="L68">
        <v>19</v>
      </c>
      <c r="M68" t="s">
        <v>815</v>
      </c>
      <c r="N68">
        <v>8</v>
      </c>
      <c r="O68">
        <v>9473</v>
      </c>
      <c r="P68">
        <v>8315</v>
      </c>
      <c r="Q68" s="4">
        <f t="shared" si="3"/>
        <v>0.87775783806608254</v>
      </c>
    </row>
    <row r="69" spans="1:17">
      <c r="A69" t="s">
        <v>219</v>
      </c>
      <c r="B69">
        <v>19</v>
      </c>
      <c r="C69">
        <v>9</v>
      </c>
      <c r="D69">
        <v>127</v>
      </c>
      <c r="E69">
        <v>0</v>
      </c>
      <c r="F69">
        <v>0</v>
      </c>
      <c r="G69">
        <v>0</v>
      </c>
      <c r="H69" s="9">
        <v>127</v>
      </c>
      <c r="I69" s="4">
        <f t="shared" si="2"/>
        <v>1</v>
      </c>
      <c r="K69" t="s">
        <v>219</v>
      </c>
      <c r="L69">
        <v>19</v>
      </c>
      <c r="M69" t="s">
        <v>816</v>
      </c>
      <c r="N69">
        <v>9</v>
      </c>
      <c r="O69">
        <v>9473</v>
      </c>
      <c r="P69">
        <v>8635</v>
      </c>
      <c r="Q69" s="4">
        <f t="shared" si="3"/>
        <v>0.91153805552623246</v>
      </c>
    </row>
    <row r="70" spans="1:17">
      <c r="A70" t="s">
        <v>219</v>
      </c>
      <c r="B70">
        <v>19</v>
      </c>
      <c r="C70">
        <v>10</v>
      </c>
      <c r="D70">
        <v>127</v>
      </c>
      <c r="E70">
        <v>0</v>
      </c>
      <c r="F70">
        <v>0</v>
      </c>
      <c r="G70">
        <v>0</v>
      </c>
      <c r="H70" s="9">
        <v>127</v>
      </c>
      <c r="I70" s="4">
        <f t="shared" si="2"/>
        <v>1</v>
      </c>
      <c r="K70" t="s">
        <v>219</v>
      </c>
      <c r="L70">
        <v>19</v>
      </c>
      <c r="M70" t="s">
        <v>818</v>
      </c>
      <c r="N70">
        <v>10</v>
      </c>
      <c r="O70">
        <v>9473</v>
      </c>
      <c r="P70">
        <v>8640</v>
      </c>
      <c r="Q70" s="4">
        <f t="shared" si="3"/>
        <v>0.91206587142404727</v>
      </c>
    </row>
    <row r="71" spans="1:17">
      <c r="A71" t="s">
        <v>219</v>
      </c>
      <c r="B71">
        <v>19</v>
      </c>
      <c r="C71">
        <v>11</v>
      </c>
      <c r="D71">
        <v>127</v>
      </c>
      <c r="E71">
        <v>0</v>
      </c>
      <c r="F71">
        <v>0</v>
      </c>
      <c r="G71">
        <v>0</v>
      </c>
      <c r="H71" s="9">
        <v>127</v>
      </c>
      <c r="I71" s="4">
        <f t="shared" si="2"/>
        <v>1</v>
      </c>
      <c r="K71" t="s">
        <v>219</v>
      </c>
      <c r="L71">
        <v>19</v>
      </c>
      <c r="M71" t="s">
        <v>820</v>
      </c>
      <c r="N71">
        <v>11</v>
      </c>
      <c r="O71">
        <v>9473</v>
      </c>
      <c r="P71">
        <v>8659</v>
      </c>
      <c r="Q71" s="4">
        <f t="shared" si="3"/>
        <v>0.91407157183574372</v>
      </c>
    </row>
    <row r="72" spans="1:17">
      <c r="A72" t="s">
        <v>219</v>
      </c>
      <c r="B72">
        <v>19</v>
      </c>
      <c r="C72">
        <v>12</v>
      </c>
      <c r="D72">
        <v>127</v>
      </c>
      <c r="E72">
        <v>0</v>
      </c>
      <c r="F72">
        <v>0</v>
      </c>
      <c r="G72">
        <v>0</v>
      </c>
      <c r="H72" s="9">
        <v>127</v>
      </c>
      <c r="I72" s="4">
        <f t="shared" si="2"/>
        <v>1</v>
      </c>
      <c r="K72" t="s">
        <v>219</v>
      </c>
      <c r="L72">
        <v>19</v>
      </c>
      <c r="M72" t="s">
        <v>817</v>
      </c>
      <c r="N72">
        <v>12</v>
      </c>
      <c r="O72">
        <v>9473</v>
      </c>
      <c r="P72">
        <v>8698</v>
      </c>
      <c r="Q72" s="4">
        <f t="shared" si="3"/>
        <v>0.91818853583869942</v>
      </c>
    </row>
    <row r="73" spans="1:17">
      <c r="A73" t="s">
        <v>219</v>
      </c>
      <c r="B73">
        <v>19</v>
      </c>
      <c r="C73">
        <v>13</v>
      </c>
      <c r="D73">
        <v>127</v>
      </c>
      <c r="E73">
        <v>0</v>
      </c>
      <c r="F73">
        <v>0</v>
      </c>
      <c r="G73">
        <v>0</v>
      </c>
      <c r="H73" s="9">
        <v>127</v>
      </c>
      <c r="I73" s="4">
        <f t="shared" si="2"/>
        <v>1</v>
      </c>
      <c r="K73" t="s">
        <v>219</v>
      </c>
      <c r="L73">
        <v>19</v>
      </c>
      <c r="M73" t="s">
        <v>819</v>
      </c>
      <c r="N73">
        <v>13</v>
      </c>
      <c r="O73">
        <v>9473</v>
      </c>
      <c r="P73">
        <v>8706</v>
      </c>
      <c r="Q73" s="4">
        <f t="shared" si="3"/>
        <v>0.91903304127520324</v>
      </c>
    </row>
    <row r="74" spans="1:17">
      <c r="A74" t="s">
        <v>219</v>
      </c>
      <c r="B74">
        <v>19</v>
      </c>
      <c r="C74">
        <v>14</v>
      </c>
      <c r="D74">
        <v>127</v>
      </c>
      <c r="E74">
        <v>0</v>
      </c>
      <c r="F74">
        <v>0</v>
      </c>
      <c r="G74">
        <v>0</v>
      </c>
      <c r="H74" s="9">
        <v>127</v>
      </c>
      <c r="I74" s="4">
        <f t="shared" si="2"/>
        <v>1</v>
      </c>
      <c r="K74" t="s">
        <v>219</v>
      </c>
      <c r="L74">
        <v>19</v>
      </c>
      <c r="M74" t="s">
        <v>821</v>
      </c>
      <c r="N74">
        <v>14</v>
      </c>
      <c r="O74">
        <v>9473</v>
      </c>
      <c r="P74">
        <v>8709</v>
      </c>
      <c r="Q74" s="4">
        <f t="shared" si="3"/>
        <v>0.91934973081389215</v>
      </c>
    </row>
    <row r="75" spans="1:17">
      <c r="A75" t="s">
        <v>219</v>
      </c>
      <c r="B75">
        <v>19</v>
      </c>
      <c r="C75">
        <v>15</v>
      </c>
      <c r="D75">
        <v>127</v>
      </c>
      <c r="E75">
        <v>0</v>
      </c>
      <c r="F75">
        <v>0</v>
      </c>
      <c r="G75">
        <v>0</v>
      </c>
      <c r="H75" s="9">
        <v>127</v>
      </c>
      <c r="I75" s="4">
        <f t="shared" si="2"/>
        <v>1</v>
      </c>
      <c r="K75" t="s">
        <v>219</v>
      </c>
      <c r="L75">
        <v>19</v>
      </c>
      <c r="M75" t="s">
        <v>822</v>
      </c>
      <c r="N75">
        <v>15</v>
      </c>
      <c r="O75">
        <v>9473</v>
      </c>
      <c r="P75">
        <v>8732</v>
      </c>
      <c r="Q75" s="4">
        <f t="shared" si="3"/>
        <v>0.92177768394384041</v>
      </c>
    </row>
    <row r="76" spans="1:17">
      <c r="A76" t="s">
        <v>219</v>
      </c>
      <c r="B76">
        <v>19</v>
      </c>
      <c r="C76">
        <v>16</v>
      </c>
      <c r="D76">
        <v>127</v>
      </c>
      <c r="E76">
        <v>0</v>
      </c>
      <c r="F76">
        <v>0</v>
      </c>
      <c r="G76">
        <v>0</v>
      </c>
      <c r="H76" s="9">
        <v>127</v>
      </c>
      <c r="I76" s="4">
        <f t="shared" si="2"/>
        <v>1</v>
      </c>
      <c r="K76" t="s">
        <v>219</v>
      </c>
      <c r="L76">
        <v>19</v>
      </c>
      <c r="M76" t="s">
        <v>824</v>
      </c>
      <c r="N76">
        <v>16</v>
      </c>
      <c r="O76">
        <v>9473</v>
      </c>
      <c r="P76">
        <v>8768</v>
      </c>
      <c r="Q76" s="4">
        <f t="shared" si="3"/>
        <v>0.9255779584081073</v>
      </c>
    </row>
    <row r="77" spans="1:17">
      <c r="A77" t="s">
        <v>219</v>
      </c>
      <c r="B77">
        <v>19</v>
      </c>
      <c r="C77">
        <v>17</v>
      </c>
      <c r="D77">
        <v>127</v>
      </c>
      <c r="E77">
        <v>0</v>
      </c>
      <c r="F77">
        <v>0</v>
      </c>
      <c r="G77">
        <v>0</v>
      </c>
      <c r="H77" s="9">
        <v>127</v>
      </c>
      <c r="I77" s="4">
        <f t="shared" si="2"/>
        <v>1</v>
      </c>
      <c r="K77" t="s">
        <v>219</v>
      </c>
      <c r="L77">
        <v>19</v>
      </c>
      <c r="M77" t="s">
        <v>825</v>
      </c>
      <c r="N77">
        <v>17</v>
      </c>
      <c r="O77">
        <v>9473</v>
      </c>
      <c r="P77">
        <v>8785</v>
      </c>
      <c r="Q77" s="4">
        <f t="shared" si="3"/>
        <v>0.92737253246067775</v>
      </c>
    </row>
    <row r="78" spans="1:17">
      <c r="A78" t="s">
        <v>219</v>
      </c>
      <c r="B78">
        <v>19</v>
      </c>
      <c r="C78">
        <v>18</v>
      </c>
      <c r="D78">
        <v>127</v>
      </c>
      <c r="E78">
        <v>0</v>
      </c>
      <c r="F78">
        <v>0</v>
      </c>
      <c r="G78">
        <v>0</v>
      </c>
      <c r="H78" s="9">
        <v>127</v>
      </c>
      <c r="I78" s="4">
        <f t="shared" si="2"/>
        <v>1</v>
      </c>
      <c r="K78" t="s">
        <v>219</v>
      </c>
      <c r="L78">
        <v>19</v>
      </c>
      <c r="M78" t="s">
        <v>826</v>
      </c>
      <c r="N78">
        <v>18</v>
      </c>
      <c r="O78">
        <v>9473</v>
      </c>
      <c r="P78">
        <v>8788</v>
      </c>
      <c r="Q78" s="4">
        <f t="shared" si="3"/>
        <v>0.92768922199936665</v>
      </c>
    </row>
    <row r="79" spans="1:17">
      <c r="A79" t="s">
        <v>219</v>
      </c>
      <c r="B79">
        <v>19</v>
      </c>
      <c r="C79">
        <v>19</v>
      </c>
      <c r="D79">
        <v>127</v>
      </c>
      <c r="E79">
        <v>0</v>
      </c>
      <c r="F79">
        <v>0</v>
      </c>
      <c r="G79">
        <v>0</v>
      </c>
      <c r="H79" s="9">
        <v>127</v>
      </c>
      <c r="I79" s="4">
        <f t="shared" si="2"/>
        <v>1</v>
      </c>
      <c r="K79" t="s">
        <v>219</v>
      </c>
      <c r="L79">
        <v>19</v>
      </c>
      <c r="M79" t="s">
        <v>830</v>
      </c>
      <c r="N79">
        <v>19</v>
      </c>
      <c r="O79">
        <v>9473</v>
      </c>
      <c r="P79">
        <v>8794</v>
      </c>
      <c r="Q79" s="4">
        <f t="shared" si="3"/>
        <v>0.92832260107674447</v>
      </c>
    </row>
    <row r="80" spans="1:17">
      <c r="A80" t="s">
        <v>219</v>
      </c>
      <c r="B80">
        <v>19</v>
      </c>
      <c r="C80">
        <v>20</v>
      </c>
      <c r="D80">
        <v>127</v>
      </c>
      <c r="E80">
        <v>0</v>
      </c>
      <c r="F80">
        <v>0</v>
      </c>
      <c r="G80">
        <v>0</v>
      </c>
      <c r="H80" s="9">
        <v>127</v>
      </c>
      <c r="I80" s="4">
        <f t="shared" si="2"/>
        <v>1</v>
      </c>
      <c r="K80" t="s">
        <v>219</v>
      </c>
      <c r="L80">
        <v>19</v>
      </c>
      <c r="M80" t="s">
        <v>823</v>
      </c>
      <c r="N80">
        <v>20</v>
      </c>
      <c r="O80">
        <v>9473</v>
      </c>
      <c r="P80">
        <v>8804</v>
      </c>
      <c r="Q80" s="4">
        <f t="shared" si="3"/>
        <v>0.92937823287237409</v>
      </c>
    </row>
    <row r="81" spans="1:17">
      <c r="A81" t="s">
        <v>219</v>
      </c>
      <c r="B81">
        <v>19</v>
      </c>
      <c r="C81">
        <v>21</v>
      </c>
      <c r="D81">
        <v>127</v>
      </c>
      <c r="E81">
        <v>0</v>
      </c>
      <c r="F81">
        <v>0</v>
      </c>
      <c r="G81">
        <v>0</v>
      </c>
      <c r="H81" s="9">
        <v>127</v>
      </c>
      <c r="I81" s="4">
        <f t="shared" si="2"/>
        <v>1</v>
      </c>
      <c r="K81" t="s">
        <v>219</v>
      </c>
      <c r="L81">
        <v>19</v>
      </c>
      <c r="M81" t="s">
        <v>829</v>
      </c>
      <c r="N81">
        <v>21</v>
      </c>
      <c r="O81">
        <v>9473</v>
      </c>
      <c r="P81">
        <v>8813</v>
      </c>
      <c r="Q81" s="4">
        <f t="shared" si="3"/>
        <v>0.93032830148844081</v>
      </c>
    </row>
    <row r="82" spans="1:17">
      <c r="A82" t="s">
        <v>219</v>
      </c>
      <c r="B82">
        <v>19</v>
      </c>
      <c r="C82">
        <v>22</v>
      </c>
      <c r="D82">
        <v>127</v>
      </c>
      <c r="E82">
        <v>0</v>
      </c>
      <c r="F82">
        <v>0</v>
      </c>
      <c r="G82">
        <v>0</v>
      </c>
      <c r="H82" s="9">
        <v>127</v>
      </c>
      <c r="I82" s="4">
        <f t="shared" si="2"/>
        <v>1</v>
      </c>
      <c r="K82" t="s">
        <v>219</v>
      </c>
      <c r="L82">
        <v>19</v>
      </c>
      <c r="M82" t="s">
        <v>827</v>
      </c>
      <c r="N82">
        <v>22</v>
      </c>
      <c r="O82">
        <v>9473</v>
      </c>
      <c r="P82">
        <v>8834</v>
      </c>
      <c r="Q82" s="4">
        <f t="shared" si="3"/>
        <v>0.93254512825926317</v>
      </c>
    </row>
    <row r="83" spans="1:17">
      <c r="A83" t="s">
        <v>219</v>
      </c>
      <c r="B83">
        <v>19</v>
      </c>
      <c r="C83">
        <v>23</v>
      </c>
      <c r="D83">
        <v>127</v>
      </c>
      <c r="E83">
        <v>0</v>
      </c>
      <c r="F83">
        <v>0</v>
      </c>
      <c r="G83">
        <v>0</v>
      </c>
      <c r="H83" s="9">
        <v>127</v>
      </c>
      <c r="I83" s="4">
        <f t="shared" si="2"/>
        <v>1</v>
      </c>
      <c r="K83" t="s">
        <v>219</v>
      </c>
      <c r="L83">
        <v>19</v>
      </c>
      <c r="M83" t="s">
        <v>828</v>
      </c>
      <c r="N83">
        <v>23</v>
      </c>
      <c r="O83">
        <v>9473</v>
      </c>
      <c r="P83">
        <v>8840</v>
      </c>
      <c r="Q83" s="4">
        <f t="shared" si="3"/>
        <v>0.93317850733664098</v>
      </c>
    </row>
    <row r="84" spans="1:17">
      <c r="A84" t="s">
        <v>219</v>
      </c>
      <c r="B84">
        <v>19</v>
      </c>
      <c r="C84">
        <v>24</v>
      </c>
      <c r="D84">
        <v>127</v>
      </c>
      <c r="E84">
        <v>0</v>
      </c>
      <c r="F84">
        <v>0</v>
      </c>
      <c r="G84">
        <v>0</v>
      </c>
      <c r="H84" s="9">
        <v>127</v>
      </c>
      <c r="I84" s="4">
        <f t="shared" si="2"/>
        <v>1</v>
      </c>
      <c r="K84" t="s">
        <v>219</v>
      </c>
      <c r="L84">
        <v>19</v>
      </c>
      <c r="M84" t="s">
        <v>831</v>
      </c>
      <c r="N84">
        <v>24</v>
      </c>
      <c r="O84">
        <v>9473</v>
      </c>
      <c r="P84">
        <v>8884</v>
      </c>
      <c r="Q84" s="4">
        <f t="shared" si="3"/>
        <v>0.9378232872374116</v>
      </c>
    </row>
    <row r="85" spans="1:17">
      <c r="A85" t="s">
        <v>219</v>
      </c>
      <c r="B85">
        <v>19</v>
      </c>
      <c r="C85">
        <v>25</v>
      </c>
      <c r="D85">
        <v>127</v>
      </c>
      <c r="E85">
        <v>0</v>
      </c>
      <c r="F85">
        <v>0</v>
      </c>
      <c r="G85">
        <v>0</v>
      </c>
      <c r="H85" s="9">
        <v>127</v>
      </c>
      <c r="I85" s="4">
        <f t="shared" si="2"/>
        <v>1</v>
      </c>
      <c r="K85" t="s">
        <v>219</v>
      </c>
      <c r="L85">
        <v>19</v>
      </c>
      <c r="M85" t="s">
        <v>832</v>
      </c>
      <c r="N85">
        <v>25</v>
      </c>
      <c r="O85">
        <v>9473</v>
      </c>
      <c r="P85">
        <v>8891</v>
      </c>
      <c r="Q85" s="4">
        <f t="shared" si="3"/>
        <v>0.93856222949435242</v>
      </c>
    </row>
    <row r="86" spans="1:17">
      <c r="A86" t="s">
        <v>219</v>
      </c>
      <c r="B86">
        <v>19</v>
      </c>
      <c r="C86">
        <v>26</v>
      </c>
      <c r="D86">
        <v>127</v>
      </c>
      <c r="E86">
        <v>0</v>
      </c>
      <c r="F86">
        <v>0</v>
      </c>
      <c r="G86">
        <v>0</v>
      </c>
      <c r="H86" s="9">
        <v>127</v>
      </c>
      <c r="I86" s="4">
        <f t="shared" si="2"/>
        <v>1</v>
      </c>
      <c r="K86" t="s">
        <v>219</v>
      </c>
      <c r="L86">
        <v>19</v>
      </c>
      <c r="M86" t="s">
        <v>833</v>
      </c>
      <c r="N86">
        <v>26</v>
      </c>
      <c r="O86">
        <v>9473</v>
      </c>
      <c r="P86">
        <v>8966</v>
      </c>
      <c r="Q86" s="4">
        <f t="shared" si="3"/>
        <v>0.94647946796157501</v>
      </c>
    </row>
    <row r="87" spans="1:17">
      <c r="A87" t="s">
        <v>219</v>
      </c>
      <c r="B87">
        <v>19</v>
      </c>
      <c r="C87">
        <v>27</v>
      </c>
      <c r="D87">
        <v>127</v>
      </c>
      <c r="E87">
        <v>0</v>
      </c>
      <c r="F87">
        <v>0</v>
      </c>
      <c r="G87">
        <v>0</v>
      </c>
      <c r="H87" s="9">
        <v>127</v>
      </c>
      <c r="I87" s="4">
        <f t="shared" si="2"/>
        <v>1</v>
      </c>
      <c r="K87" t="s">
        <v>219</v>
      </c>
      <c r="L87">
        <v>19</v>
      </c>
      <c r="M87" t="s">
        <v>834</v>
      </c>
      <c r="N87">
        <v>27</v>
      </c>
      <c r="O87">
        <v>9473</v>
      </c>
      <c r="P87">
        <v>9049</v>
      </c>
      <c r="Q87" s="4">
        <f t="shared" si="3"/>
        <v>0.95524121186530142</v>
      </c>
    </row>
    <row r="88" spans="1:17">
      <c r="A88" t="s">
        <v>219</v>
      </c>
      <c r="B88">
        <v>19</v>
      </c>
      <c r="C88">
        <v>28</v>
      </c>
      <c r="D88">
        <v>127</v>
      </c>
      <c r="E88">
        <v>0</v>
      </c>
      <c r="F88">
        <v>0</v>
      </c>
      <c r="G88">
        <v>0</v>
      </c>
      <c r="H88" s="9">
        <v>127</v>
      </c>
      <c r="I88" s="4">
        <f t="shared" si="2"/>
        <v>1</v>
      </c>
      <c r="K88" t="s">
        <v>219</v>
      </c>
      <c r="L88">
        <v>19</v>
      </c>
      <c r="M88" t="s">
        <v>835</v>
      </c>
      <c r="N88">
        <v>28</v>
      </c>
      <c r="O88">
        <v>9473</v>
      </c>
      <c r="P88">
        <v>9148</v>
      </c>
      <c r="Q88" s="4">
        <f t="shared" si="3"/>
        <v>0.96569196664203527</v>
      </c>
    </row>
    <row r="89" spans="1:17">
      <c r="A89" t="s">
        <v>219</v>
      </c>
      <c r="B89">
        <v>19</v>
      </c>
      <c r="C89">
        <v>29</v>
      </c>
      <c r="D89">
        <v>127</v>
      </c>
      <c r="E89">
        <v>0</v>
      </c>
      <c r="F89">
        <v>0</v>
      </c>
      <c r="G89">
        <v>0</v>
      </c>
      <c r="H89" s="9">
        <v>127</v>
      </c>
      <c r="I89" s="4">
        <f t="shared" si="2"/>
        <v>1</v>
      </c>
      <c r="K89" t="s">
        <v>219</v>
      </c>
      <c r="L89">
        <v>19</v>
      </c>
      <c r="M89" t="s">
        <v>836</v>
      </c>
      <c r="N89">
        <v>29</v>
      </c>
      <c r="O89">
        <v>9473</v>
      </c>
      <c r="P89">
        <v>10407</v>
      </c>
      <c r="Q89" s="4">
        <f t="shared" si="3"/>
        <v>1.0985960097118126</v>
      </c>
    </row>
    <row r="90" spans="1:17">
      <c r="A90" t="s">
        <v>219</v>
      </c>
      <c r="B90">
        <v>20</v>
      </c>
      <c r="C90">
        <v>1</v>
      </c>
      <c r="D90">
        <v>22</v>
      </c>
      <c r="E90">
        <v>0</v>
      </c>
      <c r="F90">
        <v>8</v>
      </c>
      <c r="G90">
        <v>0</v>
      </c>
      <c r="H90" s="9">
        <v>101</v>
      </c>
      <c r="I90" s="4">
        <f t="shared" si="2"/>
        <v>0.21782178217821782</v>
      </c>
      <c r="K90" t="s">
        <v>219</v>
      </c>
      <c r="L90">
        <v>20</v>
      </c>
      <c r="M90" t="s">
        <v>309</v>
      </c>
      <c r="N90">
        <v>1</v>
      </c>
      <c r="O90">
        <v>6196</v>
      </c>
      <c r="P90">
        <v>624</v>
      </c>
      <c r="Q90" s="4">
        <f t="shared" si="3"/>
        <v>0.10071013557133635</v>
      </c>
    </row>
    <row r="91" spans="1:17">
      <c r="A91" t="s">
        <v>219</v>
      </c>
      <c r="B91">
        <v>20</v>
      </c>
      <c r="C91">
        <v>2</v>
      </c>
      <c r="D91">
        <v>26</v>
      </c>
      <c r="E91">
        <v>0</v>
      </c>
      <c r="F91">
        <v>6</v>
      </c>
      <c r="G91">
        <v>0</v>
      </c>
      <c r="H91" s="9">
        <v>101</v>
      </c>
      <c r="I91" s="4">
        <f t="shared" si="2"/>
        <v>0.25742574257425743</v>
      </c>
      <c r="K91" t="s">
        <v>219</v>
      </c>
      <c r="L91">
        <v>20</v>
      </c>
      <c r="M91" t="s">
        <v>310</v>
      </c>
      <c r="N91">
        <v>2</v>
      </c>
      <c r="O91">
        <v>6196</v>
      </c>
      <c r="P91">
        <v>632</v>
      </c>
      <c r="Q91" s="4">
        <f t="shared" si="3"/>
        <v>0.10200129115558425</v>
      </c>
    </row>
    <row r="92" spans="1:17">
      <c r="A92" t="s">
        <v>219</v>
      </c>
      <c r="B92">
        <v>20</v>
      </c>
      <c r="C92">
        <v>3</v>
      </c>
      <c r="D92">
        <v>29</v>
      </c>
      <c r="E92">
        <v>0</v>
      </c>
      <c r="F92">
        <v>9</v>
      </c>
      <c r="G92">
        <v>0</v>
      </c>
      <c r="H92" s="9">
        <v>101</v>
      </c>
      <c r="I92" s="4">
        <f t="shared" si="2"/>
        <v>0.28712871287128711</v>
      </c>
      <c r="K92" t="s">
        <v>219</v>
      </c>
      <c r="L92">
        <v>20</v>
      </c>
      <c r="M92" t="s">
        <v>311</v>
      </c>
      <c r="N92">
        <v>3</v>
      </c>
      <c r="O92">
        <v>6196</v>
      </c>
      <c r="P92">
        <v>668</v>
      </c>
      <c r="Q92" s="4">
        <f t="shared" si="3"/>
        <v>0.1078114912846998</v>
      </c>
    </row>
    <row r="93" spans="1:17">
      <c r="A93" t="s">
        <v>219</v>
      </c>
      <c r="B93">
        <v>20</v>
      </c>
      <c r="C93">
        <v>4</v>
      </c>
      <c r="D93">
        <v>45</v>
      </c>
      <c r="E93">
        <v>0</v>
      </c>
      <c r="F93">
        <v>9</v>
      </c>
      <c r="G93">
        <v>0</v>
      </c>
      <c r="H93" s="9">
        <v>101</v>
      </c>
      <c r="I93" s="4">
        <f t="shared" si="2"/>
        <v>0.44554455445544555</v>
      </c>
      <c r="K93" t="s">
        <v>219</v>
      </c>
      <c r="L93">
        <v>20</v>
      </c>
      <c r="M93" t="s">
        <v>312</v>
      </c>
      <c r="N93">
        <v>4</v>
      </c>
      <c r="O93">
        <v>6196</v>
      </c>
      <c r="P93">
        <v>702</v>
      </c>
      <c r="Q93" s="4">
        <f t="shared" si="3"/>
        <v>0.11329890251775339</v>
      </c>
    </row>
    <row r="94" spans="1:17">
      <c r="A94" t="s">
        <v>219</v>
      </c>
      <c r="B94">
        <v>20</v>
      </c>
      <c r="C94">
        <v>5</v>
      </c>
      <c r="D94">
        <v>45</v>
      </c>
      <c r="E94">
        <v>0</v>
      </c>
      <c r="F94">
        <v>9</v>
      </c>
      <c r="G94">
        <v>0</v>
      </c>
      <c r="H94" s="9">
        <v>101</v>
      </c>
      <c r="I94" s="4">
        <f t="shared" si="2"/>
        <v>0.44554455445544555</v>
      </c>
      <c r="K94" t="s">
        <v>219</v>
      </c>
      <c r="L94">
        <v>20</v>
      </c>
      <c r="M94" t="s">
        <v>313</v>
      </c>
      <c r="N94">
        <v>5</v>
      </c>
      <c r="O94">
        <v>6196</v>
      </c>
      <c r="P94">
        <v>740</v>
      </c>
      <c r="Q94" s="4">
        <f t="shared" si="3"/>
        <v>0.11943189154293092</v>
      </c>
    </row>
    <row r="95" spans="1:17">
      <c r="A95" t="s">
        <v>219</v>
      </c>
      <c r="B95">
        <v>20</v>
      </c>
      <c r="C95">
        <v>6</v>
      </c>
      <c r="D95">
        <v>45</v>
      </c>
      <c r="E95">
        <v>0</v>
      </c>
      <c r="F95">
        <v>9</v>
      </c>
      <c r="G95">
        <v>0</v>
      </c>
      <c r="H95" s="9">
        <v>101</v>
      </c>
      <c r="I95" s="4">
        <f t="shared" si="2"/>
        <v>0.44554455445544555</v>
      </c>
      <c r="K95" t="s">
        <v>219</v>
      </c>
      <c r="L95">
        <v>20</v>
      </c>
      <c r="M95" t="s">
        <v>315</v>
      </c>
      <c r="N95">
        <v>6</v>
      </c>
      <c r="O95">
        <v>6196</v>
      </c>
      <c r="P95">
        <v>753</v>
      </c>
      <c r="Q95" s="4">
        <f t="shared" si="3"/>
        <v>0.12153001936733376</v>
      </c>
    </row>
    <row r="96" spans="1:17">
      <c r="A96" t="s">
        <v>219</v>
      </c>
      <c r="B96">
        <v>20</v>
      </c>
      <c r="C96">
        <v>7</v>
      </c>
      <c r="D96">
        <v>45</v>
      </c>
      <c r="E96">
        <v>0</v>
      </c>
      <c r="F96">
        <v>9</v>
      </c>
      <c r="G96">
        <v>0</v>
      </c>
      <c r="H96" s="9">
        <v>101</v>
      </c>
      <c r="I96" s="4">
        <f t="shared" si="2"/>
        <v>0.44554455445544555</v>
      </c>
      <c r="K96" t="s">
        <v>219</v>
      </c>
      <c r="L96">
        <v>20</v>
      </c>
      <c r="M96" t="s">
        <v>316</v>
      </c>
      <c r="N96">
        <v>7</v>
      </c>
      <c r="O96">
        <v>6196</v>
      </c>
      <c r="P96">
        <v>766</v>
      </c>
      <c r="Q96" s="4">
        <f t="shared" si="3"/>
        <v>0.12362814719173661</v>
      </c>
    </row>
    <row r="97" spans="1:17">
      <c r="A97" t="s">
        <v>219</v>
      </c>
      <c r="B97">
        <v>20</v>
      </c>
      <c r="C97">
        <v>8</v>
      </c>
      <c r="D97">
        <v>53</v>
      </c>
      <c r="E97">
        <v>0</v>
      </c>
      <c r="F97">
        <v>7</v>
      </c>
      <c r="G97">
        <v>0</v>
      </c>
      <c r="H97" s="9">
        <v>101</v>
      </c>
      <c r="I97" s="4">
        <f t="shared" si="2"/>
        <v>0.52475247524752477</v>
      </c>
      <c r="K97" t="s">
        <v>219</v>
      </c>
      <c r="L97">
        <v>20</v>
      </c>
      <c r="M97" t="s">
        <v>317</v>
      </c>
      <c r="N97">
        <v>8</v>
      </c>
      <c r="O97">
        <v>6196</v>
      </c>
      <c r="P97">
        <v>813</v>
      </c>
      <c r="Q97" s="4">
        <f t="shared" si="3"/>
        <v>0.13121368624919302</v>
      </c>
    </row>
    <row r="98" spans="1:17">
      <c r="A98" t="s">
        <v>219</v>
      </c>
      <c r="B98">
        <v>20</v>
      </c>
      <c r="C98">
        <v>9</v>
      </c>
      <c r="D98">
        <v>53</v>
      </c>
      <c r="E98">
        <v>0</v>
      </c>
      <c r="F98">
        <v>7</v>
      </c>
      <c r="G98">
        <v>0</v>
      </c>
      <c r="H98" s="9">
        <v>101</v>
      </c>
      <c r="I98" s="4">
        <f t="shared" si="2"/>
        <v>0.52475247524752477</v>
      </c>
      <c r="K98" t="s">
        <v>219</v>
      </c>
      <c r="L98">
        <v>20</v>
      </c>
      <c r="M98" t="s">
        <v>318</v>
      </c>
      <c r="N98">
        <v>9</v>
      </c>
      <c r="O98">
        <v>6196</v>
      </c>
      <c r="P98">
        <v>830</v>
      </c>
      <c r="Q98" s="4">
        <f t="shared" si="3"/>
        <v>0.13395739186571981</v>
      </c>
    </row>
    <row r="99" spans="1:17">
      <c r="A99" t="s">
        <v>219</v>
      </c>
      <c r="B99">
        <v>20</v>
      </c>
      <c r="C99">
        <v>10</v>
      </c>
      <c r="D99">
        <v>53</v>
      </c>
      <c r="E99">
        <v>0</v>
      </c>
      <c r="F99">
        <v>7</v>
      </c>
      <c r="G99">
        <v>0</v>
      </c>
      <c r="H99" s="9">
        <v>101</v>
      </c>
      <c r="I99" s="4">
        <f t="shared" si="2"/>
        <v>0.52475247524752477</v>
      </c>
      <c r="K99" t="s">
        <v>219</v>
      </c>
      <c r="L99">
        <v>20</v>
      </c>
      <c r="M99" t="s">
        <v>319</v>
      </c>
      <c r="N99">
        <v>10</v>
      </c>
      <c r="O99">
        <v>6196</v>
      </c>
      <c r="P99">
        <v>855</v>
      </c>
      <c r="Q99" s="4">
        <f t="shared" si="3"/>
        <v>0.13799225306649451</v>
      </c>
    </row>
    <row r="100" spans="1:17">
      <c r="A100" t="s">
        <v>219</v>
      </c>
      <c r="B100">
        <v>20</v>
      </c>
      <c r="C100">
        <v>11</v>
      </c>
      <c r="D100">
        <v>53</v>
      </c>
      <c r="E100">
        <v>0</v>
      </c>
      <c r="F100">
        <v>7</v>
      </c>
      <c r="G100">
        <v>0</v>
      </c>
      <c r="H100" s="9">
        <v>101</v>
      </c>
      <c r="I100" s="4">
        <f t="shared" si="2"/>
        <v>0.52475247524752477</v>
      </c>
      <c r="K100" t="s">
        <v>219</v>
      </c>
      <c r="L100">
        <v>20</v>
      </c>
      <c r="M100" t="s">
        <v>320</v>
      </c>
      <c r="N100">
        <v>11</v>
      </c>
      <c r="O100">
        <v>6196</v>
      </c>
      <c r="P100">
        <v>874</v>
      </c>
      <c r="Q100" s="4">
        <f t="shared" si="3"/>
        <v>0.14105874757908327</v>
      </c>
    </row>
    <row r="101" spans="1:17">
      <c r="A101" t="s">
        <v>219</v>
      </c>
      <c r="B101">
        <v>20</v>
      </c>
      <c r="C101">
        <v>12</v>
      </c>
      <c r="D101">
        <v>56</v>
      </c>
      <c r="E101">
        <v>0</v>
      </c>
      <c r="F101">
        <v>12</v>
      </c>
      <c r="G101">
        <v>0</v>
      </c>
      <c r="H101" s="9">
        <v>101</v>
      </c>
      <c r="I101" s="4">
        <f t="shared" si="2"/>
        <v>0.5544554455445545</v>
      </c>
      <c r="K101" t="s">
        <v>219</v>
      </c>
      <c r="L101">
        <v>20</v>
      </c>
      <c r="M101" t="s">
        <v>837</v>
      </c>
      <c r="N101">
        <v>12</v>
      </c>
      <c r="O101">
        <v>6196</v>
      </c>
      <c r="P101">
        <v>897</v>
      </c>
      <c r="Q101" s="4">
        <f t="shared" si="3"/>
        <v>0.144770819883796</v>
      </c>
    </row>
    <row r="102" spans="1:17">
      <c r="A102" t="s">
        <v>219</v>
      </c>
      <c r="B102">
        <v>20</v>
      </c>
      <c r="C102">
        <v>13</v>
      </c>
      <c r="D102">
        <v>74</v>
      </c>
      <c r="E102">
        <v>0</v>
      </c>
      <c r="F102">
        <v>10</v>
      </c>
      <c r="G102">
        <v>0</v>
      </c>
      <c r="H102" s="9">
        <v>101</v>
      </c>
      <c r="I102" s="4">
        <f t="shared" si="2"/>
        <v>0.73267326732673266</v>
      </c>
      <c r="K102" t="s">
        <v>219</v>
      </c>
      <c r="L102">
        <v>20</v>
      </c>
      <c r="M102" t="s">
        <v>321</v>
      </c>
      <c r="N102">
        <v>13</v>
      </c>
      <c r="O102">
        <v>6196</v>
      </c>
      <c r="P102">
        <v>940</v>
      </c>
      <c r="Q102" s="4">
        <f t="shared" si="3"/>
        <v>0.15171078114912848</v>
      </c>
    </row>
    <row r="103" spans="1:17">
      <c r="A103" t="s">
        <v>219</v>
      </c>
      <c r="B103">
        <v>20</v>
      </c>
      <c r="C103">
        <v>14</v>
      </c>
      <c r="D103">
        <v>74</v>
      </c>
      <c r="E103">
        <v>0</v>
      </c>
      <c r="F103">
        <v>10</v>
      </c>
      <c r="G103">
        <v>0</v>
      </c>
      <c r="H103" s="9">
        <v>101</v>
      </c>
      <c r="I103" s="4">
        <f t="shared" si="2"/>
        <v>0.73267326732673266</v>
      </c>
      <c r="K103" t="s">
        <v>219</v>
      </c>
      <c r="L103">
        <v>20</v>
      </c>
      <c r="M103" t="s">
        <v>838</v>
      </c>
      <c r="N103">
        <v>14</v>
      </c>
      <c r="O103">
        <v>6196</v>
      </c>
      <c r="P103">
        <v>959</v>
      </c>
      <c r="Q103" s="4">
        <f t="shared" si="3"/>
        <v>0.15477727566171723</v>
      </c>
    </row>
    <row r="104" spans="1:17">
      <c r="A104" t="s">
        <v>219</v>
      </c>
      <c r="B104">
        <v>20</v>
      </c>
      <c r="C104">
        <v>15</v>
      </c>
      <c r="D104">
        <v>74</v>
      </c>
      <c r="E104">
        <v>0</v>
      </c>
      <c r="F104">
        <v>10</v>
      </c>
      <c r="G104">
        <v>0</v>
      </c>
      <c r="H104" s="9">
        <v>101</v>
      </c>
      <c r="I104" s="4">
        <f t="shared" si="2"/>
        <v>0.73267326732673266</v>
      </c>
      <c r="K104" t="s">
        <v>219</v>
      </c>
      <c r="L104">
        <v>20</v>
      </c>
      <c r="M104" t="s">
        <v>322</v>
      </c>
      <c r="N104">
        <v>15</v>
      </c>
      <c r="O104">
        <v>6196</v>
      </c>
      <c r="P104">
        <v>965</v>
      </c>
      <c r="Q104" s="4">
        <f t="shared" si="3"/>
        <v>0.15574564234990315</v>
      </c>
    </row>
    <row r="105" spans="1:17">
      <c r="A105" t="s">
        <v>219</v>
      </c>
      <c r="B105">
        <v>20</v>
      </c>
      <c r="C105">
        <v>16</v>
      </c>
      <c r="D105">
        <v>74</v>
      </c>
      <c r="E105">
        <v>0</v>
      </c>
      <c r="F105">
        <v>10</v>
      </c>
      <c r="G105">
        <v>0</v>
      </c>
      <c r="H105" s="9">
        <v>101</v>
      </c>
      <c r="I105" s="4">
        <f t="shared" si="2"/>
        <v>0.73267326732673266</v>
      </c>
      <c r="K105" t="s">
        <v>219</v>
      </c>
      <c r="L105">
        <v>20</v>
      </c>
      <c r="M105" t="s">
        <v>840</v>
      </c>
      <c r="N105">
        <v>16</v>
      </c>
      <c r="O105">
        <v>6196</v>
      </c>
      <c r="P105">
        <v>976</v>
      </c>
      <c r="Q105" s="4">
        <f t="shared" si="3"/>
        <v>0.15752098127824402</v>
      </c>
    </row>
    <row r="106" spans="1:17">
      <c r="A106" t="s">
        <v>219</v>
      </c>
      <c r="B106">
        <v>20</v>
      </c>
      <c r="C106">
        <v>17</v>
      </c>
      <c r="D106">
        <v>74</v>
      </c>
      <c r="E106">
        <v>0</v>
      </c>
      <c r="F106">
        <v>10</v>
      </c>
      <c r="G106">
        <v>0</v>
      </c>
      <c r="H106" s="9">
        <v>101</v>
      </c>
      <c r="I106" s="4">
        <f t="shared" si="2"/>
        <v>0.73267326732673266</v>
      </c>
      <c r="K106" t="s">
        <v>219</v>
      </c>
      <c r="L106">
        <v>20</v>
      </c>
      <c r="M106" t="s">
        <v>323</v>
      </c>
      <c r="N106">
        <v>17</v>
      </c>
      <c r="O106">
        <v>6196</v>
      </c>
      <c r="P106">
        <v>996</v>
      </c>
      <c r="Q106" s="4">
        <f t="shared" si="3"/>
        <v>0.16074887023886378</v>
      </c>
    </row>
    <row r="107" spans="1:17">
      <c r="A107" t="s">
        <v>219</v>
      </c>
      <c r="B107">
        <v>20</v>
      </c>
      <c r="C107">
        <v>18</v>
      </c>
      <c r="D107">
        <v>74</v>
      </c>
      <c r="E107">
        <v>0</v>
      </c>
      <c r="F107">
        <v>10</v>
      </c>
      <c r="G107">
        <v>0</v>
      </c>
      <c r="H107" s="9">
        <v>101</v>
      </c>
      <c r="I107" s="4">
        <f t="shared" si="2"/>
        <v>0.73267326732673266</v>
      </c>
      <c r="K107" t="s">
        <v>219</v>
      </c>
      <c r="L107">
        <v>20</v>
      </c>
      <c r="M107" t="s">
        <v>324</v>
      </c>
      <c r="N107">
        <v>18</v>
      </c>
      <c r="O107">
        <v>6196</v>
      </c>
      <c r="P107">
        <v>1002</v>
      </c>
      <c r="Q107" s="4">
        <f t="shared" si="3"/>
        <v>0.1617172369270497</v>
      </c>
    </row>
    <row r="108" spans="1:17">
      <c r="A108" t="s">
        <v>219</v>
      </c>
      <c r="B108">
        <v>20</v>
      </c>
      <c r="C108">
        <v>19</v>
      </c>
      <c r="D108">
        <v>74</v>
      </c>
      <c r="E108">
        <v>0</v>
      </c>
      <c r="F108">
        <v>10</v>
      </c>
      <c r="G108">
        <v>0</v>
      </c>
      <c r="H108" s="9">
        <v>101</v>
      </c>
      <c r="I108" s="4">
        <f t="shared" si="2"/>
        <v>0.73267326732673266</v>
      </c>
      <c r="K108" t="s">
        <v>219</v>
      </c>
      <c r="L108">
        <v>20</v>
      </c>
      <c r="M108" t="s">
        <v>325</v>
      </c>
      <c r="N108">
        <v>19</v>
      </c>
      <c r="O108">
        <v>6196</v>
      </c>
      <c r="P108">
        <v>1069</v>
      </c>
      <c r="Q108" s="4">
        <f t="shared" si="3"/>
        <v>0.17253066494512589</v>
      </c>
    </row>
    <row r="109" spans="1:17">
      <c r="A109" t="s">
        <v>219</v>
      </c>
      <c r="B109">
        <v>20</v>
      </c>
      <c r="C109">
        <v>20</v>
      </c>
      <c r="D109">
        <v>74</v>
      </c>
      <c r="E109">
        <v>0</v>
      </c>
      <c r="F109">
        <v>10</v>
      </c>
      <c r="G109">
        <v>0</v>
      </c>
      <c r="H109" s="9">
        <v>101</v>
      </c>
      <c r="I109" s="4">
        <f t="shared" si="2"/>
        <v>0.73267326732673266</v>
      </c>
      <c r="K109" t="s">
        <v>219</v>
      </c>
      <c r="L109">
        <v>20</v>
      </c>
      <c r="M109" t="s">
        <v>326</v>
      </c>
      <c r="N109">
        <v>20</v>
      </c>
      <c r="O109">
        <v>6196</v>
      </c>
      <c r="P109">
        <v>1070</v>
      </c>
      <c r="Q109" s="4">
        <f t="shared" si="3"/>
        <v>0.17269205939315688</v>
      </c>
    </row>
    <row r="110" spans="1:17">
      <c r="A110" t="s">
        <v>219</v>
      </c>
      <c r="B110">
        <v>20</v>
      </c>
      <c r="C110">
        <v>21</v>
      </c>
      <c r="D110">
        <v>74</v>
      </c>
      <c r="E110">
        <v>0</v>
      </c>
      <c r="F110">
        <v>10</v>
      </c>
      <c r="G110">
        <v>0</v>
      </c>
      <c r="H110" s="9">
        <v>101</v>
      </c>
      <c r="I110" s="4">
        <f t="shared" si="2"/>
        <v>0.73267326732673266</v>
      </c>
      <c r="K110" t="s">
        <v>219</v>
      </c>
      <c r="L110">
        <v>20</v>
      </c>
      <c r="M110" t="s">
        <v>841</v>
      </c>
      <c r="N110">
        <v>21</v>
      </c>
      <c r="O110">
        <v>6196</v>
      </c>
      <c r="P110">
        <v>1071</v>
      </c>
      <c r="Q110" s="4">
        <f t="shared" si="3"/>
        <v>0.17285345384118786</v>
      </c>
    </row>
    <row r="111" spans="1:17">
      <c r="A111" t="s">
        <v>219</v>
      </c>
      <c r="B111">
        <v>20</v>
      </c>
      <c r="C111">
        <v>22</v>
      </c>
      <c r="D111">
        <v>74</v>
      </c>
      <c r="E111">
        <v>0</v>
      </c>
      <c r="F111">
        <v>10</v>
      </c>
      <c r="G111">
        <v>0</v>
      </c>
      <c r="H111" s="9">
        <v>101</v>
      </c>
      <c r="I111" s="4">
        <f t="shared" si="2"/>
        <v>0.73267326732673266</v>
      </c>
      <c r="K111" t="s">
        <v>219</v>
      </c>
      <c r="L111">
        <v>20</v>
      </c>
      <c r="M111" t="s">
        <v>327</v>
      </c>
      <c r="N111">
        <v>22</v>
      </c>
      <c r="O111">
        <v>6196</v>
      </c>
      <c r="P111">
        <v>1115</v>
      </c>
      <c r="Q111" s="4">
        <f t="shared" si="3"/>
        <v>0.17995480955455131</v>
      </c>
    </row>
    <row r="112" spans="1:17">
      <c r="A112" t="s">
        <v>219</v>
      </c>
      <c r="B112">
        <v>20</v>
      </c>
      <c r="C112">
        <v>23</v>
      </c>
      <c r="D112">
        <v>74</v>
      </c>
      <c r="E112">
        <v>0</v>
      </c>
      <c r="F112">
        <v>10</v>
      </c>
      <c r="G112">
        <v>0</v>
      </c>
      <c r="H112" s="9">
        <v>101</v>
      </c>
      <c r="I112" s="4">
        <f t="shared" si="2"/>
        <v>0.73267326732673266</v>
      </c>
      <c r="K112" t="s">
        <v>219</v>
      </c>
      <c r="L112">
        <v>20</v>
      </c>
      <c r="M112" t="s">
        <v>328</v>
      </c>
      <c r="N112">
        <v>23</v>
      </c>
      <c r="O112">
        <v>6196</v>
      </c>
      <c r="P112">
        <v>1120</v>
      </c>
      <c r="Q112" s="4">
        <f t="shared" si="3"/>
        <v>0.18076178179470626</v>
      </c>
    </row>
    <row r="113" spans="1:17">
      <c r="A113" t="s">
        <v>219</v>
      </c>
      <c r="B113">
        <v>20</v>
      </c>
      <c r="C113">
        <v>24</v>
      </c>
      <c r="D113">
        <v>74</v>
      </c>
      <c r="E113">
        <v>0</v>
      </c>
      <c r="F113">
        <v>10</v>
      </c>
      <c r="G113">
        <v>0</v>
      </c>
      <c r="H113" s="9">
        <v>101</v>
      </c>
      <c r="I113" s="4">
        <f t="shared" si="2"/>
        <v>0.73267326732673266</v>
      </c>
      <c r="K113" t="s">
        <v>219</v>
      </c>
      <c r="L113">
        <v>20</v>
      </c>
      <c r="M113" t="s">
        <v>842</v>
      </c>
      <c r="N113">
        <v>24</v>
      </c>
      <c r="O113">
        <v>6196</v>
      </c>
      <c r="P113">
        <v>1161</v>
      </c>
      <c r="Q113" s="4">
        <f t="shared" si="3"/>
        <v>0.18737895416397676</v>
      </c>
    </row>
    <row r="114" spans="1:17">
      <c r="A114" t="s">
        <v>219</v>
      </c>
      <c r="B114">
        <v>20</v>
      </c>
      <c r="C114">
        <v>25</v>
      </c>
      <c r="D114">
        <v>74</v>
      </c>
      <c r="E114">
        <v>0</v>
      </c>
      <c r="F114">
        <v>10</v>
      </c>
      <c r="G114">
        <v>0</v>
      </c>
      <c r="H114" s="9">
        <v>101</v>
      </c>
      <c r="I114" s="4">
        <f t="shared" si="2"/>
        <v>0.73267326732673266</v>
      </c>
      <c r="K114" t="s">
        <v>219</v>
      </c>
      <c r="L114">
        <v>20</v>
      </c>
      <c r="M114" t="s">
        <v>329</v>
      </c>
      <c r="N114">
        <v>25</v>
      </c>
      <c r="O114">
        <v>6196</v>
      </c>
      <c r="P114">
        <v>1202</v>
      </c>
      <c r="Q114" s="4">
        <f t="shared" si="3"/>
        <v>0.19399612653324724</v>
      </c>
    </row>
    <row r="115" spans="1:17">
      <c r="A115" t="s">
        <v>219</v>
      </c>
      <c r="B115">
        <v>20</v>
      </c>
      <c r="C115">
        <v>26</v>
      </c>
      <c r="D115">
        <v>74</v>
      </c>
      <c r="E115">
        <v>0</v>
      </c>
      <c r="F115">
        <v>10</v>
      </c>
      <c r="G115">
        <v>0</v>
      </c>
      <c r="H115" s="9">
        <v>101</v>
      </c>
      <c r="I115" s="4">
        <f t="shared" si="2"/>
        <v>0.73267326732673266</v>
      </c>
      <c r="K115" t="s">
        <v>219</v>
      </c>
      <c r="L115">
        <v>20</v>
      </c>
      <c r="M115" t="s">
        <v>308</v>
      </c>
      <c r="N115">
        <v>26</v>
      </c>
      <c r="O115">
        <v>6196</v>
      </c>
      <c r="P115">
        <v>1219</v>
      </c>
      <c r="Q115" s="4">
        <f t="shared" si="3"/>
        <v>0.19673983214977406</v>
      </c>
    </row>
    <row r="116" spans="1:17">
      <c r="A116" t="s">
        <v>219</v>
      </c>
      <c r="B116">
        <v>20</v>
      </c>
      <c r="C116">
        <v>27</v>
      </c>
      <c r="D116">
        <v>74</v>
      </c>
      <c r="E116">
        <v>0</v>
      </c>
      <c r="F116">
        <v>10</v>
      </c>
      <c r="G116">
        <v>0</v>
      </c>
      <c r="H116" s="9">
        <v>101</v>
      </c>
      <c r="I116" s="4">
        <f t="shared" si="2"/>
        <v>0.73267326732673266</v>
      </c>
      <c r="K116" t="s">
        <v>219</v>
      </c>
      <c r="L116">
        <v>20</v>
      </c>
      <c r="M116" t="s">
        <v>843</v>
      </c>
      <c r="N116">
        <v>27</v>
      </c>
      <c r="O116">
        <v>6196</v>
      </c>
      <c r="P116">
        <v>1245</v>
      </c>
      <c r="Q116" s="4">
        <f t="shared" si="3"/>
        <v>0.20093608779857972</v>
      </c>
    </row>
    <row r="117" spans="1:17">
      <c r="A117" t="s">
        <v>219</v>
      </c>
      <c r="B117">
        <v>20</v>
      </c>
      <c r="C117">
        <v>28</v>
      </c>
      <c r="D117">
        <v>74</v>
      </c>
      <c r="E117">
        <v>0</v>
      </c>
      <c r="F117">
        <v>10</v>
      </c>
      <c r="G117">
        <v>0</v>
      </c>
      <c r="H117" s="9">
        <v>101</v>
      </c>
      <c r="I117" s="4">
        <f t="shared" si="2"/>
        <v>0.73267326732673266</v>
      </c>
      <c r="K117" t="s">
        <v>219</v>
      </c>
      <c r="L117">
        <v>20</v>
      </c>
      <c r="M117" t="s">
        <v>844</v>
      </c>
      <c r="N117">
        <v>28</v>
      </c>
      <c r="O117">
        <v>6196</v>
      </c>
      <c r="P117">
        <v>1254</v>
      </c>
      <c r="Q117" s="4">
        <f t="shared" si="3"/>
        <v>0.20238863783085861</v>
      </c>
    </row>
    <row r="118" spans="1:17">
      <c r="A118" t="s">
        <v>219</v>
      </c>
      <c r="B118">
        <v>20</v>
      </c>
      <c r="C118">
        <v>29</v>
      </c>
      <c r="D118">
        <v>74</v>
      </c>
      <c r="E118">
        <v>0</v>
      </c>
      <c r="F118">
        <v>10</v>
      </c>
      <c r="G118">
        <v>0</v>
      </c>
      <c r="H118" s="9">
        <v>101</v>
      </c>
      <c r="I118" s="4">
        <f t="shared" si="2"/>
        <v>0.73267326732673266</v>
      </c>
      <c r="K118" t="s">
        <v>219</v>
      </c>
      <c r="L118">
        <v>20</v>
      </c>
      <c r="M118" t="s">
        <v>314</v>
      </c>
      <c r="N118">
        <v>29</v>
      </c>
      <c r="O118">
        <v>6196</v>
      </c>
      <c r="P118">
        <v>1397</v>
      </c>
      <c r="Q118" s="4">
        <f t="shared" si="3"/>
        <v>0.22546804389928987</v>
      </c>
    </row>
    <row r="119" spans="1:17">
      <c r="A119" t="s">
        <v>219</v>
      </c>
      <c r="B119">
        <v>20</v>
      </c>
      <c r="C119">
        <v>30</v>
      </c>
      <c r="D119">
        <v>74</v>
      </c>
      <c r="E119">
        <v>0</v>
      </c>
      <c r="F119">
        <v>10</v>
      </c>
      <c r="G119">
        <v>0</v>
      </c>
      <c r="H119" s="9">
        <v>101</v>
      </c>
      <c r="I119" s="4">
        <f t="shared" si="2"/>
        <v>0.73267326732673266</v>
      </c>
      <c r="K119" t="s">
        <v>219</v>
      </c>
      <c r="L119">
        <v>20</v>
      </c>
      <c r="M119" t="s">
        <v>845</v>
      </c>
      <c r="N119">
        <v>30</v>
      </c>
      <c r="O119">
        <v>6196</v>
      </c>
      <c r="P119">
        <v>1454</v>
      </c>
      <c r="Q119" s="4">
        <f t="shared" si="3"/>
        <v>0.23466752743705616</v>
      </c>
    </row>
    <row r="120" spans="1:17">
      <c r="A120" t="s">
        <v>219</v>
      </c>
      <c r="B120">
        <v>20</v>
      </c>
      <c r="C120">
        <v>31</v>
      </c>
      <c r="D120">
        <v>74</v>
      </c>
      <c r="E120">
        <v>0</v>
      </c>
      <c r="F120">
        <v>10</v>
      </c>
      <c r="G120">
        <v>0</v>
      </c>
      <c r="H120" s="9">
        <v>101</v>
      </c>
      <c r="I120" s="4">
        <f t="shared" si="2"/>
        <v>0.73267326732673266</v>
      </c>
      <c r="K120" t="s">
        <v>219</v>
      </c>
      <c r="L120">
        <v>20</v>
      </c>
      <c r="M120" t="s">
        <v>846</v>
      </c>
      <c r="N120">
        <v>31</v>
      </c>
      <c r="O120">
        <v>6196</v>
      </c>
      <c r="P120">
        <v>1534</v>
      </c>
      <c r="Q120" s="4">
        <f t="shared" si="3"/>
        <v>0.24757908327953518</v>
      </c>
    </row>
    <row r="121" spans="1:17">
      <c r="A121" t="s">
        <v>219</v>
      </c>
      <c r="B121">
        <v>20</v>
      </c>
      <c r="C121">
        <v>32</v>
      </c>
      <c r="D121">
        <v>74</v>
      </c>
      <c r="E121">
        <v>0</v>
      </c>
      <c r="F121">
        <v>10</v>
      </c>
      <c r="G121">
        <v>0</v>
      </c>
      <c r="H121" s="9">
        <v>101</v>
      </c>
      <c r="I121" s="4">
        <f t="shared" si="2"/>
        <v>0.73267326732673266</v>
      </c>
      <c r="K121" t="s">
        <v>219</v>
      </c>
      <c r="L121">
        <v>20</v>
      </c>
      <c r="M121" t="s">
        <v>839</v>
      </c>
      <c r="N121">
        <v>32</v>
      </c>
      <c r="O121">
        <v>6196</v>
      </c>
      <c r="P121">
        <v>1629</v>
      </c>
      <c r="Q121" s="4">
        <f t="shared" si="3"/>
        <v>0.26291155584247899</v>
      </c>
    </row>
    <row r="122" spans="1:17">
      <c r="A122" t="s">
        <v>219</v>
      </c>
      <c r="B122">
        <v>20</v>
      </c>
      <c r="C122">
        <v>33</v>
      </c>
      <c r="D122">
        <v>75</v>
      </c>
      <c r="E122">
        <v>0</v>
      </c>
      <c r="F122">
        <v>9</v>
      </c>
      <c r="G122">
        <v>0</v>
      </c>
      <c r="H122" s="9">
        <v>101</v>
      </c>
      <c r="I122" s="4">
        <f t="shared" si="2"/>
        <v>0.74257425742574257</v>
      </c>
      <c r="K122" t="s">
        <v>219</v>
      </c>
      <c r="L122">
        <v>20</v>
      </c>
      <c r="M122" t="s">
        <v>386</v>
      </c>
      <c r="N122">
        <v>33</v>
      </c>
      <c r="O122">
        <v>6196</v>
      </c>
      <c r="P122">
        <v>2325</v>
      </c>
      <c r="Q122" s="4">
        <f t="shared" si="3"/>
        <v>0.37524209167204647</v>
      </c>
    </row>
    <row r="123" spans="1:17">
      <c r="A123" t="s">
        <v>219</v>
      </c>
      <c r="B123">
        <v>20</v>
      </c>
      <c r="C123">
        <v>34</v>
      </c>
      <c r="D123">
        <v>78</v>
      </c>
      <c r="E123">
        <v>0</v>
      </c>
      <c r="F123">
        <v>6</v>
      </c>
      <c r="G123">
        <v>0</v>
      </c>
      <c r="H123" s="9">
        <v>101</v>
      </c>
      <c r="I123" s="4">
        <f t="shared" si="2"/>
        <v>0.7722772277227723</v>
      </c>
      <c r="K123" t="s">
        <v>219</v>
      </c>
      <c r="L123">
        <v>20</v>
      </c>
      <c r="M123" t="s">
        <v>851</v>
      </c>
      <c r="N123">
        <v>34</v>
      </c>
      <c r="O123">
        <v>6196</v>
      </c>
      <c r="P123">
        <v>2992</v>
      </c>
      <c r="Q123" s="4">
        <f t="shared" si="3"/>
        <v>0.48289218850871529</v>
      </c>
    </row>
    <row r="124" spans="1:17">
      <c r="A124" t="s">
        <v>219</v>
      </c>
      <c r="B124">
        <v>20</v>
      </c>
      <c r="C124">
        <v>35</v>
      </c>
      <c r="D124">
        <v>78</v>
      </c>
      <c r="E124">
        <v>0</v>
      </c>
      <c r="F124">
        <v>6</v>
      </c>
      <c r="G124">
        <v>0</v>
      </c>
      <c r="H124" s="9">
        <v>101</v>
      </c>
      <c r="I124" s="4">
        <f t="shared" si="2"/>
        <v>0.7722772277227723</v>
      </c>
      <c r="K124" t="s">
        <v>219</v>
      </c>
      <c r="L124">
        <v>20</v>
      </c>
      <c r="M124" t="s">
        <v>847</v>
      </c>
      <c r="N124">
        <v>35</v>
      </c>
      <c r="O124">
        <v>6196</v>
      </c>
      <c r="P124">
        <v>3641</v>
      </c>
      <c r="Q124" s="4">
        <f t="shared" si="3"/>
        <v>0.58763718528082631</v>
      </c>
    </row>
    <row r="125" spans="1:17">
      <c r="A125" t="s">
        <v>219</v>
      </c>
      <c r="B125">
        <v>20</v>
      </c>
      <c r="C125">
        <v>36</v>
      </c>
      <c r="D125">
        <v>78</v>
      </c>
      <c r="E125">
        <v>0</v>
      </c>
      <c r="F125">
        <v>6</v>
      </c>
      <c r="G125">
        <v>0</v>
      </c>
      <c r="H125" s="9">
        <v>101</v>
      </c>
      <c r="I125" s="4">
        <f t="shared" si="2"/>
        <v>0.7722772277227723</v>
      </c>
      <c r="K125" t="s">
        <v>219</v>
      </c>
      <c r="L125">
        <v>20</v>
      </c>
      <c r="M125" t="s">
        <v>848</v>
      </c>
      <c r="N125">
        <v>36</v>
      </c>
      <c r="O125">
        <v>6196</v>
      </c>
      <c r="P125">
        <v>3747</v>
      </c>
      <c r="Q125" s="4">
        <f t="shared" si="3"/>
        <v>0.60474499677211102</v>
      </c>
    </row>
    <row r="126" spans="1:17">
      <c r="A126" t="s">
        <v>219</v>
      </c>
      <c r="B126">
        <v>20</v>
      </c>
      <c r="C126">
        <v>37</v>
      </c>
      <c r="D126">
        <v>78</v>
      </c>
      <c r="E126">
        <v>0</v>
      </c>
      <c r="F126">
        <v>6</v>
      </c>
      <c r="G126">
        <v>0</v>
      </c>
      <c r="H126" s="9">
        <v>101</v>
      </c>
      <c r="I126" s="4">
        <f t="shared" si="2"/>
        <v>0.7722772277227723</v>
      </c>
      <c r="K126" t="s">
        <v>219</v>
      </c>
      <c r="L126">
        <v>20</v>
      </c>
      <c r="M126" t="s">
        <v>849</v>
      </c>
      <c r="N126">
        <v>37</v>
      </c>
      <c r="O126">
        <v>6196</v>
      </c>
      <c r="P126">
        <v>3770</v>
      </c>
      <c r="Q126" s="4">
        <f t="shared" si="3"/>
        <v>0.60845706907682373</v>
      </c>
    </row>
    <row r="127" spans="1:17">
      <c r="A127" t="s">
        <v>219</v>
      </c>
      <c r="B127">
        <v>20</v>
      </c>
      <c r="C127">
        <v>38</v>
      </c>
      <c r="D127">
        <v>78</v>
      </c>
      <c r="E127">
        <v>0</v>
      </c>
      <c r="F127">
        <v>6</v>
      </c>
      <c r="G127">
        <v>0</v>
      </c>
      <c r="H127" s="9">
        <v>101</v>
      </c>
      <c r="I127" s="4">
        <f t="shared" si="2"/>
        <v>0.7722772277227723</v>
      </c>
      <c r="K127" t="s">
        <v>219</v>
      </c>
      <c r="L127">
        <v>20</v>
      </c>
      <c r="M127" t="s">
        <v>852</v>
      </c>
      <c r="N127">
        <v>38</v>
      </c>
      <c r="O127">
        <v>6196</v>
      </c>
      <c r="P127">
        <v>3844</v>
      </c>
      <c r="Q127" s="4">
        <f t="shared" si="3"/>
        <v>0.62040025823111689</v>
      </c>
    </row>
    <row r="128" spans="1:17">
      <c r="A128" t="s">
        <v>219</v>
      </c>
      <c r="B128">
        <v>20</v>
      </c>
      <c r="C128">
        <v>39</v>
      </c>
      <c r="D128">
        <v>78</v>
      </c>
      <c r="E128">
        <v>0</v>
      </c>
      <c r="F128">
        <v>6</v>
      </c>
      <c r="G128">
        <v>0</v>
      </c>
      <c r="H128" s="9">
        <v>101</v>
      </c>
      <c r="I128" s="4">
        <f t="shared" si="2"/>
        <v>0.7722772277227723</v>
      </c>
      <c r="K128" t="s">
        <v>219</v>
      </c>
      <c r="L128">
        <v>20</v>
      </c>
      <c r="M128" t="s">
        <v>853</v>
      </c>
      <c r="N128">
        <v>39</v>
      </c>
      <c r="O128">
        <v>6196</v>
      </c>
      <c r="P128">
        <v>3847</v>
      </c>
      <c r="Q128" s="4">
        <f t="shared" si="3"/>
        <v>0.62088444157520983</v>
      </c>
    </row>
    <row r="129" spans="1:17">
      <c r="A129" t="s">
        <v>219</v>
      </c>
      <c r="B129">
        <v>20</v>
      </c>
      <c r="C129">
        <v>40</v>
      </c>
      <c r="D129">
        <v>78</v>
      </c>
      <c r="E129">
        <v>0</v>
      </c>
      <c r="F129">
        <v>6</v>
      </c>
      <c r="G129">
        <v>0</v>
      </c>
      <c r="H129" s="9">
        <v>101</v>
      </c>
      <c r="I129" s="4">
        <f t="shared" si="2"/>
        <v>0.7722772277227723</v>
      </c>
      <c r="K129" t="s">
        <v>219</v>
      </c>
      <c r="L129">
        <v>20</v>
      </c>
      <c r="M129" t="s">
        <v>850</v>
      </c>
      <c r="N129">
        <v>40</v>
      </c>
      <c r="O129">
        <v>6196</v>
      </c>
      <c r="P129">
        <v>3860</v>
      </c>
      <c r="Q129" s="4">
        <f t="shared" si="3"/>
        <v>0.62298256939961261</v>
      </c>
    </row>
    <row r="130" spans="1:17">
      <c r="A130" t="s">
        <v>219</v>
      </c>
      <c r="B130">
        <v>20</v>
      </c>
      <c r="C130">
        <v>41</v>
      </c>
      <c r="D130">
        <v>78</v>
      </c>
      <c r="E130">
        <v>0</v>
      </c>
      <c r="F130">
        <v>6</v>
      </c>
      <c r="G130">
        <v>0</v>
      </c>
      <c r="H130" s="9">
        <v>101</v>
      </c>
      <c r="I130" s="4">
        <f t="shared" si="2"/>
        <v>0.7722772277227723</v>
      </c>
      <c r="K130" t="s">
        <v>219</v>
      </c>
      <c r="L130">
        <v>20</v>
      </c>
      <c r="M130" t="s">
        <v>856</v>
      </c>
      <c r="N130">
        <v>41</v>
      </c>
      <c r="O130">
        <v>6196</v>
      </c>
      <c r="P130">
        <v>4106</v>
      </c>
      <c r="Q130" s="4">
        <f t="shared" si="3"/>
        <v>0.66268560361523565</v>
      </c>
    </row>
    <row r="131" spans="1:17">
      <c r="A131" t="s">
        <v>219</v>
      </c>
      <c r="B131">
        <v>20</v>
      </c>
      <c r="C131">
        <v>42</v>
      </c>
      <c r="D131">
        <v>78</v>
      </c>
      <c r="E131">
        <v>0</v>
      </c>
      <c r="F131">
        <v>6</v>
      </c>
      <c r="G131">
        <v>0</v>
      </c>
      <c r="H131" s="9">
        <v>101</v>
      </c>
      <c r="I131" s="4">
        <f t="shared" ref="I131:I194" si="4">D131/H131</f>
        <v>0.7722772277227723</v>
      </c>
      <c r="K131" t="s">
        <v>219</v>
      </c>
      <c r="L131">
        <v>20</v>
      </c>
      <c r="M131" t="s">
        <v>855</v>
      </c>
      <c r="N131">
        <v>42</v>
      </c>
      <c r="O131">
        <v>6196</v>
      </c>
      <c r="P131">
        <v>4111</v>
      </c>
      <c r="Q131" s="4">
        <f t="shared" ref="Q131:Q194" si="5">P131/O131</f>
        <v>0.66349257585539057</v>
      </c>
    </row>
    <row r="132" spans="1:17">
      <c r="A132" t="s">
        <v>219</v>
      </c>
      <c r="B132">
        <v>20</v>
      </c>
      <c r="C132">
        <v>43</v>
      </c>
      <c r="D132">
        <v>78</v>
      </c>
      <c r="E132">
        <v>0</v>
      </c>
      <c r="F132">
        <v>6</v>
      </c>
      <c r="G132">
        <v>0</v>
      </c>
      <c r="H132" s="9">
        <v>101</v>
      </c>
      <c r="I132" s="4">
        <f t="shared" si="4"/>
        <v>0.7722772277227723</v>
      </c>
      <c r="K132" t="s">
        <v>219</v>
      </c>
      <c r="L132">
        <v>20</v>
      </c>
      <c r="M132" t="s">
        <v>857</v>
      </c>
      <c r="N132">
        <v>43</v>
      </c>
      <c r="O132">
        <v>6196</v>
      </c>
      <c r="P132">
        <v>4220</v>
      </c>
      <c r="Q132" s="4">
        <f t="shared" si="5"/>
        <v>0.68108457069076822</v>
      </c>
    </row>
    <row r="133" spans="1:17">
      <c r="A133" t="s">
        <v>219</v>
      </c>
      <c r="B133">
        <v>20</v>
      </c>
      <c r="C133">
        <v>44</v>
      </c>
      <c r="D133">
        <v>78</v>
      </c>
      <c r="E133">
        <v>0</v>
      </c>
      <c r="F133">
        <v>6</v>
      </c>
      <c r="G133">
        <v>0</v>
      </c>
      <c r="H133" s="9">
        <v>101</v>
      </c>
      <c r="I133" s="4">
        <f t="shared" si="4"/>
        <v>0.7722772277227723</v>
      </c>
      <c r="K133" t="s">
        <v>219</v>
      </c>
      <c r="L133">
        <v>20</v>
      </c>
      <c r="M133" t="s">
        <v>854</v>
      </c>
      <c r="N133">
        <v>44</v>
      </c>
      <c r="O133">
        <v>6196</v>
      </c>
      <c r="P133">
        <v>4590</v>
      </c>
      <c r="Q133" s="4">
        <f t="shared" si="5"/>
        <v>0.74080051646223366</v>
      </c>
    </row>
    <row r="134" spans="1:17">
      <c r="A134" t="s">
        <v>219</v>
      </c>
      <c r="B134">
        <v>20</v>
      </c>
      <c r="C134">
        <v>45</v>
      </c>
      <c r="D134">
        <v>78</v>
      </c>
      <c r="E134">
        <v>0</v>
      </c>
      <c r="F134">
        <v>6</v>
      </c>
      <c r="G134">
        <v>0</v>
      </c>
      <c r="H134" s="9">
        <v>101</v>
      </c>
      <c r="I134" s="4">
        <f t="shared" si="4"/>
        <v>0.7722772277227723</v>
      </c>
      <c r="K134" t="s">
        <v>219</v>
      </c>
      <c r="L134">
        <v>20</v>
      </c>
      <c r="M134" t="s">
        <v>858</v>
      </c>
      <c r="N134">
        <v>45</v>
      </c>
      <c r="O134">
        <v>6196</v>
      </c>
      <c r="P134">
        <v>4661</v>
      </c>
      <c r="Q134" s="4">
        <f t="shared" si="5"/>
        <v>0.75225952227243387</v>
      </c>
    </row>
    <row r="135" spans="1:17">
      <c r="A135" t="s">
        <v>220</v>
      </c>
      <c r="B135">
        <v>1</v>
      </c>
      <c r="C135">
        <v>1</v>
      </c>
      <c r="D135">
        <v>11</v>
      </c>
      <c r="E135">
        <v>0</v>
      </c>
      <c r="F135">
        <v>7</v>
      </c>
      <c r="G135">
        <v>0</v>
      </c>
      <c r="H135" s="9">
        <v>19</v>
      </c>
      <c r="I135" s="4">
        <f t="shared" si="4"/>
        <v>0.57894736842105265</v>
      </c>
      <c r="K135" t="s">
        <v>220</v>
      </c>
      <c r="L135">
        <v>1</v>
      </c>
      <c r="M135" t="s">
        <v>215</v>
      </c>
      <c r="N135">
        <v>1</v>
      </c>
      <c r="O135">
        <v>6154</v>
      </c>
      <c r="P135">
        <v>2284</v>
      </c>
      <c r="Q135" s="4">
        <f t="shared" si="5"/>
        <v>0.37114072148196298</v>
      </c>
    </row>
    <row r="136" spans="1:17">
      <c r="A136" t="s">
        <v>220</v>
      </c>
      <c r="B136">
        <v>1</v>
      </c>
      <c r="C136">
        <v>2</v>
      </c>
      <c r="D136">
        <v>11</v>
      </c>
      <c r="E136">
        <v>0</v>
      </c>
      <c r="F136">
        <v>7</v>
      </c>
      <c r="G136">
        <v>0</v>
      </c>
      <c r="H136" s="9">
        <v>19</v>
      </c>
      <c r="I136" s="4">
        <f t="shared" si="4"/>
        <v>0.57894736842105265</v>
      </c>
      <c r="K136" t="s">
        <v>220</v>
      </c>
      <c r="L136">
        <v>1</v>
      </c>
      <c r="M136" t="s">
        <v>205</v>
      </c>
      <c r="N136">
        <v>2</v>
      </c>
      <c r="O136">
        <v>6154</v>
      </c>
      <c r="P136">
        <v>2285</v>
      </c>
      <c r="Q136" s="4">
        <f t="shared" si="5"/>
        <v>0.37130321741956451</v>
      </c>
    </row>
    <row r="137" spans="1:17">
      <c r="A137" t="s">
        <v>220</v>
      </c>
      <c r="B137">
        <v>1</v>
      </c>
      <c r="C137">
        <v>3</v>
      </c>
      <c r="D137">
        <v>11</v>
      </c>
      <c r="E137">
        <v>0</v>
      </c>
      <c r="F137">
        <v>7</v>
      </c>
      <c r="G137">
        <v>0</v>
      </c>
      <c r="H137" s="9">
        <v>19</v>
      </c>
      <c r="I137" s="4">
        <f t="shared" si="4"/>
        <v>0.57894736842105265</v>
      </c>
      <c r="K137" t="s">
        <v>220</v>
      </c>
      <c r="L137">
        <v>1</v>
      </c>
      <c r="M137" t="s">
        <v>204</v>
      </c>
      <c r="N137">
        <v>3</v>
      </c>
      <c r="O137">
        <v>6154</v>
      </c>
      <c r="P137">
        <v>2286</v>
      </c>
      <c r="Q137" s="4">
        <f t="shared" si="5"/>
        <v>0.37146571335716605</v>
      </c>
    </row>
    <row r="138" spans="1:17">
      <c r="A138" t="s">
        <v>220</v>
      </c>
      <c r="B138">
        <v>1</v>
      </c>
      <c r="C138">
        <v>4</v>
      </c>
      <c r="D138">
        <v>12</v>
      </c>
      <c r="E138">
        <v>0</v>
      </c>
      <c r="F138">
        <v>7</v>
      </c>
      <c r="G138">
        <v>0</v>
      </c>
      <c r="H138" s="9">
        <v>19</v>
      </c>
      <c r="I138" s="4">
        <f t="shared" si="4"/>
        <v>0.63157894736842102</v>
      </c>
      <c r="K138" t="s">
        <v>220</v>
      </c>
      <c r="L138">
        <v>1</v>
      </c>
      <c r="M138" t="s">
        <v>179</v>
      </c>
      <c r="N138">
        <v>4</v>
      </c>
      <c r="O138">
        <v>6154</v>
      </c>
      <c r="P138">
        <v>2773</v>
      </c>
      <c r="Q138" s="4">
        <f t="shared" si="5"/>
        <v>0.4506012349691258</v>
      </c>
    </row>
    <row r="139" spans="1:17">
      <c r="A139" t="s">
        <v>220</v>
      </c>
      <c r="B139">
        <v>1</v>
      </c>
      <c r="C139">
        <v>5</v>
      </c>
      <c r="D139">
        <v>17</v>
      </c>
      <c r="E139">
        <v>0</v>
      </c>
      <c r="F139">
        <v>2</v>
      </c>
      <c r="G139">
        <v>0</v>
      </c>
      <c r="H139" s="9">
        <v>19</v>
      </c>
      <c r="I139" s="4">
        <f t="shared" si="4"/>
        <v>0.89473684210526316</v>
      </c>
      <c r="K139" t="s">
        <v>220</v>
      </c>
      <c r="L139">
        <v>1</v>
      </c>
      <c r="M139" t="s">
        <v>203</v>
      </c>
      <c r="N139">
        <v>5</v>
      </c>
      <c r="O139">
        <v>6154</v>
      </c>
      <c r="P139">
        <v>4020</v>
      </c>
      <c r="Q139" s="4">
        <f t="shared" si="5"/>
        <v>0.65323366915827108</v>
      </c>
    </row>
    <row r="140" spans="1:17">
      <c r="A140" t="s">
        <v>220</v>
      </c>
      <c r="B140">
        <v>6</v>
      </c>
      <c r="C140">
        <v>1</v>
      </c>
      <c r="D140">
        <v>5</v>
      </c>
      <c r="E140">
        <v>0</v>
      </c>
      <c r="F140">
        <v>1</v>
      </c>
      <c r="G140">
        <v>0</v>
      </c>
      <c r="H140" s="9">
        <v>112</v>
      </c>
      <c r="I140" s="4">
        <f t="shared" si="4"/>
        <v>4.4642857142857144E-2</v>
      </c>
      <c r="K140" t="s">
        <v>220</v>
      </c>
      <c r="L140">
        <v>6</v>
      </c>
      <c r="M140" t="s">
        <v>2</v>
      </c>
      <c r="N140">
        <v>1</v>
      </c>
      <c r="O140">
        <v>4612</v>
      </c>
      <c r="P140">
        <v>232</v>
      </c>
      <c r="Q140" s="4">
        <f t="shared" si="5"/>
        <v>5.0303555941023419E-2</v>
      </c>
    </row>
    <row r="141" spans="1:17">
      <c r="A141" t="s">
        <v>220</v>
      </c>
      <c r="B141">
        <v>6</v>
      </c>
      <c r="C141">
        <v>2</v>
      </c>
      <c r="D141">
        <v>56</v>
      </c>
      <c r="E141">
        <v>0</v>
      </c>
      <c r="F141">
        <v>12</v>
      </c>
      <c r="G141">
        <v>0</v>
      </c>
      <c r="H141" s="9">
        <v>112</v>
      </c>
      <c r="I141" s="4">
        <f t="shared" si="4"/>
        <v>0.5</v>
      </c>
      <c r="K141" t="s">
        <v>220</v>
      </c>
      <c r="L141">
        <v>6</v>
      </c>
      <c r="M141" t="s">
        <v>444</v>
      </c>
      <c r="N141">
        <v>2</v>
      </c>
      <c r="O141">
        <v>4612</v>
      </c>
      <c r="P141">
        <v>2377</v>
      </c>
      <c r="Q141" s="4">
        <f t="shared" si="5"/>
        <v>0.51539462272333048</v>
      </c>
    </row>
    <row r="142" spans="1:17">
      <c r="A142" t="s">
        <v>220</v>
      </c>
      <c r="B142">
        <v>6</v>
      </c>
      <c r="C142">
        <v>3</v>
      </c>
      <c r="D142">
        <v>112</v>
      </c>
      <c r="E142">
        <v>0</v>
      </c>
      <c r="F142">
        <v>0</v>
      </c>
      <c r="G142">
        <v>0</v>
      </c>
      <c r="H142" s="9">
        <v>112</v>
      </c>
      <c r="I142" s="4">
        <f t="shared" si="4"/>
        <v>1</v>
      </c>
      <c r="K142" t="s">
        <v>220</v>
      </c>
      <c r="L142">
        <v>6</v>
      </c>
      <c r="M142" t="s">
        <v>445</v>
      </c>
      <c r="N142">
        <v>3</v>
      </c>
      <c r="O142">
        <v>4612</v>
      </c>
      <c r="P142">
        <v>4647</v>
      </c>
      <c r="Q142" s="4">
        <f t="shared" si="5"/>
        <v>1.0075888985255854</v>
      </c>
    </row>
    <row r="143" spans="1:17">
      <c r="A143" t="s">
        <v>225</v>
      </c>
      <c r="B143">
        <v>3</v>
      </c>
      <c r="C143">
        <v>1</v>
      </c>
      <c r="D143">
        <v>19</v>
      </c>
      <c r="E143">
        <v>0</v>
      </c>
      <c r="F143">
        <v>1</v>
      </c>
      <c r="G143">
        <v>0</v>
      </c>
      <c r="H143" s="9">
        <v>175</v>
      </c>
      <c r="I143" s="4">
        <f t="shared" si="4"/>
        <v>0.10857142857142857</v>
      </c>
      <c r="K143" t="s">
        <v>225</v>
      </c>
      <c r="L143">
        <v>3</v>
      </c>
      <c r="M143" t="s">
        <v>439</v>
      </c>
      <c r="N143">
        <v>1</v>
      </c>
      <c r="O143">
        <v>11799</v>
      </c>
      <c r="P143">
        <v>790</v>
      </c>
      <c r="Q143" s="4">
        <f t="shared" si="5"/>
        <v>6.6954826680227134E-2</v>
      </c>
    </row>
    <row r="144" spans="1:17">
      <c r="A144" t="s">
        <v>225</v>
      </c>
      <c r="B144">
        <v>3</v>
      </c>
      <c r="C144">
        <v>2</v>
      </c>
      <c r="D144">
        <v>28</v>
      </c>
      <c r="E144">
        <v>0</v>
      </c>
      <c r="F144">
        <v>7</v>
      </c>
      <c r="G144">
        <v>0</v>
      </c>
      <c r="H144" s="9">
        <v>175</v>
      </c>
      <c r="I144" s="4">
        <f t="shared" si="4"/>
        <v>0.16</v>
      </c>
      <c r="K144" t="s">
        <v>225</v>
      </c>
      <c r="L144">
        <v>3</v>
      </c>
      <c r="M144" t="s">
        <v>503</v>
      </c>
      <c r="N144">
        <v>2</v>
      </c>
      <c r="O144">
        <v>11799</v>
      </c>
      <c r="P144">
        <v>1915</v>
      </c>
      <c r="Q144" s="4">
        <f t="shared" si="5"/>
        <v>0.16230188999067718</v>
      </c>
    </row>
    <row r="145" spans="1:17">
      <c r="A145" t="s">
        <v>225</v>
      </c>
      <c r="B145">
        <v>3</v>
      </c>
      <c r="C145">
        <v>3</v>
      </c>
      <c r="D145">
        <v>54</v>
      </c>
      <c r="E145">
        <v>0</v>
      </c>
      <c r="F145">
        <v>8</v>
      </c>
      <c r="G145">
        <v>0</v>
      </c>
      <c r="H145" s="9">
        <v>175</v>
      </c>
      <c r="I145" s="4">
        <f t="shared" si="4"/>
        <v>0.30857142857142855</v>
      </c>
      <c r="K145" t="s">
        <v>225</v>
      </c>
      <c r="L145">
        <v>3</v>
      </c>
      <c r="M145" t="s">
        <v>859</v>
      </c>
      <c r="N145">
        <v>3</v>
      </c>
      <c r="O145">
        <v>11799</v>
      </c>
      <c r="P145">
        <v>2243</v>
      </c>
      <c r="Q145" s="4">
        <f t="shared" si="5"/>
        <v>0.19010085600474616</v>
      </c>
    </row>
    <row r="146" spans="1:17">
      <c r="A146" t="s">
        <v>225</v>
      </c>
      <c r="B146">
        <v>3</v>
      </c>
      <c r="C146">
        <v>4</v>
      </c>
      <c r="D146">
        <v>80</v>
      </c>
      <c r="E146">
        <v>0</v>
      </c>
      <c r="F146">
        <v>9</v>
      </c>
      <c r="G146">
        <v>0</v>
      </c>
      <c r="H146" s="9">
        <v>175</v>
      </c>
      <c r="I146" s="4">
        <f t="shared" si="4"/>
        <v>0.45714285714285713</v>
      </c>
      <c r="K146" t="s">
        <v>225</v>
      </c>
      <c r="L146">
        <v>3</v>
      </c>
      <c r="M146" t="s">
        <v>860</v>
      </c>
      <c r="N146">
        <v>4</v>
      </c>
      <c r="O146">
        <v>11799</v>
      </c>
      <c r="P146">
        <v>2375</v>
      </c>
      <c r="Q146" s="4">
        <f t="shared" si="5"/>
        <v>0.20128824476650564</v>
      </c>
    </row>
    <row r="147" spans="1:17">
      <c r="A147" t="s">
        <v>225</v>
      </c>
      <c r="B147">
        <v>3</v>
      </c>
      <c r="C147">
        <v>5</v>
      </c>
      <c r="D147">
        <v>89</v>
      </c>
      <c r="E147">
        <v>0</v>
      </c>
      <c r="F147">
        <v>6</v>
      </c>
      <c r="G147">
        <v>0</v>
      </c>
      <c r="H147" s="9">
        <v>175</v>
      </c>
      <c r="I147" s="4">
        <f t="shared" si="4"/>
        <v>0.50857142857142856</v>
      </c>
      <c r="K147" t="s">
        <v>225</v>
      </c>
      <c r="L147">
        <v>3</v>
      </c>
      <c r="M147" t="s">
        <v>861</v>
      </c>
      <c r="N147">
        <v>5</v>
      </c>
      <c r="O147">
        <v>11799</v>
      </c>
      <c r="P147">
        <v>2424</v>
      </c>
      <c r="Q147" s="4">
        <f t="shared" si="5"/>
        <v>0.205441139079583</v>
      </c>
    </row>
    <row r="148" spans="1:17">
      <c r="A148" t="s">
        <v>225</v>
      </c>
      <c r="B148">
        <v>3</v>
      </c>
      <c r="C148">
        <v>6</v>
      </c>
      <c r="D148">
        <v>98</v>
      </c>
      <c r="E148">
        <v>0</v>
      </c>
      <c r="F148">
        <v>3</v>
      </c>
      <c r="G148">
        <v>0</v>
      </c>
      <c r="H148" s="9">
        <v>175</v>
      </c>
      <c r="I148" s="4">
        <f t="shared" si="4"/>
        <v>0.56000000000000005</v>
      </c>
      <c r="K148" t="s">
        <v>225</v>
      </c>
      <c r="L148">
        <v>3</v>
      </c>
      <c r="M148" t="s">
        <v>862</v>
      </c>
      <c r="N148">
        <v>6</v>
      </c>
      <c r="O148">
        <v>11799</v>
      </c>
      <c r="P148">
        <v>2564</v>
      </c>
      <c r="Q148" s="4">
        <f t="shared" si="5"/>
        <v>0.21730655140266125</v>
      </c>
    </row>
    <row r="149" spans="1:17">
      <c r="A149" t="s">
        <v>225</v>
      </c>
      <c r="B149">
        <v>3</v>
      </c>
      <c r="C149">
        <v>7</v>
      </c>
      <c r="D149">
        <v>140</v>
      </c>
      <c r="E149">
        <v>0</v>
      </c>
      <c r="F149">
        <v>4</v>
      </c>
      <c r="G149">
        <v>0</v>
      </c>
      <c r="H149" s="9">
        <v>175</v>
      </c>
      <c r="I149" s="4">
        <f t="shared" si="4"/>
        <v>0.8</v>
      </c>
      <c r="K149" t="s">
        <v>225</v>
      </c>
      <c r="L149">
        <v>3</v>
      </c>
      <c r="M149" t="s">
        <v>863</v>
      </c>
      <c r="N149">
        <v>7</v>
      </c>
      <c r="O149">
        <v>11799</v>
      </c>
      <c r="P149">
        <v>3150</v>
      </c>
      <c r="Q149" s="4">
        <f t="shared" si="5"/>
        <v>0.26697177726926008</v>
      </c>
    </row>
    <row r="150" spans="1:17">
      <c r="A150" t="s">
        <v>225</v>
      </c>
      <c r="B150">
        <v>3</v>
      </c>
      <c r="C150">
        <v>8</v>
      </c>
      <c r="D150">
        <v>155</v>
      </c>
      <c r="E150">
        <v>0</v>
      </c>
      <c r="F150">
        <v>1</v>
      </c>
      <c r="G150">
        <v>0</v>
      </c>
      <c r="H150" s="9">
        <v>175</v>
      </c>
      <c r="I150" s="4">
        <f t="shared" si="4"/>
        <v>0.88571428571428568</v>
      </c>
      <c r="K150" t="s">
        <v>225</v>
      </c>
      <c r="L150">
        <v>3</v>
      </c>
      <c r="M150" t="s">
        <v>864</v>
      </c>
      <c r="N150">
        <v>8</v>
      </c>
      <c r="O150">
        <v>11799</v>
      </c>
      <c r="P150">
        <v>3615</v>
      </c>
      <c r="Q150" s="4">
        <f t="shared" si="5"/>
        <v>0.30638189677091276</v>
      </c>
    </row>
    <row r="151" spans="1:17">
      <c r="A151" t="s">
        <v>225</v>
      </c>
      <c r="B151">
        <v>3</v>
      </c>
      <c r="C151">
        <v>9</v>
      </c>
      <c r="D151">
        <v>175</v>
      </c>
      <c r="E151">
        <v>0</v>
      </c>
      <c r="F151">
        <v>0</v>
      </c>
      <c r="G151">
        <v>0</v>
      </c>
      <c r="H151" s="9">
        <v>175</v>
      </c>
      <c r="I151" s="4">
        <f t="shared" si="4"/>
        <v>1</v>
      </c>
      <c r="K151" t="s">
        <v>225</v>
      </c>
      <c r="L151">
        <v>3</v>
      </c>
      <c r="M151" t="s">
        <v>507</v>
      </c>
      <c r="N151">
        <v>9</v>
      </c>
      <c r="O151">
        <v>11799</v>
      </c>
      <c r="P151">
        <v>6311</v>
      </c>
      <c r="Q151" s="4">
        <f t="shared" si="5"/>
        <v>0.53487583693533347</v>
      </c>
    </row>
    <row r="152" spans="1:17">
      <c r="A152" t="s">
        <v>225</v>
      </c>
      <c r="B152">
        <v>4</v>
      </c>
      <c r="C152">
        <v>1</v>
      </c>
      <c r="D152">
        <v>19</v>
      </c>
      <c r="E152">
        <v>0</v>
      </c>
      <c r="F152">
        <v>1</v>
      </c>
      <c r="G152">
        <v>0</v>
      </c>
      <c r="H152" s="9">
        <v>272</v>
      </c>
      <c r="I152" s="4">
        <f t="shared" si="4"/>
        <v>6.985294117647059E-2</v>
      </c>
      <c r="K152" t="s">
        <v>225</v>
      </c>
      <c r="L152">
        <v>4</v>
      </c>
      <c r="M152" t="s">
        <v>439</v>
      </c>
      <c r="N152">
        <v>1</v>
      </c>
      <c r="O152">
        <v>32923</v>
      </c>
      <c r="P152">
        <v>816</v>
      </c>
      <c r="Q152" s="4">
        <f t="shared" si="5"/>
        <v>2.4785104638094947E-2</v>
      </c>
    </row>
    <row r="153" spans="1:17">
      <c r="A153" t="s">
        <v>225</v>
      </c>
      <c r="B153">
        <v>4</v>
      </c>
      <c r="C153">
        <v>2</v>
      </c>
      <c r="D153">
        <v>31</v>
      </c>
      <c r="E153">
        <v>0</v>
      </c>
      <c r="F153">
        <v>13</v>
      </c>
      <c r="G153">
        <v>0</v>
      </c>
      <c r="H153" s="9">
        <v>272</v>
      </c>
      <c r="I153" s="4">
        <f t="shared" si="4"/>
        <v>0.11397058823529412</v>
      </c>
      <c r="K153" t="s">
        <v>225</v>
      </c>
      <c r="L153">
        <v>4</v>
      </c>
      <c r="M153" t="s">
        <v>508</v>
      </c>
      <c r="N153">
        <v>2</v>
      </c>
      <c r="O153">
        <v>32923</v>
      </c>
      <c r="P153">
        <v>1492</v>
      </c>
      <c r="Q153" s="4">
        <f t="shared" si="5"/>
        <v>4.531786289220302E-2</v>
      </c>
    </row>
    <row r="154" spans="1:17">
      <c r="A154" t="s">
        <v>225</v>
      </c>
      <c r="B154">
        <v>4</v>
      </c>
      <c r="C154">
        <v>3</v>
      </c>
      <c r="D154">
        <v>66</v>
      </c>
      <c r="E154">
        <v>0</v>
      </c>
      <c r="F154">
        <v>11</v>
      </c>
      <c r="G154">
        <v>0</v>
      </c>
      <c r="H154" s="9">
        <v>272</v>
      </c>
      <c r="I154" s="4">
        <f t="shared" si="4"/>
        <v>0.24264705882352941</v>
      </c>
      <c r="K154" t="s">
        <v>225</v>
      </c>
      <c r="L154">
        <v>4</v>
      </c>
      <c r="M154" t="s">
        <v>505</v>
      </c>
      <c r="N154">
        <v>3</v>
      </c>
      <c r="O154">
        <v>32923</v>
      </c>
      <c r="P154">
        <v>2590</v>
      </c>
      <c r="Q154" s="4">
        <f t="shared" si="5"/>
        <v>7.8668408103757248E-2</v>
      </c>
    </row>
    <row r="155" spans="1:17">
      <c r="A155" t="s">
        <v>225</v>
      </c>
      <c r="B155">
        <v>4</v>
      </c>
      <c r="C155">
        <v>4</v>
      </c>
      <c r="D155">
        <v>101</v>
      </c>
      <c r="E155">
        <v>0</v>
      </c>
      <c r="F155">
        <v>9</v>
      </c>
      <c r="G155">
        <v>0</v>
      </c>
      <c r="H155" s="9">
        <v>272</v>
      </c>
      <c r="I155" s="4">
        <f t="shared" si="4"/>
        <v>0.37132352941176472</v>
      </c>
      <c r="K155" t="s">
        <v>225</v>
      </c>
      <c r="L155">
        <v>4</v>
      </c>
      <c r="M155" t="s">
        <v>504</v>
      </c>
      <c r="N155">
        <v>4</v>
      </c>
      <c r="O155">
        <v>32923</v>
      </c>
      <c r="P155">
        <v>2730</v>
      </c>
      <c r="Q155" s="4">
        <f t="shared" si="5"/>
        <v>8.2920754487744136E-2</v>
      </c>
    </row>
    <row r="156" spans="1:17">
      <c r="A156" t="s">
        <v>225</v>
      </c>
      <c r="B156">
        <v>4</v>
      </c>
      <c r="C156">
        <v>5</v>
      </c>
      <c r="D156">
        <v>140</v>
      </c>
      <c r="E156">
        <v>0</v>
      </c>
      <c r="F156">
        <v>10</v>
      </c>
      <c r="G156">
        <v>0</v>
      </c>
      <c r="H156" s="9">
        <v>272</v>
      </c>
      <c r="I156" s="4">
        <f t="shared" si="4"/>
        <v>0.51470588235294112</v>
      </c>
      <c r="K156" t="s">
        <v>225</v>
      </c>
      <c r="L156">
        <v>4</v>
      </c>
      <c r="M156" t="s">
        <v>863</v>
      </c>
      <c r="N156">
        <v>5</v>
      </c>
      <c r="O156">
        <v>32923</v>
      </c>
      <c r="P156">
        <v>3188</v>
      </c>
      <c r="Q156" s="4">
        <f t="shared" si="5"/>
        <v>9.6832001943929782E-2</v>
      </c>
    </row>
    <row r="157" spans="1:17">
      <c r="A157" t="s">
        <v>225</v>
      </c>
      <c r="B157">
        <v>4</v>
      </c>
      <c r="C157">
        <v>6</v>
      </c>
      <c r="D157">
        <v>154</v>
      </c>
      <c r="E157">
        <v>0</v>
      </c>
      <c r="F157">
        <v>7</v>
      </c>
      <c r="G157">
        <v>0</v>
      </c>
      <c r="H157" s="9">
        <v>272</v>
      </c>
      <c r="I157" s="4">
        <f t="shared" si="4"/>
        <v>0.56617647058823528</v>
      </c>
      <c r="K157" t="s">
        <v>225</v>
      </c>
      <c r="L157">
        <v>4</v>
      </c>
      <c r="M157" t="s">
        <v>864</v>
      </c>
      <c r="N157">
        <v>6</v>
      </c>
      <c r="O157">
        <v>32923</v>
      </c>
      <c r="P157">
        <v>3682</v>
      </c>
      <c r="Q157" s="4">
        <f t="shared" si="5"/>
        <v>0.1118367098988549</v>
      </c>
    </row>
    <row r="158" spans="1:17">
      <c r="A158" t="s">
        <v>225</v>
      </c>
      <c r="B158">
        <v>4</v>
      </c>
      <c r="C158">
        <v>7</v>
      </c>
      <c r="D158">
        <v>175</v>
      </c>
      <c r="E158">
        <v>0</v>
      </c>
      <c r="F158">
        <v>5</v>
      </c>
      <c r="G158">
        <v>0</v>
      </c>
      <c r="H158" s="9">
        <v>272</v>
      </c>
      <c r="I158" s="4">
        <f t="shared" si="4"/>
        <v>0.64338235294117652</v>
      </c>
      <c r="K158" t="s">
        <v>225</v>
      </c>
      <c r="L158">
        <v>4</v>
      </c>
      <c r="M158" t="s">
        <v>507</v>
      </c>
      <c r="N158">
        <v>7</v>
      </c>
      <c r="O158">
        <v>32923</v>
      </c>
      <c r="P158">
        <v>6360</v>
      </c>
      <c r="Q158" s="4">
        <f t="shared" si="5"/>
        <v>0.19317802144397533</v>
      </c>
    </row>
    <row r="159" spans="1:17">
      <c r="A159" s="9" t="s">
        <v>225</v>
      </c>
      <c r="B159" s="9">
        <v>4</v>
      </c>
      <c r="C159" s="9">
        <v>8</v>
      </c>
      <c r="D159" s="9">
        <v>202</v>
      </c>
      <c r="E159" s="9">
        <v>0</v>
      </c>
      <c r="F159" s="9">
        <v>3</v>
      </c>
      <c r="G159" s="9">
        <v>0</v>
      </c>
      <c r="H159" s="9">
        <v>272</v>
      </c>
      <c r="I159" s="4">
        <f t="shared" si="4"/>
        <v>0.74264705882352944</v>
      </c>
      <c r="K159" t="s">
        <v>225</v>
      </c>
      <c r="L159">
        <v>4</v>
      </c>
      <c r="M159" t="s">
        <v>509</v>
      </c>
      <c r="N159">
        <v>8</v>
      </c>
      <c r="O159">
        <v>32923</v>
      </c>
      <c r="P159">
        <v>7288</v>
      </c>
      <c r="Q159" s="4">
        <f t="shared" si="5"/>
        <v>0.22136500318925978</v>
      </c>
    </row>
    <row r="160" spans="1:17">
      <c r="A160" t="s">
        <v>225</v>
      </c>
      <c r="B160">
        <v>4</v>
      </c>
      <c r="C160">
        <v>9</v>
      </c>
      <c r="D160">
        <v>234</v>
      </c>
      <c r="E160">
        <v>0</v>
      </c>
      <c r="F160">
        <v>1</v>
      </c>
      <c r="G160">
        <v>0</v>
      </c>
      <c r="H160" s="9">
        <v>272</v>
      </c>
      <c r="I160" s="4">
        <f t="shared" si="4"/>
        <v>0.86029411764705888</v>
      </c>
      <c r="K160" t="s">
        <v>225</v>
      </c>
      <c r="L160">
        <v>4</v>
      </c>
      <c r="M160" t="s">
        <v>510</v>
      </c>
      <c r="N160">
        <v>9</v>
      </c>
      <c r="O160">
        <v>32923</v>
      </c>
      <c r="P160">
        <v>7770</v>
      </c>
      <c r="Q160" s="4">
        <f t="shared" si="5"/>
        <v>0.23600522431127174</v>
      </c>
    </row>
    <row r="161" spans="1:17">
      <c r="A161" t="s">
        <v>225</v>
      </c>
      <c r="B161">
        <v>4</v>
      </c>
      <c r="C161">
        <v>10</v>
      </c>
      <c r="D161">
        <v>272</v>
      </c>
      <c r="E161">
        <v>0</v>
      </c>
      <c r="F161">
        <v>0</v>
      </c>
      <c r="G161">
        <v>0</v>
      </c>
      <c r="H161" s="9">
        <v>272</v>
      </c>
      <c r="I161" s="4">
        <f t="shared" si="4"/>
        <v>1</v>
      </c>
      <c r="K161" t="s">
        <v>225</v>
      </c>
      <c r="L161">
        <v>4</v>
      </c>
      <c r="M161" t="s">
        <v>511</v>
      </c>
      <c r="N161">
        <v>10</v>
      </c>
      <c r="O161">
        <v>32923</v>
      </c>
      <c r="P161">
        <v>8714</v>
      </c>
      <c r="Q161" s="4">
        <f t="shared" si="5"/>
        <v>0.26467818850044045</v>
      </c>
    </row>
    <row r="162" spans="1:17">
      <c r="A162" t="s">
        <v>225</v>
      </c>
      <c r="B162">
        <v>8</v>
      </c>
      <c r="C162">
        <v>1</v>
      </c>
      <c r="D162">
        <v>19</v>
      </c>
      <c r="E162">
        <v>0</v>
      </c>
      <c r="F162">
        <v>1</v>
      </c>
      <c r="G162">
        <v>0</v>
      </c>
      <c r="H162" s="9">
        <v>162</v>
      </c>
      <c r="I162" s="4">
        <f t="shared" si="4"/>
        <v>0.11728395061728394</v>
      </c>
      <c r="K162" t="s">
        <v>225</v>
      </c>
      <c r="L162">
        <v>8</v>
      </c>
      <c r="M162" t="s">
        <v>439</v>
      </c>
      <c r="N162">
        <v>1</v>
      </c>
      <c r="O162">
        <v>12651</v>
      </c>
      <c r="P162">
        <v>759</v>
      </c>
      <c r="Q162" s="4">
        <f t="shared" si="5"/>
        <v>5.9995257291913684E-2</v>
      </c>
    </row>
    <row r="163" spans="1:17">
      <c r="A163" t="s">
        <v>225</v>
      </c>
      <c r="B163">
        <v>8</v>
      </c>
      <c r="C163">
        <v>2</v>
      </c>
      <c r="D163">
        <v>28</v>
      </c>
      <c r="E163">
        <v>0</v>
      </c>
      <c r="F163">
        <v>7</v>
      </c>
      <c r="G163">
        <v>0</v>
      </c>
      <c r="H163" s="9">
        <v>162</v>
      </c>
      <c r="I163" s="4">
        <f t="shared" si="4"/>
        <v>0.1728395061728395</v>
      </c>
      <c r="K163" t="s">
        <v>225</v>
      </c>
      <c r="L163">
        <v>8</v>
      </c>
      <c r="M163" t="s">
        <v>533</v>
      </c>
      <c r="N163">
        <v>2</v>
      </c>
      <c r="O163">
        <v>12651</v>
      </c>
      <c r="P163">
        <v>1268</v>
      </c>
      <c r="Q163" s="4">
        <f t="shared" si="5"/>
        <v>0.10022923089083867</v>
      </c>
    </row>
    <row r="164" spans="1:17">
      <c r="A164" t="s">
        <v>225</v>
      </c>
      <c r="B164">
        <v>8</v>
      </c>
      <c r="C164">
        <v>3</v>
      </c>
      <c r="D164">
        <v>56</v>
      </c>
      <c r="E164">
        <v>0</v>
      </c>
      <c r="F164">
        <v>13</v>
      </c>
      <c r="G164">
        <v>1</v>
      </c>
      <c r="H164" s="9">
        <v>162</v>
      </c>
      <c r="I164" s="4">
        <f t="shared" si="4"/>
        <v>0.34567901234567899</v>
      </c>
      <c r="K164" t="s">
        <v>225</v>
      </c>
      <c r="L164">
        <v>8</v>
      </c>
      <c r="M164" t="s">
        <v>865</v>
      </c>
      <c r="N164">
        <v>3</v>
      </c>
      <c r="O164">
        <v>12651</v>
      </c>
      <c r="P164">
        <v>2306</v>
      </c>
      <c r="Q164" s="4">
        <f t="shared" si="5"/>
        <v>0.18227808078412774</v>
      </c>
    </row>
    <row r="165" spans="1:17">
      <c r="A165" t="s">
        <v>225</v>
      </c>
      <c r="B165">
        <v>8</v>
      </c>
      <c r="C165">
        <v>4</v>
      </c>
      <c r="D165">
        <v>66</v>
      </c>
      <c r="E165">
        <v>0</v>
      </c>
      <c r="F165">
        <v>8</v>
      </c>
      <c r="G165">
        <v>0</v>
      </c>
      <c r="H165" s="9">
        <v>162</v>
      </c>
      <c r="I165" s="4">
        <f t="shared" si="4"/>
        <v>0.40740740740740738</v>
      </c>
      <c r="K165" t="s">
        <v>225</v>
      </c>
      <c r="L165">
        <v>8</v>
      </c>
      <c r="M165" t="s">
        <v>866</v>
      </c>
      <c r="N165">
        <v>4</v>
      </c>
      <c r="O165">
        <v>12651</v>
      </c>
      <c r="P165">
        <v>2307</v>
      </c>
      <c r="Q165" s="4">
        <f t="shared" si="5"/>
        <v>0.18235712591889969</v>
      </c>
    </row>
    <row r="166" spans="1:17">
      <c r="A166" t="s">
        <v>225</v>
      </c>
      <c r="B166">
        <v>8</v>
      </c>
      <c r="C166">
        <v>5</v>
      </c>
      <c r="D166">
        <v>95</v>
      </c>
      <c r="E166">
        <v>0</v>
      </c>
      <c r="F166">
        <v>8</v>
      </c>
      <c r="G166">
        <v>0</v>
      </c>
      <c r="H166" s="9">
        <v>162</v>
      </c>
      <c r="I166" s="4">
        <f t="shared" si="4"/>
        <v>0.5864197530864198</v>
      </c>
      <c r="K166" t="s">
        <v>225</v>
      </c>
      <c r="L166">
        <v>8</v>
      </c>
      <c r="M166" t="s">
        <v>867</v>
      </c>
      <c r="N166">
        <v>5</v>
      </c>
      <c r="O166">
        <v>12651</v>
      </c>
      <c r="P166">
        <v>2404</v>
      </c>
      <c r="Q166" s="4">
        <f t="shared" si="5"/>
        <v>0.19002450399177931</v>
      </c>
    </row>
    <row r="167" spans="1:17">
      <c r="A167" t="s">
        <v>225</v>
      </c>
      <c r="B167">
        <v>8</v>
      </c>
      <c r="C167">
        <v>6</v>
      </c>
      <c r="D167">
        <v>101</v>
      </c>
      <c r="E167">
        <v>0</v>
      </c>
      <c r="F167">
        <v>6</v>
      </c>
      <c r="G167">
        <v>0</v>
      </c>
      <c r="H167" s="9">
        <v>162</v>
      </c>
      <c r="I167" s="4">
        <f t="shared" si="4"/>
        <v>0.62345679012345678</v>
      </c>
      <c r="K167" t="s">
        <v>225</v>
      </c>
      <c r="L167">
        <v>8</v>
      </c>
      <c r="M167" t="s">
        <v>868</v>
      </c>
      <c r="N167">
        <v>6</v>
      </c>
      <c r="O167">
        <v>12651</v>
      </c>
      <c r="P167">
        <v>2478</v>
      </c>
      <c r="Q167" s="4">
        <f t="shared" si="5"/>
        <v>0.19587384396490395</v>
      </c>
    </row>
    <row r="168" spans="1:17">
      <c r="A168" t="s">
        <v>225</v>
      </c>
      <c r="B168">
        <v>8</v>
      </c>
      <c r="C168">
        <v>7</v>
      </c>
      <c r="D168">
        <v>107</v>
      </c>
      <c r="E168">
        <v>0</v>
      </c>
      <c r="F168">
        <v>3</v>
      </c>
      <c r="G168">
        <v>0</v>
      </c>
      <c r="H168" s="9">
        <v>162</v>
      </c>
      <c r="I168" s="4">
        <f t="shared" si="4"/>
        <v>0.66049382716049387</v>
      </c>
      <c r="K168" t="s">
        <v>225</v>
      </c>
      <c r="L168">
        <v>8</v>
      </c>
      <c r="M168" t="s">
        <v>869</v>
      </c>
      <c r="N168">
        <v>7</v>
      </c>
      <c r="O168">
        <v>12651</v>
      </c>
      <c r="P168">
        <v>2497</v>
      </c>
      <c r="Q168" s="4">
        <f t="shared" si="5"/>
        <v>0.1973757015255711</v>
      </c>
    </row>
    <row r="169" spans="1:17">
      <c r="A169" t="s">
        <v>225</v>
      </c>
      <c r="B169">
        <v>8</v>
      </c>
      <c r="C169">
        <v>8</v>
      </c>
      <c r="D169">
        <v>107</v>
      </c>
      <c r="E169">
        <v>0</v>
      </c>
      <c r="F169">
        <v>3</v>
      </c>
      <c r="G169">
        <v>0</v>
      </c>
      <c r="H169" s="9">
        <v>162</v>
      </c>
      <c r="I169" s="4">
        <f t="shared" si="4"/>
        <v>0.66049382716049387</v>
      </c>
      <c r="K169" t="s">
        <v>225</v>
      </c>
      <c r="L169">
        <v>8</v>
      </c>
      <c r="M169" t="s">
        <v>870</v>
      </c>
      <c r="N169">
        <v>8</v>
      </c>
      <c r="O169">
        <v>12651</v>
      </c>
      <c r="P169">
        <v>2514</v>
      </c>
      <c r="Q169" s="4">
        <f t="shared" si="5"/>
        <v>0.19871946881669433</v>
      </c>
    </row>
    <row r="170" spans="1:17">
      <c r="A170" t="s">
        <v>225</v>
      </c>
      <c r="B170">
        <v>8</v>
      </c>
      <c r="C170">
        <v>9</v>
      </c>
      <c r="D170">
        <v>140</v>
      </c>
      <c r="E170">
        <v>0</v>
      </c>
      <c r="F170">
        <v>1</v>
      </c>
      <c r="G170">
        <v>0</v>
      </c>
      <c r="H170" s="9">
        <v>162</v>
      </c>
      <c r="I170" s="4">
        <f t="shared" si="4"/>
        <v>0.86419753086419748</v>
      </c>
      <c r="K170" t="s">
        <v>225</v>
      </c>
      <c r="L170">
        <v>8</v>
      </c>
      <c r="M170" t="s">
        <v>535</v>
      </c>
      <c r="N170">
        <v>9</v>
      </c>
      <c r="O170">
        <v>12651</v>
      </c>
      <c r="P170">
        <v>4660</v>
      </c>
      <c r="Q170" s="4">
        <f t="shared" si="5"/>
        <v>0.36835032803730933</v>
      </c>
    </row>
    <row r="171" spans="1:17">
      <c r="A171" t="s">
        <v>225</v>
      </c>
      <c r="B171">
        <v>8</v>
      </c>
      <c r="C171">
        <v>10</v>
      </c>
      <c r="D171">
        <v>162</v>
      </c>
      <c r="E171">
        <v>0</v>
      </c>
      <c r="F171">
        <v>0</v>
      </c>
      <c r="G171">
        <v>0</v>
      </c>
      <c r="H171" s="9">
        <v>162</v>
      </c>
      <c r="I171" s="4">
        <f t="shared" si="4"/>
        <v>1</v>
      </c>
      <c r="K171" t="s">
        <v>225</v>
      </c>
      <c r="L171">
        <v>8</v>
      </c>
      <c r="M171" t="s">
        <v>536</v>
      </c>
      <c r="N171">
        <v>10</v>
      </c>
      <c r="O171">
        <v>12651</v>
      </c>
      <c r="P171">
        <v>6290</v>
      </c>
      <c r="Q171" s="4">
        <f t="shared" si="5"/>
        <v>0.49719389771559558</v>
      </c>
    </row>
    <row r="172" spans="1:17">
      <c r="A172" t="s">
        <v>225</v>
      </c>
      <c r="B172">
        <v>9</v>
      </c>
      <c r="C172">
        <v>1</v>
      </c>
      <c r="D172">
        <v>19</v>
      </c>
      <c r="E172">
        <v>0</v>
      </c>
      <c r="F172">
        <v>1</v>
      </c>
      <c r="G172">
        <v>0</v>
      </c>
      <c r="H172" s="9">
        <v>258</v>
      </c>
      <c r="I172" s="4">
        <f t="shared" si="4"/>
        <v>7.3643410852713184E-2</v>
      </c>
      <c r="K172" t="s">
        <v>225</v>
      </c>
      <c r="L172">
        <v>9</v>
      </c>
      <c r="M172" t="s">
        <v>439</v>
      </c>
      <c r="N172">
        <v>1</v>
      </c>
      <c r="O172">
        <v>32731</v>
      </c>
      <c r="P172">
        <v>797</v>
      </c>
      <c r="Q172" s="4">
        <f t="shared" si="5"/>
        <v>2.4350004582811401E-2</v>
      </c>
    </row>
    <row r="173" spans="1:17">
      <c r="A173" t="s">
        <v>225</v>
      </c>
      <c r="B173">
        <v>9</v>
      </c>
      <c r="C173">
        <v>2</v>
      </c>
      <c r="D173">
        <v>31</v>
      </c>
      <c r="E173">
        <v>0</v>
      </c>
      <c r="F173">
        <v>13</v>
      </c>
      <c r="G173">
        <v>0</v>
      </c>
      <c r="H173" s="9">
        <v>258</v>
      </c>
      <c r="I173" s="4">
        <f t="shared" si="4"/>
        <v>0.12015503875968993</v>
      </c>
      <c r="K173" t="s">
        <v>225</v>
      </c>
      <c r="L173">
        <v>9</v>
      </c>
      <c r="M173" t="s">
        <v>537</v>
      </c>
      <c r="N173">
        <v>2</v>
      </c>
      <c r="O173">
        <v>32731</v>
      </c>
      <c r="P173">
        <v>1512</v>
      </c>
      <c r="Q173" s="4">
        <f t="shared" si="5"/>
        <v>4.6194738932510464E-2</v>
      </c>
    </row>
    <row r="174" spans="1:17">
      <c r="A174" t="s">
        <v>225</v>
      </c>
      <c r="B174">
        <v>9</v>
      </c>
      <c r="C174">
        <v>3</v>
      </c>
      <c r="D174">
        <v>66</v>
      </c>
      <c r="E174">
        <v>0</v>
      </c>
      <c r="F174">
        <v>11</v>
      </c>
      <c r="G174">
        <v>0</v>
      </c>
      <c r="H174" s="9">
        <v>258</v>
      </c>
      <c r="I174" s="4">
        <f t="shared" si="4"/>
        <v>0.2558139534883721</v>
      </c>
      <c r="K174" t="s">
        <v>225</v>
      </c>
      <c r="L174">
        <v>9</v>
      </c>
      <c r="M174" t="s">
        <v>505</v>
      </c>
      <c r="N174">
        <v>3</v>
      </c>
      <c r="O174">
        <v>32731</v>
      </c>
      <c r="P174">
        <v>2469</v>
      </c>
      <c r="Q174" s="4">
        <f t="shared" si="5"/>
        <v>7.5433075677492287E-2</v>
      </c>
    </row>
    <row r="175" spans="1:17">
      <c r="A175" t="s">
        <v>225</v>
      </c>
      <c r="B175">
        <v>9</v>
      </c>
      <c r="C175">
        <v>4</v>
      </c>
      <c r="D175">
        <v>100</v>
      </c>
      <c r="E175">
        <v>0</v>
      </c>
      <c r="F175">
        <v>14</v>
      </c>
      <c r="G175">
        <v>1</v>
      </c>
      <c r="H175" s="9">
        <v>258</v>
      </c>
      <c r="I175" s="4">
        <f t="shared" si="4"/>
        <v>0.38759689922480622</v>
      </c>
      <c r="K175" t="s">
        <v>225</v>
      </c>
      <c r="L175">
        <v>9</v>
      </c>
      <c r="M175" t="s">
        <v>871</v>
      </c>
      <c r="N175">
        <v>4</v>
      </c>
      <c r="O175">
        <v>32731</v>
      </c>
      <c r="P175">
        <v>2559</v>
      </c>
      <c r="Q175" s="4">
        <f t="shared" si="5"/>
        <v>7.8182762518713145E-2</v>
      </c>
    </row>
    <row r="176" spans="1:17">
      <c r="A176" t="s">
        <v>225</v>
      </c>
      <c r="B176">
        <v>9</v>
      </c>
      <c r="C176">
        <v>5</v>
      </c>
      <c r="D176">
        <v>110</v>
      </c>
      <c r="E176">
        <v>0</v>
      </c>
      <c r="F176">
        <v>9</v>
      </c>
      <c r="G176">
        <v>0</v>
      </c>
      <c r="H176" s="9">
        <v>258</v>
      </c>
      <c r="I176" s="4">
        <f t="shared" si="4"/>
        <v>0.4263565891472868</v>
      </c>
      <c r="K176" t="s">
        <v>225</v>
      </c>
      <c r="L176">
        <v>9</v>
      </c>
      <c r="M176" t="s">
        <v>872</v>
      </c>
      <c r="N176">
        <v>5</v>
      </c>
      <c r="O176">
        <v>32731</v>
      </c>
      <c r="P176">
        <v>2590</v>
      </c>
      <c r="Q176" s="4">
        <f t="shared" si="5"/>
        <v>7.9129876875133662E-2</v>
      </c>
    </row>
    <row r="177" spans="1:17">
      <c r="A177" t="s">
        <v>225</v>
      </c>
      <c r="B177">
        <v>9</v>
      </c>
      <c r="C177">
        <v>6</v>
      </c>
      <c r="D177">
        <v>143</v>
      </c>
      <c r="E177">
        <v>0</v>
      </c>
      <c r="F177">
        <v>7</v>
      </c>
      <c r="G177">
        <v>0</v>
      </c>
      <c r="H177" s="9">
        <v>258</v>
      </c>
      <c r="I177" s="4">
        <f t="shared" si="4"/>
        <v>0.55426356589147285</v>
      </c>
      <c r="K177" t="s">
        <v>225</v>
      </c>
      <c r="L177">
        <v>9</v>
      </c>
      <c r="M177" t="s">
        <v>535</v>
      </c>
      <c r="N177">
        <v>6</v>
      </c>
      <c r="O177">
        <v>32731</v>
      </c>
      <c r="P177">
        <v>4758</v>
      </c>
      <c r="Q177" s="4">
        <f t="shared" si="5"/>
        <v>0.14536677767254286</v>
      </c>
    </row>
    <row r="178" spans="1:17">
      <c r="A178" t="s">
        <v>225</v>
      </c>
      <c r="B178">
        <v>9</v>
      </c>
      <c r="C178">
        <v>7</v>
      </c>
      <c r="D178">
        <v>165</v>
      </c>
      <c r="E178">
        <v>0</v>
      </c>
      <c r="F178">
        <v>5</v>
      </c>
      <c r="G178">
        <v>0</v>
      </c>
      <c r="H178" s="9">
        <v>258</v>
      </c>
      <c r="I178" s="4">
        <f t="shared" si="4"/>
        <v>0.63953488372093026</v>
      </c>
      <c r="K178" t="s">
        <v>225</v>
      </c>
      <c r="L178">
        <v>9</v>
      </c>
      <c r="M178" t="s">
        <v>536</v>
      </c>
      <c r="N178">
        <v>7</v>
      </c>
      <c r="O178">
        <v>32731</v>
      </c>
      <c r="P178">
        <v>6348</v>
      </c>
      <c r="Q178" s="4">
        <f t="shared" si="5"/>
        <v>0.1939445785341114</v>
      </c>
    </row>
    <row r="179" spans="1:17">
      <c r="A179" t="s">
        <v>225</v>
      </c>
      <c r="B179">
        <v>9</v>
      </c>
      <c r="C179">
        <v>8</v>
      </c>
      <c r="D179">
        <v>192</v>
      </c>
      <c r="E179">
        <v>0</v>
      </c>
      <c r="F179">
        <v>3</v>
      </c>
      <c r="G179">
        <v>0</v>
      </c>
      <c r="H179" s="9">
        <v>258</v>
      </c>
      <c r="I179" s="4">
        <f t="shared" si="4"/>
        <v>0.7441860465116279</v>
      </c>
      <c r="K179" t="s">
        <v>225</v>
      </c>
      <c r="L179">
        <v>9</v>
      </c>
      <c r="M179" t="s">
        <v>538</v>
      </c>
      <c r="N179">
        <v>8</v>
      </c>
      <c r="O179">
        <v>32731</v>
      </c>
      <c r="P179">
        <v>6995</v>
      </c>
      <c r="Q179" s="4">
        <f t="shared" si="5"/>
        <v>0.21371177171488803</v>
      </c>
    </row>
    <row r="180" spans="1:17">
      <c r="A180" t="s">
        <v>225</v>
      </c>
      <c r="B180">
        <v>9</v>
      </c>
      <c r="C180">
        <v>9</v>
      </c>
      <c r="D180">
        <v>223</v>
      </c>
      <c r="E180">
        <v>0</v>
      </c>
      <c r="F180">
        <v>1</v>
      </c>
      <c r="G180">
        <v>0</v>
      </c>
      <c r="H180" s="9">
        <v>258</v>
      </c>
      <c r="I180" s="4">
        <f t="shared" si="4"/>
        <v>0.86434108527131781</v>
      </c>
      <c r="K180" t="s">
        <v>225</v>
      </c>
      <c r="L180">
        <v>9</v>
      </c>
      <c r="M180" t="s">
        <v>539</v>
      </c>
      <c r="N180">
        <v>9</v>
      </c>
      <c r="O180">
        <v>32731</v>
      </c>
      <c r="P180">
        <v>8547</v>
      </c>
      <c r="Q180" s="4">
        <f t="shared" si="5"/>
        <v>0.26112859368794111</v>
      </c>
    </row>
    <row r="181" spans="1:17">
      <c r="A181" t="s">
        <v>225</v>
      </c>
      <c r="B181">
        <v>9</v>
      </c>
      <c r="C181">
        <v>10</v>
      </c>
      <c r="D181">
        <v>258</v>
      </c>
      <c r="E181">
        <v>0</v>
      </c>
      <c r="F181">
        <v>0</v>
      </c>
      <c r="G181">
        <v>0</v>
      </c>
      <c r="H181" s="9">
        <v>258</v>
      </c>
      <c r="I181" s="4">
        <f t="shared" si="4"/>
        <v>1</v>
      </c>
      <c r="K181" t="s">
        <v>225</v>
      </c>
      <c r="L181">
        <v>9</v>
      </c>
      <c r="M181" t="s">
        <v>540</v>
      </c>
      <c r="N181">
        <v>10</v>
      </c>
      <c r="O181">
        <v>32731</v>
      </c>
      <c r="P181">
        <v>8610</v>
      </c>
      <c r="Q181" s="4">
        <f t="shared" si="5"/>
        <v>0.26305337447679572</v>
      </c>
    </row>
    <row r="182" spans="1:17">
      <c r="A182" t="s">
        <v>225</v>
      </c>
      <c r="B182">
        <v>10</v>
      </c>
      <c r="C182">
        <v>1</v>
      </c>
      <c r="D182">
        <v>5</v>
      </c>
      <c r="E182">
        <v>0</v>
      </c>
      <c r="F182">
        <v>5</v>
      </c>
      <c r="G182">
        <v>0</v>
      </c>
      <c r="H182" s="9">
        <v>10</v>
      </c>
      <c r="I182" s="4">
        <f t="shared" si="4"/>
        <v>0.5</v>
      </c>
      <c r="K182" t="s">
        <v>225</v>
      </c>
      <c r="L182">
        <v>10</v>
      </c>
      <c r="M182" t="s">
        <v>2</v>
      </c>
      <c r="N182">
        <v>1</v>
      </c>
      <c r="O182">
        <v>1057</v>
      </c>
      <c r="P182">
        <v>224</v>
      </c>
      <c r="Q182" s="4">
        <f t="shared" si="5"/>
        <v>0.2119205298013245</v>
      </c>
    </row>
    <row r="183" spans="1:17">
      <c r="A183" t="s">
        <v>225</v>
      </c>
      <c r="B183">
        <v>10</v>
      </c>
      <c r="C183">
        <v>2</v>
      </c>
      <c r="D183">
        <v>9</v>
      </c>
      <c r="E183">
        <v>0</v>
      </c>
      <c r="F183">
        <v>1</v>
      </c>
      <c r="G183">
        <v>0</v>
      </c>
      <c r="H183" s="9">
        <v>10</v>
      </c>
      <c r="I183" s="4">
        <f t="shared" si="4"/>
        <v>0.9</v>
      </c>
      <c r="K183" t="s">
        <v>225</v>
      </c>
      <c r="L183">
        <v>10</v>
      </c>
      <c r="M183" t="s">
        <v>203</v>
      </c>
      <c r="N183">
        <v>2</v>
      </c>
      <c r="O183">
        <v>1057</v>
      </c>
      <c r="P183">
        <v>1007</v>
      </c>
      <c r="Q183" s="4">
        <f t="shared" si="5"/>
        <v>0.95269631031220436</v>
      </c>
    </row>
    <row r="184" spans="1:17">
      <c r="A184" t="s">
        <v>225</v>
      </c>
      <c r="B184">
        <v>11</v>
      </c>
      <c r="C184">
        <v>1</v>
      </c>
      <c r="D184">
        <v>18</v>
      </c>
      <c r="E184">
        <v>0</v>
      </c>
      <c r="F184">
        <v>1</v>
      </c>
      <c r="G184">
        <v>0</v>
      </c>
      <c r="H184" s="9">
        <v>53</v>
      </c>
      <c r="I184" s="4">
        <f t="shared" si="4"/>
        <v>0.33962264150943394</v>
      </c>
      <c r="K184" t="s">
        <v>225</v>
      </c>
      <c r="L184">
        <v>11</v>
      </c>
      <c r="M184" t="s">
        <v>2</v>
      </c>
      <c r="N184">
        <v>1</v>
      </c>
      <c r="O184">
        <v>9244</v>
      </c>
      <c r="P184">
        <v>371</v>
      </c>
      <c r="Q184" s="4">
        <f t="shared" si="5"/>
        <v>4.0134141064474251E-2</v>
      </c>
    </row>
    <row r="185" spans="1:17">
      <c r="A185" t="s">
        <v>225</v>
      </c>
      <c r="B185">
        <v>11</v>
      </c>
      <c r="C185">
        <v>2</v>
      </c>
      <c r="D185">
        <v>45</v>
      </c>
      <c r="E185">
        <v>0</v>
      </c>
      <c r="F185">
        <v>5</v>
      </c>
      <c r="G185">
        <v>0</v>
      </c>
      <c r="H185" s="9">
        <v>53</v>
      </c>
      <c r="I185" s="4">
        <f t="shared" si="4"/>
        <v>0.84905660377358494</v>
      </c>
      <c r="K185" t="s">
        <v>225</v>
      </c>
      <c r="L185">
        <v>11</v>
      </c>
      <c r="M185" t="s">
        <v>0</v>
      </c>
      <c r="N185">
        <v>2</v>
      </c>
      <c r="O185">
        <v>9244</v>
      </c>
      <c r="P185">
        <v>5950</v>
      </c>
      <c r="Q185" s="4">
        <f t="shared" si="5"/>
        <v>0.64366075292081348</v>
      </c>
    </row>
    <row r="186" spans="1:17">
      <c r="A186" t="s">
        <v>225</v>
      </c>
      <c r="B186">
        <v>11</v>
      </c>
      <c r="C186">
        <v>3</v>
      </c>
      <c r="D186">
        <v>51</v>
      </c>
      <c r="E186">
        <v>0</v>
      </c>
      <c r="F186">
        <v>2</v>
      </c>
      <c r="G186">
        <v>0</v>
      </c>
      <c r="H186" s="9">
        <v>53</v>
      </c>
      <c r="I186" s="4">
        <f t="shared" si="4"/>
        <v>0.96226415094339623</v>
      </c>
      <c r="K186" t="s">
        <v>225</v>
      </c>
      <c r="L186">
        <v>11</v>
      </c>
      <c r="M186" t="s">
        <v>1</v>
      </c>
      <c r="N186">
        <v>3</v>
      </c>
      <c r="O186">
        <v>9244</v>
      </c>
      <c r="P186">
        <v>8066</v>
      </c>
      <c r="Q186" s="4">
        <f t="shared" si="5"/>
        <v>0.87256598874945912</v>
      </c>
    </row>
    <row r="187" spans="1:17">
      <c r="A187" t="s">
        <v>225</v>
      </c>
      <c r="B187">
        <v>14</v>
      </c>
      <c r="C187">
        <v>1</v>
      </c>
      <c r="D187">
        <v>2</v>
      </c>
      <c r="E187">
        <v>0</v>
      </c>
      <c r="F187">
        <v>2</v>
      </c>
      <c r="G187">
        <v>0</v>
      </c>
      <c r="H187" s="9">
        <v>958</v>
      </c>
      <c r="I187" s="4">
        <f t="shared" si="4"/>
        <v>2.0876826722338203E-3</v>
      </c>
      <c r="K187" t="s">
        <v>225</v>
      </c>
      <c r="L187">
        <v>14</v>
      </c>
      <c r="M187" t="s">
        <v>179</v>
      </c>
      <c r="N187">
        <v>1</v>
      </c>
      <c r="O187">
        <v>71501</v>
      </c>
      <c r="P187">
        <v>2275</v>
      </c>
      <c r="Q187" s="4">
        <f t="shared" si="5"/>
        <v>3.181773681486972E-2</v>
      </c>
    </row>
    <row r="188" spans="1:17">
      <c r="A188" t="s">
        <v>225</v>
      </c>
      <c r="B188">
        <v>14</v>
      </c>
      <c r="C188">
        <v>2</v>
      </c>
      <c r="D188">
        <v>4</v>
      </c>
      <c r="E188">
        <v>0</v>
      </c>
      <c r="F188">
        <v>2</v>
      </c>
      <c r="G188">
        <v>0</v>
      </c>
      <c r="H188" s="9">
        <v>958</v>
      </c>
      <c r="I188" s="4">
        <f t="shared" si="4"/>
        <v>4.1753653444676405E-3</v>
      </c>
      <c r="K188" t="s">
        <v>225</v>
      </c>
      <c r="L188">
        <v>14</v>
      </c>
      <c r="M188" t="s">
        <v>203</v>
      </c>
      <c r="N188">
        <v>2</v>
      </c>
      <c r="O188">
        <v>71501</v>
      </c>
      <c r="P188">
        <v>2336</v>
      </c>
      <c r="Q188" s="4">
        <f t="shared" si="5"/>
        <v>3.2670871736059634E-2</v>
      </c>
    </row>
    <row r="189" spans="1:17">
      <c r="A189" t="s">
        <v>225</v>
      </c>
      <c r="B189">
        <v>14</v>
      </c>
      <c r="C189">
        <v>3</v>
      </c>
      <c r="D189">
        <v>5</v>
      </c>
      <c r="E189">
        <v>0</v>
      </c>
      <c r="F189">
        <v>1</v>
      </c>
      <c r="G189">
        <v>0</v>
      </c>
      <c r="H189" s="9">
        <v>958</v>
      </c>
      <c r="I189" s="4">
        <f t="shared" si="4"/>
        <v>5.2192066805845511E-3</v>
      </c>
      <c r="K189" t="s">
        <v>225</v>
      </c>
      <c r="L189">
        <v>14</v>
      </c>
      <c r="M189" t="s">
        <v>541</v>
      </c>
      <c r="N189">
        <v>3</v>
      </c>
      <c r="O189">
        <v>71501</v>
      </c>
      <c r="P189">
        <v>2395</v>
      </c>
      <c r="Q189" s="4">
        <f t="shared" si="5"/>
        <v>3.3496035020489222E-2</v>
      </c>
    </row>
    <row r="190" spans="1:17">
      <c r="A190" t="s">
        <v>225</v>
      </c>
      <c r="B190">
        <v>14</v>
      </c>
      <c r="C190">
        <v>4</v>
      </c>
      <c r="D190">
        <v>382</v>
      </c>
      <c r="E190">
        <v>0</v>
      </c>
      <c r="F190">
        <v>5</v>
      </c>
      <c r="G190">
        <v>0</v>
      </c>
      <c r="H190" s="9">
        <v>958</v>
      </c>
      <c r="I190" s="4">
        <f t="shared" si="4"/>
        <v>0.39874739039665968</v>
      </c>
      <c r="K190" t="s">
        <v>225</v>
      </c>
      <c r="L190">
        <v>14</v>
      </c>
      <c r="M190" t="s">
        <v>687</v>
      </c>
      <c r="N190">
        <v>4</v>
      </c>
      <c r="O190">
        <v>71501</v>
      </c>
      <c r="P190">
        <v>32721</v>
      </c>
      <c r="Q190" s="4">
        <f t="shared" si="5"/>
        <v>0.45762996321729765</v>
      </c>
    </row>
    <row r="191" spans="1:17">
      <c r="A191" t="s">
        <v>225</v>
      </c>
      <c r="B191">
        <v>14</v>
      </c>
      <c r="C191">
        <v>5</v>
      </c>
      <c r="D191">
        <v>383</v>
      </c>
      <c r="E191">
        <v>0</v>
      </c>
      <c r="F191">
        <v>4</v>
      </c>
      <c r="G191">
        <v>0</v>
      </c>
      <c r="H191" s="9">
        <v>958</v>
      </c>
      <c r="I191" s="4">
        <f t="shared" si="4"/>
        <v>0.39979123173277664</v>
      </c>
      <c r="K191" t="s">
        <v>225</v>
      </c>
      <c r="L191">
        <v>14</v>
      </c>
      <c r="M191" t="s">
        <v>690</v>
      </c>
      <c r="N191">
        <v>5</v>
      </c>
      <c r="O191">
        <v>71501</v>
      </c>
      <c r="P191">
        <v>32823</v>
      </c>
      <c r="Q191" s="4">
        <f t="shared" si="5"/>
        <v>0.45905651669207426</v>
      </c>
    </row>
    <row r="192" spans="1:17">
      <c r="A192" t="s">
        <v>225</v>
      </c>
      <c r="B192">
        <v>14</v>
      </c>
      <c r="C192">
        <v>6</v>
      </c>
      <c r="D192">
        <v>562</v>
      </c>
      <c r="E192">
        <v>0</v>
      </c>
      <c r="F192">
        <v>3</v>
      </c>
      <c r="G192">
        <v>0</v>
      </c>
      <c r="H192" s="9">
        <v>958</v>
      </c>
      <c r="I192" s="4">
        <f t="shared" si="4"/>
        <v>0.58663883089770352</v>
      </c>
      <c r="K192" t="s">
        <v>225</v>
      </c>
      <c r="L192">
        <v>14</v>
      </c>
      <c r="M192" t="s">
        <v>686</v>
      </c>
      <c r="N192">
        <v>6</v>
      </c>
      <c r="O192">
        <v>71501</v>
      </c>
      <c r="P192">
        <v>32999</v>
      </c>
      <c r="Q192" s="4">
        <f t="shared" si="5"/>
        <v>0.46151802072698284</v>
      </c>
    </row>
    <row r="193" spans="1:17">
      <c r="A193" t="s">
        <v>225</v>
      </c>
      <c r="B193">
        <v>14</v>
      </c>
      <c r="C193">
        <v>7</v>
      </c>
      <c r="D193">
        <v>564</v>
      </c>
      <c r="E193">
        <v>0</v>
      </c>
      <c r="F193">
        <v>1</v>
      </c>
      <c r="G193">
        <v>0</v>
      </c>
      <c r="H193" s="9">
        <v>958</v>
      </c>
      <c r="I193" s="4">
        <f t="shared" si="4"/>
        <v>0.58872651356993733</v>
      </c>
      <c r="K193" t="s">
        <v>225</v>
      </c>
      <c r="L193">
        <v>14</v>
      </c>
      <c r="M193" t="s">
        <v>688</v>
      </c>
      <c r="N193">
        <v>7</v>
      </c>
      <c r="O193">
        <v>71501</v>
      </c>
      <c r="P193">
        <v>33639</v>
      </c>
      <c r="Q193" s="4">
        <f t="shared" si="5"/>
        <v>0.47046894449028687</v>
      </c>
    </row>
    <row r="194" spans="1:17">
      <c r="A194" t="s">
        <v>225</v>
      </c>
      <c r="B194">
        <v>14</v>
      </c>
      <c r="C194">
        <v>8</v>
      </c>
      <c r="D194">
        <v>564</v>
      </c>
      <c r="E194">
        <v>0</v>
      </c>
      <c r="F194">
        <v>1</v>
      </c>
      <c r="G194">
        <v>0</v>
      </c>
      <c r="H194" s="9">
        <v>958</v>
      </c>
      <c r="I194" s="4">
        <f t="shared" si="4"/>
        <v>0.58872651356993733</v>
      </c>
      <c r="K194" t="s">
        <v>225</v>
      </c>
      <c r="L194">
        <v>14</v>
      </c>
      <c r="M194" t="s">
        <v>685</v>
      </c>
      <c r="N194">
        <v>8</v>
      </c>
      <c r="O194">
        <v>71501</v>
      </c>
      <c r="P194">
        <v>33758</v>
      </c>
      <c r="Q194" s="4">
        <f t="shared" si="5"/>
        <v>0.47213325687752616</v>
      </c>
    </row>
    <row r="195" spans="1:17">
      <c r="A195" t="s">
        <v>225</v>
      </c>
      <c r="B195">
        <v>14</v>
      </c>
      <c r="C195">
        <v>9</v>
      </c>
      <c r="D195">
        <v>726</v>
      </c>
      <c r="E195">
        <v>0</v>
      </c>
      <c r="F195">
        <v>4</v>
      </c>
      <c r="G195">
        <v>0</v>
      </c>
      <c r="H195" s="9">
        <v>958</v>
      </c>
      <c r="I195" s="4">
        <f t="shared" ref="I195:I258" si="6">D195/H195</f>
        <v>0.75782881002087688</v>
      </c>
      <c r="K195" t="s">
        <v>225</v>
      </c>
      <c r="L195">
        <v>14</v>
      </c>
      <c r="M195" t="s">
        <v>873</v>
      </c>
      <c r="N195">
        <v>9</v>
      </c>
      <c r="O195">
        <v>71501</v>
      </c>
      <c r="P195">
        <v>33870</v>
      </c>
      <c r="Q195" s="4">
        <f t="shared" ref="Q195:Q258" si="7">P195/O195</f>
        <v>0.4736996685361044</v>
      </c>
    </row>
    <row r="196" spans="1:17">
      <c r="A196" t="s">
        <v>225</v>
      </c>
      <c r="B196">
        <v>14</v>
      </c>
      <c r="C196">
        <v>10</v>
      </c>
      <c r="D196">
        <v>726</v>
      </c>
      <c r="E196">
        <v>0</v>
      </c>
      <c r="F196">
        <v>4</v>
      </c>
      <c r="G196">
        <v>0</v>
      </c>
      <c r="H196" s="9">
        <v>958</v>
      </c>
      <c r="I196" s="4">
        <f t="shared" si="6"/>
        <v>0.75782881002087688</v>
      </c>
      <c r="K196" t="s">
        <v>225</v>
      </c>
      <c r="L196">
        <v>14</v>
      </c>
      <c r="M196" t="s">
        <v>689</v>
      </c>
      <c r="N196">
        <v>10</v>
      </c>
      <c r="O196">
        <v>71501</v>
      </c>
      <c r="P196">
        <v>34530</v>
      </c>
      <c r="Q196" s="4">
        <f t="shared" si="7"/>
        <v>0.48293030866701164</v>
      </c>
    </row>
    <row r="197" spans="1:17">
      <c r="A197" t="s">
        <v>225</v>
      </c>
      <c r="B197">
        <v>14</v>
      </c>
      <c r="C197">
        <v>11</v>
      </c>
      <c r="D197">
        <v>727</v>
      </c>
      <c r="E197">
        <v>0</v>
      </c>
      <c r="F197">
        <v>3</v>
      </c>
      <c r="G197">
        <v>0</v>
      </c>
      <c r="H197" s="9">
        <v>958</v>
      </c>
      <c r="I197" s="4">
        <f t="shared" si="6"/>
        <v>0.75887265135699378</v>
      </c>
      <c r="K197" t="s">
        <v>225</v>
      </c>
      <c r="L197">
        <v>14</v>
      </c>
      <c r="M197" t="s">
        <v>874</v>
      </c>
      <c r="N197">
        <v>11</v>
      </c>
      <c r="O197">
        <v>71501</v>
      </c>
      <c r="P197">
        <v>35498</v>
      </c>
      <c r="Q197" s="4">
        <f t="shared" si="7"/>
        <v>0.49646858085900897</v>
      </c>
    </row>
    <row r="198" spans="1:17">
      <c r="A198" t="s">
        <v>225</v>
      </c>
      <c r="B198">
        <v>14</v>
      </c>
      <c r="C198">
        <v>12</v>
      </c>
      <c r="D198">
        <v>892</v>
      </c>
      <c r="E198">
        <v>0</v>
      </c>
      <c r="F198">
        <v>19</v>
      </c>
      <c r="G198">
        <v>0</v>
      </c>
      <c r="H198" s="9">
        <v>958</v>
      </c>
      <c r="I198" s="4">
        <f t="shared" si="6"/>
        <v>0.93110647181628392</v>
      </c>
      <c r="K198" t="s">
        <v>225</v>
      </c>
      <c r="L198">
        <v>14</v>
      </c>
      <c r="M198" t="s">
        <v>876</v>
      </c>
      <c r="N198">
        <v>12</v>
      </c>
      <c r="O198">
        <v>71501</v>
      </c>
      <c r="P198">
        <v>54123</v>
      </c>
      <c r="Q198" s="4">
        <f t="shared" si="7"/>
        <v>0.75695444818953583</v>
      </c>
    </row>
    <row r="199" spans="1:17">
      <c r="A199" t="s">
        <v>225</v>
      </c>
      <c r="B199">
        <v>14</v>
      </c>
      <c r="C199">
        <v>13</v>
      </c>
      <c r="D199">
        <v>909</v>
      </c>
      <c r="E199">
        <v>0</v>
      </c>
      <c r="F199">
        <v>2</v>
      </c>
      <c r="G199">
        <v>0</v>
      </c>
      <c r="H199" s="9">
        <v>958</v>
      </c>
      <c r="I199" s="4">
        <f t="shared" si="6"/>
        <v>0.94885177453027136</v>
      </c>
      <c r="K199" t="s">
        <v>225</v>
      </c>
      <c r="L199">
        <v>14</v>
      </c>
      <c r="M199" t="s">
        <v>875</v>
      </c>
      <c r="N199">
        <v>13</v>
      </c>
      <c r="O199">
        <v>71501</v>
      </c>
      <c r="P199">
        <v>56550</v>
      </c>
      <c r="Q199" s="4">
        <f t="shared" si="7"/>
        <v>0.79089802939819021</v>
      </c>
    </row>
    <row r="200" spans="1:17">
      <c r="A200" t="s">
        <v>225</v>
      </c>
      <c r="B200">
        <v>14</v>
      </c>
      <c r="C200">
        <v>14</v>
      </c>
      <c r="D200">
        <v>958</v>
      </c>
      <c r="E200">
        <v>0</v>
      </c>
      <c r="F200">
        <v>0</v>
      </c>
      <c r="G200">
        <v>0</v>
      </c>
      <c r="H200" s="9">
        <v>958</v>
      </c>
      <c r="I200" s="4">
        <f t="shared" si="6"/>
        <v>1</v>
      </c>
      <c r="K200" t="s">
        <v>225</v>
      </c>
      <c r="L200">
        <v>14</v>
      </c>
      <c r="M200" t="s">
        <v>877</v>
      </c>
      <c r="N200">
        <v>14</v>
      </c>
      <c r="O200">
        <v>71501</v>
      </c>
      <c r="P200">
        <v>56973</v>
      </c>
      <c r="Q200" s="4">
        <f t="shared" si="7"/>
        <v>0.79681403057299893</v>
      </c>
    </row>
    <row r="201" spans="1:17">
      <c r="A201" t="s">
        <v>225</v>
      </c>
      <c r="B201">
        <v>14</v>
      </c>
      <c r="C201">
        <v>15</v>
      </c>
      <c r="D201">
        <v>958</v>
      </c>
      <c r="E201">
        <v>0</v>
      </c>
      <c r="F201">
        <v>0</v>
      </c>
      <c r="G201">
        <v>0</v>
      </c>
      <c r="H201" s="9">
        <v>958</v>
      </c>
      <c r="I201" s="4">
        <f t="shared" si="6"/>
        <v>1</v>
      </c>
      <c r="K201" t="s">
        <v>225</v>
      </c>
      <c r="L201">
        <v>14</v>
      </c>
      <c r="M201" t="s">
        <v>878</v>
      </c>
      <c r="N201">
        <v>15</v>
      </c>
      <c r="O201">
        <v>71501</v>
      </c>
      <c r="P201">
        <v>57761</v>
      </c>
      <c r="Q201" s="4">
        <f t="shared" si="7"/>
        <v>0.80783485545656708</v>
      </c>
    </row>
    <row r="202" spans="1:17">
      <c r="A202" t="s">
        <v>225</v>
      </c>
      <c r="B202">
        <v>21</v>
      </c>
      <c r="C202">
        <v>1</v>
      </c>
      <c r="D202">
        <v>27</v>
      </c>
      <c r="E202">
        <v>0</v>
      </c>
      <c r="F202">
        <v>3</v>
      </c>
      <c r="G202">
        <v>0</v>
      </c>
      <c r="H202" s="9">
        <v>57</v>
      </c>
      <c r="I202" s="4">
        <f t="shared" si="6"/>
        <v>0.47368421052631576</v>
      </c>
      <c r="K202" t="s">
        <v>225</v>
      </c>
      <c r="L202">
        <v>21</v>
      </c>
      <c r="M202" t="s">
        <v>180</v>
      </c>
      <c r="N202">
        <v>1</v>
      </c>
      <c r="O202">
        <v>15664</v>
      </c>
      <c r="P202">
        <v>7941</v>
      </c>
      <c r="Q202" s="4">
        <f t="shared" si="7"/>
        <v>0.50695863125638407</v>
      </c>
    </row>
    <row r="203" spans="1:17">
      <c r="A203" t="s">
        <v>225</v>
      </c>
      <c r="B203">
        <v>21</v>
      </c>
      <c r="C203">
        <v>2</v>
      </c>
      <c r="D203">
        <v>49</v>
      </c>
      <c r="E203">
        <v>0</v>
      </c>
      <c r="F203">
        <v>4</v>
      </c>
      <c r="G203">
        <v>0</v>
      </c>
      <c r="H203" s="9">
        <v>57</v>
      </c>
      <c r="I203" s="4">
        <f t="shared" si="6"/>
        <v>0.85964912280701755</v>
      </c>
      <c r="K203" t="s">
        <v>225</v>
      </c>
      <c r="L203">
        <v>21</v>
      </c>
      <c r="M203" t="s">
        <v>179</v>
      </c>
      <c r="N203">
        <v>2</v>
      </c>
      <c r="O203">
        <v>15664</v>
      </c>
      <c r="P203">
        <v>8008</v>
      </c>
      <c r="Q203" s="4">
        <f t="shared" si="7"/>
        <v>0.5112359550561798</v>
      </c>
    </row>
    <row r="204" spans="1:17">
      <c r="A204" t="s">
        <v>225</v>
      </c>
      <c r="B204">
        <v>21</v>
      </c>
      <c r="C204">
        <v>3</v>
      </c>
      <c r="D204">
        <v>53</v>
      </c>
      <c r="E204">
        <v>0</v>
      </c>
      <c r="F204">
        <v>2</v>
      </c>
      <c r="G204">
        <v>0</v>
      </c>
      <c r="H204" s="9">
        <v>57</v>
      </c>
      <c r="I204" s="4">
        <f t="shared" si="6"/>
        <v>0.92982456140350878</v>
      </c>
      <c r="K204" t="s">
        <v>225</v>
      </c>
      <c r="L204">
        <v>21</v>
      </c>
      <c r="M204" t="s">
        <v>879</v>
      </c>
      <c r="N204">
        <v>3</v>
      </c>
      <c r="O204">
        <v>15664</v>
      </c>
      <c r="P204">
        <v>8034</v>
      </c>
      <c r="Q204" s="4">
        <f t="shared" si="7"/>
        <v>0.51289581205311541</v>
      </c>
    </row>
    <row r="205" spans="1:17">
      <c r="A205" t="s">
        <v>225</v>
      </c>
      <c r="B205">
        <v>21</v>
      </c>
      <c r="C205">
        <v>4</v>
      </c>
      <c r="D205">
        <v>57</v>
      </c>
      <c r="E205">
        <v>0</v>
      </c>
      <c r="F205">
        <v>0</v>
      </c>
      <c r="G205">
        <v>0</v>
      </c>
      <c r="H205" s="9">
        <v>57</v>
      </c>
      <c r="I205" s="4">
        <f t="shared" si="6"/>
        <v>1</v>
      </c>
      <c r="K205" t="s">
        <v>225</v>
      </c>
      <c r="L205">
        <v>21</v>
      </c>
      <c r="M205" t="s">
        <v>211</v>
      </c>
      <c r="N205">
        <v>4</v>
      </c>
      <c r="O205">
        <v>15664</v>
      </c>
      <c r="P205">
        <v>8046</v>
      </c>
      <c r="Q205" s="4">
        <f t="shared" si="7"/>
        <v>0.51366189989785493</v>
      </c>
    </row>
    <row r="206" spans="1:17">
      <c r="A206" t="s">
        <v>226</v>
      </c>
      <c r="B206">
        <v>2</v>
      </c>
      <c r="C206">
        <v>1</v>
      </c>
      <c r="D206">
        <v>47</v>
      </c>
      <c r="E206">
        <v>0</v>
      </c>
      <c r="F206">
        <v>7</v>
      </c>
      <c r="G206">
        <v>0</v>
      </c>
      <c r="H206" s="9">
        <v>65</v>
      </c>
      <c r="I206" s="4">
        <f t="shared" si="6"/>
        <v>0.72307692307692306</v>
      </c>
      <c r="K206" t="s">
        <v>226</v>
      </c>
      <c r="L206">
        <v>2</v>
      </c>
      <c r="M206" t="s">
        <v>880</v>
      </c>
      <c r="N206">
        <v>1</v>
      </c>
      <c r="O206">
        <v>17294</v>
      </c>
      <c r="P206">
        <v>10212</v>
      </c>
      <c r="Q206" s="4">
        <f t="shared" si="7"/>
        <v>0.59049381288308078</v>
      </c>
    </row>
    <row r="207" spans="1:17">
      <c r="A207" t="s">
        <v>226</v>
      </c>
      <c r="B207">
        <v>2</v>
      </c>
      <c r="C207">
        <v>2</v>
      </c>
      <c r="D207">
        <v>63</v>
      </c>
      <c r="E207">
        <v>0</v>
      </c>
      <c r="F207">
        <v>2</v>
      </c>
      <c r="G207">
        <v>0</v>
      </c>
      <c r="H207" s="9">
        <v>65</v>
      </c>
      <c r="I207" s="4">
        <f t="shared" si="6"/>
        <v>0.96923076923076923</v>
      </c>
      <c r="K207" t="s">
        <v>226</v>
      </c>
      <c r="L207">
        <v>2</v>
      </c>
      <c r="M207" t="s">
        <v>881</v>
      </c>
      <c r="N207">
        <v>2</v>
      </c>
      <c r="O207">
        <v>17294</v>
      </c>
      <c r="P207">
        <v>15226</v>
      </c>
      <c r="Q207" s="4">
        <f t="shared" si="7"/>
        <v>0.88042095524459352</v>
      </c>
    </row>
    <row r="208" spans="1:17">
      <c r="A208" t="s">
        <v>226</v>
      </c>
      <c r="B208">
        <v>3</v>
      </c>
      <c r="C208">
        <v>1</v>
      </c>
      <c r="D208">
        <v>7</v>
      </c>
      <c r="E208">
        <v>0</v>
      </c>
      <c r="F208">
        <v>1</v>
      </c>
      <c r="G208">
        <v>0</v>
      </c>
      <c r="H208" s="9">
        <v>147</v>
      </c>
      <c r="I208" s="4">
        <f t="shared" si="6"/>
        <v>4.7619047619047616E-2</v>
      </c>
      <c r="K208" t="s">
        <v>226</v>
      </c>
      <c r="L208">
        <v>3</v>
      </c>
      <c r="M208" t="s">
        <v>2</v>
      </c>
      <c r="N208">
        <v>1</v>
      </c>
      <c r="O208">
        <v>39175</v>
      </c>
      <c r="P208">
        <v>1427</v>
      </c>
      <c r="Q208" s="4">
        <f t="shared" si="7"/>
        <v>3.6426292278238674E-2</v>
      </c>
    </row>
    <row r="209" spans="1:17">
      <c r="A209" t="s">
        <v>226</v>
      </c>
      <c r="B209">
        <v>3</v>
      </c>
      <c r="C209">
        <v>2</v>
      </c>
      <c r="D209">
        <v>30</v>
      </c>
      <c r="E209">
        <v>0</v>
      </c>
      <c r="F209">
        <v>3</v>
      </c>
      <c r="G209">
        <v>0</v>
      </c>
      <c r="H209" s="9">
        <v>147</v>
      </c>
      <c r="I209" s="4">
        <f t="shared" si="6"/>
        <v>0.20408163265306123</v>
      </c>
      <c r="K209" t="s">
        <v>226</v>
      </c>
      <c r="L209">
        <v>3</v>
      </c>
      <c r="M209" t="s">
        <v>542</v>
      </c>
      <c r="N209">
        <v>2</v>
      </c>
      <c r="O209">
        <v>39175</v>
      </c>
      <c r="P209">
        <v>5593</v>
      </c>
      <c r="Q209" s="4">
        <f t="shared" si="7"/>
        <v>0.14276962348436503</v>
      </c>
    </row>
    <row r="210" spans="1:17">
      <c r="A210" t="s">
        <v>226</v>
      </c>
      <c r="B210">
        <v>3</v>
      </c>
      <c r="C210">
        <v>3</v>
      </c>
      <c r="D210">
        <v>45</v>
      </c>
      <c r="E210">
        <v>0</v>
      </c>
      <c r="F210">
        <v>6</v>
      </c>
      <c r="G210">
        <v>0</v>
      </c>
      <c r="H210" s="9">
        <v>147</v>
      </c>
      <c r="I210" s="4">
        <f t="shared" si="6"/>
        <v>0.30612244897959184</v>
      </c>
      <c r="K210" t="s">
        <v>226</v>
      </c>
      <c r="L210">
        <v>3</v>
      </c>
      <c r="M210" t="s">
        <v>882</v>
      </c>
      <c r="N210">
        <v>3</v>
      </c>
      <c r="O210">
        <v>39175</v>
      </c>
      <c r="P210">
        <v>8139</v>
      </c>
      <c r="Q210" s="4">
        <f t="shared" si="7"/>
        <v>0.20776005105296746</v>
      </c>
    </row>
    <row r="211" spans="1:17">
      <c r="A211" t="s">
        <v>226</v>
      </c>
      <c r="B211">
        <v>3</v>
      </c>
      <c r="C211">
        <v>4</v>
      </c>
      <c r="D211">
        <v>51</v>
      </c>
      <c r="E211">
        <v>0</v>
      </c>
      <c r="F211">
        <v>3</v>
      </c>
      <c r="G211">
        <v>0</v>
      </c>
      <c r="H211" s="9">
        <v>147</v>
      </c>
      <c r="I211" s="4">
        <f t="shared" si="6"/>
        <v>0.34693877551020408</v>
      </c>
      <c r="K211" t="s">
        <v>226</v>
      </c>
      <c r="L211">
        <v>3</v>
      </c>
      <c r="M211" t="s">
        <v>543</v>
      </c>
      <c r="N211">
        <v>4</v>
      </c>
      <c r="O211">
        <v>39175</v>
      </c>
      <c r="P211">
        <v>10271</v>
      </c>
      <c r="Q211" s="4">
        <f t="shared" si="7"/>
        <v>0.26218251435864709</v>
      </c>
    </row>
    <row r="212" spans="1:17">
      <c r="A212" t="s">
        <v>226</v>
      </c>
      <c r="B212">
        <v>3</v>
      </c>
      <c r="C212">
        <v>5</v>
      </c>
      <c r="D212">
        <v>147</v>
      </c>
      <c r="E212">
        <v>0</v>
      </c>
      <c r="F212">
        <v>0</v>
      </c>
      <c r="G212">
        <v>0</v>
      </c>
      <c r="H212" s="9">
        <v>147</v>
      </c>
      <c r="I212" s="4">
        <f t="shared" si="6"/>
        <v>1</v>
      </c>
      <c r="K212" t="s">
        <v>226</v>
      </c>
      <c r="L212">
        <v>3</v>
      </c>
      <c r="M212" t="s">
        <v>883</v>
      </c>
      <c r="N212">
        <v>5</v>
      </c>
      <c r="O212">
        <v>39175</v>
      </c>
      <c r="P212">
        <v>35733</v>
      </c>
      <c r="Q212" s="4">
        <f t="shared" si="7"/>
        <v>0.91213784301212508</v>
      </c>
    </row>
    <row r="213" spans="1:17">
      <c r="A213" t="s">
        <v>226</v>
      </c>
      <c r="B213">
        <v>3</v>
      </c>
      <c r="C213">
        <v>6</v>
      </c>
      <c r="D213">
        <v>147</v>
      </c>
      <c r="E213">
        <v>0</v>
      </c>
      <c r="F213">
        <v>0</v>
      </c>
      <c r="G213">
        <v>0</v>
      </c>
      <c r="H213" s="9">
        <v>147</v>
      </c>
      <c r="I213" s="4">
        <f t="shared" si="6"/>
        <v>1</v>
      </c>
      <c r="K213" t="s">
        <v>226</v>
      </c>
      <c r="L213">
        <v>3</v>
      </c>
      <c r="M213" t="s">
        <v>884</v>
      </c>
      <c r="N213">
        <v>6</v>
      </c>
      <c r="O213">
        <v>39175</v>
      </c>
      <c r="P213">
        <v>37717</v>
      </c>
      <c r="Q213" s="4">
        <f t="shared" si="7"/>
        <v>0.96278238672622851</v>
      </c>
    </row>
    <row r="214" spans="1:17">
      <c r="A214" t="s">
        <v>229</v>
      </c>
      <c r="B214">
        <v>3</v>
      </c>
      <c r="C214">
        <v>1</v>
      </c>
      <c r="D214">
        <v>626</v>
      </c>
      <c r="E214">
        <v>0</v>
      </c>
      <c r="F214">
        <v>2</v>
      </c>
      <c r="G214">
        <v>0</v>
      </c>
      <c r="H214" s="9">
        <v>654</v>
      </c>
      <c r="I214" s="4">
        <f t="shared" si="6"/>
        <v>0.95718654434250761</v>
      </c>
      <c r="K214" t="s">
        <v>229</v>
      </c>
      <c r="L214">
        <v>3</v>
      </c>
      <c r="M214" t="s">
        <v>2</v>
      </c>
      <c r="N214">
        <v>1</v>
      </c>
      <c r="O214">
        <v>62408</v>
      </c>
      <c r="P214">
        <v>54358</v>
      </c>
      <c r="Q214" s="4">
        <f t="shared" si="7"/>
        <v>0.87101012690680679</v>
      </c>
    </row>
    <row r="215" spans="1:17">
      <c r="A215" t="s">
        <v>229</v>
      </c>
      <c r="B215">
        <v>3</v>
      </c>
      <c r="C215">
        <v>2</v>
      </c>
      <c r="D215">
        <v>654</v>
      </c>
      <c r="E215">
        <v>0</v>
      </c>
      <c r="F215">
        <v>0</v>
      </c>
      <c r="G215">
        <v>0</v>
      </c>
      <c r="H215" s="9">
        <v>654</v>
      </c>
      <c r="I215" s="4">
        <f t="shared" si="6"/>
        <v>1</v>
      </c>
      <c r="K215" t="s">
        <v>229</v>
      </c>
      <c r="L215">
        <v>3</v>
      </c>
      <c r="M215" t="s">
        <v>203</v>
      </c>
      <c r="N215">
        <v>2</v>
      </c>
      <c r="O215">
        <v>62408</v>
      </c>
      <c r="P215">
        <v>56518</v>
      </c>
      <c r="Q215" s="4">
        <f t="shared" si="7"/>
        <v>0.90562107422125371</v>
      </c>
    </row>
    <row r="216" spans="1:17">
      <c r="A216" t="s">
        <v>230</v>
      </c>
      <c r="B216">
        <v>1</v>
      </c>
      <c r="C216">
        <v>1</v>
      </c>
      <c r="D216">
        <v>7</v>
      </c>
      <c r="E216">
        <v>0</v>
      </c>
      <c r="F216">
        <v>3</v>
      </c>
      <c r="G216">
        <v>0</v>
      </c>
      <c r="H216" s="9">
        <v>169</v>
      </c>
      <c r="I216" s="4">
        <f t="shared" si="6"/>
        <v>4.142011834319527E-2</v>
      </c>
      <c r="K216" t="s">
        <v>230</v>
      </c>
      <c r="L216">
        <v>1</v>
      </c>
      <c r="M216" t="s">
        <v>179</v>
      </c>
      <c r="N216">
        <v>1</v>
      </c>
      <c r="O216">
        <v>32342</v>
      </c>
      <c r="P216">
        <v>2100</v>
      </c>
      <c r="Q216" s="4">
        <f t="shared" si="7"/>
        <v>6.4931049409436642E-2</v>
      </c>
    </row>
    <row r="217" spans="1:17">
      <c r="A217" t="s">
        <v>230</v>
      </c>
      <c r="B217">
        <v>1</v>
      </c>
      <c r="C217">
        <v>2</v>
      </c>
      <c r="D217">
        <v>11</v>
      </c>
      <c r="E217">
        <v>0</v>
      </c>
      <c r="F217">
        <v>5</v>
      </c>
      <c r="G217">
        <v>0</v>
      </c>
      <c r="H217" s="9">
        <v>169</v>
      </c>
      <c r="I217" s="4">
        <f t="shared" si="6"/>
        <v>6.5088757396449703E-2</v>
      </c>
      <c r="K217" t="s">
        <v>230</v>
      </c>
      <c r="L217">
        <v>1</v>
      </c>
      <c r="M217" t="s">
        <v>885</v>
      </c>
      <c r="N217">
        <v>2</v>
      </c>
      <c r="O217">
        <v>32342</v>
      </c>
      <c r="P217">
        <v>2572</v>
      </c>
      <c r="Q217" s="4">
        <f t="shared" si="7"/>
        <v>7.9525075752890972E-2</v>
      </c>
    </row>
    <row r="218" spans="1:17">
      <c r="A218" t="s">
        <v>230</v>
      </c>
      <c r="B218">
        <v>1</v>
      </c>
      <c r="C218">
        <v>3</v>
      </c>
      <c r="D218">
        <v>15</v>
      </c>
      <c r="E218">
        <v>0</v>
      </c>
      <c r="F218">
        <v>7</v>
      </c>
      <c r="G218">
        <v>0</v>
      </c>
      <c r="H218" s="9">
        <v>169</v>
      </c>
      <c r="I218" s="4">
        <f t="shared" si="6"/>
        <v>8.8757396449704137E-2</v>
      </c>
      <c r="K218" t="s">
        <v>230</v>
      </c>
      <c r="L218">
        <v>1</v>
      </c>
      <c r="M218" t="s">
        <v>886</v>
      </c>
      <c r="N218">
        <v>3</v>
      </c>
      <c r="O218">
        <v>32342</v>
      </c>
      <c r="P218">
        <v>3139</v>
      </c>
      <c r="Q218" s="4">
        <f t="shared" si="7"/>
        <v>9.7056459093438865E-2</v>
      </c>
    </row>
    <row r="219" spans="1:17">
      <c r="A219" t="s">
        <v>230</v>
      </c>
      <c r="B219">
        <v>1</v>
      </c>
      <c r="C219">
        <v>4</v>
      </c>
      <c r="D219">
        <v>18</v>
      </c>
      <c r="E219">
        <v>0</v>
      </c>
      <c r="F219">
        <v>10</v>
      </c>
      <c r="G219">
        <v>0</v>
      </c>
      <c r="H219" s="9">
        <v>169</v>
      </c>
      <c r="I219" s="4">
        <f t="shared" si="6"/>
        <v>0.10650887573964497</v>
      </c>
      <c r="K219" t="s">
        <v>230</v>
      </c>
      <c r="L219">
        <v>1</v>
      </c>
      <c r="M219" t="s">
        <v>887</v>
      </c>
      <c r="N219">
        <v>4</v>
      </c>
      <c r="O219">
        <v>32342</v>
      </c>
      <c r="P219">
        <v>3259</v>
      </c>
      <c r="Q219" s="4">
        <f t="shared" si="7"/>
        <v>0.10076680477397811</v>
      </c>
    </row>
    <row r="220" spans="1:17">
      <c r="A220" t="s">
        <v>230</v>
      </c>
      <c r="B220">
        <v>1</v>
      </c>
      <c r="C220">
        <v>5</v>
      </c>
      <c r="D220">
        <v>21</v>
      </c>
      <c r="E220">
        <v>0</v>
      </c>
      <c r="F220">
        <v>10</v>
      </c>
      <c r="G220">
        <v>0</v>
      </c>
      <c r="H220" s="9">
        <v>169</v>
      </c>
      <c r="I220" s="4">
        <f t="shared" si="6"/>
        <v>0.1242603550295858</v>
      </c>
      <c r="K220" t="s">
        <v>230</v>
      </c>
      <c r="L220">
        <v>1</v>
      </c>
      <c r="M220" t="s">
        <v>888</v>
      </c>
      <c r="N220">
        <v>5</v>
      </c>
      <c r="O220">
        <v>32342</v>
      </c>
      <c r="P220">
        <v>3622</v>
      </c>
      <c r="Q220" s="4">
        <f t="shared" si="7"/>
        <v>0.11199060045760931</v>
      </c>
    </row>
    <row r="221" spans="1:17">
      <c r="A221" t="s">
        <v>230</v>
      </c>
      <c r="B221">
        <v>1</v>
      </c>
      <c r="C221">
        <v>6</v>
      </c>
      <c r="D221">
        <v>24</v>
      </c>
      <c r="E221">
        <v>0</v>
      </c>
      <c r="F221">
        <v>10</v>
      </c>
      <c r="G221">
        <v>0</v>
      </c>
      <c r="H221" s="9">
        <v>169</v>
      </c>
      <c r="I221" s="4">
        <f t="shared" si="6"/>
        <v>0.14201183431952663</v>
      </c>
      <c r="K221" t="s">
        <v>230</v>
      </c>
      <c r="L221">
        <v>1</v>
      </c>
      <c r="M221" t="s">
        <v>889</v>
      </c>
      <c r="N221">
        <v>6</v>
      </c>
      <c r="O221">
        <v>32342</v>
      </c>
      <c r="P221">
        <v>4124</v>
      </c>
      <c r="Q221" s="4">
        <f t="shared" si="7"/>
        <v>0.12751221322119843</v>
      </c>
    </row>
    <row r="222" spans="1:17">
      <c r="A222" t="s">
        <v>230</v>
      </c>
      <c r="B222">
        <v>1</v>
      </c>
      <c r="C222">
        <v>7</v>
      </c>
      <c r="D222">
        <v>39</v>
      </c>
      <c r="E222">
        <v>0</v>
      </c>
      <c r="F222">
        <v>11</v>
      </c>
      <c r="G222">
        <v>0</v>
      </c>
      <c r="H222" s="9">
        <v>169</v>
      </c>
      <c r="I222" s="4">
        <f t="shared" si="6"/>
        <v>0.23076923076923078</v>
      </c>
      <c r="K222" t="s">
        <v>230</v>
      </c>
      <c r="L222">
        <v>1</v>
      </c>
      <c r="M222" t="s">
        <v>204</v>
      </c>
      <c r="N222">
        <v>7</v>
      </c>
      <c r="O222">
        <v>32342</v>
      </c>
      <c r="P222">
        <v>6121</v>
      </c>
      <c r="Q222" s="4">
        <f t="shared" si="7"/>
        <v>0.1892585492548389</v>
      </c>
    </row>
    <row r="223" spans="1:17">
      <c r="A223" t="s">
        <v>230</v>
      </c>
      <c r="B223">
        <v>1</v>
      </c>
      <c r="C223">
        <v>8</v>
      </c>
      <c r="D223">
        <v>54</v>
      </c>
      <c r="E223">
        <v>0</v>
      </c>
      <c r="F223">
        <v>12</v>
      </c>
      <c r="G223">
        <v>0</v>
      </c>
      <c r="H223" s="9">
        <v>169</v>
      </c>
      <c r="I223" s="4">
        <f t="shared" si="6"/>
        <v>0.31952662721893493</v>
      </c>
      <c r="K223" t="s">
        <v>230</v>
      </c>
      <c r="L223">
        <v>1</v>
      </c>
      <c r="M223" t="s">
        <v>890</v>
      </c>
      <c r="N223">
        <v>8</v>
      </c>
      <c r="O223">
        <v>32342</v>
      </c>
      <c r="P223">
        <v>6650</v>
      </c>
      <c r="Q223" s="4">
        <f t="shared" si="7"/>
        <v>0.20561498979654938</v>
      </c>
    </row>
    <row r="224" spans="1:17">
      <c r="A224" t="s">
        <v>230</v>
      </c>
      <c r="B224">
        <v>1</v>
      </c>
      <c r="C224">
        <v>9</v>
      </c>
      <c r="D224">
        <v>68</v>
      </c>
      <c r="E224">
        <v>0</v>
      </c>
      <c r="F224">
        <v>9</v>
      </c>
      <c r="G224">
        <v>0</v>
      </c>
      <c r="H224" s="9">
        <v>169</v>
      </c>
      <c r="I224" s="4">
        <f t="shared" si="6"/>
        <v>0.40236686390532544</v>
      </c>
      <c r="K224" t="s">
        <v>230</v>
      </c>
      <c r="L224">
        <v>1</v>
      </c>
      <c r="M224" t="s">
        <v>541</v>
      </c>
      <c r="N224">
        <v>9</v>
      </c>
      <c r="O224">
        <v>32342</v>
      </c>
      <c r="P224">
        <v>6964</v>
      </c>
      <c r="Q224" s="4">
        <f t="shared" si="7"/>
        <v>0.21532372766062705</v>
      </c>
    </row>
    <row r="225" spans="1:17">
      <c r="A225" t="s">
        <v>230</v>
      </c>
      <c r="B225">
        <v>1</v>
      </c>
      <c r="C225">
        <v>10</v>
      </c>
      <c r="D225">
        <v>82</v>
      </c>
      <c r="E225">
        <v>0</v>
      </c>
      <c r="F225">
        <v>6</v>
      </c>
      <c r="G225">
        <v>0</v>
      </c>
      <c r="H225" s="9">
        <v>169</v>
      </c>
      <c r="I225" s="4">
        <f t="shared" si="6"/>
        <v>0.48520710059171596</v>
      </c>
      <c r="K225" t="s">
        <v>230</v>
      </c>
      <c r="L225">
        <v>1</v>
      </c>
      <c r="M225" t="s">
        <v>891</v>
      </c>
      <c r="N225">
        <v>10</v>
      </c>
      <c r="O225">
        <v>32342</v>
      </c>
      <c r="P225">
        <v>7444</v>
      </c>
      <c r="Q225" s="4">
        <f t="shared" si="7"/>
        <v>0.23016511038278401</v>
      </c>
    </row>
    <row r="226" spans="1:17">
      <c r="A226" t="s">
        <v>230</v>
      </c>
      <c r="B226">
        <v>1</v>
      </c>
      <c r="C226">
        <v>11</v>
      </c>
      <c r="D226">
        <v>109</v>
      </c>
      <c r="E226">
        <v>0</v>
      </c>
      <c r="F226">
        <v>6</v>
      </c>
      <c r="G226">
        <v>0</v>
      </c>
      <c r="H226" s="9">
        <v>169</v>
      </c>
      <c r="I226" s="4">
        <f t="shared" si="6"/>
        <v>0.6449704142011834</v>
      </c>
      <c r="K226" t="s">
        <v>230</v>
      </c>
      <c r="L226">
        <v>1</v>
      </c>
      <c r="M226" t="s">
        <v>892</v>
      </c>
      <c r="N226">
        <v>11</v>
      </c>
      <c r="O226">
        <v>32342</v>
      </c>
      <c r="P226">
        <v>8061</v>
      </c>
      <c r="Q226" s="4">
        <f t="shared" si="7"/>
        <v>0.24924247109022324</v>
      </c>
    </row>
    <row r="227" spans="1:17">
      <c r="A227" t="s">
        <v>230</v>
      </c>
      <c r="B227">
        <v>1</v>
      </c>
      <c r="C227">
        <v>12</v>
      </c>
      <c r="D227">
        <v>124</v>
      </c>
      <c r="E227">
        <v>0</v>
      </c>
      <c r="F227">
        <v>7</v>
      </c>
      <c r="G227">
        <v>0</v>
      </c>
      <c r="H227" s="9">
        <v>169</v>
      </c>
      <c r="I227" s="4">
        <f t="shared" si="6"/>
        <v>0.73372781065088755</v>
      </c>
      <c r="K227" t="s">
        <v>230</v>
      </c>
      <c r="L227">
        <v>1</v>
      </c>
      <c r="M227" t="s">
        <v>893</v>
      </c>
      <c r="N227">
        <v>12</v>
      </c>
      <c r="O227">
        <v>32342</v>
      </c>
      <c r="P227">
        <v>8174</v>
      </c>
      <c r="Q227" s="4">
        <f t="shared" si="7"/>
        <v>0.25273637993939768</v>
      </c>
    </row>
    <row r="228" spans="1:17">
      <c r="A228" t="s">
        <v>230</v>
      </c>
      <c r="B228">
        <v>1</v>
      </c>
      <c r="C228">
        <v>13</v>
      </c>
      <c r="D228">
        <v>126</v>
      </c>
      <c r="E228">
        <v>0</v>
      </c>
      <c r="F228">
        <v>5</v>
      </c>
      <c r="G228">
        <v>0</v>
      </c>
      <c r="H228" s="9">
        <v>169</v>
      </c>
      <c r="I228" s="4">
        <f t="shared" si="6"/>
        <v>0.74556213017751483</v>
      </c>
      <c r="K228" t="s">
        <v>230</v>
      </c>
      <c r="L228">
        <v>1</v>
      </c>
      <c r="M228" t="s">
        <v>894</v>
      </c>
      <c r="N228">
        <v>13</v>
      </c>
      <c r="O228">
        <v>32342</v>
      </c>
      <c r="P228">
        <v>8576</v>
      </c>
      <c r="Q228" s="4">
        <f t="shared" si="7"/>
        <v>0.26516603796920413</v>
      </c>
    </row>
    <row r="229" spans="1:17">
      <c r="A229" t="s">
        <v>230</v>
      </c>
      <c r="B229">
        <v>1</v>
      </c>
      <c r="C229">
        <v>14</v>
      </c>
      <c r="D229">
        <v>153</v>
      </c>
      <c r="E229">
        <v>0</v>
      </c>
      <c r="F229">
        <v>5</v>
      </c>
      <c r="G229">
        <v>0</v>
      </c>
      <c r="H229" s="9">
        <v>169</v>
      </c>
      <c r="I229" s="4">
        <f t="shared" si="6"/>
        <v>0.90532544378698221</v>
      </c>
      <c r="K229" t="s">
        <v>230</v>
      </c>
      <c r="L229">
        <v>1</v>
      </c>
      <c r="M229" t="s">
        <v>895</v>
      </c>
      <c r="N229">
        <v>14</v>
      </c>
      <c r="O229">
        <v>32342</v>
      </c>
      <c r="P229">
        <v>8584</v>
      </c>
      <c r="Q229" s="4">
        <f t="shared" si="7"/>
        <v>0.26541339434790673</v>
      </c>
    </row>
    <row r="230" spans="1:17">
      <c r="A230" t="s">
        <v>230</v>
      </c>
      <c r="B230">
        <v>1</v>
      </c>
      <c r="C230">
        <v>15</v>
      </c>
      <c r="D230">
        <v>155</v>
      </c>
      <c r="E230">
        <v>0</v>
      </c>
      <c r="F230">
        <v>3</v>
      </c>
      <c r="G230">
        <v>0</v>
      </c>
      <c r="H230" s="9">
        <v>169</v>
      </c>
      <c r="I230" s="4">
        <f t="shared" si="6"/>
        <v>0.91715976331360949</v>
      </c>
      <c r="K230" t="s">
        <v>230</v>
      </c>
      <c r="L230">
        <v>1</v>
      </c>
      <c r="M230" t="s">
        <v>896</v>
      </c>
      <c r="N230">
        <v>15</v>
      </c>
      <c r="O230">
        <v>32342</v>
      </c>
      <c r="P230">
        <v>9032</v>
      </c>
      <c r="Q230" s="4">
        <f t="shared" si="7"/>
        <v>0.27926535155525323</v>
      </c>
    </row>
    <row r="231" spans="1:17">
      <c r="A231" t="s">
        <v>230</v>
      </c>
      <c r="B231">
        <v>1</v>
      </c>
      <c r="C231">
        <v>16</v>
      </c>
      <c r="D231">
        <v>169</v>
      </c>
      <c r="E231">
        <v>0</v>
      </c>
      <c r="F231">
        <v>0</v>
      </c>
      <c r="G231">
        <v>0</v>
      </c>
      <c r="H231" s="9">
        <v>169</v>
      </c>
      <c r="I231" s="4">
        <f t="shared" si="6"/>
        <v>1</v>
      </c>
      <c r="K231" t="s">
        <v>230</v>
      </c>
      <c r="L231">
        <v>1</v>
      </c>
      <c r="M231" t="s">
        <v>897</v>
      </c>
      <c r="N231">
        <v>16</v>
      </c>
      <c r="O231">
        <v>32342</v>
      </c>
      <c r="P231">
        <v>10349</v>
      </c>
      <c r="Q231" s="4">
        <f t="shared" si="7"/>
        <v>0.31998639539917134</v>
      </c>
    </row>
    <row r="232" spans="1:17">
      <c r="A232" t="s">
        <v>231</v>
      </c>
      <c r="B232">
        <v>4</v>
      </c>
      <c r="C232">
        <v>1</v>
      </c>
      <c r="D232">
        <v>8</v>
      </c>
      <c r="E232">
        <v>0</v>
      </c>
      <c r="F232">
        <v>1</v>
      </c>
      <c r="G232">
        <v>0</v>
      </c>
      <c r="H232" s="9">
        <v>77</v>
      </c>
      <c r="I232" s="4">
        <f t="shared" si="6"/>
        <v>0.1038961038961039</v>
      </c>
      <c r="K232" t="s">
        <v>231</v>
      </c>
      <c r="L232">
        <v>4</v>
      </c>
      <c r="M232" t="s">
        <v>2</v>
      </c>
      <c r="N232">
        <v>1</v>
      </c>
      <c r="O232">
        <v>18021</v>
      </c>
      <c r="P232">
        <v>207</v>
      </c>
      <c r="Q232" s="4">
        <f t="shared" si="7"/>
        <v>1.1486598967870817E-2</v>
      </c>
    </row>
    <row r="233" spans="1:17">
      <c r="A233" t="s">
        <v>231</v>
      </c>
      <c r="B233">
        <v>4</v>
      </c>
      <c r="C233">
        <v>2</v>
      </c>
      <c r="D233">
        <v>20</v>
      </c>
      <c r="E233">
        <v>0</v>
      </c>
      <c r="F233">
        <v>2</v>
      </c>
      <c r="G233">
        <v>0</v>
      </c>
      <c r="H233" s="9">
        <v>77</v>
      </c>
      <c r="I233" s="4">
        <f t="shared" si="6"/>
        <v>0.25974025974025972</v>
      </c>
      <c r="K233" t="s">
        <v>231</v>
      </c>
      <c r="L233">
        <v>4</v>
      </c>
      <c r="M233" t="s">
        <v>0</v>
      </c>
      <c r="N233">
        <v>2</v>
      </c>
      <c r="O233">
        <v>18021</v>
      </c>
      <c r="P233">
        <v>2140</v>
      </c>
      <c r="Q233" s="4">
        <f t="shared" si="7"/>
        <v>0.11875034681760169</v>
      </c>
    </row>
    <row r="234" spans="1:17">
      <c r="A234" t="s">
        <v>231</v>
      </c>
      <c r="B234">
        <v>4</v>
      </c>
      <c r="C234">
        <v>3</v>
      </c>
      <c r="D234">
        <v>41</v>
      </c>
      <c r="E234">
        <v>0</v>
      </c>
      <c r="F234">
        <v>7</v>
      </c>
      <c r="G234">
        <v>0</v>
      </c>
      <c r="H234" s="9">
        <v>77</v>
      </c>
      <c r="I234" s="4">
        <f t="shared" si="6"/>
        <v>0.53246753246753242</v>
      </c>
      <c r="K234" t="s">
        <v>231</v>
      </c>
      <c r="L234">
        <v>4</v>
      </c>
      <c r="M234" t="s">
        <v>898</v>
      </c>
      <c r="N234">
        <v>3</v>
      </c>
      <c r="O234">
        <v>18021</v>
      </c>
      <c r="P234">
        <v>5548</v>
      </c>
      <c r="Q234" s="4">
        <f t="shared" si="7"/>
        <v>0.30786304866544589</v>
      </c>
    </row>
    <row r="235" spans="1:17">
      <c r="A235" t="s">
        <v>231</v>
      </c>
      <c r="B235">
        <v>4</v>
      </c>
      <c r="C235">
        <v>4</v>
      </c>
      <c r="D235">
        <v>43</v>
      </c>
      <c r="E235">
        <v>0</v>
      </c>
      <c r="F235">
        <v>8</v>
      </c>
      <c r="G235">
        <v>0</v>
      </c>
      <c r="H235" s="9">
        <v>77</v>
      </c>
      <c r="I235" s="4">
        <f t="shared" si="6"/>
        <v>0.55844155844155841</v>
      </c>
      <c r="K235" t="s">
        <v>231</v>
      </c>
      <c r="L235">
        <v>4</v>
      </c>
      <c r="M235" t="s">
        <v>899</v>
      </c>
      <c r="N235">
        <v>4</v>
      </c>
      <c r="O235">
        <v>18021</v>
      </c>
      <c r="P235">
        <v>5601</v>
      </c>
      <c r="Q235" s="4">
        <f t="shared" si="7"/>
        <v>0.31080406192775095</v>
      </c>
    </row>
    <row r="236" spans="1:17">
      <c r="A236" t="s">
        <v>231</v>
      </c>
      <c r="B236">
        <v>4</v>
      </c>
      <c r="C236">
        <v>5</v>
      </c>
      <c r="D236">
        <v>48</v>
      </c>
      <c r="E236">
        <v>0</v>
      </c>
      <c r="F236">
        <v>8</v>
      </c>
      <c r="G236">
        <v>0</v>
      </c>
      <c r="H236" s="9">
        <v>77</v>
      </c>
      <c r="I236" s="4">
        <f t="shared" si="6"/>
        <v>0.62337662337662336</v>
      </c>
      <c r="K236" t="s">
        <v>231</v>
      </c>
      <c r="L236">
        <v>4</v>
      </c>
      <c r="M236" t="s">
        <v>233</v>
      </c>
      <c r="N236">
        <v>5</v>
      </c>
      <c r="O236">
        <v>18021</v>
      </c>
      <c r="P236">
        <v>5973</v>
      </c>
      <c r="Q236" s="4">
        <f t="shared" si="7"/>
        <v>0.33144664558015646</v>
      </c>
    </row>
    <row r="237" spans="1:17">
      <c r="A237" t="s">
        <v>231</v>
      </c>
      <c r="B237">
        <v>4</v>
      </c>
      <c r="C237">
        <v>6</v>
      </c>
      <c r="D237">
        <v>57</v>
      </c>
      <c r="E237">
        <v>0</v>
      </c>
      <c r="F237">
        <v>6</v>
      </c>
      <c r="G237">
        <v>0</v>
      </c>
      <c r="H237" s="9">
        <v>77</v>
      </c>
      <c r="I237" s="4">
        <f t="shared" si="6"/>
        <v>0.74025974025974028</v>
      </c>
      <c r="K237" t="s">
        <v>231</v>
      </c>
      <c r="L237">
        <v>4</v>
      </c>
      <c r="M237" t="s">
        <v>900</v>
      </c>
      <c r="N237">
        <v>6</v>
      </c>
      <c r="O237">
        <v>18021</v>
      </c>
      <c r="P237">
        <v>8921</v>
      </c>
      <c r="Q237" s="4">
        <f t="shared" si="7"/>
        <v>0.49503357194384329</v>
      </c>
    </row>
    <row r="238" spans="1:17">
      <c r="A238" t="s">
        <v>231</v>
      </c>
      <c r="B238">
        <v>4</v>
      </c>
      <c r="C238">
        <v>7</v>
      </c>
      <c r="D238">
        <v>73</v>
      </c>
      <c r="E238">
        <v>0</v>
      </c>
      <c r="F238">
        <v>4</v>
      </c>
      <c r="G238">
        <v>0</v>
      </c>
      <c r="H238" s="9">
        <v>77</v>
      </c>
      <c r="I238" s="4">
        <f t="shared" si="6"/>
        <v>0.94805194805194803</v>
      </c>
      <c r="K238" t="s">
        <v>231</v>
      </c>
      <c r="L238">
        <v>4</v>
      </c>
      <c r="M238" t="s">
        <v>901</v>
      </c>
      <c r="N238">
        <v>7</v>
      </c>
      <c r="O238">
        <v>18021</v>
      </c>
      <c r="P238">
        <v>13840</v>
      </c>
      <c r="Q238" s="4">
        <f t="shared" si="7"/>
        <v>0.76799289717551744</v>
      </c>
    </row>
    <row r="239" spans="1:17">
      <c r="A239" t="s">
        <v>231</v>
      </c>
      <c r="B239">
        <v>5</v>
      </c>
      <c r="C239">
        <v>1</v>
      </c>
      <c r="D239">
        <v>38</v>
      </c>
      <c r="E239">
        <v>0</v>
      </c>
      <c r="F239">
        <v>7</v>
      </c>
      <c r="G239">
        <v>0</v>
      </c>
      <c r="H239" s="9">
        <v>127</v>
      </c>
      <c r="I239" s="4">
        <f t="shared" si="6"/>
        <v>0.29921259842519687</v>
      </c>
      <c r="K239" t="s">
        <v>231</v>
      </c>
      <c r="L239">
        <v>5</v>
      </c>
      <c r="M239" t="s">
        <v>902</v>
      </c>
      <c r="N239">
        <v>1</v>
      </c>
      <c r="O239">
        <v>30565</v>
      </c>
      <c r="P239">
        <v>5875</v>
      </c>
      <c r="Q239" s="4">
        <f t="shared" si="7"/>
        <v>0.19221331588418125</v>
      </c>
    </row>
    <row r="240" spans="1:17">
      <c r="A240" t="s">
        <v>231</v>
      </c>
      <c r="B240">
        <v>5</v>
      </c>
      <c r="C240">
        <v>2</v>
      </c>
      <c r="D240">
        <v>41</v>
      </c>
      <c r="E240">
        <v>0</v>
      </c>
      <c r="F240">
        <v>10</v>
      </c>
      <c r="G240">
        <v>0</v>
      </c>
      <c r="H240" s="9">
        <v>127</v>
      </c>
      <c r="I240" s="4">
        <f t="shared" si="6"/>
        <v>0.32283464566929132</v>
      </c>
      <c r="K240" t="s">
        <v>231</v>
      </c>
      <c r="L240">
        <v>5</v>
      </c>
      <c r="M240" t="s">
        <v>554</v>
      </c>
      <c r="N240">
        <v>2</v>
      </c>
      <c r="O240">
        <v>30565</v>
      </c>
      <c r="P240">
        <v>6140</v>
      </c>
      <c r="Q240" s="4">
        <f t="shared" si="7"/>
        <v>0.20088336332406348</v>
      </c>
    </row>
    <row r="241" spans="1:17">
      <c r="A241" t="s">
        <v>231</v>
      </c>
      <c r="B241">
        <v>5</v>
      </c>
      <c r="C241">
        <v>3</v>
      </c>
      <c r="D241">
        <v>46</v>
      </c>
      <c r="E241">
        <v>0</v>
      </c>
      <c r="F241">
        <v>10</v>
      </c>
      <c r="G241">
        <v>0</v>
      </c>
      <c r="H241" s="9">
        <v>127</v>
      </c>
      <c r="I241" s="4">
        <f t="shared" si="6"/>
        <v>0.36220472440944884</v>
      </c>
      <c r="K241" t="s">
        <v>231</v>
      </c>
      <c r="L241">
        <v>5</v>
      </c>
      <c r="M241" t="s">
        <v>2</v>
      </c>
      <c r="N241">
        <v>3</v>
      </c>
      <c r="O241">
        <v>30565</v>
      </c>
      <c r="P241">
        <v>6252</v>
      </c>
      <c r="Q241" s="4">
        <f t="shared" si="7"/>
        <v>0.20454768526091935</v>
      </c>
    </row>
    <row r="242" spans="1:17">
      <c r="A242" t="s">
        <v>231</v>
      </c>
      <c r="B242">
        <v>5</v>
      </c>
      <c r="C242">
        <v>4</v>
      </c>
      <c r="D242">
        <v>49</v>
      </c>
      <c r="E242">
        <v>0</v>
      </c>
      <c r="F242">
        <v>10</v>
      </c>
      <c r="G242">
        <v>0</v>
      </c>
      <c r="H242" s="9">
        <v>127</v>
      </c>
      <c r="I242" s="4">
        <f t="shared" si="6"/>
        <v>0.38582677165354329</v>
      </c>
      <c r="K242" t="s">
        <v>231</v>
      </c>
      <c r="L242">
        <v>5</v>
      </c>
      <c r="M242" t="s">
        <v>903</v>
      </c>
      <c r="N242">
        <v>4</v>
      </c>
      <c r="O242">
        <v>30565</v>
      </c>
      <c r="P242">
        <v>6670</v>
      </c>
      <c r="Q242" s="4">
        <f t="shared" si="7"/>
        <v>0.21822345820382791</v>
      </c>
    </row>
    <row r="243" spans="1:17">
      <c r="A243" t="s">
        <v>231</v>
      </c>
      <c r="B243">
        <v>5</v>
      </c>
      <c r="C243">
        <v>5</v>
      </c>
      <c r="D243">
        <v>58</v>
      </c>
      <c r="E243">
        <v>0</v>
      </c>
      <c r="F243">
        <v>8</v>
      </c>
      <c r="G243">
        <v>0</v>
      </c>
      <c r="H243" s="9">
        <v>127</v>
      </c>
      <c r="I243" s="4">
        <f t="shared" si="6"/>
        <v>0.45669291338582679</v>
      </c>
      <c r="K243" t="s">
        <v>231</v>
      </c>
      <c r="L243">
        <v>5</v>
      </c>
      <c r="M243" t="s">
        <v>189</v>
      </c>
      <c r="N243">
        <v>5</v>
      </c>
      <c r="O243">
        <v>30565</v>
      </c>
      <c r="P243">
        <v>9539</v>
      </c>
      <c r="Q243" s="4">
        <f t="shared" si="7"/>
        <v>0.31208899067560936</v>
      </c>
    </row>
    <row r="244" spans="1:17">
      <c r="A244" t="s">
        <v>231</v>
      </c>
      <c r="B244">
        <v>5</v>
      </c>
      <c r="C244">
        <v>6</v>
      </c>
      <c r="D244">
        <v>74</v>
      </c>
      <c r="E244">
        <v>0</v>
      </c>
      <c r="F244">
        <v>6</v>
      </c>
      <c r="G244">
        <v>0</v>
      </c>
      <c r="H244" s="9">
        <v>127</v>
      </c>
      <c r="I244" s="4">
        <f t="shared" si="6"/>
        <v>0.58267716535433067</v>
      </c>
      <c r="K244" t="s">
        <v>231</v>
      </c>
      <c r="L244">
        <v>5</v>
      </c>
      <c r="M244" t="s">
        <v>555</v>
      </c>
      <c r="N244">
        <v>6</v>
      </c>
      <c r="O244">
        <v>30565</v>
      </c>
      <c r="P244">
        <v>14810</v>
      </c>
      <c r="Q244" s="4">
        <f t="shared" si="7"/>
        <v>0.48454114182888924</v>
      </c>
    </row>
    <row r="245" spans="1:17">
      <c r="A245" t="s">
        <v>231</v>
      </c>
      <c r="B245">
        <v>5</v>
      </c>
      <c r="C245">
        <v>7</v>
      </c>
      <c r="D245">
        <v>106</v>
      </c>
      <c r="E245">
        <v>0</v>
      </c>
      <c r="F245">
        <v>13</v>
      </c>
      <c r="G245">
        <v>0</v>
      </c>
      <c r="H245" s="9">
        <v>127</v>
      </c>
      <c r="I245" s="4">
        <f t="shared" si="6"/>
        <v>0.83464566929133854</v>
      </c>
      <c r="K245" t="s">
        <v>231</v>
      </c>
      <c r="L245">
        <v>5</v>
      </c>
      <c r="M245" t="s">
        <v>904</v>
      </c>
      <c r="N245">
        <v>7</v>
      </c>
      <c r="O245">
        <v>30565</v>
      </c>
      <c r="P245">
        <v>17404</v>
      </c>
      <c r="Q245" s="4">
        <f t="shared" si="7"/>
        <v>0.56940945525928355</v>
      </c>
    </row>
    <row r="246" spans="1:17">
      <c r="A246" t="s">
        <v>231</v>
      </c>
      <c r="B246">
        <v>5</v>
      </c>
      <c r="C246">
        <v>8</v>
      </c>
      <c r="D246">
        <v>123</v>
      </c>
      <c r="E246">
        <v>0</v>
      </c>
      <c r="F246">
        <v>4</v>
      </c>
      <c r="G246">
        <v>0</v>
      </c>
      <c r="H246" s="9">
        <v>127</v>
      </c>
      <c r="I246" s="4">
        <f t="shared" si="6"/>
        <v>0.96850393700787396</v>
      </c>
      <c r="K246" t="s">
        <v>231</v>
      </c>
      <c r="L246">
        <v>5</v>
      </c>
      <c r="M246" t="s">
        <v>905</v>
      </c>
      <c r="N246">
        <v>8</v>
      </c>
      <c r="O246">
        <v>30565</v>
      </c>
      <c r="P246">
        <v>19272</v>
      </c>
      <c r="Q246" s="4">
        <f t="shared" si="7"/>
        <v>0.63052511042041548</v>
      </c>
    </row>
    <row r="247" spans="1:17">
      <c r="A247" t="s">
        <v>231</v>
      </c>
      <c r="B247">
        <v>7</v>
      </c>
      <c r="C247">
        <v>1</v>
      </c>
      <c r="D247">
        <v>10</v>
      </c>
      <c r="E247">
        <v>0</v>
      </c>
      <c r="F247">
        <v>5</v>
      </c>
      <c r="G247">
        <v>0</v>
      </c>
      <c r="H247" s="9">
        <v>33</v>
      </c>
      <c r="I247" s="4">
        <f t="shared" si="6"/>
        <v>0.30303030303030304</v>
      </c>
      <c r="K247" t="s">
        <v>231</v>
      </c>
      <c r="L247">
        <v>7</v>
      </c>
      <c r="M247" t="s">
        <v>1</v>
      </c>
      <c r="N247">
        <v>1</v>
      </c>
      <c r="O247">
        <v>1000</v>
      </c>
      <c r="P247">
        <v>278</v>
      </c>
      <c r="Q247" s="4">
        <f t="shared" si="7"/>
        <v>0.27800000000000002</v>
      </c>
    </row>
    <row r="248" spans="1:17">
      <c r="A248" t="s">
        <v>231</v>
      </c>
      <c r="B248">
        <v>7</v>
      </c>
      <c r="C248">
        <v>2</v>
      </c>
      <c r="D248">
        <v>12</v>
      </c>
      <c r="E248">
        <v>0</v>
      </c>
      <c r="F248">
        <v>5</v>
      </c>
      <c r="G248">
        <v>0</v>
      </c>
      <c r="H248" s="9">
        <v>33</v>
      </c>
      <c r="I248" s="4">
        <f t="shared" si="6"/>
        <v>0.36363636363636365</v>
      </c>
      <c r="K248" t="s">
        <v>231</v>
      </c>
      <c r="L248">
        <v>7</v>
      </c>
      <c r="M248" t="s">
        <v>780</v>
      </c>
      <c r="N248">
        <v>2</v>
      </c>
      <c r="O248">
        <v>1000</v>
      </c>
      <c r="P248">
        <v>352</v>
      </c>
      <c r="Q248" s="4">
        <f t="shared" si="7"/>
        <v>0.35199999999999998</v>
      </c>
    </row>
    <row r="249" spans="1:17">
      <c r="A249" t="s">
        <v>231</v>
      </c>
      <c r="B249">
        <v>7</v>
      </c>
      <c r="C249">
        <v>3</v>
      </c>
      <c r="D249">
        <v>21</v>
      </c>
      <c r="E249">
        <v>0</v>
      </c>
      <c r="F249">
        <v>2</v>
      </c>
      <c r="G249">
        <v>0</v>
      </c>
      <c r="H249" s="9">
        <v>33</v>
      </c>
      <c r="I249" s="4">
        <f t="shared" si="6"/>
        <v>0.63636363636363635</v>
      </c>
      <c r="K249" t="s">
        <v>231</v>
      </c>
      <c r="L249">
        <v>7</v>
      </c>
      <c r="M249" t="s">
        <v>239</v>
      </c>
      <c r="N249">
        <v>3</v>
      </c>
      <c r="O249">
        <v>1000</v>
      </c>
      <c r="P249">
        <v>856</v>
      </c>
      <c r="Q249" s="4">
        <f t="shared" si="7"/>
        <v>0.85599999999999998</v>
      </c>
    </row>
    <row r="250" spans="1:17">
      <c r="A250" t="s">
        <v>231</v>
      </c>
      <c r="B250">
        <v>7</v>
      </c>
      <c r="C250">
        <v>4</v>
      </c>
      <c r="D250">
        <v>33</v>
      </c>
      <c r="E250">
        <v>0</v>
      </c>
      <c r="F250">
        <v>0</v>
      </c>
      <c r="G250">
        <v>0</v>
      </c>
      <c r="H250" s="9">
        <v>33</v>
      </c>
      <c r="I250" s="4">
        <f t="shared" si="6"/>
        <v>1</v>
      </c>
      <c r="K250" t="s">
        <v>231</v>
      </c>
      <c r="L250">
        <v>7</v>
      </c>
      <c r="M250" t="s">
        <v>2</v>
      </c>
      <c r="N250">
        <v>4</v>
      </c>
      <c r="O250">
        <v>1000</v>
      </c>
      <c r="P250">
        <v>2213</v>
      </c>
      <c r="Q250" s="4">
        <f t="shared" si="7"/>
        <v>2.2130000000000001</v>
      </c>
    </row>
    <row r="251" spans="1:17">
      <c r="A251" t="s">
        <v>231</v>
      </c>
      <c r="B251">
        <v>8</v>
      </c>
      <c r="C251">
        <v>1</v>
      </c>
      <c r="D251">
        <v>19</v>
      </c>
      <c r="E251">
        <v>0</v>
      </c>
      <c r="F251">
        <v>6</v>
      </c>
      <c r="G251">
        <v>0</v>
      </c>
      <c r="H251" s="9">
        <v>50</v>
      </c>
      <c r="I251" s="4">
        <f t="shared" si="6"/>
        <v>0.38</v>
      </c>
      <c r="K251" t="s">
        <v>231</v>
      </c>
      <c r="L251">
        <v>8</v>
      </c>
      <c r="M251" t="s">
        <v>209</v>
      </c>
      <c r="N251">
        <v>1</v>
      </c>
      <c r="O251">
        <v>1274</v>
      </c>
      <c r="P251">
        <v>370</v>
      </c>
      <c r="Q251" s="4">
        <f t="shared" si="7"/>
        <v>0.2904238618524333</v>
      </c>
    </row>
    <row r="252" spans="1:17">
      <c r="A252" t="s">
        <v>231</v>
      </c>
      <c r="B252">
        <v>8</v>
      </c>
      <c r="C252">
        <v>2</v>
      </c>
      <c r="D252">
        <v>28</v>
      </c>
      <c r="E252">
        <v>0</v>
      </c>
      <c r="F252">
        <v>4</v>
      </c>
      <c r="G252">
        <v>0</v>
      </c>
      <c r="H252" s="9">
        <v>50</v>
      </c>
      <c r="I252" s="4">
        <f t="shared" si="6"/>
        <v>0.56000000000000005</v>
      </c>
      <c r="K252" t="s">
        <v>231</v>
      </c>
      <c r="L252">
        <v>8</v>
      </c>
      <c r="M252" t="s">
        <v>180</v>
      </c>
      <c r="N252">
        <v>2</v>
      </c>
      <c r="O252">
        <v>1274</v>
      </c>
      <c r="P252">
        <v>623</v>
      </c>
      <c r="Q252" s="4">
        <f t="shared" si="7"/>
        <v>0.48901098901098899</v>
      </c>
    </row>
    <row r="253" spans="1:17">
      <c r="A253" t="s">
        <v>231</v>
      </c>
      <c r="B253">
        <v>8</v>
      </c>
      <c r="C253">
        <v>3</v>
      </c>
      <c r="D253">
        <v>34</v>
      </c>
      <c r="E253">
        <v>0</v>
      </c>
      <c r="F253">
        <v>4</v>
      </c>
      <c r="G253">
        <v>0</v>
      </c>
      <c r="H253" s="9">
        <v>50</v>
      </c>
      <c r="I253" s="4">
        <f t="shared" si="6"/>
        <v>0.68</v>
      </c>
      <c r="K253" t="s">
        <v>231</v>
      </c>
      <c r="L253">
        <v>8</v>
      </c>
      <c r="M253" t="s">
        <v>211</v>
      </c>
      <c r="N253">
        <v>3</v>
      </c>
      <c r="O253">
        <v>1274</v>
      </c>
      <c r="P253">
        <v>671</v>
      </c>
      <c r="Q253" s="4">
        <f t="shared" si="7"/>
        <v>0.5266875981161695</v>
      </c>
    </row>
    <row r="254" spans="1:17">
      <c r="A254" t="s">
        <v>231</v>
      </c>
      <c r="B254">
        <v>8</v>
      </c>
      <c r="C254">
        <v>4</v>
      </c>
      <c r="D254">
        <v>44</v>
      </c>
      <c r="E254">
        <v>0</v>
      </c>
      <c r="F254">
        <v>2</v>
      </c>
      <c r="G254">
        <v>0</v>
      </c>
      <c r="H254" s="9">
        <v>50</v>
      </c>
      <c r="I254" s="4">
        <f t="shared" si="6"/>
        <v>0.88</v>
      </c>
      <c r="K254" t="s">
        <v>231</v>
      </c>
      <c r="L254">
        <v>8</v>
      </c>
      <c r="M254" t="s">
        <v>879</v>
      </c>
      <c r="N254">
        <v>4</v>
      </c>
      <c r="O254">
        <v>1274</v>
      </c>
      <c r="P254">
        <v>673</v>
      </c>
      <c r="Q254" s="4">
        <f t="shared" si="7"/>
        <v>0.52825745682888536</v>
      </c>
    </row>
    <row r="255" spans="1:17">
      <c r="A255" t="s">
        <v>231</v>
      </c>
      <c r="B255">
        <v>8</v>
      </c>
      <c r="C255">
        <v>5</v>
      </c>
      <c r="D255">
        <v>50</v>
      </c>
      <c r="E255">
        <v>0</v>
      </c>
      <c r="F255">
        <v>0</v>
      </c>
      <c r="G255">
        <v>0</v>
      </c>
      <c r="H255" s="9">
        <v>50</v>
      </c>
      <c r="I255" s="4">
        <f t="shared" si="6"/>
        <v>1</v>
      </c>
      <c r="K255" t="s">
        <v>231</v>
      </c>
      <c r="L255">
        <v>8</v>
      </c>
      <c r="M255" t="s">
        <v>906</v>
      </c>
      <c r="N255">
        <v>5</v>
      </c>
      <c r="O255">
        <v>1274</v>
      </c>
      <c r="P255">
        <v>893</v>
      </c>
      <c r="Q255" s="4">
        <f t="shared" si="7"/>
        <v>0.7009419152276295</v>
      </c>
    </row>
    <row r="256" spans="1:17">
      <c r="A256" t="s">
        <v>231</v>
      </c>
      <c r="B256">
        <v>9</v>
      </c>
      <c r="C256">
        <v>1</v>
      </c>
      <c r="D256">
        <v>7</v>
      </c>
      <c r="E256">
        <v>0</v>
      </c>
      <c r="F256">
        <v>5</v>
      </c>
      <c r="G256">
        <v>0</v>
      </c>
      <c r="H256" s="9">
        <v>36</v>
      </c>
      <c r="I256" s="4">
        <f t="shared" si="6"/>
        <v>0.19444444444444445</v>
      </c>
      <c r="K256" t="s">
        <v>231</v>
      </c>
      <c r="L256">
        <v>9</v>
      </c>
      <c r="M256" t="s">
        <v>557</v>
      </c>
      <c r="N256">
        <v>1</v>
      </c>
      <c r="O256">
        <v>1063</v>
      </c>
      <c r="P256">
        <v>261</v>
      </c>
      <c r="Q256" s="4">
        <f t="shared" si="7"/>
        <v>0.24553151458137348</v>
      </c>
    </row>
    <row r="257" spans="1:17">
      <c r="A257" t="s">
        <v>231</v>
      </c>
      <c r="B257">
        <v>9</v>
      </c>
      <c r="C257">
        <v>2</v>
      </c>
      <c r="D257">
        <v>11</v>
      </c>
      <c r="E257">
        <v>0</v>
      </c>
      <c r="F257">
        <v>6</v>
      </c>
      <c r="G257">
        <v>0</v>
      </c>
      <c r="H257" s="9">
        <v>36</v>
      </c>
      <c r="I257" s="4">
        <f t="shared" si="6"/>
        <v>0.30555555555555558</v>
      </c>
      <c r="K257" t="s">
        <v>231</v>
      </c>
      <c r="L257">
        <v>9</v>
      </c>
      <c r="M257" t="s">
        <v>559</v>
      </c>
      <c r="N257">
        <v>2</v>
      </c>
      <c r="O257">
        <v>1063</v>
      </c>
      <c r="P257">
        <v>262</v>
      </c>
      <c r="Q257" s="4">
        <f t="shared" si="7"/>
        <v>0.24647224835371589</v>
      </c>
    </row>
    <row r="258" spans="1:17">
      <c r="A258" t="s">
        <v>231</v>
      </c>
      <c r="B258">
        <v>9</v>
      </c>
      <c r="C258">
        <v>3</v>
      </c>
      <c r="D258">
        <v>12</v>
      </c>
      <c r="E258">
        <v>0</v>
      </c>
      <c r="F258">
        <v>5</v>
      </c>
      <c r="G258">
        <v>0</v>
      </c>
      <c r="H258" s="9">
        <v>36</v>
      </c>
      <c r="I258" s="4">
        <f t="shared" si="6"/>
        <v>0.33333333333333331</v>
      </c>
      <c r="K258" t="s">
        <v>231</v>
      </c>
      <c r="L258">
        <v>9</v>
      </c>
      <c r="M258" t="s">
        <v>558</v>
      </c>
      <c r="N258">
        <v>3</v>
      </c>
      <c r="O258">
        <v>1063</v>
      </c>
      <c r="P258">
        <v>264</v>
      </c>
      <c r="Q258" s="4">
        <f t="shared" si="7"/>
        <v>0.24835371589840075</v>
      </c>
    </row>
    <row r="259" spans="1:17">
      <c r="A259" t="s">
        <v>231</v>
      </c>
      <c r="B259">
        <v>9</v>
      </c>
      <c r="C259">
        <v>4</v>
      </c>
      <c r="D259">
        <v>17</v>
      </c>
      <c r="E259">
        <v>0</v>
      </c>
      <c r="F259">
        <v>5</v>
      </c>
      <c r="G259">
        <v>0</v>
      </c>
      <c r="H259" s="9">
        <v>36</v>
      </c>
      <c r="I259" s="4">
        <f t="shared" ref="I259:I322" si="8">D259/H259</f>
        <v>0.47222222222222221</v>
      </c>
      <c r="K259" t="s">
        <v>231</v>
      </c>
      <c r="L259">
        <v>9</v>
      </c>
      <c r="M259" t="s">
        <v>560</v>
      </c>
      <c r="N259">
        <v>4</v>
      </c>
      <c r="O259">
        <v>1063</v>
      </c>
      <c r="P259">
        <v>312</v>
      </c>
      <c r="Q259" s="4">
        <f t="shared" ref="Q259:Q322" si="9">P259/O259</f>
        <v>0.29350893697083724</v>
      </c>
    </row>
    <row r="260" spans="1:17">
      <c r="A260" t="s">
        <v>231</v>
      </c>
      <c r="B260">
        <v>9</v>
      </c>
      <c r="C260">
        <v>5</v>
      </c>
      <c r="D260">
        <v>21</v>
      </c>
      <c r="E260">
        <v>0</v>
      </c>
      <c r="F260">
        <v>5</v>
      </c>
      <c r="G260">
        <v>0</v>
      </c>
      <c r="H260" s="9">
        <v>36</v>
      </c>
      <c r="I260" s="4">
        <f t="shared" si="8"/>
        <v>0.58333333333333337</v>
      </c>
      <c r="K260" t="s">
        <v>231</v>
      </c>
      <c r="L260">
        <v>9</v>
      </c>
      <c r="M260" t="s">
        <v>561</v>
      </c>
      <c r="N260">
        <v>5</v>
      </c>
      <c r="O260">
        <v>1063</v>
      </c>
      <c r="P260">
        <v>337</v>
      </c>
      <c r="Q260" s="4">
        <f t="shared" si="9"/>
        <v>0.31702728127939794</v>
      </c>
    </row>
    <row r="261" spans="1:17">
      <c r="A261" t="s">
        <v>231</v>
      </c>
      <c r="B261">
        <v>9</v>
      </c>
      <c r="C261">
        <v>6</v>
      </c>
      <c r="D261">
        <v>22</v>
      </c>
      <c r="E261">
        <v>0</v>
      </c>
      <c r="F261">
        <v>4</v>
      </c>
      <c r="G261">
        <v>0</v>
      </c>
      <c r="H261" s="9">
        <v>36</v>
      </c>
      <c r="I261" s="4">
        <f t="shared" si="8"/>
        <v>0.61111111111111116</v>
      </c>
      <c r="K261" t="s">
        <v>231</v>
      </c>
      <c r="L261">
        <v>9</v>
      </c>
      <c r="M261" t="s">
        <v>562</v>
      </c>
      <c r="N261">
        <v>6</v>
      </c>
      <c r="O261">
        <v>1063</v>
      </c>
      <c r="P261">
        <v>339</v>
      </c>
      <c r="Q261" s="4">
        <f t="shared" si="9"/>
        <v>0.31890874882408277</v>
      </c>
    </row>
    <row r="262" spans="1:17">
      <c r="A262" t="s">
        <v>231</v>
      </c>
      <c r="B262">
        <v>9</v>
      </c>
      <c r="C262">
        <v>7</v>
      </c>
      <c r="D262">
        <v>23</v>
      </c>
      <c r="E262">
        <v>0</v>
      </c>
      <c r="F262">
        <v>3</v>
      </c>
      <c r="G262">
        <v>0</v>
      </c>
      <c r="H262" s="9">
        <v>36</v>
      </c>
      <c r="I262" s="4">
        <f t="shared" si="8"/>
        <v>0.63888888888888884</v>
      </c>
      <c r="K262" t="s">
        <v>231</v>
      </c>
      <c r="L262">
        <v>9</v>
      </c>
      <c r="M262" t="s">
        <v>565</v>
      </c>
      <c r="N262">
        <v>7</v>
      </c>
      <c r="O262">
        <v>1063</v>
      </c>
      <c r="P262">
        <v>340</v>
      </c>
      <c r="Q262" s="4">
        <f t="shared" si="9"/>
        <v>0.31984948259642521</v>
      </c>
    </row>
    <row r="263" spans="1:17">
      <c r="A263" t="s">
        <v>231</v>
      </c>
      <c r="B263">
        <v>9</v>
      </c>
      <c r="C263">
        <v>8</v>
      </c>
      <c r="D263">
        <v>23</v>
      </c>
      <c r="E263">
        <v>0</v>
      </c>
      <c r="F263">
        <v>3</v>
      </c>
      <c r="G263">
        <v>0</v>
      </c>
      <c r="H263" s="9">
        <v>36</v>
      </c>
      <c r="I263" s="4">
        <f t="shared" si="8"/>
        <v>0.63888888888888884</v>
      </c>
      <c r="K263" t="s">
        <v>231</v>
      </c>
      <c r="L263">
        <v>9</v>
      </c>
      <c r="M263" t="s">
        <v>564</v>
      </c>
      <c r="N263">
        <v>8</v>
      </c>
      <c r="O263">
        <v>1063</v>
      </c>
      <c r="P263">
        <v>344</v>
      </c>
      <c r="Q263" s="4">
        <f t="shared" si="9"/>
        <v>0.32361241768579491</v>
      </c>
    </row>
    <row r="264" spans="1:17">
      <c r="A264" t="s">
        <v>231</v>
      </c>
      <c r="B264">
        <v>9</v>
      </c>
      <c r="C264">
        <v>9</v>
      </c>
      <c r="D264">
        <v>23</v>
      </c>
      <c r="E264">
        <v>0</v>
      </c>
      <c r="F264">
        <v>3</v>
      </c>
      <c r="G264">
        <v>0</v>
      </c>
      <c r="H264" s="9">
        <v>36</v>
      </c>
      <c r="I264" s="4">
        <f t="shared" si="8"/>
        <v>0.63888888888888884</v>
      </c>
      <c r="K264" t="s">
        <v>231</v>
      </c>
      <c r="L264">
        <v>9</v>
      </c>
      <c r="M264" t="s">
        <v>566</v>
      </c>
      <c r="N264">
        <v>9</v>
      </c>
      <c r="O264">
        <v>1063</v>
      </c>
      <c r="P264">
        <v>349</v>
      </c>
      <c r="Q264" s="4">
        <f t="shared" si="9"/>
        <v>0.32831608654750705</v>
      </c>
    </row>
    <row r="265" spans="1:17">
      <c r="A265" t="s">
        <v>231</v>
      </c>
      <c r="B265">
        <v>9</v>
      </c>
      <c r="C265">
        <v>10</v>
      </c>
      <c r="D265">
        <v>23</v>
      </c>
      <c r="E265">
        <v>0</v>
      </c>
      <c r="F265">
        <v>3</v>
      </c>
      <c r="G265">
        <v>0</v>
      </c>
      <c r="H265" s="9">
        <v>36</v>
      </c>
      <c r="I265" s="4">
        <f t="shared" si="8"/>
        <v>0.63888888888888884</v>
      </c>
      <c r="K265" t="s">
        <v>231</v>
      </c>
      <c r="L265">
        <v>9</v>
      </c>
      <c r="M265" t="s">
        <v>563</v>
      </c>
      <c r="N265">
        <v>10</v>
      </c>
      <c r="O265">
        <v>1063</v>
      </c>
      <c r="P265">
        <v>350</v>
      </c>
      <c r="Q265" s="4">
        <f t="shared" si="9"/>
        <v>0.32925682031984949</v>
      </c>
    </row>
    <row r="266" spans="1:17">
      <c r="A266" t="s">
        <v>231</v>
      </c>
      <c r="B266">
        <v>9</v>
      </c>
      <c r="C266">
        <v>11</v>
      </c>
      <c r="D266">
        <v>24</v>
      </c>
      <c r="E266">
        <v>0</v>
      </c>
      <c r="F266">
        <v>2</v>
      </c>
      <c r="G266">
        <v>0</v>
      </c>
      <c r="H266" s="9">
        <v>36</v>
      </c>
      <c r="I266" s="4">
        <f t="shared" si="8"/>
        <v>0.66666666666666663</v>
      </c>
      <c r="K266" t="s">
        <v>231</v>
      </c>
      <c r="L266">
        <v>9</v>
      </c>
      <c r="M266" t="s">
        <v>205</v>
      </c>
      <c r="N266">
        <v>11</v>
      </c>
      <c r="O266">
        <v>1063</v>
      </c>
      <c r="P266">
        <v>351</v>
      </c>
      <c r="Q266" s="4">
        <f t="shared" si="9"/>
        <v>0.33019755409219192</v>
      </c>
    </row>
    <row r="267" spans="1:17">
      <c r="A267" t="s">
        <v>231</v>
      </c>
      <c r="B267">
        <v>9</v>
      </c>
      <c r="C267">
        <v>12</v>
      </c>
      <c r="D267">
        <v>24</v>
      </c>
      <c r="E267">
        <v>0</v>
      </c>
      <c r="F267">
        <v>2</v>
      </c>
      <c r="G267">
        <v>0</v>
      </c>
      <c r="H267" s="9">
        <v>36</v>
      </c>
      <c r="I267" s="4">
        <f t="shared" si="8"/>
        <v>0.66666666666666663</v>
      </c>
      <c r="K267" t="s">
        <v>231</v>
      </c>
      <c r="L267">
        <v>9</v>
      </c>
      <c r="M267" t="s">
        <v>567</v>
      </c>
      <c r="N267">
        <v>12</v>
      </c>
      <c r="O267">
        <v>1063</v>
      </c>
      <c r="P267">
        <v>409</v>
      </c>
      <c r="Q267" s="4">
        <f t="shared" si="9"/>
        <v>0.38476011288805267</v>
      </c>
    </row>
    <row r="268" spans="1:17">
      <c r="A268" t="s">
        <v>231</v>
      </c>
      <c r="B268">
        <v>9</v>
      </c>
      <c r="C268">
        <v>13</v>
      </c>
      <c r="D268">
        <v>24</v>
      </c>
      <c r="E268">
        <v>0</v>
      </c>
      <c r="F268">
        <v>2</v>
      </c>
      <c r="G268">
        <v>0</v>
      </c>
      <c r="H268" s="9">
        <v>36</v>
      </c>
      <c r="I268" s="4">
        <f t="shared" si="8"/>
        <v>0.66666666666666663</v>
      </c>
      <c r="K268" t="s">
        <v>231</v>
      </c>
      <c r="L268">
        <v>9</v>
      </c>
      <c r="M268" t="s">
        <v>568</v>
      </c>
      <c r="N268">
        <v>13</v>
      </c>
      <c r="O268">
        <v>1063</v>
      </c>
      <c r="P268">
        <v>422</v>
      </c>
      <c r="Q268" s="4">
        <f t="shared" si="9"/>
        <v>0.39698965192850422</v>
      </c>
    </row>
    <row r="269" spans="1:17">
      <c r="A269" t="s">
        <v>231</v>
      </c>
      <c r="B269">
        <v>9</v>
      </c>
      <c r="C269">
        <v>14</v>
      </c>
      <c r="D269">
        <v>28</v>
      </c>
      <c r="E269">
        <v>0</v>
      </c>
      <c r="F269">
        <v>3</v>
      </c>
      <c r="G269">
        <v>0</v>
      </c>
      <c r="H269" s="9">
        <v>36</v>
      </c>
      <c r="I269" s="4">
        <f t="shared" si="8"/>
        <v>0.77777777777777779</v>
      </c>
      <c r="K269" t="s">
        <v>231</v>
      </c>
      <c r="L269">
        <v>9</v>
      </c>
      <c r="M269" t="s">
        <v>569</v>
      </c>
      <c r="N269">
        <v>14</v>
      </c>
      <c r="O269">
        <v>1063</v>
      </c>
      <c r="P269">
        <v>473</v>
      </c>
      <c r="Q269" s="4">
        <f t="shared" si="9"/>
        <v>0.444967074317968</v>
      </c>
    </row>
    <row r="270" spans="1:17">
      <c r="A270" t="s">
        <v>231</v>
      </c>
      <c r="B270">
        <v>9</v>
      </c>
      <c r="C270">
        <v>15</v>
      </c>
      <c r="D270">
        <v>34</v>
      </c>
      <c r="E270">
        <v>0</v>
      </c>
      <c r="F270">
        <v>2</v>
      </c>
      <c r="G270">
        <v>0</v>
      </c>
      <c r="H270" s="9">
        <v>36</v>
      </c>
      <c r="I270" s="4">
        <f t="shared" si="8"/>
        <v>0.94444444444444442</v>
      </c>
      <c r="K270" t="s">
        <v>231</v>
      </c>
      <c r="L270">
        <v>9</v>
      </c>
      <c r="M270" t="s">
        <v>907</v>
      </c>
      <c r="N270">
        <v>15</v>
      </c>
      <c r="O270">
        <v>1063</v>
      </c>
      <c r="P270">
        <v>660</v>
      </c>
      <c r="Q270" s="4">
        <f t="shared" si="9"/>
        <v>0.62088428974600185</v>
      </c>
    </row>
    <row r="271" spans="1:17">
      <c r="A271" t="s">
        <v>231</v>
      </c>
      <c r="B271">
        <v>9</v>
      </c>
      <c r="C271">
        <v>16</v>
      </c>
      <c r="D271">
        <v>35</v>
      </c>
      <c r="E271">
        <v>0</v>
      </c>
      <c r="F271">
        <v>1</v>
      </c>
      <c r="G271">
        <v>0</v>
      </c>
      <c r="H271" s="9">
        <v>36</v>
      </c>
      <c r="I271" s="4">
        <f t="shared" si="8"/>
        <v>0.97222222222222221</v>
      </c>
      <c r="K271" t="s">
        <v>231</v>
      </c>
      <c r="L271">
        <v>9</v>
      </c>
      <c r="M271" t="s">
        <v>908</v>
      </c>
      <c r="N271">
        <v>16</v>
      </c>
      <c r="O271">
        <v>1063</v>
      </c>
      <c r="P271">
        <v>669</v>
      </c>
      <c r="Q271" s="4">
        <f t="shared" si="9"/>
        <v>0.62935089369708375</v>
      </c>
    </row>
    <row r="272" spans="1:17">
      <c r="A272" t="s">
        <v>231</v>
      </c>
      <c r="B272">
        <v>9</v>
      </c>
      <c r="C272">
        <v>17</v>
      </c>
      <c r="D272">
        <v>35</v>
      </c>
      <c r="E272">
        <v>0</v>
      </c>
      <c r="F272">
        <v>1</v>
      </c>
      <c r="G272">
        <v>0</v>
      </c>
      <c r="H272" s="9">
        <v>36</v>
      </c>
      <c r="I272" s="4">
        <f t="shared" si="8"/>
        <v>0.97222222222222221</v>
      </c>
      <c r="K272" t="s">
        <v>231</v>
      </c>
      <c r="L272">
        <v>9</v>
      </c>
      <c r="M272" t="s">
        <v>909</v>
      </c>
      <c r="N272">
        <v>17</v>
      </c>
      <c r="O272">
        <v>1063</v>
      </c>
      <c r="P272">
        <v>676</v>
      </c>
      <c r="Q272" s="4">
        <f t="shared" si="9"/>
        <v>0.63593603010348076</v>
      </c>
    </row>
    <row r="273" spans="1:17">
      <c r="A273" t="s">
        <v>231</v>
      </c>
      <c r="B273">
        <v>9</v>
      </c>
      <c r="C273">
        <v>18</v>
      </c>
      <c r="D273">
        <v>36</v>
      </c>
      <c r="E273">
        <v>0</v>
      </c>
      <c r="F273">
        <v>0</v>
      </c>
      <c r="G273">
        <v>0</v>
      </c>
      <c r="H273" s="9">
        <v>36</v>
      </c>
      <c r="I273" s="4">
        <f t="shared" si="8"/>
        <v>1</v>
      </c>
      <c r="K273" t="s">
        <v>231</v>
      </c>
      <c r="L273">
        <v>9</v>
      </c>
      <c r="M273" t="s">
        <v>910</v>
      </c>
      <c r="N273">
        <v>18</v>
      </c>
      <c r="O273">
        <v>1063</v>
      </c>
      <c r="P273">
        <v>749</v>
      </c>
      <c r="Q273" s="4">
        <f t="shared" si="9"/>
        <v>0.70460959548447788</v>
      </c>
    </row>
    <row r="274" spans="1:17">
      <c r="A274" t="s">
        <v>231</v>
      </c>
      <c r="B274">
        <v>9</v>
      </c>
      <c r="C274">
        <v>19</v>
      </c>
      <c r="D274">
        <v>36</v>
      </c>
      <c r="E274">
        <v>0</v>
      </c>
      <c r="F274">
        <v>0</v>
      </c>
      <c r="G274">
        <v>0</v>
      </c>
      <c r="H274" s="9">
        <v>36</v>
      </c>
      <c r="I274" s="4">
        <f t="shared" si="8"/>
        <v>1</v>
      </c>
      <c r="K274" t="s">
        <v>231</v>
      </c>
      <c r="L274">
        <v>9</v>
      </c>
      <c r="M274" t="s">
        <v>912</v>
      </c>
      <c r="N274">
        <v>19</v>
      </c>
      <c r="O274">
        <v>1063</v>
      </c>
      <c r="P274">
        <v>753</v>
      </c>
      <c r="Q274" s="4">
        <f t="shared" si="9"/>
        <v>0.70837253057384764</v>
      </c>
    </row>
    <row r="275" spans="1:17">
      <c r="A275" t="s">
        <v>231</v>
      </c>
      <c r="B275">
        <v>9</v>
      </c>
      <c r="C275">
        <v>20</v>
      </c>
      <c r="D275">
        <v>36</v>
      </c>
      <c r="E275">
        <v>0</v>
      </c>
      <c r="F275">
        <v>0</v>
      </c>
      <c r="G275">
        <v>0</v>
      </c>
      <c r="H275" s="9">
        <v>36</v>
      </c>
      <c r="I275" s="4">
        <f t="shared" si="8"/>
        <v>1</v>
      </c>
      <c r="K275" t="s">
        <v>231</v>
      </c>
      <c r="L275">
        <v>9</v>
      </c>
      <c r="M275" t="s">
        <v>911</v>
      </c>
      <c r="N275">
        <v>20</v>
      </c>
      <c r="O275">
        <v>1063</v>
      </c>
      <c r="P275">
        <v>761</v>
      </c>
      <c r="Q275" s="4">
        <f t="shared" si="9"/>
        <v>0.71589840075258704</v>
      </c>
    </row>
    <row r="276" spans="1:17">
      <c r="A276" t="s">
        <v>231</v>
      </c>
      <c r="B276">
        <v>10</v>
      </c>
      <c r="C276">
        <v>1</v>
      </c>
      <c r="D276">
        <v>22</v>
      </c>
      <c r="E276">
        <v>0</v>
      </c>
      <c r="F276">
        <v>7</v>
      </c>
      <c r="G276">
        <v>0</v>
      </c>
      <c r="H276" s="9">
        <v>30</v>
      </c>
      <c r="I276" s="4">
        <f t="shared" si="8"/>
        <v>0.73333333333333328</v>
      </c>
      <c r="K276" t="s">
        <v>231</v>
      </c>
      <c r="L276">
        <v>10</v>
      </c>
      <c r="M276" t="s">
        <v>233</v>
      </c>
      <c r="N276">
        <v>1</v>
      </c>
      <c r="O276">
        <v>1239</v>
      </c>
      <c r="P276">
        <v>1141</v>
      </c>
      <c r="Q276" s="4">
        <f t="shared" si="9"/>
        <v>0.92090395480225984</v>
      </c>
    </row>
    <row r="277" spans="1:17">
      <c r="A277" s="9" t="s">
        <v>231</v>
      </c>
      <c r="B277" s="9">
        <v>10</v>
      </c>
      <c r="C277" s="9">
        <v>2</v>
      </c>
      <c r="D277" s="9">
        <v>24</v>
      </c>
      <c r="E277" s="9">
        <v>0</v>
      </c>
      <c r="F277" s="9">
        <v>5</v>
      </c>
      <c r="G277" s="9">
        <v>0</v>
      </c>
      <c r="H277" s="9">
        <v>30</v>
      </c>
      <c r="I277" s="4">
        <f t="shared" si="8"/>
        <v>0.8</v>
      </c>
      <c r="K277" t="s">
        <v>231</v>
      </c>
      <c r="L277">
        <v>10</v>
      </c>
      <c r="M277" t="s">
        <v>780</v>
      </c>
      <c r="N277">
        <v>2</v>
      </c>
      <c r="O277">
        <v>1239</v>
      </c>
      <c r="P277">
        <v>1167</v>
      </c>
      <c r="Q277" s="4">
        <f t="shared" si="9"/>
        <v>0.9418886198547215</v>
      </c>
    </row>
    <row r="278" spans="1:17">
      <c r="A278" t="s">
        <v>231</v>
      </c>
      <c r="B278">
        <v>10</v>
      </c>
      <c r="C278">
        <v>3</v>
      </c>
      <c r="D278">
        <v>28</v>
      </c>
      <c r="E278">
        <v>0</v>
      </c>
      <c r="F278">
        <v>2</v>
      </c>
      <c r="G278">
        <v>0</v>
      </c>
      <c r="H278" s="9">
        <v>30</v>
      </c>
      <c r="I278" s="4">
        <f t="shared" si="8"/>
        <v>0.93333333333333335</v>
      </c>
      <c r="K278" t="s">
        <v>231</v>
      </c>
      <c r="L278">
        <v>10</v>
      </c>
      <c r="M278" t="s">
        <v>209</v>
      </c>
      <c r="N278">
        <v>3</v>
      </c>
      <c r="O278">
        <v>1239</v>
      </c>
      <c r="P278">
        <v>1171</v>
      </c>
      <c r="Q278" s="4">
        <f t="shared" si="9"/>
        <v>0.94511702986279256</v>
      </c>
    </row>
    <row r="279" spans="1:17">
      <c r="A279" t="s">
        <v>231</v>
      </c>
      <c r="B279">
        <v>10</v>
      </c>
      <c r="C279">
        <v>4</v>
      </c>
      <c r="D279">
        <v>28</v>
      </c>
      <c r="E279">
        <v>0</v>
      </c>
      <c r="F279">
        <v>2</v>
      </c>
      <c r="G279">
        <v>0</v>
      </c>
      <c r="H279" s="9">
        <v>30</v>
      </c>
      <c r="I279" s="4">
        <f t="shared" si="8"/>
        <v>0.93333333333333335</v>
      </c>
      <c r="K279" t="s">
        <v>231</v>
      </c>
      <c r="L279">
        <v>10</v>
      </c>
      <c r="M279" t="s">
        <v>541</v>
      </c>
      <c r="N279">
        <v>4</v>
      </c>
      <c r="O279">
        <v>1239</v>
      </c>
      <c r="P279">
        <v>1176</v>
      </c>
      <c r="Q279" s="4">
        <f t="shared" si="9"/>
        <v>0.94915254237288138</v>
      </c>
    </row>
    <row r="280" spans="1:17">
      <c r="A280" t="s">
        <v>231</v>
      </c>
      <c r="B280">
        <v>10</v>
      </c>
      <c r="C280">
        <v>5</v>
      </c>
      <c r="D280">
        <v>30</v>
      </c>
      <c r="E280">
        <v>0</v>
      </c>
      <c r="F280">
        <v>0</v>
      </c>
      <c r="G280">
        <v>0</v>
      </c>
      <c r="H280" s="9">
        <v>30</v>
      </c>
      <c r="I280" s="4">
        <f t="shared" si="8"/>
        <v>1</v>
      </c>
      <c r="K280" t="s">
        <v>231</v>
      </c>
      <c r="L280">
        <v>10</v>
      </c>
      <c r="M280" t="s">
        <v>239</v>
      </c>
      <c r="N280">
        <v>5</v>
      </c>
      <c r="O280">
        <v>1239</v>
      </c>
      <c r="P280">
        <v>1190</v>
      </c>
      <c r="Q280" s="4">
        <f t="shared" si="9"/>
        <v>0.96045197740112997</v>
      </c>
    </row>
    <row r="281" spans="1:17">
      <c r="A281" t="s">
        <v>231</v>
      </c>
      <c r="B281">
        <v>10</v>
      </c>
      <c r="C281">
        <v>6</v>
      </c>
      <c r="D281">
        <v>30</v>
      </c>
      <c r="E281">
        <v>0</v>
      </c>
      <c r="F281">
        <v>0</v>
      </c>
      <c r="G281">
        <v>0</v>
      </c>
      <c r="H281" s="9">
        <v>30</v>
      </c>
      <c r="I281" s="4">
        <f t="shared" si="8"/>
        <v>1</v>
      </c>
      <c r="K281" t="s">
        <v>231</v>
      </c>
      <c r="L281">
        <v>10</v>
      </c>
      <c r="M281" t="s">
        <v>234</v>
      </c>
      <c r="N281">
        <v>6</v>
      </c>
      <c r="O281">
        <v>1239</v>
      </c>
      <c r="P281">
        <v>1221</v>
      </c>
      <c r="Q281" s="4">
        <f t="shared" si="9"/>
        <v>0.98547215496368035</v>
      </c>
    </row>
    <row r="282" spans="1:17">
      <c r="A282" t="s">
        <v>231</v>
      </c>
      <c r="B282">
        <v>10</v>
      </c>
      <c r="C282">
        <v>7</v>
      </c>
      <c r="D282">
        <v>30</v>
      </c>
      <c r="E282">
        <v>0</v>
      </c>
      <c r="F282">
        <v>0</v>
      </c>
      <c r="G282">
        <v>0</v>
      </c>
      <c r="H282" s="9">
        <v>30</v>
      </c>
      <c r="I282" s="4">
        <f t="shared" si="8"/>
        <v>1</v>
      </c>
      <c r="K282" t="s">
        <v>231</v>
      </c>
      <c r="L282">
        <v>10</v>
      </c>
      <c r="M282" t="s">
        <v>906</v>
      </c>
      <c r="N282">
        <v>7</v>
      </c>
      <c r="O282">
        <v>1239</v>
      </c>
      <c r="P282">
        <v>1243</v>
      </c>
      <c r="Q282" s="4">
        <f t="shared" si="9"/>
        <v>1.0032284100080711</v>
      </c>
    </row>
    <row r="283" spans="1:17">
      <c r="A283" t="s">
        <v>231</v>
      </c>
      <c r="B283">
        <v>10</v>
      </c>
      <c r="C283">
        <v>8</v>
      </c>
      <c r="D283">
        <v>30</v>
      </c>
      <c r="E283">
        <v>0</v>
      </c>
      <c r="F283">
        <v>0</v>
      </c>
      <c r="G283">
        <v>0</v>
      </c>
      <c r="H283" s="9">
        <v>30</v>
      </c>
      <c r="I283" s="4">
        <f t="shared" si="8"/>
        <v>1</v>
      </c>
      <c r="K283" t="s">
        <v>231</v>
      </c>
      <c r="L283">
        <v>10</v>
      </c>
      <c r="M283" t="s">
        <v>204</v>
      </c>
      <c r="N283">
        <v>8</v>
      </c>
      <c r="O283">
        <v>1239</v>
      </c>
      <c r="P283">
        <v>1890</v>
      </c>
      <c r="Q283" s="4">
        <f t="shared" si="9"/>
        <v>1.5254237288135593</v>
      </c>
    </row>
    <row r="284" spans="1:17">
      <c r="A284" t="s">
        <v>231</v>
      </c>
      <c r="B284">
        <v>11</v>
      </c>
      <c r="C284">
        <v>1</v>
      </c>
      <c r="D284">
        <v>7</v>
      </c>
      <c r="E284">
        <v>0</v>
      </c>
      <c r="F284">
        <v>3</v>
      </c>
      <c r="G284">
        <v>0</v>
      </c>
      <c r="H284" s="9">
        <v>88</v>
      </c>
      <c r="I284" s="4">
        <f t="shared" si="8"/>
        <v>7.9545454545454544E-2</v>
      </c>
      <c r="K284" t="s">
        <v>231</v>
      </c>
      <c r="L284">
        <v>11</v>
      </c>
      <c r="M284" t="s">
        <v>542</v>
      </c>
      <c r="N284">
        <v>1</v>
      </c>
      <c r="O284">
        <v>2243</v>
      </c>
      <c r="P284">
        <v>244</v>
      </c>
      <c r="Q284" s="4">
        <f t="shared" si="9"/>
        <v>0.10878288007133304</v>
      </c>
    </row>
    <row r="285" spans="1:17">
      <c r="A285" t="s">
        <v>231</v>
      </c>
      <c r="B285">
        <v>11</v>
      </c>
      <c r="C285">
        <v>2</v>
      </c>
      <c r="D285">
        <v>41</v>
      </c>
      <c r="E285">
        <v>0</v>
      </c>
      <c r="F285">
        <v>7</v>
      </c>
      <c r="G285">
        <v>0</v>
      </c>
      <c r="H285" s="9">
        <v>88</v>
      </c>
      <c r="I285" s="4">
        <f t="shared" si="8"/>
        <v>0.46590909090909088</v>
      </c>
      <c r="K285" t="s">
        <v>231</v>
      </c>
      <c r="L285">
        <v>11</v>
      </c>
      <c r="M285" t="s">
        <v>574</v>
      </c>
      <c r="N285">
        <v>2</v>
      </c>
      <c r="O285">
        <v>2243</v>
      </c>
      <c r="P285">
        <v>991</v>
      </c>
      <c r="Q285" s="4">
        <f t="shared" si="9"/>
        <v>0.44181899242086492</v>
      </c>
    </row>
    <row r="286" spans="1:17">
      <c r="A286" t="s">
        <v>231</v>
      </c>
      <c r="B286">
        <v>11</v>
      </c>
      <c r="C286">
        <v>3</v>
      </c>
      <c r="D286">
        <v>43</v>
      </c>
      <c r="E286">
        <v>0</v>
      </c>
      <c r="F286">
        <v>7</v>
      </c>
      <c r="G286">
        <v>0</v>
      </c>
      <c r="H286" s="9">
        <v>88</v>
      </c>
      <c r="I286" s="4">
        <f t="shared" si="8"/>
        <v>0.48863636363636365</v>
      </c>
      <c r="K286" t="s">
        <v>231</v>
      </c>
      <c r="L286">
        <v>11</v>
      </c>
      <c r="M286" t="s">
        <v>575</v>
      </c>
      <c r="N286">
        <v>3</v>
      </c>
      <c r="O286">
        <v>2243</v>
      </c>
      <c r="P286">
        <v>992</v>
      </c>
      <c r="Q286" s="4">
        <f t="shared" si="9"/>
        <v>0.44226482389656707</v>
      </c>
    </row>
    <row r="287" spans="1:17">
      <c r="A287" t="s">
        <v>231</v>
      </c>
      <c r="B287">
        <v>11</v>
      </c>
      <c r="C287">
        <v>4</v>
      </c>
      <c r="D287">
        <v>46</v>
      </c>
      <c r="E287">
        <v>0</v>
      </c>
      <c r="F287">
        <v>5</v>
      </c>
      <c r="G287">
        <v>0</v>
      </c>
      <c r="H287" s="9">
        <v>88</v>
      </c>
      <c r="I287" s="4">
        <f t="shared" si="8"/>
        <v>0.52272727272727271</v>
      </c>
      <c r="K287" t="s">
        <v>231</v>
      </c>
      <c r="L287">
        <v>11</v>
      </c>
      <c r="M287" t="s">
        <v>576</v>
      </c>
      <c r="N287">
        <v>4</v>
      </c>
      <c r="O287">
        <v>2243</v>
      </c>
      <c r="P287">
        <v>1023</v>
      </c>
      <c r="Q287" s="4">
        <f t="shared" si="9"/>
        <v>0.45608559964333484</v>
      </c>
    </row>
    <row r="288" spans="1:17">
      <c r="A288" t="s">
        <v>231</v>
      </c>
      <c r="B288">
        <v>11</v>
      </c>
      <c r="C288">
        <v>5</v>
      </c>
      <c r="D288">
        <v>54</v>
      </c>
      <c r="E288">
        <v>0</v>
      </c>
      <c r="F288">
        <v>6</v>
      </c>
      <c r="G288">
        <v>0</v>
      </c>
      <c r="H288" s="9">
        <v>88</v>
      </c>
      <c r="I288" s="4">
        <f t="shared" si="8"/>
        <v>0.61363636363636365</v>
      </c>
      <c r="K288" t="s">
        <v>231</v>
      </c>
      <c r="L288">
        <v>11</v>
      </c>
      <c r="M288" t="s">
        <v>577</v>
      </c>
      <c r="N288">
        <v>5</v>
      </c>
      <c r="O288">
        <v>2243</v>
      </c>
      <c r="P288">
        <v>1046</v>
      </c>
      <c r="Q288" s="4">
        <f t="shared" si="9"/>
        <v>0.46633972358448506</v>
      </c>
    </row>
    <row r="289" spans="1:17">
      <c r="A289" t="s">
        <v>231</v>
      </c>
      <c r="B289">
        <v>11</v>
      </c>
      <c r="C289">
        <v>6</v>
      </c>
      <c r="D289">
        <v>54</v>
      </c>
      <c r="E289">
        <v>0</v>
      </c>
      <c r="F289">
        <v>6</v>
      </c>
      <c r="G289">
        <v>0</v>
      </c>
      <c r="H289" s="9">
        <v>88</v>
      </c>
      <c r="I289" s="4">
        <f t="shared" si="8"/>
        <v>0.61363636363636365</v>
      </c>
      <c r="K289" t="s">
        <v>231</v>
      </c>
      <c r="L289">
        <v>11</v>
      </c>
      <c r="M289" t="s">
        <v>543</v>
      </c>
      <c r="N289">
        <v>6</v>
      </c>
      <c r="O289">
        <v>2243</v>
      </c>
      <c r="P289">
        <v>1074</v>
      </c>
      <c r="Q289" s="4">
        <f t="shared" si="9"/>
        <v>0.47882300490414625</v>
      </c>
    </row>
    <row r="290" spans="1:17">
      <c r="A290" t="s">
        <v>231</v>
      </c>
      <c r="B290">
        <v>11</v>
      </c>
      <c r="C290">
        <v>7</v>
      </c>
      <c r="D290">
        <v>54</v>
      </c>
      <c r="E290">
        <v>0</v>
      </c>
      <c r="F290">
        <v>6</v>
      </c>
      <c r="G290">
        <v>0</v>
      </c>
      <c r="H290" s="9">
        <v>88</v>
      </c>
      <c r="I290" s="4">
        <f t="shared" si="8"/>
        <v>0.61363636363636365</v>
      </c>
      <c r="K290" t="s">
        <v>231</v>
      </c>
      <c r="L290">
        <v>11</v>
      </c>
      <c r="M290" t="s">
        <v>578</v>
      </c>
      <c r="N290">
        <v>7</v>
      </c>
      <c r="O290">
        <v>2243</v>
      </c>
      <c r="P290">
        <v>1082</v>
      </c>
      <c r="Q290" s="4">
        <f t="shared" si="9"/>
        <v>0.48238965670976369</v>
      </c>
    </row>
    <row r="291" spans="1:17">
      <c r="A291" t="s">
        <v>231</v>
      </c>
      <c r="B291">
        <v>11</v>
      </c>
      <c r="C291">
        <v>8</v>
      </c>
      <c r="D291">
        <v>62</v>
      </c>
      <c r="E291">
        <v>0</v>
      </c>
      <c r="F291">
        <v>6</v>
      </c>
      <c r="G291">
        <v>0</v>
      </c>
      <c r="H291" s="9">
        <v>88</v>
      </c>
      <c r="I291" s="4">
        <f t="shared" si="8"/>
        <v>0.70454545454545459</v>
      </c>
      <c r="K291" t="s">
        <v>231</v>
      </c>
      <c r="L291">
        <v>11</v>
      </c>
      <c r="M291" t="s">
        <v>579</v>
      </c>
      <c r="N291">
        <v>8</v>
      </c>
      <c r="O291">
        <v>2243</v>
      </c>
      <c r="P291">
        <v>1212</v>
      </c>
      <c r="Q291" s="4">
        <f t="shared" si="9"/>
        <v>0.54034774855104772</v>
      </c>
    </row>
    <row r="292" spans="1:17">
      <c r="A292" t="s">
        <v>231</v>
      </c>
      <c r="B292">
        <v>11</v>
      </c>
      <c r="C292">
        <v>9</v>
      </c>
      <c r="D292">
        <v>68</v>
      </c>
      <c r="E292">
        <v>0</v>
      </c>
      <c r="F292">
        <v>3</v>
      </c>
      <c r="G292">
        <v>0</v>
      </c>
      <c r="H292" s="9">
        <v>88</v>
      </c>
      <c r="I292" s="4">
        <f t="shared" si="8"/>
        <v>0.77272727272727271</v>
      </c>
      <c r="K292" t="s">
        <v>231</v>
      </c>
      <c r="L292">
        <v>11</v>
      </c>
      <c r="M292" t="s">
        <v>580</v>
      </c>
      <c r="N292">
        <v>9</v>
      </c>
      <c r="O292">
        <v>2243</v>
      </c>
      <c r="P292">
        <v>1233</v>
      </c>
      <c r="Q292" s="4">
        <f t="shared" si="9"/>
        <v>0.54971020954079353</v>
      </c>
    </row>
    <row r="293" spans="1:17">
      <c r="A293" t="s">
        <v>231</v>
      </c>
      <c r="B293">
        <v>11</v>
      </c>
      <c r="C293">
        <v>10</v>
      </c>
      <c r="D293">
        <v>68</v>
      </c>
      <c r="E293">
        <v>0</v>
      </c>
      <c r="F293">
        <v>3</v>
      </c>
      <c r="G293">
        <v>0</v>
      </c>
      <c r="H293" s="9">
        <v>88</v>
      </c>
      <c r="I293" s="4">
        <f t="shared" si="8"/>
        <v>0.77272727272727271</v>
      </c>
      <c r="K293" t="s">
        <v>231</v>
      </c>
      <c r="L293">
        <v>11</v>
      </c>
      <c r="M293" t="s">
        <v>583</v>
      </c>
      <c r="N293">
        <v>10</v>
      </c>
      <c r="O293">
        <v>2243</v>
      </c>
      <c r="P293">
        <v>1251</v>
      </c>
      <c r="Q293" s="4">
        <f t="shared" si="9"/>
        <v>0.55773517610343293</v>
      </c>
    </row>
    <row r="294" spans="1:17">
      <c r="A294" t="s">
        <v>231</v>
      </c>
      <c r="B294">
        <v>11</v>
      </c>
      <c r="C294">
        <v>11</v>
      </c>
      <c r="D294">
        <v>78</v>
      </c>
      <c r="E294">
        <v>0</v>
      </c>
      <c r="F294">
        <v>3</v>
      </c>
      <c r="G294">
        <v>0</v>
      </c>
      <c r="H294" s="9">
        <v>88</v>
      </c>
      <c r="I294" s="4">
        <f t="shared" si="8"/>
        <v>0.88636363636363635</v>
      </c>
      <c r="K294" t="s">
        <v>231</v>
      </c>
      <c r="L294">
        <v>11</v>
      </c>
      <c r="M294" t="s">
        <v>584</v>
      </c>
      <c r="N294">
        <v>11</v>
      </c>
      <c r="O294">
        <v>2243</v>
      </c>
      <c r="P294">
        <v>1276</v>
      </c>
      <c r="Q294" s="4">
        <f t="shared" si="9"/>
        <v>0.56888096299598756</v>
      </c>
    </row>
    <row r="295" spans="1:17">
      <c r="A295" t="s">
        <v>231</v>
      </c>
      <c r="B295">
        <v>11</v>
      </c>
      <c r="C295">
        <v>12</v>
      </c>
      <c r="D295">
        <v>78</v>
      </c>
      <c r="E295">
        <v>0</v>
      </c>
      <c r="F295">
        <v>3</v>
      </c>
      <c r="G295">
        <v>0</v>
      </c>
      <c r="H295" s="9">
        <v>88</v>
      </c>
      <c r="I295" s="4">
        <f t="shared" si="8"/>
        <v>0.88636363636363635</v>
      </c>
      <c r="K295" t="s">
        <v>231</v>
      </c>
      <c r="L295">
        <v>11</v>
      </c>
      <c r="M295" t="s">
        <v>585</v>
      </c>
      <c r="N295">
        <v>12</v>
      </c>
      <c r="O295">
        <v>2243</v>
      </c>
      <c r="P295">
        <v>1281</v>
      </c>
      <c r="Q295" s="4">
        <f t="shared" si="9"/>
        <v>0.57111012037449849</v>
      </c>
    </row>
    <row r="296" spans="1:17">
      <c r="A296" t="s">
        <v>231</v>
      </c>
      <c r="B296">
        <v>11</v>
      </c>
      <c r="C296">
        <v>13</v>
      </c>
      <c r="D296">
        <v>88</v>
      </c>
      <c r="E296">
        <v>0</v>
      </c>
      <c r="F296">
        <v>0</v>
      </c>
      <c r="G296">
        <v>0</v>
      </c>
      <c r="H296" s="9">
        <v>88</v>
      </c>
      <c r="I296" s="4">
        <f t="shared" si="8"/>
        <v>1</v>
      </c>
      <c r="K296" t="s">
        <v>231</v>
      </c>
      <c r="L296">
        <v>11</v>
      </c>
      <c r="M296" t="s">
        <v>581</v>
      </c>
      <c r="N296">
        <v>13</v>
      </c>
      <c r="O296">
        <v>2243</v>
      </c>
      <c r="P296">
        <v>1284</v>
      </c>
      <c r="Q296" s="4">
        <f t="shared" si="9"/>
        <v>0.572447614801605</v>
      </c>
    </row>
    <row r="297" spans="1:17">
      <c r="A297" t="s">
        <v>231</v>
      </c>
      <c r="B297">
        <v>11</v>
      </c>
      <c r="C297">
        <v>14</v>
      </c>
      <c r="D297">
        <v>88</v>
      </c>
      <c r="E297">
        <v>0</v>
      </c>
      <c r="F297">
        <v>0</v>
      </c>
      <c r="G297">
        <v>0</v>
      </c>
      <c r="H297" s="9">
        <v>88</v>
      </c>
      <c r="I297" s="4">
        <f t="shared" si="8"/>
        <v>1</v>
      </c>
      <c r="K297" t="s">
        <v>231</v>
      </c>
      <c r="L297">
        <v>11</v>
      </c>
      <c r="M297" t="s">
        <v>589</v>
      </c>
      <c r="N297">
        <v>14</v>
      </c>
      <c r="O297">
        <v>2243</v>
      </c>
      <c r="P297">
        <v>1291</v>
      </c>
      <c r="Q297" s="4">
        <f t="shared" si="9"/>
        <v>0.57556843513152034</v>
      </c>
    </row>
    <row r="298" spans="1:17">
      <c r="A298" t="s">
        <v>231</v>
      </c>
      <c r="B298">
        <v>11</v>
      </c>
      <c r="C298">
        <v>15</v>
      </c>
      <c r="D298">
        <v>88</v>
      </c>
      <c r="E298">
        <v>0</v>
      </c>
      <c r="F298">
        <v>0</v>
      </c>
      <c r="G298">
        <v>0</v>
      </c>
      <c r="H298" s="9">
        <v>88</v>
      </c>
      <c r="I298" s="4">
        <f t="shared" si="8"/>
        <v>1</v>
      </c>
      <c r="K298" t="s">
        <v>231</v>
      </c>
      <c r="L298">
        <v>11</v>
      </c>
      <c r="M298" t="s">
        <v>586</v>
      </c>
      <c r="N298">
        <v>15</v>
      </c>
      <c r="O298">
        <v>2243</v>
      </c>
      <c r="P298">
        <v>1294</v>
      </c>
      <c r="Q298" s="4">
        <f t="shared" si="9"/>
        <v>0.57690592955862685</v>
      </c>
    </row>
    <row r="299" spans="1:17">
      <c r="A299" t="s">
        <v>231</v>
      </c>
      <c r="B299">
        <v>11</v>
      </c>
      <c r="C299">
        <v>16</v>
      </c>
      <c r="D299">
        <v>88</v>
      </c>
      <c r="E299">
        <v>0</v>
      </c>
      <c r="F299">
        <v>0</v>
      </c>
      <c r="G299">
        <v>0</v>
      </c>
      <c r="H299" s="9">
        <v>88</v>
      </c>
      <c r="I299" s="4">
        <f t="shared" si="8"/>
        <v>1</v>
      </c>
      <c r="K299" t="s">
        <v>231</v>
      </c>
      <c r="L299">
        <v>11</v>
      </c>
      <c r="M299" t="s">
        <v>582</v>
      </c>
      <c r="N299">
        <v>16</v>
      </c>
      <c r="O299">
        <v>2243</v>
      </c>
      <c r="P299">
        <v>1295</v>
      </c>
      <c r="Q299" s="4">
        <f t="shared" si="9"/>
        <v>0.57735176103432906</v>
      </c>
    </row>
    <row r="300" spans="1:17">
      <c r="A300" t="s">
        <v>231</v>
      </c>
      <c r="B300">
        <v>11</v>
      </c>
      <c r="C300">
        <v>17</v>
      </c>
      <c r="D300">
        <v>88</v>
      </c>
      <c r="E300">
        <v>0</v>
      </c>
      <c r="F300">
        <v>0</v>
      </c>
      <c r="G300">
        <v>0</v>
      </c>
      <c r="H300" s="9">
        <v>88</v>
      </c>
      <c r="I300" s="4">
        <f t="shared" si="8"/>
        <v>1</v>
      </c>
      <c r="K300" t="s">
        <v>231</v>
      </c>
      <c r="L300">
        <v>11</v>
      </c>
      <c r="M300" t="s">
        <v>587</v>
      </c>
      <c r="N300">
        <v>17</v>
      </c>
      <c r="O300">
        <v>2243</v>
      </c>
      <c r="P300">
        <v>1306</v>
      </c>
      <c r="Q300" s="4">
        <f t="shared" si="9"/>
        <v>0.58225590726705301</v>
      </c>
    </row>
    <row r="301" spans="1:17">
      <c r="A301" t="s">
        <v>231</v>
      </c>
      <c r="B301">
        <v>11</v>
      </c>
      <c r="C301">
        <v>18</v>
      </c>
      <c r="D301">
        <v>88</v>
      </c>
      <c r="E301">
        <v>0</v>
      </c>
      <c r="F301">
        <v>0</v>
      </c>
      <c r="G301">
        <v>0</v>
      </c>
      <c r="H301" s="9">
        <v>88</v>
      </c>
      <c r="I301" s="4">
        <f t="shared" si="8"/>
        <v>1</v>
      </c>
      <c r="K301" t="s">
        <v>231</v>
      </c>
      <c r="L301">
        <v>11</v>
      </c>
      <c r="M301" t="s">
        <v>588</v>
      </c>
      <c r="N301">
        <v>18</v>
      </c>
      <c r="O301">
        <v>2243</v>
      </c>
      <c r="P301">
        <v>1320</v>
      </c>
      <c r="Q301" s="4">
        <f t="shared" si="9"/>
        <v>0.58849754792688369</v>
      </c>
    </row>
    <row r="302" spans="1:17">
      <c r="A302" t="s">
        <v>231</v>
      </c>
      <c r="B302">
        <v>11</v>
      </c>
      <c r="C302">
        <v>19</v>
      </c>
      <c r="D302">
        <v>88</v>
      </c>
      <c r="E302">
        <v>0</v>
      </c>
      <c r="F302">
        <v>0</v>
      </c>
      <c r="G302">
        <v>0</v>
      </c>
      <c r="H302" s="9">
        <v>88</v>
      </c>
      <c r="I302" s="4">
        <f t="shared" si="8"/>
        <v>1</v>
      </c>
      <c r="K302" t="s">
        <v>231</v>
      </c>
      <c r="L302">
        <v>11</v>
      </c>
      <c r="M302" t="s">
        <v>590</v>
      </c>
      <c r="N302">
        <v>19</v>
      </c>
      <c r="O302">
        <v>2243</v>
      </c>
      <c r="P302">
        <v>1343</v>
      </c>
      <c r="Q302" s="4">
        <f t="shared" si="9"/>
        <v>0.59875167186803391</v>
      </c>
    </row>
    <row r="303" spans="1:17">
      <c r="A303" t="s">
        <v>598</v>
      </c>
      <c r="B303">
        <v>2</v>
      </c>
      <c r="C303">
        <v>1</v>
      </c>
      <c r="D303">
        <v>25</v>
      </c>
      <c r="E303">
        <v>0</v>
      </c>
      <c r="F303">
        <v>3</v>
      </c>
      <c r="G303">
        <v>0</v>
      </c>
      <c r="H303" s="9">
        <v>71</v>
      </c>
      <c r="I303" s="4">
        <f t="shared" si="8"/>
        <v>0.352112676056338</v>
      </c>
      <c r="K303" t="s">
        <v>598</v>
      </c>
      <c r="L303">
        <v>2</v>
      </c>
      <c r="M303" t="s">
        <v>693</v>
      </c>
      <c r="N303">
        <v>1</v>
      </c>
      <c r="O303">
        <v>2696</v>
      </c>
      <c r="P303">
        <v>860</v>
      </c>
      <c r="Q303" s="4">
        <f t="shared" si="9"/>
        <v>0.31899109792284869</v>
      </c>
    </row>
    <row r="304" spans="1:17">
      <c r="A304" t="s">
        <v>598</v>
      </c>
      <c r="B304">
        <v>2</v>
      </c>
      <c r="C304">
        <v>2</v>
      </c>
      <c r="D304">
        <v>45</v>
      </c>
      <c r="E304">
        <v>0</v>
      </c>
      <c r="F304">
        <v>4</v>
      </c>
      <c r="G304">
        <v>0</v>
      </c>
      <c r="H304" s="9">
        <v>71</v>
      </c>
      <c r="I304" s="4">
        <f t="shared" si="8"/>
        <v>0.63380281690140849</v>
      </c>
      <c r="K304" t="s">
        <v>598</v>
      </c>
      <c r="L304">
        <v>2</v>
      </c>
      <c r="M304" t="s">
        <v>599</v>
      </c>
      <c r="N304">
        <v>2</v>
      </c>
      <c r="O304">
        <v>2696</v>
      </c>
      <c r="P304">
        <v>1193</v>
      </c>
      <c r="Q304" s="4">
        <f t="shared" si="9"/>
        <v>0.44250741839762614</v>
      </c>
    </row>
    <row r="305" spans="1:17">
      <c r="A305" t="s">
        <v>598</v>
      </c>
      <c r="B305">
        <v>2</v>
      </c>
      <c r="C305">
        <v>3</v>
      </c>
      <c r="D305">
        <v>50</v>
      </c>
      <c r="E305">
        <v>0</v>
      </c>
      <c r="F305">
        <v>2</v>
      </c>
      <c r="G305">
        <v>0</v>
      </c>
      <c r="H305" s="9">
        <v>71</v>
      </c>
      <c r="I305" s="4">
        <f t="shared" si="8"/>
        <v>0.70422535211267601</v>
      </c>
      <c r="K305" t="s">
        <v>598</v>
      </c>
      <c r="L305">
        <v>2</v>
      </c>
      <c r="M305" t="s">
        <v>913</v>
      </c>
      <c r="N305">
        <v>3</v>
      </c>
      <c r="O305">
        <v>2696</v>
      </c>
      <c r="P305">
        <v>1212</v>
      </c>
      <c r="Q305" s="4">
        <f t="shared" si="9"/>
        <v>0.44955489614243321</v>
      </c>
    </row>
    <row r="306" spans="1:17">
      <c r="A306" t="s">
        <v>598</v>
      </c>
      <c r="B306">
        <v>2</v>
      </c>
      <c r="C306">
        <v>4</v>
      </c>
      <c r="D306">
        <v>60</v>
      </c>
      <c r="E306">
        <v>0</v>
      </c>
      <c r="F306">
        <v>2</v>
      </c>
      <c r="G306">
        <v>0</v>
      </c>
      <c r="H306" s="9">
        <v>71</v>
      </c>
      <c r="I306" s="4">
        <f t="shared" si="8"/>
        <v>0.84507042253521125</v>
      </c>
      <c r="K306" t="s">
        <v>598</v>
      </c>
      <c r="L306">
        <v>2</v>
      </c>
      <c r="M306" t="s">
        <v>914</v>
      </c>
      <c r="N306">
        <v>4</v>
      </c>
      <c r="O306">
        <v>2696</v>
      </c>
      <c r="P306">
        <v>1392</v>
      </c>
      <c r="Q306" s="4">
        <f t="shared" si="9"/>
        <v>0.51632047477744802</v>
      </c>
    </row>
    <row r="307" spans="1:17">
      <c r="A307" t="s">
        <v>598</v>
      </c>
      <c r="B307">
        <v>2</v>
      </c>
      <c r="C307">
        <v>5</v>
      </c>
      <c r="D307">
        <v>71</v>
      </c>
      <c r="E307">
        <v>0</v>
      </c>
      <c r="F307">
        <v>0</v>
      </c>
      <c r="G307">
        <v>0</v>
      </c>
      <c r="H307" s="9">
        <v>71</v>
      </c>
      <c r="I307" s="4">
        <f t="shared" si="8"/>
        <v>1</v>
      </c>
      <c r="K307" t="s">
        <v>598</v>
      </c>
      <c r="L307">
        <v>2</v>
      </c>
      <c r="M307" t="s">
        <v>915</v>
      </c>
      <c r="N307">
        <v>5</v>
      </c>
      <c r="O307">
        <v>2696</v>
      </c>
      <c r="P307">
        <v>1832</v>
      </c>
      <c r="Q307" s="4">
        <f t="shared" si="9"/>
        <v>0.67952522255192882</v>
      </c>
    </row>
    <row r="308" spans="1:17">
      <c r="A308" t="s">
        <v>598</v>
      </c>
      <c r="B308">
        <v>11</v>
      </c>
      <c r="C308">
        <v>1</v>
      </c>
      <c r="D308">
        <v>57</v>
      </c>
      <c r="E308">
        <v>0</v>
      </c>
      <c r="F308">
        <v>8</v>
      </c>
      <c r="G308">
        <v>0</v>
      </c>
      <c r="H308" s="9">
        <v>115</v>
      </c>
      <c r="I308" s="4">
        <f t="shared" si="8"/>
        <v>0.4956521739130435</v>
      </c>
      <c r="K308" t="s">
        <v>598</v>
      </c>
      <c r="L308">
        <v>11</v>
      </c>
      <c r="M308" t="s">
        <v>916</v>
      </c>
      <c r="N308">
        <v>1</v>
      </c>
      <c r="O308">
        <v>12501</v>
      </c>
      <c r="P308">
        <v>7820</v>
      </c>
      <c r="Q308" s="4">
        <f t="shared" si="9"/>
        <v>0.6255499560035197</v>
      </c>
    </row>
    <row r="309" spans="1:17">
      <c r="A309" t="s">
        <v>598</v>
      </c>
      <c r="B309">
        <v>11</v>
      </c>
      <c r="C309">
        <v>2</v>
      </c>
      <c r="D309">
        <v>67</v>
      </c>
      <c r="E309">
        <v>0</v>
      </c>
      <c r="F309">
        <v>5</v>
      </c>
      <c r="G309">
        <v>0</v>
      </c>
      <c r="H309" s="9">
        <v>115</v>
      </c>
      <c r="I309" s="4">
        <f t="shared" si="8"/>
        <v>0.58260869565217388</v>
      </c>
      <c r="K309" t="s">
        <v>598</v>
      </c>
      <c r="L309">
        <v>11</v>
      </c>
      <c r="M309" t="s">
        <v>917</v>
      </c>
      <c r="N309">
        <v>2</v>
      </c>
      <c r="O309">
        <v>12501</v>
      </c>
      <c r="P309">
        <v>8387</v>
      </c>
      <c r="Q309" s="4">
        <f t="shared" si="9"/>
        <v>0.67090632749380053</v>
      </c>
    </row>
    <row r="310" spans="1:17">
      <c r="A310" t="s">
        <v>598</v>
      </c>
      <c r="B310">
        <v>11</v>
      </c>
      <c r="C310">
        <v>3</v>
      </c>
      <c r="D310">
        <v>76</v>
      </c>
      <c r="E310">
        <v>0</v>
      </c>
      <c r="F310">
        <v>5</v>
      </c>
      <c r="G310">
        <v>0</v>
      </c>
      <c r="H310" s="9">
        <v>115</v>
      </c>
      <c r="I310" s="4">
        <f t="shared" si="8"/>
        <v>0.66086956521739126</v>
      </c>
      <c r="K310" t="s">
        <v>598</v>
      </c>
      <c r="L310">
        <v>11</v>
      </c>
      <c r="M310" t="s">
        <v>918</v>
      </c>
      <c r="N310">
        <v>3</v>
      </c>
      <c r="O310">
        <v>12501</v>
      </c>
      <c r="P310">
        <v>8797</v>
      </c>
      <c r="Q310" s="4">
        <f t="shared" si="9"/>
        <v>0.70370370370370372</v>
      </c>
    </row>
    <row r="311" spans="1:17">
      <c r="A311" t="s">
        <v>598</v>
      </c>
      <c r="B311">
        <v>11</v>
      </c>
      <c r="C311">
        <v>4</v>
      </c>
      <c r="D311">
        <v>90</v>
      </c>
      <c r="E311">
        <v>0</v>
      </c>
      <c r="F311">
        <v>8</v>
      </c>
      <c r="G311">
        <v>0</v>
      </c>
      <c r="H311" s="9">
        <v>115</v>
      </c>
      <c r="I311" s="4">
        <f t="shared" si="8"/>
        <v>0.78260869565217395</v>
      </c>
      <c r="K311" t="s">
        <v>598</v>
      </c>
      <c r="L311">
        <v>11</v>
      </c>
      <c r="M311" t="s">
        <v>919</v>
      </c>
      <c r="N311">
        <v>4</v>
      </c>
      <c r="O311">
        <v>12501</v>
      </c>
      <c r="P311">
        <v>8824</v>
      </c>
      <c r="Q311" s="4">
        <f t="shared" si="9"/>
        <v>0.70586353091752663</v>
      </c>
    </row>
    <row r="312" spans="1:17">
      <c r="A312" t="s">
        <v>598</v>
      </c>
      <c r="B312">
        <v>11</v>
      </c>
      <c r="C312">
        <v>5</v>
      </c>
      <c r="D312">
        <v>90</v>
      </c>
      <c r="E312">
        <v>0</v>
      </c>
      <c r="F312">
        <v>8</v>
      </c>
      <c r="G312">
        <v>0</v>
      </c>
      <c r="H312" s="9">
        <v>115</v>
      </c>
      <c r="I312" s="4">
        <f t="shared" si="8"/>
        <v>0.78260869565217395</v>
      </c>
      <c r="K312" t="s">
        <v>598</v>
      </c>
      <c r="L312">
        <v>11</v>
      </c>
      <c r="M312" t="s">
        <v>921</v>
      </c>
      <c r="N312">
        <v>5</v>
      </c>
      <c r="O312">
        <v>12501</v>
      </c>
      <c r="P312">
        <v>9306</v>
      </c>
      <c r="Q312" s="4">
        <f t="shared" si="9"/>
        <v>0.74442044636429083</v>
      </c>
    </row>
    <row r="313" spans="1:17">
      <c r="A313" t="s">
        <v>598</v>
      </c>
      <c r="B313">
        <v>11</v>
      </c>
      <c r="C313">
        <v>6</v>
      </c>
      <c r="D313">
        <v>103</v>
      </c>
      <c r="E313">
        <v>0</v>
      </c>
      <c r="F313">
        <v>2</v>
      </c>
      <c r="G313">
        <v>0</v>
      </c>
      <c r="H313" s="9">
        <v>115</v>
      </c>
      <c r="I313" s="4">
        <f t="shared" si="8"/>
        <v>0.89565217391304353</v>
      </c>
      <c r="K313" t="s">
        <v>598</v>
      </c>
      <c r="L313">
        <v>11</v>
      </c>
      <c r="M313" t="s">
        <v>923</v>
      </c>
      <c r="N313">
        <v>6</v>
      </c>
      <c r="O313">
        <v>12501</v>
      </c>
      <c r="P313">
        <v>9368</v>
      </c>
      <c r="Q313" s="4">
        <f t="shared" si="9"/>
        <v>0.74938004959603233</v>
      </c>
    </row>
    <row r="314" spans="1:17">
      <c r="A314" t="s">
        <v>598</v>
      </c>
      <c r="B314">
        <v>11</v>
      </c>
      <c r="C314">
        <v>7</v>
      </c>
      <c r="D314">
        <v>114</v>
      </c>
      <c r="E314">
        <v>0</v>
      </c>
      <c r="F314">
        <v>1</v>
      </c>
      <c r="G314">
        <v>0</v>
      </c>
      <c r="H314" s="9">
        <v>115</v>
      </c>
      <c r="I314" s="4">
        <f t="shared" si="8"/>
        <v>0.99130434782608701</v>
      </c>
      <c r="K314" t="s">
        <v>598</v>
      </c>
      <c r="L314">
        <v>11</v>
      </c>
      <c r="M314" t="s">
        <v>920</v>
      </c>
      <c r="N314">
        <v>7</v>
      </c>
      <c r="O314">
        <v>12501</v>
      </c>
      <c r="P314">
        <v>9384</v>
      </c>
      <c r="Q314" s="4">
        <f t="shared" si="9"/>
        <v>0.75065994720422369</v>
      </c>
    </row>
    <row r="315" spans="1:17">
      <c r="A315" t="s">
        <v>598</v>
      </c>
      <c r="B315">
        <v>11</v>
      </c>
      <c r="C315">
        <v>8</v>
      </c>
      <c r="D315">
        <v>114</v>
      </c>
      <c r="E315">
        <v>0</v>
      </c>
      <c r="F315">
        <v>1</v>
      </c>
      <c r="G315">
        <v>0</v>
      </c>
      <c r="H315" s="9">
        <v>115</v>
      </c>
      <c r="I315" s="4">
        <f t="shared" si="8"/>
        <v>0.99130434782608701</v>
      </c>
      <c r="K315" t="s">
        <v>598</v>
      </c>
      <c r="L315">
        <v>11</v>
      </c>
      <c r="M315" t="s">
        <v>922</v>
      </c>
      <c r="N315">
        <v>8</v>
      </c>
      <c r="O315">
        <v>12501</v>
      </c>
      <c r="P315">
        <v>9426</v>
      </c>
      <c r="Q315" s="4">
        <f t="shared" si="9"/>
        <v>0.75401967842572593</v>
      </c>
    </row>
    <row r="316" spans="1:17">
      <c r="A316" t="s">
        <v>598</v>
      </c>
      <c r="B316">
        <v>11</v>
      </c>
      <c r="C316">
        <v>9</v>
      </c>
      <c r="D316">
        <v>115</v>
      </c>
      <c r="E316">
        <v>0</v>
      </c>
      <c r="F316">
        <v>0</v>
      </c>
      <c r="G316">
        <v>0</v>
      </c>
      <c r="H316" s="9">
        <v>115</v>
      </c>
      <c r="I316" s="4">
        <f t="shared" si="8"/>
        <v>1</v>
      </c>
      <c r="K316" t="s">
        <v>598</v>
      </c>
      <c r="L316">
        <v>11</v>
      </c>
      <c r="M316" t="s">
        <v>924</v>
      </c>
      <c r="N316">
        <v>9</v>
      </c>
      <c r="O316">
        <v>12501</v>
      </c>
      <c r="P316">
        <v>9566</v>
      </c>
      <c r="Q316" s="4">
        <f t="shared" si="9"/>
        <v>0.76521878249740016</v>
      </c>
    </row>
    <row r="317" spans="1:17">
      <c r="A317" t="s">
        <v>598</v>
      </c>
      <c r="B317">
        <v>11</v>
      </c>
      <c r="C317">
        <v>10</v>
      </c>
      <c r="D317">
        <v>115</v>
      </c>
      <c r="E317">
        <v>0</v>
      </c>
      <c r="F317">
        <v>0</v>
      </c>
      <c r="G317">
        <v>0</v>
      </c>
      <c r="H317" s="9">
        <v>115</v>
      </c>
      <c r="I317" s="4">
        <f t="shared" si="8"/>
        <v>1</v>
      </c>
      <c r="K317" t="s">
        <v>598</v>
      </c>
      <c r="L317">
        <v>11</v>
      </c>
      <c r="M317" t="s">
        <v>925</v>
      </c>
      <c r="N317">
        <v>10</v>
      </c>
      <c r="O317">
        <v>12501</v>
      </c>
      <c r="P317">
        <v>9662</v>
      </c>
      <c r="Q317" s="4">
        <f t="shared" si="9"/>
        <v>0.77289816814654833</v>
      </c>
    </row>
    <row r="318" spans="1:17">
      <c r="A318" t="s">
        <v>598</v>
      </c>
      <c r="B318">
        <v>11</v>
      </c>
      <c r="C318">
        <v>11</v>
      </c>
      <c r="D318">
        <v>115</v>
      </c>
      <c r="E318">
        <v>0</v>
      </c>
      <c r="F318">
        <v>0</v>
      </c>
      <c r="G318">
        <v>0</v>
      </c>
      <c r="H318" s="9">
        <v>115</v>
      </c>
      <c r="I318" s="4">
        <f t="shared" si="8"/>
        <v>1</v>
      </c>
      <c r="K318" t="s">
        <v>598</v>
      </c>
      <c r="L318">
        <v>11</v>
      </c>
      <c r="M318" t="s">
        <v>926</v>
      </c>
      <c r="N318">
        <v>11</v>
      </c>
      <c r="O318">
        <v>12501</v>
      </c>
      <c r="P318">
        <v>9769</v>
      </c>
      <c r="Q318" s="4">
        <f t="shared" si="9"/>
        <v>0.78145748340132792</v>
      </c>
    </row>
    <row r="319" spans="1:17">
      <c r="A319" t="s">
        <v>598</v>
      </c>
      <c r="B319">
        <v>11</v>
      </c>
      <c r="C319">
        <v>12</v>
      </c>
      <c r="D319">
        <v>115</v>
      </c>
      <c r="E319">
        <v>0</v>
      </c>
      <c r="F319">
        <v>0</v>
      </c>
      <c r="G319">
        <v>0</v>
      </c>
      <c r="H319" s="9">
        <v>115</v>
      </c>
      <c r="I319" s="4">
        <f t="shared" si="8"/>
        <v>1</v>
      </c>
      <c r="K319" t="s">
        <v>598</v>
      </c>
      <c r="L319">
        <v>11</v>
      </c>
      <c r="M319" t="s">
        <v>927</v>
      </c>
      <c r="N319">
        <v>12</v>
      </c>
      <c r="O319">
        <v>12501</v>
      </c>
      <c r="P319">
        <v>10117</v>
      </c>
      <c r="Q319" s="4">
        <f t="shared" si="9"/>
        <v>0.80929525637948962</v>
      </c>
    </row>
    <row r="320" spans="1:17">
      <c r="A320" t="s">
        <v>598</v>
      </c>
      <c r="B320">
        <v>11</v>
      </c>
      <c r="C320">
        <v>13</v>
      </c>
      <c r="D320">
        <v>115</v>
      </c>
      <c r="E320">
        <v>0</v>
      </c>
      <c r="F320">
        <v>0</v>
      </c>
      <c r="G320">
        <v>0</v>
      </c>
      <c r="H320" s="9">
        <v>115</v>
      </c>
      <c r="I320" s="4">
        <f t="shared" si="8"/>
        <v>1</v>
      </c>
      <c r="K320" t="s">
        <v>598</v>
      </c>
      <c r="L320">
        <v>11</v>
      </c>
      <c r="M320" t="s">
        <v>928</v>
      </c>
      <c r="N320">
        <v>13</v>
      </c>
      <c r="O320">
        <v>12501</v>
      </c>
      <c r="P320">
        <v>10123</v>
      </c>
      <c r="Q320" s="4">
        <f t="shared" si="9"/>
        <v>0.80977521798256136</v>
      </c>
    </row>
    <row r="321" spans="1:17">
      <c r="A321" t="s">
        <v>598</v>
      </c>
      <c r="B321">
        <v>11</v>
      </c>
      <c r="C321">
        <v>14</v>
      </c>
      <c r="D321">
        <v>115</v>
      </c>
      <c r="E321">
        <v>0</v>
      </c>
      <c r="F321">
        <v>0</v>
      </c>
      <c r="G321">
        <v>0</v>
      </c>
      <c r="H321" s="9">
        <v>115</v>
      </c>
      <c r="I321" s="4">
        <f t="shared" si="8"/>
        <v>1</v>
      </c>
      <c r="K321" t="s">
        <v>598</v>
      </c>
      <c r="L321">
        <v>11</v>
      </c>
      <c r="M321" t="s">
        <v>929</v>
      </c>
      <c r="N321">
        <v>14</v>
      </c>
      <c r="O321">
        <v>12501</v>
      </c>
      <c r="P321">
        <v>10184</v>
      </c>
      <c r="Q321" s="4">
        <f t="shared" si="9"/>
        <v>0.81465482761379093</v>
      </c>
    </row>
    <row r="322" spans="1:17">
      <c r="A322" t="s">
        <v>598</v>
      </c>
      <c r="B322">
        <v>11</v>
      </c>
      <c r="C322">
        <v>15</v>
      </c>
      <c r="D322">
        <v>115</v>
      </c>
      <c r="E322">
        <v>0</v>
      </c>
      <c r="F322">
        <v>0</v>
      </c>
      <c r="G322">
        <v>0</v>
      </c>
      <c r="H322" s="9">
        <v>115</v>
      </c>
      <c r="I322" s="4">
        <f t="shared" si="8"/>
        <v>1</v>
      </c>
      <c r="K322" t="s">
        <v>598</v>
      </c>
      <c r="L322">
        <v>11</v>
      </c>
      <c r="M322" t="s">
        <v>930</v>
      </c>
      <c r="N322">
        <v>15</v>
      </c>
      <c r="O322">
        <v>12501</v>
      </c>
      <c r="P322">
        <v>10307</v>
      </c>
      <c r="Q322" s="4">
        <f t="shared" si="9"/>
        <v>0.82449404047676189</v>
      </c>
    </row>
    <row r="323" spans="1:17">
      <c r="A323" t="s">
        <v>598</v>
      </c>
      <c r="B323">
        <v>11</v>
      </c>
      <c r="C323">
        <v>16</v>
      </c>
      <c r="D323">
        <v>115</v>
      </c>
      <c r="E323">
        <v>0</v>
      </c>
      <c r="F323">
        <v>0</v>
      </c>
      <c r="G323">
        <v>0</v>
      </c>
      <c r="H323" s="9">
        <v>115</v>
      </c>
      <c r="I323" s="4">
        <f t="shared" ref="I323:I331" si="10">D323/H323</f>
        <v>1</v>
      </c>
      <c r="K323" t="s">
        <v>598</v>
      </c>
      <c r="L323">
        <v>11</v>
      </c>
      <c r="M323" t="s">
        <v>931</v>
      </c>
      <c r="N323">
        <v>16</v>
      </c>
      <c r="O323">
        <v>12501</v>
      </c>
      <c r="P323">
        <v>10489</v>
      </c>
      <c r="Q323" s="4">
        <f t="shared" ref="Q323:Q331" si="11">P323/O323</f>
        <v>0.83905287576993837</v>
      </c>
    </row>
    <row r="324" spans="1:17">
      <c r="A324" t="s">
        <v>598</v>
      </c>
      <c r="B324">
        <v>11</v>
      </c>
      <c r="C324">
        <v>17</v>
      </c>
      <c r="D324">
        <v>115</v>
      </c>
      <c r="E324">
        <v>0</v>
      </c>
      <c r="F324">
        <v>0</v>
      </c>
      <c r="G324">
        <v>0</v>
      </c>
      <c r="H324" s="9">
        <v>115</v>
      </c>
      <c r="I324" s="4">
        <f t="shared" si="10"/>
        <v>1</v>
      </c>
      <c r="K324" t="s">
        <v>598</v>
      </c>
      <c r="L324">
        <v>11</v>
      </c>
      <c r="M324" t="s">
        <v>935</v>
      </c>
      <c r="N324">
        <v>17</v>
      </c>
      <c r="O324">
        <v>12501</v>
      </c>
      <c r="P324">
        <v>10593</v>
      </c>
      <c r="Q324" s="4">
        <f t="shared" si="11"/>
        <v>0.8473722102231821</v>
      </c>
    </row>
    <row r="325" spans="1:17">
      <c r="A325" t="s">
        <v>598</v>
      </c>
      <c r="B325">
        <v>11</v>
      </c>
      <c r="C325">
        <v>18</v>
      </c>
      <c r="D325">
        <v>115</v>
      </c>
      <c r="E325">
        <v>0</v>
      </c>
      <c r="F325">
        <v>0</v>
      </c>
      <c r="G325">
        <v>0</v>
      </c>
      <c r="H325" s="9">
        <v>115</v>
      </c>
      <c r="I325" s="4">
        <f t="shared" si="10"/>
        <v>1</v>
      </c>
      <c r="K325" t="s">
        <v>598</v>
      </c>
      <c r="L325">
        <v>11</v>
      </c>
      <c r="M325" t="s">
        <v>932</v>
      </c>
      <c r="N325">
        <v>18</v>
      </c>
      <c r="O325">
        <v>12501</v>
      </c>
      <c r="P325">
        <v>10659</v>
      </c>
      <c r="Q325" s="4">
        <f t="shared" si="11"/>
        <v>0.85265178785697149</v>
      </c>
    </row>
    <row r="326" spans="1:17">
      <c r="A326" t="s">
        <v>598</v>
      </c>
      <c r="B326">
        <v>11</v>
      </c>
      <c r="C326">
        <v>19</v>
      </c>
      <c r="D326">
        <v>115</v>
      </c>
      <c r="E326">
        <v>0</v>
      </c>
      <c r="F326">
        <v>0</v>
      </c>
      <c r="G326">
        <v>0</v>
      </c>
      <c r="H326" s="9">
        <v>115</v>
      </c>
      <c r="I326" s="4">
        <f t="shared" si="10"/>
        <v>1</v>
      </c>
      <c r="K326" t="s">
        <v>598</v>
      </c>
      <c r="L326">
        <v>11</v>
      </c>
      <c r="M326" t="s">
        <v>933</v>
      </c>
      <c r="N326">
        <v>19</v>
      </c>
      <c r="O326">
        <v>12501</v>
      </c>
      <c r="P326">
        <v>10680</v>
      </c>
      <c r="Q326" s="4">
        <f t="shared" si="11"/>
        <v>0.85433165346772255</v>
      </c>
    </row>
    <row r="327" spans="1:17">
      <c r="A327" t="s">
        <v>598</v>
      </c>
      <c r="B327">
        <v>11</v>
      </c>
      <c r="C327">
        <v>20</v>
      </c>
      <c r="D327">
        <v>115</v>
      </c>
      <c r="E327">
        <v>0</v>
      </c>
      <c r="F327">
        <v>0</v>
      </c>
      <c r="G327">
        <v>0</v>
      </c>
      <c r="H327" s="9">
        <v>115</v>
      </c>
      <c r="I327" s="4">
        <f t="shared" si="10"/>
        <v>1</v>
      </c>
      <c r="K327" t="s">
        <v>598</v>
      </c>
      <c r="L327">
        <v>11</v>
      </c>
      <c r="M327" t="s">
        <v>934</v>
      </c>
      <c r="N327">
        <v>20</v>
      </c>
      <c r="O327">
        <v>12501</v>
      </c>
      <c r="P327">
        <v>10828</v>
      </c>
      <c r="Q327" s="4">
        <f t="shared" si="11"/>
        <v>0.86617070634349247</v>
      </c>
    </row>
    <row r="328" spans="1:17">
      <c r="A328" t="s">
        <v>598</v>
      </c>
      <c r="B328">
        <v>11</v>
      </c>
      <c r="C328">
        <v>21</v>
      </c>
      <c r="D328">
        <v>115</v>
      </c>
      <c r="E328">
        <v>0</v>
      </c>
      <c r="F328">
        <v>0</v>
      </c>
      <c r="G328">
        <v>0</v>
      </c>
      <c r="H328" s="9">
        <v>115</v>
      </c>
      <c r="I328" s="4">
        <f t="shared" si="10"/>
        <v>1</v>
      </c>
      <c r="K328" t="s">
        <v>598</v>
      </c>
      <c r="L328">
        <v>11</v>
      </c>
      <c r="M328" t="s">
        <v>936</v>
      </c>
      <c r="N328">
        <v>21</v>
      </c>
      <c r="O328">
        <v>12501</v>
      </c>
      <c r="P328">
        <v>11181</v>
      </c>
      <c r="Q328" s="4">
        <f t="shared" si="11"/>
        <v>0.8944084473242141</v>
      </c>
    </row>
    <row r="329" spans="1:17">
      <c r="A329" t="s">
        <v>598</v>
      </c>
      <c r="B329">
        <v>11</v>
      </c>
      <c r="C329">
        <v>22</v>
      </c>
      <c r="D329">
        <v>115</v>
      </c>
      <c r="E329">
        <v>0</v>
      </c>
      <c r="F329">
        <v>0</v>
      </c>
      <c r="G329">
        <v>0</v>
      </c>
      <c r="H329" s="9">
        <v>115</v>
      </c>
      <c r="I329" s="4">
        <f t="shared" si="10"/>
        <v>1</v>
      </c>
      <c r="K329" t="s">
        <v>598</v>
      </c>
      <c r="L329">
        <v>11</v>
      </c>
      <c r="M329" t="s">
        <v>937</v>
      </c>
      <c r="N329">
        <v>22</v>
      </c>
      <c r="O329">
        <v>12501</v>
      </c>
      <c r="P329">
        <v>11327</v>
      </c>
      <c r="Q329" s="4">
        <f t="shared" si="11"/>
        <v>0.90608751299896007</v>
      </c>
    </row>
    <row r="330" spans="1:17">
      <c r="A330" t="s">
        <v>598</v>
      </c>
      <c r="B330">
        <v>11</v>
      </c>
      <c r="C330">
        <v>23</v>
      </c>
      <c r="D330">
        <v>115</v>
      </c>
      <c r="E330">
        <v>0</v>
      </c>
      <c r="F330">
        <v>0</v>
      </c>
      <c r="G330">
        <v>0</v>
      </c>
      <c r="H330" s="9">
        <v>115</v>
      </c>
      <c r="I330" s="4">
        <f t="shared" si="10"/>
        <v>1</v>
      </c>
      <c r="K330" t="s">
        <v>598</v>
      </c>
      <c r="L330">
        <v>11</v>
      </c>
      <c r="M330" t="s">
        <v>938</v>
      </c>
      <c r="N330">
        <v>23</v>
      </c>
      <c r="O330">
        <v>12501</v>
      </c>
      <c r="P330">
        <v>11470</v>
      </c>
      <c r="Q330" s="4">
        <f t="shared" si="11"/>
        <v>0.91752659787217028</v>
      </c>
    </row>
    <row r="331" spans="1:17">
      <c r="A331" t="s">
        <v>598</v>
      </c>
      <c r="B331">
        <v>11</v>
      </c>
      <c r="C331">
        <v>24</v>
      </c>
      <c r="D331">
        <v>115</v>
      </c>
      <c r="E331">
        <v>0</v>
      </c>
      <c r="F331">
        <v>0</v>
      </c>
      <c r="G331">
        <v>0</v>
      </c>
      <c r="H331" s="9">
        <v>115</v>
      </c>
      <c r="I331" s="4">
        <f t="shared" si="10"/>
        <v>1</v>
      </c>
      <c r="K331" t="s">
        <v>598</v>
      </c>
      <c r="L331">
        <v>11</v>
      </c>
      <c r="M331" t="s">
        <v>939</v>
      </c>
      <c r="N331">
        <v>24</v>
      </c>
      <c r="O331">
        <v>12501</v>
      </c>
      <c r="P331">
        <v>11754</v>
      </c>
      <c r="Q331" s="4">
        <f t="shared" si="11"/>
        <v>0.94024478041756665</v>
      </c>
    </row>
    <row r="332" spans="1:17">
      <c r="I332" s="4"/>
      <c r="Q332" s="4"/>
    </row>
    <row r="333" spans="1:17">
      <c r="I333" s="4"/>
      <c r="Q333" s="4"/>
    </row>
    <row r="334" spans="1:17">
      <c r="I334" s="4"/>
      <c r="Q334" s="4"/>
    </row>
    <row r="335" spans="1:17">
      <c r="I335" s="4"/>
      <c r="Q335" s="4"/>
    </row>
    <row r="336" spans="1:17">
      <c r="I336" s="4"/>
      <c r="Q336" s="4"/>
    </row>
    <row r="337" spans="9:17">
      <c r="I337" s="4"/>
      <c r="Q337" s="4"/>
    </row>
    <row r="338" spans="9:17">
      <c r="I338" s="4"/>
      <c r="Q338" s="4"/>
    </row>
    <row r="339" spans="9:17">
      <c r="I339" s="4"/>
      <c r="Q339" s="4"/>
    </row>
    <row r="340" spans="9:17">
      <c r="I340" s="4"/>
      <c r="Q340" s="4"/>
    </row>
    <row r="341" spans="9:17">
      <c r="I341" s="4"/>
      <c r="Q341" s="4"/>
    </row>
    <row r="342" spans="9:17">
      <c r="I342" s="4"/>
      <c r="Q342" s="4"/>
    </row>
    <row r="343" spans="9:17">
      <c r="I343" s="4"/>
      <c r="Q343" s="4"/>
    </row>
    <row r="344" spans="9:17">
      <c r="I344" s="4"/>
      <c r="Q344" s="4"/>
    </row>
    <row r="345" spans="9:17">
      <c r="I345" s="4"/>
      <c r="Q345" s="4"/>
    </row>
    <row r="346" spans="9:17">
      <c r="I346" s="4"/>
      <c r="Q346" s="4"/>
    </row>
    <row r="347" spans="9:17">
      <c r="I347" s="4"/>
      <c r="Q347" s="4"/>
    </row>
    <row r="348" spans="9:17">
      <c r="I348" s="4"/>
      <c r="Q348" s="4"/>
    </row>
    <row r="349" spans="9:17">
      <c r="I349" s="4"/>
      <c r="Q349" s="4"/>
    </row>
    <row r="350" spans="9:17">
      <c r="I350" s="4"/>
      <c r="Q350" s="4"/>
    </row>
    <row r="351" spans="9:17">
      <c r="I351" s="4"/>
      <c r="Q351" s="4"/>
    </row>
    <row r="352" spans="9:17">
      <c r="I352" s="4"/>
      <c r="Q352" s="4"/>
    </row>
    <row r="353" spans="9:17">
      <c r="I353" s="4"/>
      <c r="Q353" s="4"/>
    </row>
    <row r="354" spans="9:17">
      <c r="I354" s="4"/>
      <c r="Q354" s="4"/>
    </row>
    <row r="355" spans="9:17">
      <c r="I355" s="4"/>
      <c r="Q355" s="4"/>
    </row>
    <row r="356" spans="9:17">
      <c r="I356" s="4"/>
      <c r="Q356" s="4"/>
    </row>
    <row r="357" spans="9:17">
      <c r="I357" s="4"/>
      <c r="Q357" s="4"/>
    </row>
    <row r="358" spans="9:17">
      <c r="I358" s="4"/>
      <c r="Q358" s="4"/>
    </row>
    <row r="359" spans="9:17">
      <c r="I359" s="4"/>
      <c r="Q359" s="4"/>
    </row>
    <row r="360" spans="9:17">
      <c r="I360" s="4"/>
      <c r="Q360" s="4"/>
    </row>
    <row r="361" spans="9:17">
      <c r="I361" s="4"/>
      <c r="Q361" s="4"/>
    </row>
    <row r="362" spans="9:17">
      <c r="I362" s="4"/>
      <c r="Q362" s="4"/>
    </row>
    <row r="363" spans="9:17">
      <c r="I363" s="4"/>
      <c r="Q363" s="4"/>
    </row>
    <row r="364" spans="9:17">
      <c r="I364" s="4"/>
      <c r="Q364" s="4"/>
    </row>
    <row r="365" spans="9:17">
      <c r="I365" s="4"/>
      <c r="Q365" s="4"/>
    </row>
    <row r="366" spans="9:17">
      <c r="I366" s="4"/>
      <c r="Q366" s="4"/>
    </row>
    <row r="367" spans="9:17">
      <c r="I367" s="4"/>
      <c r="Q367" s="4"/>
    </row>
    <row r="368" spans="9:17">
      <c r="I368" s="4"/>
      <c r="Q368" s="4"/>
    </row>
    <row r="369" spans="9:17">
      <c r="I369" s="4"/>
      <c r="Q369" s="4"/>
    </row>
    <row r="370" spans="9:17">
      <c r="I370" s="4"/>
      <c r="Q370" s="4"/>
    </row>
    <row r="371" spans="9:17">
      <c r="I371" s="4"/>
      <c r="Q371" s="4"/>
    </row>
    <row r="372" spans="9:17">
      <c r="I372" s="4"/>
      <c r="Q372" s="4"/>
    </row>
    <row r="373" spans="9:17">
      <c r="I373" s="4"/>
      <c r="Q373" s="4"/>
    </row>
    <row r="374" spans="9:17">
      <c r="I374" s="4"/>
      <c r="Q374" s="4"/>
    </row>
    <row r="375" spans="9:17">
      <c r="I375" s="4"/>
      <c r="Q375" s="4"/>
    </row>
    <row r="376" spans="9:17">
      <c r="I376" s="4"/>
      <c r="Q376" s="4"/>
    </row>
    <row r="377" spans="9:17">
      <c r="I377" s="4"/>
      <c r="Q377" s="4"/>
    </row>
    <row r="378" spans="9:17">
      <c r="I378" s="4"/>
      <c r="Q378" s="4"/>
    </row>
    <row r="379" spans="9:17">
      <c r="I379" s="4"/>
      <c r="Q379" s="4"/>
    </row>
    <row r="380" spans="9:17">
      <c r="I380" s="4"/>
      <c r="Q380" s="4"/>
    </row>
    <row r="381" spans="9:17">
      <c r="I381" s="4"/>
      <c r="Q381" s="4"/>
    </row>
    <row r="382" spans="9:17">
      <c r="I382" s="4"/>
      <c r="Q382" s="4"/>
    </row>
    <row r="383" spans="9:17">
      <c r="I383" s="4"/>
      <c r="Q383" s="4"/>
    </row>
    <row r="384" spans="9:17">
      <c r="I384" s="4"/>
      <c r="Q384" s="4"/>
    </row>
    <row r="385" spans="9:17">
      <c r="I385" s="4"/>
      <c r="Q385" s="4"/>
    </row>
    <row r="386" spans="9:17">
      <c r="I386" s="4"/>
      <c r="Q386" s="4"/>
    </row>
    <row r="387" spans="9:17">
      <c r="I387" s="4"/>
      <c r="Q387" s="4"/>
    </row>
    <row r="388" spans="9:17">
      <c r="I388" s="4"/>
      <c r="Q388" s="4"/>
    </row>
    <row r="389" spans="9:17">
      <c r="I389" s="4"/>
      <c r="Q389" s="4"/>
    </row>
    <row r="390" spans="9:17">
      <c r="I390" s="4"/>
      <c r="Q390" s="4"/>
    </row>
    <row r="391" spans="9:17">
      <c r="I391" s="4"/>
      <c r="Q391" s="4"/>
    </row>
    <row r="392" spans="9:17">
      <c r="I392" s="4"/>
      <c r="Q392" s="4"/>
    </row>
    <row r="393" spans="9:17">
      <c r="I393" s="4"/>
      <c r="Q393" s="4"/>
    </row>
    <row r="394" spans="9:17">
      <c r="I394" s="4"/>
      <c r="Q394" s="4"/>
    </row>
    <row r="395" spans="9:17">
      <c r="I395" s="4"/>
      <c r="Q395" s="4"/>
    </row>
    <row r="396" spans="9:17">
      <c r="I396" s="4"/>
      <c r="Q396" s="4"/>
    </row>
    <row r="397" spans="9:17">
      <c r="I397" s="4"/>
      <c r="Q397" s="4"/>
    </row>
    <row r="398" spans="9:17">
      <c r="I398" s="4"/>
      <c r="Q398" s="4"/>
    </row>
    <row r="399" spans="9:17">
      <c r="I399" s="4"/>
      <c r="Q399" s="4"/>
    </row>
    <row r="400" spans="9:17">
      <c r="I400" s="4"/>
      <c r="Q400" s="4"/>
    </row>
    <row r="401" spans="1:17">
      <c r="I401" s="4"/>
      <c r="Q401" s="4"/>
    </row>
    <row r="402" spans="1:17">
      <c r="I402" s="4"/>
      <c r="Q402" s="4"/>
    </row>
    <row r="403" spans="1:17">
      <c r="I403" s="4"/>
      <c r="Q403" s="4"/>
    </row>
    <row r="404" spans="1:17">
      <c r="I404" s="4"/>
      <c r="Q404" s="4"/>
    </row>
    <row r="405" spans="1:17">
      <c r="I405" s="4"/>
      <c r="Q405" s="4"/>
    </row>
    <row r="406" spans="1:17">
      <c r="I406" s="4"/>
      <c r="Q406" s="4"/>
    </row>
    <row r="407" spans="1:17">
      <c r="I407" s="4"/>
      <c r="Q407" s="4"/>
    </row>
    <row r="408" spans="1:17">
      <c r="A408" s="9"/>
      <c r="B408" s="9"/>
      <c r="C408" s="9"/>
      <c r="D408" s="9"/>
      <c r="E408" s="9"/>
      <c r="F408" s="9"/>
      <c r="G408" s="9"/>
      <c r="I408" s="4"/>
      <c r="Q408" s="4"/>
    </row>
    <row r="409" spans="1:17">
      <c r="I409" s="4"/>
      <c r="Q409" s="4"/>
    </row>
    <row r="410" spans="1:17">
      <c r="I410" s="4"/>
      <c r="Q410" s="4"/>
    </row>
    <row r="411" spans="1:17">
      <c r="I411" s="4"/>
      <c r="Q411" s="4"/>
    </row>
    <row r="412" spans="1:17">
      <c r="I412" s="4"/>
      <c r="Q412" s="4"/>
    </row>
    <row r="413" spans="1:17">
      <c r="I413" s="4"/>
      <c r="Q413" s="4"/>
    </row>
    <row r="414" spans="1:17">
      <c r="I414" s="4"/>
      <c r="Q414" s="4"/>
    </row>
    <row r="415" spans="1:17">
      <c r="I415" s="4"/>
      <c r="Q415" s="4"/>
    </row>
    <row r="416" spans="1:17">
      <c r="I416" s="4"/>
      <c r="Q416" s="4"/>
    </row>
    <row r="417" spans="9:17">
      <c r="I417" s="4"/>
      <c r="Q417" s="4"/>
    </row>
    <row r="418" spans="9:17">
      <c r="I418" s="4"/>
      <c r="Q418" s="4"/>
    </row>
    <row r="419" spans="9:17">
      <c r="I419" s="4"/>
      <c r="Q419" s="4"/>
    </row>
    <row r="420" spans="9:17">
      <c r="I420" s="4"/>
      <c r="Q420" s="4"/>
    </row>
    <row r="421" spans="9:17">
      <c r="I421" s="4"/>
      <c r="Q421" s="4"/>
    </row>
    <row r="422" spans="9:17">
      <c r="I422" s="4"/>
      <c r="Q422" s="4"/>
    </row>
    <row r="423" spans="9:17">
      <c r="I423" s="4"/>
      <c r="Q423" s="4"/>
    </row>
    <row r="424" spans="9:17">
      <c r="I424" s="4"/>
      <c r="Q424" s="4"/>
    </row>
    <row r="425" spans="9:17">
      <c r="I425" s="4"/>
      <c r="Q425" s="4"/>
    </row>
    <row r="426" spans="9:17">
      <c r="I426" s="4"/>
      <c r="Q426" s="4"/>
    </row>
    <row r="427" spans="9:17">
      <c r="I427" s="4"/>
      <c r="Q427" s="4"/>
    </row>
    <row r="428" spans="9:17">
      <c r="I428" s="4"/>
      <c r="Q428" s="4"/>
    </row>
    <row r="429" spans="9:17">
      <c r="I429" s="4"/>
      <c r="Q429" s="4"/>
    </row>
    <row r="430" spans="9:17">
      <c r="I430" s="4"/>
      <c r="Q430" s="4"/>
    </row>
    <row r="431" spans="9:17">
      <c r="I431" s="4"/>
      <c r="Q431" s="4"/>
    </row>
    <row r="432" spans="9:17">
      <c r="I432" s="4"/>
      <c r="Q432" s="4"/>
    </row>
    <row r="433" spans="1:17">
      <c r="I433" s="4"/>
      <c r="Q433" s="4"/>
    </row>
    <row r="434" spans="1:17">
      <c r="I434" s="4"/>
      <c r="Q434" s="4"/>
    </row>
    <row r="435" spans="1:17">
      <c r="I435" s="4"/>
      <c r="Q435" s="4"/>
    </row>
    <row r="436" spans="1:17">
      <c r="I436" s="4"/>
      <c r="Q436" s="4"/>
    </row>
    <row r="437" spans="1:17">
      <c r="I437" s="4"/>
      <c r="Q437" s="4"/>
    </row>
    <row r="438" spans="1:17">
      <c r="I438" s="4"/>
      <c r="Q438" s="4"/>
    </row>
    <row r="439" spans="1:17">
      <c r="A439" s="9"/>
      <c r="B439" s="9"/>
      <c r="C439" s="9"/>
      <c r="D439" s="9"/>
      <c r="E439" s="9"/>
      <c r="F439" s="9"/>
      <c r="G439" s="9"/>
      <c r="I439" s="4"/>
      <c r="Q439" s="4"/>
    </row>
    <row r="440" spans="1:17">
      <c r="I440" s="4"/>
      <c r="Q440" s="4"/>
    </row>
    <row r="441" spans="1:17">
      <c r="I441" s="4"/>
      <c r="Q441" s="4"/>
    </row>
    <row r="442" spans="1:17">
      <c r="I442" s="4"/>
      <c r="Q442" s="4"/>
    </row>
    <row r="443" spans="1:17">
      <c r="I443" s="4"/>
      <c r="Q443" s="4"/>
    </row>
    <row r="444" spans="1:17">
      <c r="I444" s="4"/>
      <c r="Q444" s="4"/>
    </row>
    <row r="445" spans="1:17">
      <c r="I445" s="4"/>
      <c r="Q445" s="4"/>
    </row>
    <row r="446" spans="1:17">
      <c r="I446" s="4"/>
      <c r="Q446" s="4"/>
    </row>
    <row r="447" spans="1:17">
      <c r="I447" s="4"/>
      <c r="Q447" s="4"/>
    </row>
    <row r="448" spans="1:17">
      <c r="I448" s="4"/>
      <c r="Q448" s="4"/>
    </row>
    <row r="449" spans="9:17">
      <c r="I449" s="4"/>
      <c r="Q449" s="4"/>
    </row>
    <row r="450" spans="9:17">
      <c r="I450" s="4"/>
      <c r="Q450" s="4"/>
    </row>
    <row r="451" spans="9:17">
      <c r="I451" s="4"/>
      <c r="Q451" s="4"/>
    </row>
    <row r="452" spans="9:17">
      <c r="I452" s="4"/>
      <c r="Q452" s="4"/>
    </row>
    <row r="453" spans="9:17">
      <c r="I453" s="4"/>
      <c r="Q453" s="4"/>
    </row>
    <row r="454" spans="9:17">
      <c r="I454" s="4"/>
      <c r="Q454" s="4"/>
    </row>
    <row r="455" spans="9:17">
      <c r="I455" s="4"/>
      <c r="Q455" s="4"/>
    </row>
    <row r="456" spans="9:17">
      <c r="I456" s="4"/>
      <c r="Q456" s="4"/>
    </row>
    <row r="457" spans="9:17">
      <c r="I457" s="4"/>
      <c r="Q457" s="4"/>
    </row>
    <row r="458" spans="9:17">
      <c r="I458" s="4"/>
      <c r="Q458" s="4"/>
    </row>
    <row r="459" spans="9:17">
      <c r="I459" s="4"/>
      <c r="Q459" s="4"/>
    </row>
    <row r="460" spans="9:17">
      <c r="I460" s="4"/>
      <c r="Q460" s="4"/>
    </row>
    <row r="461" spans="9:17">
      <c r="I461" s="4"/>
      <c r="Q461" s="4"/>
    </row>
    <row r="462" spans="9:17">
      <c r="I462" s="4"/>
      <c r="Q462" s="4"/>
    </row>
    <row r="463" spans="9:17">
      <c r="I463" s="4"/>
      <c r="Q463" s="4"/>
    </row>
    <row r="464" spans="9:17">
      <c r="I464" s="4"/>
      <c r="Q464" s="4"/>
    </row>
    <row r="465" spans="9:17">
      <c r="I465" s="4"/>
      <c r="Q465" s="4"/>
    </row>
    <row r="466" spans="9:17">
      <c r="I466" s="4"/>
      <c r="Q466" s="4"/>
    </row>
    <row r="467" spans="9:17">
      <c r="I467" s="4"/>
      <c r="Q467" s="4"/>
    </row>
    <row r="468" spans="9:17">
      <c r="I468" s="4"/>
      <c r="Q468" s="4"/>
    </row>
    <row r="469" spans="9:17">
      <c r="I469" s="4"/>
      <c r="Q469" s="4"/>
    </row>
    <row r="470" spans="9:17">
      <c r="I470" s="4"/>
      <c r="Q470" s="4"/>
    </row>
    <row r="471" spans="9:17">
      <c r="I471" s="4"/>
      <c r="Q471" s="4"/>
    </row>
    <row r="472" spans="9:17">
      <c r="I472" s="4"/>
      <c r="Q472" s="4"/>
    </row>
    <row r="473" spans="9:17">
      <c r="I473" s="4"/>
      <c r="Q473" s="4"/>
    </row>
    <row r="474" spans="9:17">
      <c r="I474" s="4"/>
      <c r="Q474" s="4"/>
    </row>
    <row r="475" spans="9:17">
      <c r="I475" s="4"/>
      <c r="Q475" s="4"/>
    </row>
    <row r="476" spans="9:17">
      <c r="I476" s="4"/>
      <c r="Q476" s="4"/>
    </row>
    <row r="477" spans="9:17">
      <c r="I477" s="4"/>
      <c r="Q477" s="4"/>
    </row>
    <row r="478" spans="9:17">
      <c r="I478" s="4"/>
      <c r="Q478" s="4"/>
    </row>
    <row r="479" spans="9:17">
      <c r="I479" s="4"/>
      <c r="Q479" s="4"/>
    </row>
    <row r="480" spans="9:17">
      <c r="I480" s="4"/>
      <c r="Q480" s="4"/>
    </row>
    <row r="481" spans="9:17">
      <c r="I481" s="4"/>
      <c r="Q481" s="4"/>
    </row>
    <row r="482" spans="9:17">
      <c r="I482" s="4"/>
      <c r="Q482" s="4"/>
    </row>
    <row r="483" spans="9:17">
      <c r="I483" s="4"/>
      <c r="Q483" s="4"/>
    </row>
    <row r="484" spans="9:17">
      <c r="I484" s="4"/>
      <c r="Q484" s="4"/>
    </row>
    <row r="485" spans="9:17">
      <c r="I485" s="4"/>
      <c r="Q485" s="4"/>
    </row>
    <row r="486" spans="9:17">
      <c r="I486" s="4"/>
      <c r="Q486" s="4"/>
    </row>
    <row r="487" spans="9:17">
      <c r="I487" s="4"/>
      <c r="Q487" s="4"/>
    </row>
    <row r="488" spans="9:17">
      <c r="I488" s="4"/>
      <c r="Q488" s="4"/>
    </row>
    <row r="489" spans="9:17">
      <c r="I489" s="4"/>
      <c r="Q489" s="4"/>
    </row>
    <row r="490" spans="9:17">
      <c r="I490" s="4"/>
      <c r="Q490" s="4"/>
    </row>
    <row r="491" spans="9:17">
      <c r="I491" s="4"/>
      <c r="Q491" s="4"/>
    </row>
    <row r="492" spans="9:17">
      <c r="I492" s="4"/>
      <c r="Q492" s="4"/>
    </row>
    <row r="493" spans="9:17">
      <c r="I493" s="4"/>
      <c r="Q493" s="4"/>
    </row>
    <row r="494" spans="9:17">
      <c r="I494" s="4"/>
      <c r="Q494" s="4"/>
    </row>
    <row r="495" spans="9:17">
      <c r="I495" s="4"/>
      <c r="Q495" s="4"/>
    </row>
    <row r="496" spans="9:17">
      <c r="I496" s="4"/>
      <c r="Q496" s="4"/>
    </row>
    <row r="497" spans="9:17">
      <c r="I497" s="4"/>
      <c r="Q497" s="4"/>
    </row>
    <row r="498" spans="9:17">
      <c r="I498" s="4"/>
      <c r="Q498" s="4"/>
    </row>
    <row r="499" spans="9:17">
      <c r="I499" s="4"/>
      <c r="Q499" s="4"/>
    </row>
    <row r="500" spans="9:17">
      <c r="I500" s="4"/>
      <c r="Q500" s="4"/>
    </row>
    <row r="501" spans="9:17">
      <c r="I501" s="4"/>
      <c r="Q501" s="4"/>
    </row>
    <row r="502" spans="9:17">
      <c r="I502" s="4"/>
      <c r="Q502" s="4"/>
    </row>
    <row r="503" spans="9:17">
      <c r="I503" s="4"/>
      <c r="Q503" s="4"/>
    </row>
    <row r="504" spans="9:17">
      <c r="I504" s="4"/>
      <c r="Q504" s="4"/>
    </row>
    <row r="505" spans="9:17">
      <c r="I505" s="4"/>
      <c r="Q505" s="4"/>
    </row>
    <row r="506" spans="9:17">
      <c r="I506" s="4"/>
      <c r="Q506" s="4"/>
    </row>
    <row r="507" spans="9:17">
      <c r="I507" s="4"/>
      <c r="Q507" s="4"/>
    </row>
    <row r="508" spans="9:17">
      <c r="I508" s="4"/>
      <c r="Q508" s="4"/>
    </row>
    <row r="509" spans="9:17">
      <c r="I509" s="4"/>
      <c r="Q509" s="4"/>
    </row>
    <row r="510" spans="9:17">
      <c r="I510" s="4"/>
      <c r="Q510" s="4"/>
    </row>
    <row r="511" spans="9:17">
      <c r="I511" s="4"/>
      <c r="Q511" s="4"/>
    </row>
    <row r="512" spans="9:17">
      <c r="I512" s="4"/>
      <c r="Q512" s="4"/>
    </row>
    <row r="513" spans="9:17">
      <c r="I513" s="4"/>
      <c r="Q513" s="4"/>
    </row>
    <row r="514" spans="9:17">
      <c r="I514" s="4"/>
      <c r="Q514" s="4"/>
    </row>
    <row r="515" spans="9:17">
      <c r="I515" s="4"/>
      <c r="Q515" s="4"/>
    </row>
    <row r="516" spans="9:17">
      <c r="I516" s="4"/>
      <c r="Q516" s="4"/>
    </row>
    <row r="517" spans="9:17">
      <c r="I517" s="4"/>
      <c r="Q517" s="4"/>
    </row>
    <row r="518" spans="9:17">
      <c r="I518" s="4"/>
      <c r="Q518" s="4"/>
    </row>
    <row r="519" spans="9:17">
      <c r="I519" s="4"/>
      <c r="Q519" s="4"/>
    </row>
    <row r="520" spans="9:17">
      <c r="I520" s="4"/>
      <c r="Q520" s="4"/>
    </row>
    <row r="521" spans="9:17">
      <c r="I521" s="4"/>
      <c r="Q521" s="4"/>
    </row>
    <row r="522" spans="9:17">
      <c r="I522" s="4"/>
      <c r="Q522" s="4"/>
    </row>
    <row r="523" spans="9:17">
      <c r="I523" s="4"/>
      <c r="Q523" s="4"/>
    </row>
    <row r="524" spans="9:17">
      <c r="I524" s="4"/>
      <c r="Q524" s="4"/>
    </row>
    <row r="525" spans="9:17">
      <c r="I525" s="4"/>
      <c r="Q525" s="4"/>
    </row>
    <row r="526" spans="9:17">
      <c r="I526" s="4"/>
      <c r="Q526" s="4"/>
    </row>
    <row r="527" spans="9:17">
      <c r="I527" s="4"/>
      <c r="Q527" s="4"/>
    </row>
    <row r="528" spans="9:17">
      <c r="I528" s="4"/>
      <c r="Q528" s="4"/>
    </row>
    <row r="529" spans="9:17">
      <c r="I529" s="4"/>
      <c r="Q529" s="4"/>
    </row>
    <row r="530" spans="9:17">
      <c r="I530" s="4"/>
      <c r="Q530" s="4"/>
    </row>
    <row r="531" spans="9:17">
      <c r="I531" s="4"/>
      <c r="Q531" s="4"/>
    </row>
    <row r="532" spans="9:17">
      <c r="I532" s="4"/>
      <c r="Q532" s="4"/>
    </row>
    <row r="533" spans="9:17">
      <c r="I533" s="4"/>
      <c r="Q533" s="4"/>
    </row>
    <row r="534" spans="9:17">
      <c r="I534" s="4"/>
      <c r="Q534" s="4"/>
    </row>
    <row r="535" spans="9:17">
      <c r="I535" s="4"/>
      <c r="Q535" s="4"/>
    </row>
    <row r="536" spans="9:17">
      <c r="I536" s="4"/>
      <c r="Q536" s="4"/>
    </row>
    <row r="537" spans="9:17">
      <c r="I537" s="4"/>
      <c r="Q537" s="4"/>
    </row>
    <row r="538" spans="9:17">
      <c r="I538" s="4"/>
      <c r="Q538" s="4"/>
    </row>
    <row r="539" spans="9:17">
      <c r="I539" s="4"/>
      <c r="Q539" s="4"/>
    </row>
    <row r="540" spans="9:17">
      <c r="I540" s="4"/>
      <c r="Q540" s="4"/>
    </row>
    <row r="541" spans="9:17">
      <c r="I541" s="4"/>
      <c r="Q541" s="4"/>
    </row>
    <row r="542" spans="9:17">
      <c r="I542" s="4"/>
      <c r="Q542" s="4"/>
    </row>
    <row r="543" spans="9:17">
      <c r="I543" s="4"/>
      <c r="Q543" s="4"/>
    </row>
    <row r="544" spans="9:17">
      <c r="I544" s="4"/>
      <c r="Q544" s="4"/>
    </row>
    <row r="545" spans="9:17">
      <c r="I545" s="4"/>
      <c r="Q545" s="4"/>
    </row>
    <row r="546" spans="9:17">
      <c r="I546" s="4"/>
      <c r="Q546" s="4"/>
    </row>
    <row r="547" spans="9:17">
      <c r="I547" s="4"/>
      <c r="Q547" s="4"/>
    </row>
    <row r="548" spans="9:17">
      <c r="I548" s="4"/>
      <c r="Q548" s="4"/>
    </row>
    <row r="549" spans="9:17">
      <c r="I549" s="4"/>
      <c r="Q549" s="4"/>
    </row>
    <row r="550" spans="9:17">
      <c r="I550" s="4"/>
      <c r="Q550" s="4"/>
    </row>
    <row r="551" spans="9:17">
      <c r="I551" s="4"/>
      <c r="Q551" s="4"/>
    </row>
    <row r="552" spans="9:17">
      <c r="I552" s="4"/>
      <c r="Q552" s="4"/>
    </row>
    <row r="553" spans="9:17">
      <c r="I553" s="4"/>
      <c r="Q553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3"/>
  <sheetViews>
    <sheetView topLeftCell="A366" workbookViewId="0">
      <selection activeCell="D430" sqref="D430"/>
    </sheetView>
  </sheetViews>
  <sheetFormatPr baseColWidth="10" defaultRowHeight="15" x14ac:dyDescent="0"/>
  <cols>
    <col min="1" max="1" width="25.33203125" bestFit="1" customWidth="1"/>
    <col min="10" max="10" width="16" customWidth="1"/>
  </cols>
  <sheetData>
    <row r="1" spans="1:13">
      <c r="A1" t="s">
        <v>216</v>
      </c>
      <c r="B1" t="s">
        <v>217</v>
      </c>
      <c r="C1" t="s">
        <v>218</v>
      </c>
      <c r="D1" s="2" t="s">
        <v>181</v>
      </c>
      <c r="E1" s="2" t="s">
        <v>183</v>
      </c>
      <c r="F1" s="2" t="s">
        <v>182</v>
      </c>
      <c r="G1" s="2" t="s">
        <v>184</v>
      </c>
      <c r="H1" s="2" t="s">
        <v>10</v>
      </c>
      <c r="I1" s="2" t="s">
        <v>232</v>
      </c>
      <c r="J1" t="s">
        <v>3</v>
      </c>
      <c r="K1" t="s">
        <v>5</v>
      </c>
      <c r="L1" t="s">
        <v>7</v>
      </c>
      <c r="M1" t="s">
        <v>186</v>
      </c>
    </row>
    <row r="2" spans="1:13">
      <c r="A2" t="s">
        <v>188</v>
      </c>
      <c r="B2">
        <v>1</v>
      </c>
      <c r="C2">
        <v>1</v>
      </c>
      <c r="D2">
        <v>46</v>
      </c>
      <c r="E2">
        <v>0</v>
      </c>
      <c r="F2">
        <v>5</v>
      </c>
      <c r="G2">
        <v>0</v>
      </c>
      <c r="H2">
        <v>51</v>
      </c>
      <c r="I2" s="4">
        <f>D2/H2</f>
        <v>0.90196078431372551</v>
      </c>
      <c r="J2" t="s">
        <v>188</v>
      </c>
      <c r="K2">
        <v>1</v>
      </c>
      <c r="L2" t="s">
        <v>179</v>
      </c>
      <c r="M2">
        <v>1</v>
      </c>
    </row>
    <row r="3" spans="1:13">
      <c r="A3" t="s">
        <v>188</v>
      </c>
      <c r="B3">
        <v>1</v>
      </c>
      <c r="C3">
        <v>2</v>
      </c>
      <c r="D3">
        <v>49</v>
      </c>
      <c r="E3">
        <v>0</v>
      </c>
      <c r="F3">
        <v>2</v>
      </c>
      <c r="G3">
        <v>0</v>
      </c>
      <c r="H3">
        <v>51</v>
      </c>
      <c r="I3" s="4">
        <f t="shared" ref="I3:I66" si="0">D3/H3</f>
        <v>0.96078431372549022</v>
      </c>
      <c r="J3" t="s">
        <v>188</v>
      </c>
      <c r="K3">
        <v>1</v>
      </c>
      <c r="L3" t="s">
        <v>0</v>
      </c>
      <c r="M3">
        <v>2</v>
      </c>
    </row>
    <row r="4" spans="1:13">
      <c r="A4" t="s">
        <v>188</v>
      </c>
      <c r="B4">
        <v>1</v>
      </c>
      <c r="C4">
        <v>3</v>
      </c>
      <c r="D4">
        <v>51</v>
      </c>
      <c r="E4">
        <v>0</v>
      </c>
      <c r="F4">
        <v>0</v>
      </c>
      <c r="G4">
        <v>0</v>
      </c>
      <c r="H4">
        <v>51</v>
      </c>
      <c r="I4" s="4">
        <f t="shared" si="0"/>
        <v>1</v>
      </c>
      <c r="J4" t="s">
        <v>188</v>
      </c>
      <c r="K4">
        <v>1</v>
      </c>
      <c r="L4" t="s">
        <v>180</v>
      </c>
      <c r="M4">
        <v>3</v>
      </c>
    </row>
    <row r="5" spans="1:13">
      <c r="A5" t="s">
        <v>188</v>
      </c>
      <c r="B5">
        <v>1</v>
      </c>
      <c r="C5">
        <v>4</v>
      </c>
      <c r="D5">
        <v>51</v>
      </c>
      <c r="E5">
        <v>0</v>
      </c>
      <c r="F5">
        <v>0</v>
      </c>
      <c r="G5">
        <v>0</v>
      </c>
      <c r="H5">
        <v>51</v>
      </c>
      <c r="I5" s="4">
        <f t="shared" si="0"/>
        <v>1</v>
      </c>
      <c r="J5" t="s">
        <v>188</v>
      </c>
      <c r="K5">
        <v>1</v>
      </c>
      <c r="L5" t="s">
        <v>1</v>
      </c>
      <c r="M5">
        <v>4</v>
      </c>
    </row>
    <row r="6" spans="1:13">
      <c r="A6" t="s">
        <v>188</v>
      </c>
      <c r="B6">
        <v>2</v>
      </c>
      <c r="C6">
        <v>1</v>
      </c>
      <c r="D6">
        <v>11</v>
      </c>
      <c r="E6">
        <v>0</v>
      </c>
      <c r="F6">
        <v>2</v>
      </c>
      <c r="G6">
        <v>0</v>
      </c>
      <c r="H6">
        <v>33</v>
      </c>
      <c r="I6" s="4">
        <f t="shared" si="0"/>
        <v>0.33333333333333331</v>
      </c>
      <c r="J6" t="s">
        <v>188</v>
      </c>
      <c r="K6">
        <v>2</v>
      </c>
      <c r="L6" t="s">
        <v>180</v>
      </c>
      <c r="M6">
        <v>1</v>
      </c>
    </row>
    <row r="7" spans="1:13">
      <c r="A7" t="s">
        <v>188</v>
      </c>
      <c r="B7">
        <v>2</v>
      </c>
      <c r="C7">
        <v>2</v>
      </c>
      <c r="D7">
        <v>19</v>
      </c>
      <c r="E7">
        <v>0</v>
      </c>
      <c r="F7">
        <v>3</v>
      </c>
      <c r="G7">
        <v>0</v>
      </c>
      <c r="H7">
        <v>33</v>
      </c>
      <c r="I7" s="4">
        <f t="shared" si="0"/>
        <v>0.5757575757575758</v>
      </c>
      <c r="J7" t="s">
        <v>188</v>
      </c>
      <c r="K7">
        <v>2</v>
      </c>
      <c r="L7" t="s">
        <v>189</v>
      </c>
      <c r="M7">
        <v>2</v>
      </c>
    </row>
    <row r="8" spans="1:13">
      <c r="A8" t="s">
        <v>188</v>
      </c>
      <c r="B8">
        <v>2</v>
      </c>
      <c r="C8">
        <v>3</v>
      </c>
      <c r="D8">
        <v>20</v>
      </c>
      <c r="E8">
        <v>0</v>
      </c>
      <c r="F8">
        <v>2</v>
      </c>
      <c r="G8">
        <v>0</v>
      </c>
      <c r="H8">
        <v>33</v>
      </c>
      <c r="I8" s="4">
        <f t="shared" si="0"/>
        <v>0.60606060606060608</v>
      </c>
      <c r="J8" t="s">
        <v>188</v>
      </c>
      <c r="K8">
        <v>2</v>
      </c>
      <c r="L8" t="s">
        <v>190</v>
      </c>
      <c r="M8">
        <v>3</v>
      </c>
    </row>
    <row r="9" spans="1:13">
      <c r="A9" t="s">
        <v>188</v>
      </c>
      <c r="B9">
        <v>2</v>
      </c>
      <c r="C9">
        <v>4</v>
      </c>
      <c r="D9">
        <v>26</v>
      </c>
      <c r="E9">
        <v>0</v>
      </c>
      <c r="F9">
        <v>3</v>
      </c>
      <c r="G9">
        <v>0</v>
      </c>
      <c r="H9">
        <v>33</v>
      </c>
      <c r="I9" s="4">
        <f t="shared" si="0"/>
        <v>0.78787878787878785</v>
      </c>
      <c r="J9" t="s">
        <v>188</v>
      </c>
      <c r="K9">
        <v>2</v>
      </c>
      <c r="L9" t="s">
        <v>191</v>
      </c>
      <c r="M9">
        <v>4</v>
      </c>
    </row>
    <row r="10" spans="1:13">
      <c r="A10" t="s">
        <v>188</v>
      </c>
      <c r="B10">
        <v>2</v>
      </c>
      <c r="C10">
        <v>5</v>
      </c>
      <c r="D10">
        <v>26</v>
      </c>
      <c r="E10">
        <v>0</v>
      </c>
      <c r="F10">
        <v>3</v>
      </c>
      <c r="G10">
        <v>0</v>
      </c>
      <c r="H10">
        <v>33</v>
      </c>
      <c r="I10" s="4">
        <f t="shared" si="0"/>
        <v>0.78787878787878785</v>
      </c>
      <c r="J10" t="s">
        <v>188</v>
      </c>
      <c r="K10">
        <v>2</v>
      </c>
      <c r="L10" t="s">
        <v>193</v>
      </c>
      <c r="M10">
        <v>5</v>
      </c>
    </row>
    <row r="11" spans="1:13">
      <c r="A11" t="s">
        <v>188</v>
      </c>
      <c r="B11">
        <v>2</v>
      </c>
      <c r="C11">
        <v>6</v>
      </c>
      <c r="D11">
        <v>31</v>
      </c>
      <c r="E11">
        <v>0</v>
      </c>
      <c r="F11">
        <v>2</v>
      </c>
      <c r="G11">
        <v>0</v>
      </c>
      <c r="H11">
        <v>33</v>
      </c>
      <c r="I11" s="4">
        <f t="shared" si="0"/>
        <v>0.93939393939393945</v>
      </c>
      <c r="J11" t="s">
        <v>188</v>
      </c>
      <c r="K11">
        <v>2</v>
      </c>
      <c r="L11" t="s">
        <v>194</v>
      </c>
      <c r="M11">
        <v>6</v>
      </c>
    </row>
    <row r="12" spans="1:13">
      <c r="A12" t="s">
        <v>188</v>
      </c>
      <c r="B12">
        <v>2</v>
      </c>
      <c r="C12">
        <v>7</v>
      </c>
      <c r="D12">
        <v>32</v>
      </c>
      <c r="E12">
        <v>0</v>
      </c>
      <c r="F12">
        <v>1</v>
      </c>
      <c r="G12">
        <v>0</v>
      </c>
      <c r="H12">
        <v>33</v>
      </c>
      <c r="I12" s="4">
        <f t="shared" si="0"/>
        <v>0.96969696969696972</v>
      </c>
      <c r="J12" t="s">
        <v>188</v>
      </c>
      <c r="K12">
        <v>2</v>
      </c>
      <c r="L12" t="s">
        <v>192</v>
      </c>
      <c r="M12">
        <v>7</v>
      </c>
    </row>
    <row r="13" spans="1:13">
      <c r="A13" t="s">
        <v>188</v>
      </c>
      <c r="B13">
        <v>2</v>
      </c>
      <c r="C13">
        <v>8</v>
      </c>
      <c r="D13">
        <v>32</v>
      </c>
      <c r="E13">
        <v>0</v>
      </c>
      <c r="F13">
        <v>1</v>
      </c>
      <c r="G13">
        <v>0</v>
      </c>
      <c r="H13">
        <v>33</v>
      </c>
      <c r="I13" s="4">
        <f t="shared" si="0"/>
        <v>0.96969696969696972</v>
      </c>
      <c r="J13" t="s">
        <v>188</v>
      </c>
      <c r="K13">
        <v>2</v>
      </c>
      <c r="L13" t="s">
        <v>195</v>
      </c>
      <c r="M13">
        <v>8</v>
      </c>
    </row>
    <row r="14" spans="1:13">
      <c r="A14" t="s">
        <v>188</v>
      </c>
      <c r="B14">
        <v>2</v>
      </c>
      <c r="C14">
        <v>9</v>
      </c>
      <c r="D14">
        <v>33</v>
      </c>
      <c r="E14">
        <v>0</v>
      </c>
      <c r="F14">
        <v>0</v>
      </c>
      <c r="G14">
        <v>0</v>
      </c>
      <c r="H14">
        <v>33</v>
      </c>
      <c r="I14" s="4">
        <f t="shared" si="0"/>
        <v>1</v>
      </c>
      <c r="J14" t="s">
        <v>188</v>
      </c>
      <c r="K14">
        <v>2</v>
      </c>
      <c r="L14" t="s">
        <v>196</v>
      </c>
      <c r="M14">
        <v>9</v>
      </c>
    </row>
    <row r="15" spans="1:13">
      <c r="A15" t="s">
        <v>188</v>
      </c>
      <c r="B15">
        <v>2</v>
      </c>
      <c r="C15">
        <v>10</v>
      </c>
      <c r="D15">
        <v>33</v>
      </c>
      <c r="E15">
        <v>0</v>
      </c>
      <c r="F15">
        <v>0</v>
      </c>
      <c r="G15">
        <v>0</v>
      </c>
      <c r="H15">
        <v>33</v>
      </c>
      <c r="I15" s="4">
        <f t="shared" si="0"/>
        <v>1</v>
      </c>
      <c r="J15" t="s">
        <v>188</v>
      </c>
      <c r="K15">
        <v>2</v>
      </c>
      <c r="L15" t="s">
        <v>198</v>
      </c>
      <c r="M15">
        <v>10</v>
      </c>
    </row>
    <row r="16" spans="1:13">
      <c r="A16" t="s">
        <v>188</v>
      </c>
      <c r="B16">
        <v>2</v>
      </c>
      <c r="C16">
        <v>11</v>
      </c>
      <c r="D16">
        <v>33</v>
      </c>
      <c r="E16">
        <v>0</v>
      </c>
      <c r="F16">
        <v>0</v>
      </c>
      <c r="G16">
        <v>0</v>
      </c>
      <c r="H16">
        <v>33</v>
      </c>
      <c r="I16" s="4">
        <f t="shared" si="0"/>
        <v>1</v>
      </c>
      <c r="J16" t="s">
        <v>188</v>
      </c>
      <c r="K16">
        <v>2</v>
      </c>
      <c r="L16" t="s">
        <v>197</v>
      </c>
      <c r="M16">
        <v>11</v>
      </c>
    </row>
    <row r="17" spans="1:13">
      <c r="A17" t="s">
        <v>188</v>
      </c>
      <c r="B17">
        <v>2</v>
      </c>
      <c r="C17">
        <v>12</v>
      </c>
      <c r="D17">
        <v>33</v>
      </c>
      <c r="E17">
        <v>0</v>
      </c>
      <c r="F17">
        <v>0</v>
      </c>
      <c r="G17">
        <v>0</v>
      </c>
      <c r="H17">
        <v>33</v>
      </c>
      <c r="I17" s="4">
        <f t="shared" si="0"/>
        <v>1</v>
      </c>
      <c r="J17" t="s">
        <v>188</v>
      </c>
      <c r="K17">
        <v>2</v>
      </c>
      <c r="L17" t="s">
        <v>199</v>
      </c>
      <c r="M17">
        <v>12</v>
      </c>
    </row>
    <row r="18" spans="1:13">
      <c r="A18" t="s">
        <v>188</v>
      </c>
      <c r="B18">
        <v>2</v>
      </c>
      <c r="C18">
        <v>13</v>
      </c>
      <c r="D18">
        <v>33</v>
      </c>
      <c r="E18">
        <v>0</v>
      </c>
      <c r="F18">
        <v>0</v>
      </c>
      <c r="G18">
        <v>0</v>
      </c>
      <c r="H18">
        <v>33</v>
      </c>
      <c r="I18" s="4">
        <f t="shared" si="0"/>
        <v>1</v>
      </c>
      <c r="J18" t="s">
        <v>188</v>
      </c>
      <c r="K18">
        <v>2</v>
      </c>
      <c r="L18" t="s">
        <v>200</v>
      </c>
      <c r="M18">
        <v>13</v>
      </c>
    </row>
    <row r="19" spans="1:13">
      <c r="A19" t="s">
        <v>188</v>
      </c>
      <c r="B19">
        <v>2</v>
      </c>
      <c r="C19">
        <v>14</v>
      </c>
      <c r="D19">
        <v>33</v>
      </c>
      <c r="E19">
        <v>0</v>
      </c>
      <c r="F19">
        <v>0</v>
      </c>
      <c r="G19">
        <v>0</v>
      </c>
      <c r="H19">
        <v>33</v>
      </c>
      <c r="I19" s="4">
        <f t="shared" si="0"/>
        <v>1</v>
      </c>
      <c r="J19" t="s">
        <v>188</v>
      </c>
      <c r="K19">
        <v>2</v>
      </c>
      <c r="L19" t="s">
        <v>201</v>
      </c>
      <c r="M19">
        <v>14</v>
      </c>
    </row>
    <row r="20" spans="1:13">
      <c r="A20" t="s">
        <v>188</v>
      </c>
      <c r="B20">
        <v>2</v>
      </c>
      <c r="C20">
        <v>15</v>
      </c>
      <c r="D20">
        <v>33</v>
      </c>
      <c r="E20">
        <v>0</v>
      </c>
      <c r="F20">
        <v>0</v>
      </c>
      <c r="G20">
        <v>0</v>
      </c>
      <c r="H20">
        <v>33</v>
      </c>
      <c r="I20" s="4">
        <f t="shared" si="0"/>
        <v>1</v>
      </c>
      <c r="J20" t="s">
        <v>188</v>
      </c>
      <c r="K20">
        <v>2</v>
      </c>
      <c r="L20" t="s">
        <v>202</v>
      </c>
      <c r="M20">
        <v>15</v>
      </c>
    </row>
    <row r="21" spans="1:13">
      <c r="A21" t="s">
        <v>188</v>
      </c>
      <c r="B21">
        <v>6</v>
      </c>
      <c r="C21">
        <v>1</v>
      </c>
      <c r="D21">
        <v>4</v>
      </c>
      <c r="E21">
        <v>0</v>
      </c>
      <c r="F21">
        <v>2</v>
      </c>
      <c r="G21">
        <v>0</v>
      </c>
      <c r="H21">
        <v>18</v>
      </c>
      <c r="I21" s="4">
        <f t="shared" si="0"/>
        <v>0.22222222222222221</v>
      </c>
      <c r="J21" t="s">
        <v>188</v>
      </c>
      <c r="K21">
        <v>6</v>
      </c>
      <c r="L21" t="s">
        <v>179</v>
      </c>
      <c r="M21">
        <v>1</v>
      </c>
    </row>
    <row r="22" spans="1:13">
      <c r="A22" t="s">
        <v>188</v>
      </c>
      <c r="B22">
        <v>6</v>
      </c>
      <c r="C22">
        <v>2</v>
      </c>
      <c r="D22">
        <v>10</v>
      </c>
      <c r="E22">
        <v>0</v>
      </c>
      <c r="F22">
        <v>3</v>
      </c>
      <c r="G22">
        <v>0</v>
      </c>
      <c r="H22">
        <v>18</v>
      </c>
      <c r="I22" s="4">
        <f t="shared" si="0"/>
        <v>0.55555555555555558</v>
      </c>
      <c r="J22" t="s">
        <v>188</v>
      </c>
      <c r="K22">
        <v>6</v>
      </c>
      <c r="L22" t="s">
        <v>204</v>
      </c>
      <c r="M22">
        <v>2</v>
      </c>
    </row>
    <row r="23" spans="1:13">
      <c r="A23" t="s">
        <v>188</v>
      </c>
      <c r="B23">
        <v>6</v>
      </c>
      <c r="C23">
        <v>3</v>
      </c>
      <c r="D23">
        <v>11</v>
      </c>
      <c r="E23">
        <v>0</v>
      </c>
      <c r="F23">
        <v>2</v>
      </c>
      <c r="G23">
        <v>0</v>
      </c>
      <c r="H23">
        <v>18</v>
      </c>
      <c r="I23" s="4">
        <f t="shared" si="0"/>
        <v>0.61111111111111116</v>
      </c>
      <c r="J23" t="s">
        <v>188</v>
      </c>
      <c r="K23">
        <v>6</v>
      </c>
      <c r="L23" t="s">
        <v>203</v>
      </c>
      <c r="M23">
        <v>3</v>
      </c>
    </row>
    <row r="24" spans="1:13">
      <c r="A24" t="s">
        <v>188</v>
      </c>
      <c r="B24">
        <v>6</v>
      </c>
      <c r="C24">
        <v>4</v>
      </c>
      <c r="D24">
        <v>16</v>
      </c>
      <c r="E24">
        <v>0</v>
      </c>
      <c r="F24">
        <v>2</v>
      </c>
      <c r="G24">
        <v>0</v>
      </c>
      <c r="H24">
        <v>18</v>
      </c>
      <c r="I24" s="4">
        <f t="shared" si="0"/>
        <v>0.88888888888888884</v>
      </c>
      <c r="J24" t="s">
        <v>188</v>
      </c>
      <c r="K24">
        <v>6</v>
      </c>
      <c r="L24" t="s">
        <v>205</v>
      </c>
      <c r="M24">
        <v>4</v>
      </c>
    </row>
    <row r="25" spans="1:13">
      <c r="A25" t="s">
        <v>188</v>
      </c>
      <c r="B25">
        <v>6</v>
      </c>
      <c r="C25">
        <v>5</v>
      </c>
      <c r="D25">
        <v>18</v>
      </c>
      <c r="E25">
        <v>0</v>
      </c>
      <c r="F25">
        <v>0</v>
      </c>
      <c r="G25">
        <v>0</v>
      </c>
      <c r="H25">
        <v>18</v>
      </c>
      <c r="I25" s="4">
        <f t="shared" si="0"/>
        <v>1</v>
      </c>
      <c r="J25" t="s">
        <v>188</v>
      </c>
      <c r="K25">
        <v>6</v>
      </c>
      <c r="L25" t="s">
        <v>215</v>
      </c>
      <c r="M25">
        <v>5</v>
      </c>
    </row>
    <row r="26" spans="1:13">
      <c r="A26" t="s">
        <v>188</v>
      </c>
      <c r="B26">
        <v>9</v>
      </c>
      <c r="C26">
        <v>1</v>
      </c>
      <c r="D26">
        <v>3</v>
      </c>
      <c r="E26">
        <v>0</v>
      </c>
      <c r="F26">
        <v>0</v>
      </c>
      <c r="G26">
        <v>0</v>
      </c>
      <c r="H26">
        <v>46</v>
      </c>
      <c r="I26" s="4">
        <f t="shared" si="0"/>
        <v>6.5217391304347824E-2</v>
      </c>
      <c r="J26" t="s">
        <v>188</v>
      </c>
      <c r="K26">
        <v>9</v>
      </c>
      <c r="L26" t="s">
        <v>206</v>
      </c>
      <c r="M26">
        <v>1</v>
      </c>
    </row>
    <row r="27" spans="1:13">
      <c r="A27" t="s">
        <v>188</v>
      </c>
      <c r="B27">
        <v>9</v>
      </c>
      <c r="C27">
        <v>2</v>
      </c>
      <c r="D27">
        <v>3</v>
      </c>
      <c r="E27">
        <v>0</v>
      </c>
      <c r="F27">
        <v>0</v>
      </c>
      <c r="G27">
        <v>0</v>
      </c>
      <c r="H27">
        <v>46</v>
      </c>
      <c r="I27" s="4">
        <f t="shared" si="0"/>
        <v>6.5217391304347824E-2</v>
      </c>
      <c r="J27" t="s">
        <v>188</v>
      </c>
      <c r="K27">
        <v>9</v>
      </c>
      <c r="L27" t="s">
        <v>208</v>
      </c>
      <c r="M27">
        <v>2</v>
      </c>
    </row>
    <row r="28" spans="1:13">
      <c r="A28" t="s">
        <v>188</v>
      </c>
      <c r="B28">
        <v>9</v>
      </c>
      <c r="C28">
        <v>3</v>
      </c>
      <c r="D28">
        <v>3</v>
      </c>
      <c r="E28">
        <v>0</v>
      </c>
      <c r="F28">
        <v>0</v>
      </c>
      <c r="G28">
        <v>0</v>
      </c>
      <c r="H28">
        <v>46</v>
      </c>
      <c r="I28" s="4">
        <f t="shared" si="0"/>
        <v>6.5217391304347824E-2</v>
      </c>
      <c r="J28" t="s">
        <v>188</v>
      </c>
      <c r="K28">
        <v>9</v>
      </c>
      <c r="L28" t="s">
        <v>207</v>
      </c>
      <c r="M28">
        <v>3</v>
      </c>
    </row>
    <row r="29" spans="1:13">
      <c r="A29" t="s">
        <v>188</v>
      </c>
      <c r="B29">
        <v>9</v>
      </c>
      <c r="C29">
        <v>4</v>
      </c>
      <c r="D29">
        <v>7</v>
      </c>
      <c r="E29">
        <v>0</v>
      </c>
      <c r="F29">
        <v>1</v>
      </c>
      <c r="G29">
        <v>0</v>
      </c>
      <c r="H29">
        <v>46</v>
      </c>
      <c r="I29" s="4">
        <f t="shared" si="0"/>
        <v>0.15217391304347827</v>
      </c>
      <c r="J29" t="s">
        <v>188</v>
      </c>
      <c r="K29">
        <v>9</v>
      </c>
      <c r="L29" t="s">
        <v>209</v>
      </c>
      <c r="M29">
        <v>4</v>
      </c>
    </row>
    <row r="30" spans="1:13">
      <c r="A30" t="s">
        <v>188</v>
      </c>
      <c r="B30">
        <v>9</v>
      </c>
      <c r="C30">
        <v>5</v>
      </c>
      <c r="D30">
        <v>11</v>
      </c>
      <c r="E30">
        <v>0</v>
      </c>
      <c r="F30">
        <v>0</v>
      </c>
      <c r="G30">
        <v>0</v>
      </c>
      <c r="H30">
        <v>46</v>
      </c>
      <c r="I30" s="4">
        <f t="shared" si="0"/>
        <v>0.2391304347826087</v>
      </c>
      <c r="J30" t="s">
        <v>188</v>
      </c>
      <c r="K30">
        <v>9</v>
      </c>
      <c r="L30" t="s">
        <v>180</v>
      </c>
      <c r="M30">
        <v>5</v>
      </c>
    </row>
    <row r="31" spans="1:13">
      <c r="A31" t="s">
        <v>188</v>
      </c>
      <c r="B31">
        <v>9</v>
      </c>
      <c r="C31">
        <v>6</v>
      </c>
      <c r="D31">
        <v>23</v>
      </c>
      <c r="E31">
        <v>0</v>
      </c>
      <c r="F31">
        <v>2</v>
      </c>
      <c r="G31">
        <v>0</v>
      </c>
      <c r="H31">
        <v>46</v>
      </c>
      <c r="I31" s="4">
        <f t="shared" si="0"/>
        <v>0.5</v>
      </c>
      <c r="J31" t="s">
        <v>188</v>
      </c>
      <c r="K31">
        <v>9</v>
      </c>
      <c r="L31" t="s">
        <v>210</v>
      </c>
      <c r="M31">
        <v>6</v>
      </c>
    </row>
    <row r="32" spans="1:13">
      <c r="A32" t="s">
        <v>188</v>
      </c>
      <c r="B32">
        <v>9</v>
      </c>
      <c r="C32">
        <v>7</v>
      </c>
      <c r="D32">
        <v>30</v>
      </c>
      <c r="E32">
        <v>0</v>
      </c>
      <c r="F32">
        <v>2</v>
      </c>
      <c r="G32">
        <v>0</v>
      </c>
      <c r="H32">
        <v>46</v>
      </c>
      <c r="I32" s="4">
        <f t="shared" si="0"/>
        <v>0.65217391304347827</v>
      </c>
      <c r="J32" t="s">
        <v>188</v>
      </c>
      <c r="K32">
        <v>9</v>
      </c>
      <c r="L32" t="s">
        <v>212</v>
      </c>
      <c r="M32">
        <v>7</v>
      </c>
    </row>
    <row r="33" spans="1:13">
      <c r="A33" t="s">
        <v>188</v>
      </c>
      <c r="B33">
        <v>9</v>
      </c>
      <c r="C33">
        <v>8</v>
      </c>
      <c r="D33">
        <v>42</v>
      </c>
      <c r="E33">
        <v>0</v>
      </c>
      <c r="F33">
        <v>1</v>
      </c>
      <c r="G33">
        <v>0</v>
      </c>
      <c r="H33">
        <v>46</v>
      </c>
      <c r="I33" s="4">
        <f t="shared" si="0"/>
        <v>0.91304347826086951</v>
      </c>
      <c r="J33" t="s">
        <v>188</v>
      </c>
      <c r="K33">
        <v>9</v>
      </c>
      <c r="L33" t="s">
        <v>211</v>
      </c>
      <c r="M33">
        <v>8</v>
      </c>
    </row>
    <row r="34" spans="1:13">
      <c r="A34" t="s">
        <v>188</v>
      </c>
      <c r="B34">
        <v>9</v>
      </c>
      <c r="C34">
        <v>9</v>
      </c>
      <c r="D34">
        <v>46</v>
      </c>
      <c r="E34">
        <v>0</v>
      </c>
      <c r="F34">
        <v>0</v>
      </c>
      <c r="G34">
        <v>0</v>
      </c>
      <c r="H34">
        <v>46</v>
      </c>
      <c r="I34" s="4">
        <f t="shared" si="0"/>
        <v>1</v>
      </c>
      <c r="J34" t="s">
        <v>188</v>
      </c>
      <c r="K34">
        <v>9</v>
      </c>
      <c r="L34" t="s">
        <v>213</v>
      </c>
      <c r="M34">
        <v>9</v>
      </c>
    </row>
    <row r="35" spans="1:13">
      <c r="A35" t="s">
        <v>188</v>
      </c>
      <c r="B35">
        <v>9</v>
      </c>
      <c r="C35">
        <v>10</v>
      </c>
      <c r="D35">
        <v>46</v>
      </c>
      <c r="E35">
        <v>0</v>
      </c>
      <c r="F35">
        <v>0</v>
      </c>
      <c r="G35">
        <v>0</v>
      </c>
      <c r="H35">
        <v>46</v>
      </c>
      <c r="I35" s="4">
        <f t="shared" si="0"/>
        <v>1</v>
      </c>
      <c r="J35" t="s">
        <v>188</v>
      </c>
      <c r="K35">
        <v>9</v>
      </c>
      <c r="L35" t="s">
        <v>214</v>
      </c>
      <c r="M35">
        <v>10</v>
      </c>
    </row>
    <row r="36" spans="1:13">
      <c r="A36" t="s">
        <v>219</v>
      </c>
      <c r="B36">
        <v>2</v>
      </c>
      <c r="C36">
        <v>1</v>
      </c>
      <c r="D36">
        <v>6</v>
      </c>
      <c r="E36">
        <v>0</v>
      </c>
      <c r="F36">
        <v>2</v>
      </c>
      <c r="G36">
        <v>0</v>
      </c>
      <c r="H36">
        <v>31</v>
      </c>
      <c r="I36" s="4">
        <f t="shared" si="0"/>
        <v>0.19354838709677419</v>
      </c>
      <c r="J36" t="s">
        <v>219</v>
      </c>
      <c r="K36">
        <v>2</v>
      </c>
      <c r="L36" t="s">
        <v>2</v>
      </c>
      <c r="M36">
        <v>1</v>
      </c>
    </row>
    <row r="37" spans="1:13">
      <c r="A37" t="s">
        <v>219</v>
      </c>
      <c r="B37">
        <v>2</v>
      </c>
      <c r="C37">
        <v>2</v>
      </c>
      <c r="D37">
        <v>22</v>
      </c>
      <c r="E37">
        <v>0</v>
      </c>
      <c r="F37">
        <v>2</v>
      </c>
      <c r="G37">
        <v>0</v>
      </c>
      <c r="H37">
        <v>31</v>
      </c>
      <c r="I37" s="4">
        <f t="shared" si="0"/>
        <v>0.70967741935483875</v>
      </c>
      <c r="J37" t="s">
        <v>219</v>
      </c>
      <c r="K37">
        <v>2</v>
      </c>
      <c r="L37" t="s">
        <v>0</v>
      </c>
      <c r="M37">
        <v>2</v>
      </c>
    </row>
    <row r="38" spans="1:13">
      <c r="A38" t="s">
        <v>219</v>
      </c>
      <c r="B38">
        <v>2</v>
      </c>
      <c r="C38">
        <v>3</v>
      </c>
      <c r="D38">
        <v>29</v>
      </c>
      <c r="E38">
        <v>0</v>
      </c>
      <c r="F38">
        <v>2</v>
      </c>
      <c r="G38">
        <v>0</v>
      </c>
      <c r="H38">
        <v>31</v>
      </c>
      <c r="I38" s="4">
        <f t="shared" si="0"/>
        <v>0.93548387096774188</v>
      </c>
      <c r="J38" t="s">
        <v>219</v>
      </c>
      <c r="K38">
        <v>2</v>
      </c>
      <c r="L38" t="s">
        <v>233</v>
      </c>
      <c r="M38">
        <v>3</v>
      </c>
    </row>
    <row r="39" spans="1:13">
      <c r="A39" t="s">
        <v>219</v>
      </c>
      <c r="B39">
        <v>2</v>
      </c>
      <c r="C39">
        <v>4</v>
      </c>
      <c r="D39">
        <v>31</v>
      </c>
      <c r="E39">
        <v>0</v>
      </c>
      <c r="F39">
        <v>0</v>
      </c>
      <c r="G39">
        <v>0</v>
      </c>
      <c r="H39">
        <v>31</v>
      </c>
      <c r="I39" s="4">
        <f t="shared" si="0"/>
        <v>1</v>
      </c>
      <c r="J39" t="s">
        <v>219</v>
      </c>
      <c r="K39">
        <v>2</v>
      </c>
      <c r="L39" t="s">
        <v>234</v>
      </c>
      <c r="M39">
        <v>4</v>
      </c>
    </row>
    <row r="40" spans="1:13">
      <c r="A40" t="s">
        <v>219</v>
      </c>
      <c r="B40">
        <v>4</v>
      </c>
      <c r="C40">
        <v>1</v>
      </c>
      <c r="D40">
        <v>6</v>
      </c>
      <c r="E40">
        <v>0</v>
      </c>
      <c r="F40">
        <v>2</v>
      </c>
      <c r="G40">
        <v>0</v>
      </c>
      <c r="H40">
        <v>31</v>
      </c>
      <c r="I40" s="4">
        <f t="shared" si="0"/>
        <v>0.19354838709677419</v>
      </c>
      <c r="J40" t="s">
        <v>219</v>
      </c>
      <c r="K40">
        <v>4</v>
      </c>
      <c r="L40" t="s">
        <v>2</v>
      </c>
      <c r="M40">
        <v>1</v>
      </c>
    </row>
    <row r="41" spans="1:13">
      <c r="A41" t="s">
        <v>219</v>
      </c>
      <c r="B41">
        <v>4</v>
      </c>
      <c r="C41">
        <v>2</v>
      </c>
      <c r="D41">
        <v>17</v>
      </c>
      <c r="E41">
        <v>0</v>
      </c>
      <c r="F41">
        <v>3</v>
      </c>
      <c r="G41">
        <v>0</v>
      </c>
      <c r="H41">
        <v>31</v>
      </c>
      <c r="I41" s="4">
        <f t="shared" si="0"/>
        <v>0.54838709677419351</v>
      </c>
      <c r="J41" t="s">
        <v>219</v>
      </c>
      <c r="K41">
        <v>4</v>
      </c>
      <c r="L41" t="s">
        <v>233</v>
      </c>
      <c r="M41">
        <v>2</v>
      </c>
    </row>
    <row r="42" spans="1:13">
      <c r="A42" t="s">
        <v>219</v>
      </c>
      <c r="B42">
        <v>4</v>
      </c>
      <c r="C42">
        <v>3</v>
      </c>
      <c r="D42">
        <v>29</v>
      </c>
      <c r="E42">
        <v>0</v>
      </c>
      <c r="F42">
        <v>2</v>
      </c>
      <c r="G42">
        <v>0</v>
      </c>
      <c r="H42">
        <v>31</v>
      </c>
      <c r="I42" s="4">
        <f t="shared" si="0"/>
        <v>0.93548387096774188</v>
      </c>
      <c r="J42" t="s">
        <v>219</v>
      </c>
      <c r="K42">
        <v>4</v>
      </c>
      <c r="L42" t="s">
        <v>0</v>
      </c>
      <c r="M42">
        <v>3</v>
      </c>
    </row>
    <row r="43" spans="1:13">
      <c r="A43" t="s">
        <v>219</v>
      </c>
      <c r="B43">
        <v>4</v>
      </c>
      <c r="C43">
        <v>4</v>
      </c>
      <c r="D43">
        <v>31</v>
      </c>
      <c r="E43">
        <v>0</v>
      </c>
      <c r="F43">
        <v>0</v>
      </c>
      <c r="G43">
        <v>0</v>
      </c>
      <c r="H43">
        <v>31</v>
      </c>
      <c r="I43" s="4">
        <f t="shared" si="0"/>
        <v>1</v>
      </c>
      <c r="J43" t="s">
        <v>219</v>
      </c>
      <c r="K43">
        <v>4</v>
      </c>
      <c r="L43" t="s">
        <v>234</v>
      </c>
      <c r="M43">
        <v>4</v>
      </c>
    </row>
    <row r="44" spans="1:13">
      <c r="A44" t="s">
        <v>219</v>
      </c>
      <c r="B44">
        <v>13</v>
      </c>
      <c r="C44">
        <v>1</v>
      </c>
      <c r="D44">
        <v>1</v>
      </c>
      <c r="E44">
        <v>0</v>
      </c>
      <c r="F44">
        <v>1</v>
      </c>
      <c r="G44">
        <v>0</v>
      </c>
      <c r="H44">
        <v>8</v>
      </c>
      <c r="I44" s="4">
        <f t="shared" si="0"/>
        <v>0.125</v>
      </c>
      <c r="J44" t="s">
        <v>219</v>
      </c>
      <c r="K44">
        <v>13</v>
      </c>
      <c r="L44" t="s">
        <v>203</v>
      </c>
      <c r="M44">
        <v>1</v>
      </c>
    </row>
    <row r="45" spans="1:13">
      <c r="A45" t="s">
        <v>219</v>
      </c>
      <c r="B45">
        <v>13</v>
      </c>
      <c r="C45">
        <v>2</v>
      </c>
      <c r="D45">
        <v>3</v>
      </c>
      <c r="E45">
        <v>0</v>
      </c>
      <c r="F45">
        <v>1</v>
      </c>
      <c r="G45">
        <v>0</v>
      </c>
      <c r="H45">
        <v>8</v>
      </c>
      <c r="I45" s="4">
        <f t="shared" si="0"/>
        <v>0.375</v>
      </c>
      <c r="J45" t="s">
        <v>219</v>
      </c>
      <c r="K45">
        <v>13</v>
      </c>
      <c r="L45" t="s">
        <v>179</v>
      </c>
      <c r="M45">
        <v>2</v>
      </c>
    </row>
    <row r="46" spans="1:13">
      <c r="A46" t="s">
        <v>219</v>
      </c>
      <c r="B46">
        <v>13</v>
      </c>
      <c r="C46">
        <v>3</v>
      </c>
      <c r="D46">
        <v>5</v>
      </c>
      <c r="E46">
        <v>0</v>
      </c>
      <c r="F46">
        <v>1</v>
      </c>
      <c r="G46">
        <v>0</v>
      </c>
      <c r="H46">
        <v>8</v>
      </c>
      <c r="I46" s="4">
        <f t="shared" si="0"/>
        <v>0.625</v>
      </c>
      <c r="J46" t="s">
        <v>219</v>
      </c>
      <c r="K46">
        <v>13</v>
      </c>
      <c r="L46" t="s">
        <v>204</v>
      </c>
      <c r="M46">
        <v>3</v>
      </c>
    </row>
    <row r="47" spans="1:13">
      <c r="A47" t="s">
        <v>219</v>
      </c>
      <c r="B47">
        <v>13</v>
      </c>
      <c r="C47">
        <v>4</v>
      </c>
      <c r="D47">
        <v>7</v>
      </c>
      <c r="E47">
        <v>0</v>
      </c>
      <c r="F47">
        <v>1</v>
      </c>
      <c r="G47">
        <v>0</v>
      </c>
      <c r="H47">
        <v>8</v>
      </c>
      <c r="I47" s="4">
        <f t="shared" si="0"/>
        <v>0.875</v>
      </c>
      <c r="J47" t="s">
        <v>219</v>
      </c>
      <c r="K47">
        <v>13</v>
      </c>
      <c r="L47" t="s">
        <v>205</v>
      </c>
      <c r="M47">
        <v>4</v>
      </c>
    </row>
    <row r="48" spans="1:13">
      <c r="A48" t="s">
        <v>219</v>
      </c>
      <c r="B48">
        <v>13</v>
      </c>
      <c r="C48">
        <v>5</v>
      </c>
      <c r="D48">
        <v>8</v>
      </c>
      <c r="E48">
        <v>0</v>
      </c>
      <c r="F48">
        <v>0</v>
      </c>
      <c r="G48">
        <v>0</v>
      </c>
      <c r="H48">
        <v>8</v>
      </c>
      <c r="I48" s="4">
        <f t="shared" si="0"/>
        <v>1</v>
      </c>
      <c r="J48" t="s">
        <v>219</v>
      </c>
      <c r="K48">
        <v>13</v>
      </c>
      <c r="L48" t="s">
        <v>215</v>
      </c>
      <c r="M48">
        <v>5</v>
      </c>
    </row>
    <row r="49" spans="1:13">
      <c r="A49" t="s">
        <v>219</v>
      </c>
      <c r="B49">
        <v>16</v>
      </c>
      <c r="C49">
        <v>1</v>
      </c>
      <c r="D49">
        <v>3</v>
      </c>
      <c r="E49">
        <v>0</v>
      </c>
      <c r="F49">
        <v>0</v>
      </c>
      <c r="G49">
        <v>0</v>
      </c>
      <c r="H49">
        <v>183</v>
      </c>
      <c r="I49" s="4">
        <f t="shared" si="0"/>
        <v>1.6393442622950821E-2</v>
      </c>
      <c r="J49" t="s">
        <v>219</v>
      </c>
      <c r="K49">
        <v>16</v>
      </c>
      <c r="L49" t="s">
        <v>235</v>
      </c>
      <c r="M49">
        <v>1</v>
      </c>
    </row>
    <row r="50" spans="1:13">
      <c r="A50" t="s">
        <v>219</v>
      </c>
      <c r="B50">
        <v>16</v>
      </c>
      <c r="C50">
        <v>2</v>
      </c>
      <c r="D50">
        <v>6</v>
      </c>
      <c r="E50">
        <v>0</v>
      </c>
      <c r="F50">
        <v>1</v>
      </c>
      <c r="G50">
        <v>0</v>
      </c>
      <c r="H50">
        <v>183</v>
      </c>
      <c r="I50" s="4">
        <f t="shared" si="0"/>
        <v>3.2786885245901641E-2</v>
      </c>
      <c r="J50" t="s">
        <v>219</v>
      </c>
      <c r="K50">
        <v>16</v>
      </c>
      <c r="L50" t="s">
        <v>236</v>
      </c>
      <c r="M50">
        <v>2</v>
      </c>
    </row>
    <row r="51" spans="1:13">
      <c r="A51" t="s">
        <v>219</v>
      </c>
      <c r="B51">
        <v>16</v>
      </c>
      <c r="C51">
        <v>3</v>
      </c>
      <c r="D51">
        <v>166</v>
      </c>
      <c r="E51">
        <v>0</v>
      </c>
      <c r="F51">
        <v>2</v>
      </c>
      <c r="G51">
        <v>0</v>
      </c>
      <c r="H51">
        <v>183</v>
      </c>
      <c r="I51" s="4">
        <f t="shared" si="0"/>
        <v>0.90710382513661203</v>
      </c>
      <c r="J51" t="s">
        <v>219</v>
      </c>
      <c r="K51">
        <v>16</v>
      </c>
      <c r="L51" t="s">
        <v>237</v>
      </c>
      <c r="M51">
        <v>3</v>
      </c>
    </row>
    <row r="52" spans="1:13">
      <c r="A52" t="s">
        <v>219</v>
      </c>
      <c r="B52">
        <v>16</v>
      </c>
      <c r="C52">
        <v>4</v>
      </c>
      <c r="D52">
        <v>183</v>
      </c>
      <c r="E52">
        <v>0</v>
      </c>
      <c r="F52">
        <v>0</v>
      </c>
      <c r="G52">
        <v>0</v>
      </c>
      <c r="H52">
        <v>183</v>
      </c>
      <c r="I52" s="4">
        <f t="shared" si="0"/>
        <v>1</v>
      </c>
      <c r="J52" t="s">
        <v>219</v>
      </c>
      <c r="K52">
        <v>16</v>
      </c>
      <c r="L52" t="s">
        <v>238</v>
      </c>
      <c r="M52">
        <v>4</v>
      </c>
    </row>
    <row r="53" spans="1:13">
      <c r="A53" t="s">
        <v>219</v>
      </c>
      <c r="B53">
        <v>18</v>
      </c>
      <c r="C53">
        <v>1</v>
      </c>
      <c r="D53">
        <v>3</v>
      </c>
      <c r="E53">
        <v>0</v>
      </c>
      <c r="F53">
        <v>1</v>
      </c>
      <c r="G53">
        <v>0</v>
      </c>
      <c r="H53">
        <v>141</v>
      </c>
      <c r="I53" s="4">
        <f t="shared" si="0"/>
        <v>2.1276595744680851E-2</v>
      </c>
      <c r="J53" t="s">
        <v>219</v>
      </c>
      <c r="K53">
        <v>18</v>
      </c>
      <c r="L53" t="s">
        <v>2</v>
      </c>
      <c r="M53">
        <v>1</v>
      </c>
    </row>
    <row r="54" spans="1:13">
      <c r="A54" t="s">
        <v>219</v>
      </c>
      <c r="B54">
        <v>18</v>
      </c>
      <c r="C54">
        <v>2</v>
      </c>
      <c r="D54">
        <v>6</v>
      </c>
      <c r="E54">
        <v>0</v>
      </c>
      <c r="F54">
        <v>1</v>
      </c>
      <c r="G54">
        <v>0</v>
      </c>
      <c r="H54">
        <v>141</v>
      </c>
      <c r="I54" s="4">
        <f t="shared" si="0"/>
        <v>4.2553191489361701E-2</v>
      </c>
      <c r="J54" t="s">
        <v>219</v>
      </c>
      <c r="K54">
        <v>18</v>
      </c>
      <c r="L54" t="s">
        <v>1</v>
      </c>
      <c r="M54">
        <v>2</v>
      </c>
    </row>
    <row r="55" spans="1:13">
      <c r="A55" t="s">
        <v>219</v>
      </c>
      <c r="B55">
        <v>18</v>
      </c>
      <c r="C55">
        <v>3</v>
      </c>
      <c r="D55">
        <v>17</v>
      </c>
      <c r="E55">
        <v>0</v>
      </c>
      <c r="F55">
        <v>1</v>
      </c>
      <c r="G55">
        <v>0</v>
      </c>
      <c r="H55">
        <v>141</v>
      </c>
      <c r="I55" s="4">
        <f t="shared" si="0"/>
        <v>0.12056737588652482</v>
      </c>
      <c r="J55" t="s">
        <v>219</v>
      </c>
      <c r="K55">
        <v>18</v>
      </c>
      <c r="L55" t="s">
        <v>239</v>
      </c>
      <c r="M55">
        <v>3</v>
      </c>
    </row>
    <row r="56" spans="1:13">
      <c r="A56" t="s">
        <v>219</v>
      </c>
      <c r="B56">
        <v>18</v>
      </c>
      <c r="C56">
        <v>4</v>
      </c>
      <c r="D56">
        <v>23</v>
      </c>
      <c r="E56">
        <v>0</v>
      </c>
      <c r="F56">
        <v>1</v>
      </c>
      <c r="G56">
        <v>0</v>
      </c>
      <c r="H56">
        <v>141</v>
      </c>
      <c r="I56" s="4">
        <f t="shared" si="0"/>
        <v>0.16312056737588654</v>
      </c>
      <c r="J56" t="s">
        <v>219</v>
      </c>
      <c r="K56">
        <v>18</v>
      </c>
      <c r="L56" t="s">
        <v>240</v>
      </c>
      <c r="M56">
        <v>4</v>
      </c>
    </row>
    <row r="57" spans="1:13">
      <c r="A57" t="s">
        <v>219</v>
      </c>
      <c r="B57">
        <v>18</v>
      </c>
      <c r="C57">
        <v>5</v>
      </c>
      <c r="D57">
        <v>35</v>
      </c>
      <c r="E57">
        <v>0</v>
      </c>
      <c r="F57">
        <v>5</v>
      </c>
      <c r="G57">
        <v>0</v>
      </c>
      <c r="H57">
        <v>141</v>
      </c>
      <c r="I57" s="4">
        <f t="shared" si="0"/>
        <v>0.24822695035460993</v>
      </c>
      <c r="J57" t="s">
        <v>219</v>
      </c>
      <c r="K57">
        <v>18</v>
      </c>
      <c r="L57" t="s">
        <v>241</v>
      </c>
      <c r="M57">
        <v>5</v>
      </c>
    </row>
    <row r="58" spans="1:13">
      <c r="A58" t="s">
        <v>219</v>
      </c>
      <c r="B58">
        <v>18</v>
      </c>
      <c r="C58">
        <v>6</v>
      </c>
      <c r="D58">
        <v>38</v>
      </c>
      <c r="E58">
        <v>0</v>
      </c>
      <c r="F58">
        <v>5</v>
      </c>
      <c r="G58">
        <v>0</v>
      </c>
      <c r="H58">
        <v>141</v>
      </c>
      <c r="I58" s="4">
        <f t="shared" si="0"/>
        <v>0.26950354609929078</v>
      </c>
      <c r="J58" t="s">
        <v>219</v>
      </c>
      <c r="K58">
        <v>18</v>
      </c>
      <c r="L58" t="s">
        <v>242</v>
      </c>
      <c r="M58">
        <v>6</v>
      </c>
    </row>
    <row r="59" spans="1:13">
      <c r="A59" t="s">
        <v>219</v>
      </c>
      <c r="B59">
        <v>18</v>
      </c>
      <c r="C59">
        <v>7</v>
      </c>
      <c r="D59">
        <v>41</v>
      </c>
      <c r="E59">
        <v>0</v>
      </c>
      <c r="F59">
        <v>5</v>
      </c>
      <c r="G59">
        <v>0</v>
      </c>
      <c r="H59">
        <v>141</v>
      </c>
      <c r="I59" s="4">
        <f t="shared" si="0"/>
        <v>0.29078014184397161</v>
      </c>
      <c r="J59" t="s">
        <v>219</v>
      </c>
      <c r="K59">
        <v>18</v>
      </c>
      <c r="L59" t="s">
        <v>243</v>
      </c>
      <c r="M59">
        <v>7</v>
      </c>
    </row>
    <row r="60" spans="1:13">
      <c r="A60" t="s">
        <v>219</v>
      </c>
      <c r="B60">
        <v>18</v>
      </c>
      <c r="C60">
        <v>8</v>
      </c>
      <c r="D60">
        <v>44</v>
      </c>
      <c r="E60">
        <v>0</v>
      </c>
      <c r="F60">
        <v>5</v>
      </c>
      <c r="G60">
        <v>0</v>
      </c>
      <c r="H60">
        <v>141</v>
      </c>
      <c r="I60" s="4">
        <f t="shared" si="0"/>
        <v>0.31205673758865249</v>
      </c>
      <c r="J60" t="s">
        <v>219</v>
      </c>
      <c r="K60">
        <v>18</v>
      </c>
      <c r="L60" t="s">
        <v>244</v>
      </c>
      <c r="M60">
        <v>8</v>
      </c>
    </row>
    <row r="61" spans="1:13">
      <c r="A61" t="s">
        <v>219</v>
      </c>
      <c r="B61">
        <v>18</v>
      </c>
      <c r="C61">
        <v>9</v>
      </c>
      <c r="D61">
        <v>47</v>
      </c>
      <c r="E61">
        <v>0</v>
      </c>
      <c r="F61">
        <v>4</v>
      </c>
      <c r="G61">
        <v>0</v>
      </c>
      <c r="H61">
        <v>141</v>
      </c>
      <c r="I61" s="4">
        <f t="shared" si="0"/>
        <v>0.33333333333333331</v>
      </c>
      <c r="J61" t="s">
        <v>219</v>
      </c>
      <c r="K61">
        <v>18</v>
      </c>
      <c r="L61" t="s">
        <v>245</v>
      </c>
      <c r="M61">
        <v>9</v>
      </c>
    </row>
    <row r="62" spans="1:13">
      <c r="A62" t="s">
        <v>219</v>
      </c>
      <c r="B62">
        <v>18</v>
      </c>
      <c r="C62">
        <v>10</v>
      </c>
      <c r="D62">
        <v>47</v>
      </c>
      <c r="E62">
        <v>0</v>
      </c>
      <c r="F62">
        <v>4</v>
      </c>
      <c r="G62">
        <v>0</v>
      </c>
      <c r="H62">
        <v>141</v>
      </c>
      <c r="I62" s="4">
        <f t="shared" si="0"/>
        <v>0.33333333333333331</v>
      </c>
      <c r="J62" t="s">
        <v>219</v>
      </c>
      <c r="K62">
        <v>18</v>
      </c>
      <c r="L62" t="s">
        <v>246</v>
      </c>
      <c r="M62">
        <v>10</v>
      </c>
    </row>
    <row r="63" spans="1:13">
      <c r="A63" t="s">
        <v>219</v>
      </c>
      <c r="B63">
        <v>18</v>
      </c>
      <c r="C63">
        <v>11</v>
      </c>
      <c r="D63">
        <v>47</v>
      </c>
      <c r="E63">
        <v>0</v>
      </c>
      <c r="F63">
        <v>4</v>
      </c>
      <c r="G63">
        <v>0</v>
      </c>
      <c r="H63">
        <v>141</v>
      </c>
      <c r="I63" s="4">
        <f t="shared" si="0"/>
        <v>0.33333333333333331</v>
      </c>
      <c r="J63" t="s">
        <v>219</v>
      </c>
      <c r="K63">
        <v>18</v>
      </c>
      <c r="L63" t="s">
        <v>247</v>
      </c>
      <c r="M63">
        <v>11</v>
      </c>
    </row>
    <row r="64" spans="1:13">
      <c r="A64" t="s">
        <v>219</v>
      </c>
      <c r="B64">
        <v>18</v>
      </c>
      <c r="C64">
        <v>12</v>
      </c>
      <c r="D64">
        <v>51</v>
      </c>
      <c r="E64">
        <v>0</v>
      </c>
      <c r="F64">
        <v>4</v>
      </c>
      <c r="G64">
        <v>0</v>
      </c>
      <c r="H64">
        <v>141</v>
      </c>
      <c r="I64" s="4">
        <f t="shared" si="0"/>
        <v>0.36170212765957449</v>
      </c>
      <c r="J64" t="s">
        <v>219</v>
      </c>
      <c r="K64">
        <v>18</v>
      </c>
      <c r="L64" t="s">
        <v>248</v>
      </c>
      <c r="M64">
        <v>12</v>
      </c>
    </row>
    <row r="65" spans="1:13">
      <c r="A65" t="s">
        <v>219</v>
      </c>
      <c r="B65">
        <v>18</v>
      </c>
      <c r="C65">
        <v>13</v>
      </c>
      <c r="D65">
        <v>51</v>
      </c>
      <c r="E65">
        <v>0</v>
      </c>
      <c r="F65">
        <v>4</v>
      </c>
      <c r="G65">
        <v>0</v>
      </c>
      <c r="H65">
        <v>141</v>
      </c>
      <c r="I65" s="4">
        <f t="shared" si="0"/>
        <v>0.36170212765957449</v>
      </c>
      <c r="J65" t="s">
        <v>219</v>
      </c>
      <c r="K65">
        <v>18</v>
      </c>
      <c r="L65" t="s">
        <v>249</v>
      </c>
      <c r="M65">
        <v>13</v>
      </c>
    </row>
    <row r="66" spans="1:13">
      <c r="A66" t="s">
        <v>219</v>
      </c>
      <c r="B66">
        <v>18</v>
      </c>
      <c r="C66">
        <v>14</v>
      </c>
      <c r="D66">
        <v>51</v>
      </c>
      <c r="E66">
        <v>0</v>
      </c>
      <c r="F66">
        <v>4</v>
      </c>
      <c r="G66">
        <v>0</v>
      </c>
      <c r="H66">
        <v>141</v>
      </c>
      <c r="I66" s="4">
        <f t="shared" si="0"/>
        <v>0.36170212765957449</v>
      </c>
      <c r="J66" t="s">
        <v>219</v>
      </c>
      <c r="K66">
        <v>18</v>
      </c>
      <c r="L66" t="s">
        <v>250</v>
      </c>
      <c r="M66">
        <v>14</v>
      </c>
    </row>
    <row r="67" spans="1:13">
      <c r="A67" t="s">
        <v>219</v>
      </c>
      <c r="B67">
        <v>18</v>
      </c>
      <c r="C67">
        <v>15</v>
      </c>
      <c r="D67">
        <v>51</v>
      </c>
      <c r="E67">
        <v>0</v>
      </c>
      <c r="F67">
        <v>4</v>
      </c>
      <c r="G67">
        <v>0</v>
      </c>
      <c r="H67">
        <v>141</v>
      </c>
      <c r="I67" s="4">
        <f t="shared" ref="I67:I130" si="1">D67/H67</f>
        <v>0.36170212765957449</v>
      </c>
      <c r="J67" t="s">
        <v>219</v>
      </c>
      <c r="K67">
        <v>18</v>
      </c>
      <c r="L67" t="s">
        <v>251</v>
      </c>
      <c r="M67">
        <v>15</v>
      </c>
    </row>
    <row r="68" spans="1:13">
      <c r="A68" t="s">
        <v>219</v>
      </c>
      <c r="B68">
        <v>18</v>
      </c>
      <c r="C68">
        <v>16</v>
      </c>
      <c r="D68">
        <v>51</v>
      </c>
      <c r="E68">
        <v>0</v>
      </c>
      <c r="F68">
        <v>4</v>
      </c>
      <c r="G68">
        <v>0</v>
      </c>
      <c r="H68">
        <v>141</v>
      </c>
      <c r="I68" s="4">
        <f t="shared" si="1"/>
        <v>0.36170212765957449</v>
      </c>
      <c r="J68" t="s">
        <v>219</v>
      </c>
      <c r="K68">
        <v>18</v>
      </c>
      <c r="L68" t="s">
        <v>253</v>
      </c>
      <c r="M68">
        <v>16</v>
      </c>
    </row>
    <row r="69" spans="1:13">
      <c r="A69" t="s">
        <v>219</v>
      </c>
      <c r="B69">
        <v>18</v>
      </c>
      <c r="C69">
        <v>17</v>
      </c>
      <c r="D69">
        <v>51</v>
      </c>
      <c r="E69">
        <v>0</v>
      </c>
      <c r="F69">
        <v>4</v>
      </c>
      <c r="G69">
        <v>0</v>
      </c>
      <c r="H69">
        <v>141</v>
      </c>
      <c r="I69" s="4">
        <f t="shared" si="1"/>
        <v>0.36170212765957449</v>
      </c>
      <c r="J69" t="s">
        <v>219</v>
      </c>
      <c r="K69">
        <v>18</v>
      </c>
      <c r="L69" t="s">
        <v>252</v>
      </c>
      <c r="M69">
        <v>17</v>
      </c>
    </row>
    <row r="70" spans="1:13">
      <c r="A70" t="s">
        <v>219</v>
      </c>
      <c r="B70">
        <v>18</v>
      </c>
      <c r="C70">
        <v>18</v>
      </c>
      <c r="D70">
        <v>51</v>
      </c>
      <c r="E70">
        <v>0</v>
      </c>
      <c r="F70">
        <v>4</v>
      </c>
      <c r="G70">
        <v>0</v>
      </c>
      <c r="H70">
        <v>141</v>
      </c>
      <c r="I70" s="4">
        <f t="shared" si="1"/>
        <v>0.36170212765957449</v>
      </c>
      <c r="J70" t="s">
        <v>219</v>
      </c>
      <c r="K70">
        <v>18</v>
      </c>
      <c r="L70" t="s">
        <v>254</v>
      </c>
      <c r="M70">
        <v>18</v>
      </c>
    </row>
    <row r="71" spans="1:13">
      <c r="A71" t="s">
        <v>219</v>
      </c>
      <c r="B71">
        <v>18</v>
      </c>
      <c r="C71">
        <v>19</v>
      </c>
      <c r="D71">
        <v>65</v>
      </c>
      <c r="E71">
        <v>0</v>
      </c>
      <c r="F71">
        <v>9</v>
      </c>
      <c r="G71">
        <v>0</v>
      </c>
      <c r="H71">
        <v>141</v>
      </c>
      <c r="I71" s="4">
        <f t="shared" si="1"/>
        <v>0.46099290780141844</v>
      </c>
      <c r="J71" t="s">
        <v>219</v>
      </c>
      <c r="K71">
        <v>18</v>
      </c>
      <c r="L71" t="s">
        <v>255</v>
      </c>
      <c r="M71">
        <v>19</v>
      </c>
    </row>
    <row r="72" spans="1:13">
      <c r="A72" t="s">
        <v>219</v>
      </c>
      <c r="B72">
        <v>18</v>
      </c>
      <c r="C72">
        <v>20</v>
      </c>
      <c r="D72">
        <v>84</v>
      </c>
      <c r="E72">
        <v>0</v>
      </c>
      <c r="F72">
        <v>8</v>
      </c>
      <c r="G72">
        <v>0</v>
      </c>
      <c r="H72">
        <v>141</v>
      </c>
      <c r="I72" s="4">
        <f t="shared" si="1"/>
        <v>0.5957446808510638</v>
      </c>
      <c r="J72" t="s">
        <v>219</v>
      </c>
      <c r="K72">
        <v>18</v>
      </c>
      <c r="L72" t="s">
        <v>256</v>
      </c>
      <c r="M72">
        <v>20</v>
      </c>
    </row>
    <row r="73" spans="1:13">
      <c r="A73" t="s">
        <v>219</v>
      </c>
      <c r="B73">
        <v>18</v>
      </c>
      <c r="C73">
        <v>21</v>
      </c>
      <c r="D73">
        <v>84</v>
      </c>
      <c r="E73">
        <v>0</v>
      </c>
      <c r="F73">
        <v>8</v>
      </c>
      <c r="G73">
        <v>0</v>
      </c>
      <c r="H73">
        <v>141</v>
      </c>
      <c r="I73" s="4">
        <f t="shared" si="1"/>
        <v>0.5957446808510638</v>
      </c>
      <c r="J73" t="s">
        <v>219</v>
      </c>
      <c r="K73">
        <v>18</v>
      </c>
      <c r="L73" t="s">
        <v>257</v>
      </c>
      <c r="M73">
        <v>21</v>
      </c>
    </row>
    <row r="74" spans="1:13">
      <c r="A74" t="s">
        <v>219</v>
      </c>
      <c r="B74">
        <v>18</v>
      </c>
      <c r="C74">
        <v>22</v>
      </c>
      <c r="D74">
        <v>89</v>
      </c>
      <c r="E74">
        <v>0</v>
      </c>
      <c r="F74">
        <v>9</v>
      </c>
      <c r="G74">
        <v>0</v>
      </c>
      <c r="H74">
        <v>141</v>
      </c>
      <c r="I74" s="4">
        <f t="shared" si="1"/>
        <v>0.63120567375886527</v>
      </c>
      <c r="J74" t="s">
        <v>219</v>
      </c>
      <c r="K74">
        <v>18</v>
      </c>
      <c r="L74" t="s">
        <v>258</v>
      </c>
      <c r="M74">
        <v>22</v>
      </c>
    </row>
    <row r="75" spans="1:13">
      <c r="A75" t="s">
        <v>219</v>
      </c>
      <c r="B75">
        <v>18</v>
      </c>
      <c r="C75">
        <v>23</v>
      </c>
      <c r="D75">
        <v>102</v>
      </c>
      <c r="E75">
        <v>0</v>
      </c>
      <c r="F75">
        <v>7</v>
      </c>
      <c r="G75">
        <v>0</v>
      </c>
      <c r="H75">
        <v>141</v>
      </c>
      <c r="I75" s="4">
        <f t="shared" si="1"/>
        <v>0.72340425531914898</v>
      </c>
      <c r="J75" t="s">
        <v>219</v>
      </c>
      <c r="K75">
        <v>18</v>
      </c>
      <c r="L75" t="s">
        <v>259</v>
      </c>
      <c r="M75">
        <v>23</v>
      </c>
    </row>
    <row r="76" spans="1:13">
      <c r="A76" t="s">
        <v>219</v>
      </c>
      <c r="B76">
        <v>18</v>
      </c>
      <c r="C76">
        <v>24</v>
      </c>
      <c r="D76">
        <v>102</v>
      </c>
      <c r="E76">
        <v>0</v>
      </c>
      <c r="F76">
        <v>7</v>
      </c>
      <c r="G76">
        <v>0</v>
      </c>
      <c r="H76">
        <v>141</v>
      </c>
      <c r="I76" s="4">
        <f t="shared" si="1"/>
        <v>0.72340425531914898</v>
      </c>
      <c r="J76" t="s">
        <v>219</v>
      </c>
      <c r="K76">
        <v>18</v>
      </c>
      <c r="L76" t="s">
        <v>260</v>
      </c>
      <c r="M76">
        <v>24</v>
      </c>
    </row>
    <row r="77" spans="1:13">
      <c r="A77" t="s">
        <v>219</v>
      </c>
      <c r="B77">
        <v>18</v>
      </c>
      <c r="C77">
        <v>25</v>
      </c>
      <c r="D77">
        <v>102</v>
      </c>
      <c r="E77">
        <v>0</v>
      </c>
      <c r="F77">
        <v>7</v>
      </c>
      <c r="G77">
        <v>0</v>
      </c>
      <c r="H77">
        <v>141</v>
      </c>
      <c r="I77" s="4">
        <f t="shared" si="1"/>
        <v>0.72340425531914898</v>
      </c>
      <c r="J77" t="s">
        <v>219</v>
      </c>
      <c r="K77">
        <v>18</v>
      </c>
      <c r="L77" t="s">
        <v>261</v>
      </c>
      <c r="M77">
        <v>25</v>
      </c>
    </row>
    <row r="78" spans="1:13">
      <c r="A78" t="s">
        <v>219</v>
      </c>
      <c r="B78">
        <v>18</v>
      </c>
      <c r="C78">
        <v>26</v>
      </c>
      <c r="D78">
        <v>107</v>
      </c>
      <c r="E78">
        <v>0</v>
      </c>
      <c r="F78">
        <v>8</v>
      </c>
      <c r="G78">
        <v>0</v>
      </c>
      <c r="H78">
        <v>141</v>
      </c>
      <c r="I78" s="4">
        <f t="shared" si="1"/>
        <v>0.75886524822695034</v>
      </c>
      <c r="J78" t="s">
        <v>219</v>
      </c>
      <c r="K78">
        <v>18</v>
      </c>
      <c r="L78" t="s">
        <v>262</v>
      </c>
      <c r="M78">
        <v>26</v>
      </c>
    </row>
    <row r="79" spans="1:13">
      <c r="A79" t="s">
        <v>219</v>
      </c>
      <c r="B79">
        <v>18</v>
      </c>
      <c r="C79">
        <v>27</v>
      </c>
      <c r="D79">
        <v>107</v>
      </c>
      <c r="E79">
        <v>0</v>
      </c>
      <c r="F79">
        <v>8</v>
      </c>
      <c r="G79">
        <v>0</v>
      </c>
      <c r="H79">
        <v>141</v>
      </c>
      <c r="I79" s="4">
        <f t="shared" si="1"/>
        <v>0.75886524822695034</v>
      </c>
      <c r="J79" t="s">
        <v>219</v>
      </c>
      <c r="K79">
        <v>18</v>
      </c>
      <c r="L79" t="s">
        <v>263</v>
      </c>
      <c r="M79">
        <v>27</v>
      </c>
    </row>
    <row r="80" spans="1:13">
      <c r="A80" t="s">
        <v>219</v>
      </c>
      <c r="B80">
        <v>18</v>
      </c>
      <c r="C80">
        <v>28</v>
      </c>
      <c r="D80">
        <v>107</v>
      </c>
      <c r="E80">
        <v>0</v>
      </c>
      <c r="F80">
        <v>8</v>
      </c>
      <c r="G80">
        <v>0</v>
      </c>
      <c r="H80">
        <v>141</v>
      </c>
      <c r="I80" s="4">
        <f t="shared" si="1"/>
        <v>0.75886524822695034</v>
      </c>
      <c r="J80" t="s">
        <v>219</v>
      </c>
      <c r="K80">
        <v>18</v>
      </c>
      <c r="L80" t="s">
        <v>264</v>
      </c>
      <c r="M80">
        <v>28</v>
      </c>
    </row>
    <row r="81" spans="1:13">
      <c r="A81" t="s">
        <v>219</v>
      </c>
      <c r="B81">
        <v>18</v>
      </c>
      <c r="C81">
        <v>29</v>
      </c>
      <c r="D81">
        <v>107</v>
      </c>
      <c r="E81">
        <v>0</v>
      </c>
      <c r="F81">
        <v>8</v>
      </c>
      <c r="G81">
        <v>0</v>
      </c>
      <c r="H81">
        <v>141</v>
      </c>
      <c r="I81" s="4">
        <f t="shared" si="1"/>
        <v>0.75886524822695034</v>
      </c>
      <c r="J81" t="s">
        <v>219</v>
      </c>
      <c r="K81">
        <v>18</v>
      </c>
      <c r="L81" t="s">
        <v>265</v>
      </c>
      <c r="M81">
        <v>29</v>
      </c>
    </row>
    <row r="82" spans="1:13">
      <c r="A82" t="s">
        <v>219</v>
      </c>
      <c r="B82">
        <v>18</v>
      </c>
      <c r="C82">
        <v>30</v>
      </c>
      <c r="D82">
        <v>107</v>
      </c>
      <c r="E82">
        <v>0</v>
      </c>
      <c r="F82">
        <v>8</v>
      </c>
      <c r="G82">
        <v>0</v>
      </c>
      <c r="H82">
        <v>141</v>
      </c>
      <c r="I82" s="4">
        <f t="shared" si="1"/>
        <v>0.75886524822695034</v>
      </c>
      <c r="J82" t="s">
        <v>219</v>
      </c>
      <c r="K82">
        <v>18</v>
      </c>
      <c r="L82" t="s">
        <v>266</v>
      </c>
      <c r="M82">
        <v>30</v>
      </c>
    </row>
    <row r="83" spans="1:13">
      <c r="A83" t="s">
        <v>219</v>
      </c>
      <c r="B83">
        <v>18</v>
      </c>
      <c r="C83">
        <v>31</v>
      </c>
      <c r="D83">
        <v>107</v>
      </c>
      <c r="E83">
        <v>0</v>
      </c>
      <c r="F83">
        <v>8</v>
      </c>
      <c r="G83">
        <v>0</v>
      </c>
      <c r="H83">
        <v>141</v>
      </c>
      <c r="I83" s="4">
        <f t="shared" si="1"/>
        <v>0.75886524822695034</v>
      </c>
      <c r="J83" t="s">
        <v>219</v>
      </c>
      <c r="K83">
        <v>18</v>
      </c>
      <c r="L83" t="s">
        <v>267</v>
      </c>
      <c r="M83">
        <v>31</v>
      </c>
    </row>
    <row r="84" spans="1:13">
      <c r="A84" t="s">
        <v>219</v>
      </c>
      <c r="B84">
        <v>18</v>
      </c>
      <c r="C84">
        <v>32</v>
      </c>
      <c r="D84">
        <v>107</v>
      </c>
      <c r="E84">
        <v>0</v>
      </c>
      <c r="F84">
        <v>8</v>
      </c>
      <c r="G84">
        <v>0</v>
      </c>
      <c r="H84">
        <v>141</v>
      </c>
      <c r="I84" s="4">
        <f t="shared" si="1"/>
        <v>0.75886524822695034</v>
      </c>
      <c r="J84" t="s">
        <v>219</v>
      </c>
      <c r="K84">
        <v>18</v>
      </c>
      <c r="L84" t="s">
        <v>268</v>
      </c>
      <c r="M84">
        <v>32</v>
      </c>
    </row>
    <row r="85" spans="1:13">
      <c r="A85" t="s">
        <v>219</v>
      </c>
      <c r="B85">
        <v>18</v>
      </c>
      <c r="C85">
        <v>33</v>
      </c>
      <c r="D85">
        <v>107</v>
      </c>
      <c r="E85">
        <v>0</v>
      </c>
      <c r="F85">
        <v>8</v>
      </c>
      <c r="G85">
        <v>0</v>
      </c>
      <c r="H85">
        <v>141</v>
      </c>
      <c r="I85" s="4">
        <f t="shared" si="1"/>
        <v>0.75886524822695034</v>
      </c>
      <c r="J85" t="s">
        <v>219</v>
      </c>
      <c r="K85">
        <v>18</v>
      </c>
      <c r="L85" t="s">
        <v>269</v>
      </c>
      <c r="M85">
        <v>33</v>
      </c>
    </row>
    <row r="86" spans="1:13">
      <c r="A86" t="s">
        <v>219</v>
      </c>
      <c r="B86">
        <v>18</v>
      </c>
      <c r="C86">
        <v>34</v>
      </c>
      <c r="D86">
        <v>107</v>
      </c>
      <c r="E86">
        <v>0</v>
      </c>
      <c r="F86">
        <v>8</v>
      </c>
      <c r="G86">
        <v>0</v>
      </c>
      <c r="H86">
        <v>141</v>
      </c>
      <c r="I86" s="4">
        <f t="shared" si="1"/>
        <v>0.75886524822695034</v>
      </c>
      <c r="J86" t="s">
        <v>219</v>
      </c>
      <c r="K86">
        <v>18</v>
      </c>
      <c r="L86" t="s">
        <v>270</v>
      </c>
      <c r="M86">
        <v>34</v>
      </c>
    </row>
    <row r="87" spans="1:13">
      <c r="A87" t="s">
        <v>219</v>
      </c>
      <c r="B87">
        <v>18</v>
      </c>
      <c r="C87">
        <v>35</v>
      </c>
      <c r="D87">
        <v>107</v>
      </c>
      <c r="E87">
        <v>0</v>
      </c>
      <c r="F87">
        <v>8</v>
      </c>
      <c r="G87">
        <v>0</v>
      </c>
      <c r="H87">
        <v>141</v>
      </c>
      <c r="I87" s="4">
        <f t="shared" si="1"/>
        <v>0.75886524822695034</v>
      </c>
      <c r="J87" t="s">
        <v>219</v>
      </c>
      <c r="K87">
        <v>18</v>
      </c>
      <c r="L87" t="s">
        <v>271</v>
      </c>
      <c r="M87">
        <v>35</v>
      </c>
    </row>
    <row r="88" spans="1:13">
      <c r="A88" t="s">
        <v>219</v>
      </c>
      <c r="B88">
        <v>18</v>
      </c>
      <c r="C88">
        <v>36</v>
      </c>
      <c r="D88">
        <v>107</v>
      </c>
      <c r="E88">
        <v>0</v>
      </c>
      <c r="F88">
        <v>8</v>
      </c>
      <c r="G88">
        <v>0</v>
      </c>
      <c r="H88">
        <v>141</v>
      </c>
      <c r="I88" s="4">
        <f t="shared" si="1"/>
        <v>0.75886524822695034</v>
      </c>
      <c r="J88" t="s">
        <v>219</v>
      </c>
      <c r="K88">
        <v>18</v>
      </c>
      <c r="L88" t="s">
        <v>272</v>
      </c>
      <c r="M88">
        <v>36</v>
      </c>
    </row>
    <row r="89" spans="1:13">
      <c r="A89" t="s">
        <v>219</v>
      </c>
      <c r="B89">
        <v>18</v>
      </c>
      <c r="C89">
        <v>37</v>
      </c>
      <c r="D89">
        <v>107</v>
      </c>
      <c r="E89">
        <v>0</v>
      </c>
      <c r="F89">
        <v>8</v>
      </c>
      <c r="G89">
        <v>0</v>
      </c>
      <c r="H89">
        <v>141</v>
      </c>
      <c r="I89" s="4">
        <f t="shared" si="1"/>
        <v>0.75886524822695034</v>
      </c>
      <c r="J89" t="s">
        <v>219</v>
      </c>
      <c r="K89">
        <v>18</v>
      </c>
      <c r="L89" t="s">
        <v>273</v>
      </c>
      <c r="M89">
        <v>37</v>
      </c>
    </row>
    <row r="90" spans="1:13">
      <c r="A90" t="s">
        <v>219</v>
      </c>
      <c r="B90">
        <v>18</v>
      </c>
      <c r="C90">
        <v>38</v>
      </c>
      <c r="D90">
        <v>107</v>
      </c>
      <c r="E90">
        <v>0</v>
      </c>
      <c r="F90">
        <v>8</v>
      </c>
      <c r="G90">
        <v>0</v>
      </c>
      <c r="H90">
        <v>141</v>
      </c>
      <c r="I90" s="4">
        <f t="shared" si="1"/>
        <v>0.75886524822695034</v>
      </c>
      <c r="J90" t="s">
        <v>219</v>
      </c>
      <c r="K90">
        <v>18</v>
      </c>
      <c r="L90" t="s">
        <v>274</v>
      </c>
      <c r="M90">
        <v>38</v>
      </c>
    </row>
    <row r="91" spans="1:13">
      <c r="A91" t="s">
        <v>219</v>
      </c>
      <c r="B91">
        <v>18</v>
      </c>
      <c r="C91">
        <v>39</v>
      </c>
      <c r="D91">
        <v>107</v>
      </c>
      <c r="E91">
        <v>0</v>
      </c>
      <c r="F91">
        <v>8</v>
      </c>
      <c r="G91">
        <v>0</v>
      </c>
      <c r="H91">
        <v>141</v>
      </c>
      <c r="I91" s="4">
        <f t="shared" si="1"/>
        <v>0.75886524822695034</v>
      </c>
      <c r="J91" t="s">
        <v>219</v>
      </c>
      <c r="K91">
        <v>18</v>
      </c>
      <c r="L91" t="s">
        <v>275</v>
      </c>
      <c r="M91">
        <v>39</v>
      </c>
    </row>
    <row r="92" spans="1:13">
      <c r="A92" t="s">
        <v>219</v>
      </c>
      <c r="B92">
        <v>18</v>
      </c>
      <c r="C92">
        <v>40</v>
      </c>
      <c r="D92">
        <v>141</v>
      </c>
      <c r="E92">
        <v>0</v>
      </c>
      <c r="F92">
        <v>0</v>
      </c>
      <c r="G92">
        <v>0</v>
      </c>
      <c r="H92">
        <v>141</v>
      </c>
      <c r="I92" s="4">
        <f t="shared" si="1"/>
        <v>1</v>
      </c>
      <c r="J92" t="s">
        <v>219</v>
      </c>
      <c r="K92">
        <v>18</v>
      </c>
      <c r="L92" t="s">
        <v>276</v>
      </c>
      <c r="M92">
        <v>40</v>
      </c>
    </row>
    <row r="93" spans="1:13">
      <c r="A93" t="s">
        <v>219</v>
      </c>
      <c r="B93">
        <v>18</v>
      </c>
      <c r="C93">
        <v>41</v>
      </c>
      <c r="D93">
        <v>141</v>
      </c>
      <c r="E93">
        <v>0</v>
      </c>
      <c r="F93">
        <v>0</v>
      </c>
      <c r="G93">
        <v>0</v>
      </c>
      <c r="H93">
        <v>141</v>
      </c>
      <c r="I93" s="4">
        <f t="shared" si="1"/>
        <v>1</v>
      </c>
      <c r="J93" t="s">
        <v>219</v>
      </c>
      <c r="K93">
        <v>18</v>
      </c>
      <c r="L93" t="s">
        <v>277</v>
      </c>
      <c r="M93">
        <v>41</v>
      </c>
    </row>
    <row r="94" spans="1:13">
      <c r="A94" t="s">
        <v>219</v>
      </c>
      <c r="B94">
        <v>18</v>
      </c>
      <c r="C94">
        <v>42</v>
      </c>
      <c r="D94">
        <v>141</v>
      </c>
      <c r="E94">
        <v>0</v>
      </c>
      <c r="F94">
        <v>0</v>
      </c>
      <c r="G94">
        <v>0</v>
      </c>
      <c r="H94">
        <v>141</v>
      </c>
      <c r="I94" s="4">
        <f t="shared" si="1"/>
        <v>1</v>
      </c>
      <c r="J94" t="s">
        <v>219</v>
      </c>
      <c r="K94">
        <v>18</v>
      </c>
      <c r="L94" t="s">
        <v>278</v>
      </c>
      <c r="M94">
        <v>42</v>
      </c>
    </row>
    <row r="95" spans="1:13">
      <c r="A95" t="s">
        <v>219</v>
      </c>
      <c r="B95">
        <v>18</v>
      </c>
      <c r="C95">
        <v>43</v>
      </c>
      <c r="D95">
        <v>141</v>
      </c>
      <c r="E95">
        <v>0</v>
      </c>
      <c r="F95">
        <v>0</v>
      </c>
      <c r="G95">
        <v>0</v>
      </c>
      <c r="H95">
        <v>141</v>
      </c>
      <c r="I95" s="4">
        <f t="shared" si="1"/>
        <v>1</v>
      </c>
      <c r="J95" t="s">
        <v>219</v>
      </c>
      <c r="K95">
        <v>18</v>
      </c>
      <c r="L95" t="s">
        <v>279</v>
      </c>
      <c r="M95">
        <v>43</v>
      </c>
    </row>
    <row r="96" spans="1:13">
      <c r="A96" t="s">
        <v>219</v>
      </c>
      <c r="B96">
        <v>18</v>
      </c>
      <c r="C96">
        <v>44</v>
      </c>
      <c r="D96">
        <v>141</v>
      </c>
      <c r="E96">
        <v>0</v>
      </c>
      <c r="F96">
        <v>0</v>
      </c>
      <c r="G96">
        <v>0</v>
      </c>
      <c r="H96">
        <v>141</v>
      </c>
      <c r="I96" s="4">
        <f t="shared" si="1"/>
        <v>1</v>
      </c>
      <c r="J96" t="s">
        <v>219</v>
      </c>
      <c r="K96">
        <v>18</v>
      </c>
      <c r="L96" t="s">
        <v>281</v>
      </c>
      <c r="M96">
        <v>44</v>
      </c>
    </row>
    <row r="97" spans="1:13">
      <c r="A97" t="s">
        <v>219</v>
      </c>
      <c r="B97">
        <v>18</v>
      </c>
      <c r="C97">
        <v>45</v>
      </c>
      <c r="D97">
        <v>141</v>
      </c>
      <c r="E97">
        <v>0</v>
      </c>
      <c r="F97">
        <v>0</v>
      </c>
      <c r="G97">
        <v>0</v>
      </c>
      <c r="H97">
        <v>141</v>
      </c>
      <c r="I97" s="4">
        <f t="shared" si="1"/>
        <v>1</v>
      </c>
      <c r="J97" t="s">
        <v>219</v>
      </c>
      <c r="K97">
        <v>18</v>
      </c>
      <c r="L97" t="s">
        <v>282</v>
      </c>
      <c r="M97">
        <v>45</v>
      </c>
    </row>
    <row r="98" spans="1:13">
      <c r="A98" t="s">
        <v>219</v>
      </c>
      <c r="B98">
        <v>18</v>
      </c>
      <c r="C98">
        <v>46</v>
      </c>
      <c r="D98">
        <v>141</v>
      </c>
      <c r="E98">
        <v>0</v>
      </c>
      <c r="F98">
        <v>0</v>
      </c>
      <c r="G98">
        <v>0</v>
      </c>
      <c r="H98">
        <v>141</v>
      </c>
      <c r="I98" s="4">
        <f t="shared" si="1"/>
        <v>1</v>
      </c>
      <c r="J98" t="s">
        <v>219</v>
      </c>
      <c r="K98">
        <v>18</v>
      </c>
      <c r="L98" t="s">
        <v>280</v>
      </c>
      <c r="M98">
        <v>46</v>
      </c>
    </row>
    <row r="99" spans="1:13">
      <c r="A99" t="s">
        <v>219</v>
      </c>
      <c r="B99">
        <v>19</v>
      </c>
      <c r="C99">
        <v>1</v>
      </c>
      <c r="D99">
        <v>3</v>
      </c>
      <c r="E99">
        <v>0</v>
      </c>
      <c r="F99">
        <v>1</v>
      </c>
      <c r="G99">
        <v>0</v>
      </c>
      <c r="H99">
        <v>127</v>
      </c>
      <c r="I99" s="4">
        <f t="shared" si="1"/>
        <v>2.3622047244094488E-2</v>
      </c>
      <c r="J99" t="s">
        <v>219</v>
      </c>
      <c r="K99">
        <v>19</v>
      </c>
      <c r="L99" t="s">
        <v>2</v>
      </c>
      <c r="M99">
        <v>1</v>
      </c>
    </row>
    <row r="100" spans="1:13">
      <c r="A100" t="s">
        <v>219</v>
      </c>
      <c r="B100">
        <v>19</v>
      </c>
      <c r="C100">
        <v>2</v>
      </c>
      <c r="D100">
        <v>6</v>
      </c>
      <c r="E100">
        <v>0</v>
      </c>
      <c r="F100">
        <v>1</v>
      </c>
      <c r="G100">
        <v>0</v>
      </c>
      <c r="H100">
        <v>127</v>
      </c>
      <c r="I100" s="4">
        <f t="shared" si="1"/>
        <v>4.7244094488188976E-2</v>
      </c>
      <c r="J100" t="s">
        <v>219</v>
      </c>
      <c r="K100">
        <v>19</v>
      </c>
      <c r="L100" t="s">
        <v>1</v>
      </c>
      <c r="M100">
        <v>2</v>
      </c>
    </row>
    <row r="101" spans="1:13">
      <c r="A101" t="s">
        <v>219</v>
      </c>
      <c r="B101">
        <v>19</v>
      </c>
      <c r="C101">
        <v>3</v>
      </c>
      <c r="D101">
        <v>83</v>
      </c>
      <c r="E101">
        <v>0</v>
      </c>
      <c r="F101">
        <v>9</v>
      </c>
      <c r="G101">
        <v>0</v>
      </c>
      <c r="H101">
        <v>127</v>
      </c>
      <c r="I101" s="4">
        <f t="shared" si="1"/>
        <v>0.65354330708661412</v>
      </c>
      <c r="J101" t="s">
        <v>219</v>
      </c>
      <c r="K101">
        <v>19</v>
      </c>
      <c r="L101" t="s">
        <v>239</v>
      </c>
      <c r="M101">
        <v>3</v>
      </c>
    </row>
    <row r="102" spans="1:13">
      <c r="A102" t="s">
        <v>219</v>
      </c>
      <c r="B102">
        <v>19</v>
      </c>
      <c r="C102">
        <v>4</v>
      </c>
      <c r="D102">
        <v>88</v>
      </c>
      <c r="E102">
        <v>0</v>
      </c>
      <c r="F102">
        <v>10</v>
      </c>
      <c r="G102">
        <v>0</v>
      </c>
      <c r="H102">
        <v>127</v>
      </c>
      <c r="I102" s="4">
        <f t="shared" si="1"/>
        <v>0.69291338582677164</v>
      </c>
      <c r="J102" t="s">
        <v>219</v>
      </c>
      <c r="K102">
        <v>19</v>
      </c>
      <c r="L102" t="s">
        <v>283</v>
      </c>
      <c r="M102">
        <v>4</v>
      </c>
    </row>
    <row r="103" spans="1:13">
      <c r="A103" t="s">
        <v>219</v>
      </c>
      <c r="B103">
        <v>19</v>
      </c>
      <c r="C103">
        <v>5</v>
      </c>
      <c r="D103">
        <v>93</v>
      </c>
      <c r="E103">
        <v>0</v>
      </c>
      <c r="F103">
        <v>11</v>
      </c>
      <c r="G103">
        <v>0</v>
      </c>
      <c r="H103">
        <v>127</v>
      </c>
      <c r="I103" s="4">
        <f t="shared" si="1"/>
        <v>0.73228346456692917</v>
      </c>
      <c r="J103" t="s">
        <v>219</v>
      </c>
      <c r="K103">
        <v>19</v>
      </c>
      <c r="L103" t="s">
        <v>284</v>
      </c>
      <c r="M103">
        <v>5</v>
      </c>
    </row>
    <row r="104" spans="1:13">
      <c r="A104" t="s">
        <v>219</v>
      </c>
      <c r="B104">
        <v>19</v>
      </c>
      <c r="C104">
        <v>6</v>
      </c>
      <c r="D104">
        <v>126</v>
      </c>
      <c r="E104">
        <v>0</v>
      </c>
      <c r="F104">
        <v>1</v>
      </c>
      <c r="G104">
        <v>0</v>
      </c>
      <c r="H104">
        <v>127</v>
      </c>
      <c r="I104" s="4">
        <f t="shared" si="1"/>
        <v>0.99212598425196852</v>
      </c>
      <c r="J104" t="s">
        <v>219</v>
      </c>
      <c r="K104">
        <v>19</v>
      </c>
      <c r="L104" t="s">
        <v>285</v>
      </c>
      <c r="M104">
        <v>6</v>
      </c>
    </row>
    <row r="105" spans="1:13">
      <c r="A105" t="s">
        <v>219</v>
      </c>
      <c r="B105">
        <v>19</v>
      </c>
      <c r="C105">
        <v>7</v>
      </c>
      <c r="D105">
        <v>127</v>
      </c>
      <c r="E105">
        <v>0</v>
      </c>
      <c r="F105">
        <v>0</v>
      </c>
      <c r="G105">
        <v>0</v>
      </c>
      <c r="H105">
        <v>127</v>
      </c>
      <c r="I105" s="4">
        <f t="shared" si="1"/>
        <v>1</v>
      </c>
      <c r="J105" t="s">
        <v>219</v>
      </c>
      <c r="K105">
        <v>19</v>
      </c>
      <c r="L105" t="s">
        <v>287</v>
      </c>
      <c r="M105">
        <v>7</v>
      </c>
    </row>
    <row r="106" spans="1:13">
      <c r="A106" t="s">
        <v>219</v>
      </c>
      <c r="B106">
        <v>19</v>
      </c>
      <c r="C106">
        <v>8</v>
      </c>
      <c r="D106">
        <v>127</v>
      </c>
      <c r="E106">
        <v>0</v>
      </c>
      <c r="F106">
        <v>0</v>
      </c>
      <c r="G106">
        <v>0</v>
      </c>
      <c r="H106">
        <v>127</v>
      </c>
      <c r="I106" s="4">
        <f t="shared" si="1"/>
        <v>1</v>
      </c>
      <c r="J106" t="s">
        <v>219</v>
      </c>
      <c r="K106">
        <v>19</v>
      </c>
      <c r="L106" t="s">
        <v>288</v>
      </c>
      <c r="M106">
        <v>8</v>
      </c>
    </row>
    <row r="107" spans="1:13">
      <c r="A107" t="s">
        <v>219</v>
      </c>
      <c r="B107">
        <v>19</v>
      </c>
      <c r="C107">
        <v>9</v>
      </c>
      <c r="D107">
        <v>127</v>
      </c>
      <c r="E107">
        <v>0</v>
      </c>
      <c r="F107">
        <v>0</v>
      </c>
      <c r="G107">
        <v>0</v>
      </c>
      <c r="H107">
        <v>127</v>
      </c>
      <c r="I107" s="4">
        <f t="shared" si="1"/>
        <v>1</v>
      </c>
      <c r="J107" t="s">
        <v>219</v>
      </c>
      <c r="K107">
        <v>19</v>
      </c>
      <c r="L107" t="s">
        <v>286</v>
      </c>
      <c r="M107">
        <v>9</v>
      </c>
    </row>
    <row r="108" spans="1:13">
      <c r="A108" t="s">
        <v>219</v>
      </c>
      <c r="B108">
        <v>19</v>
      </c>
      <c r="C108">
        <v>10</v>
      </c>
      <c r="D108">
        <v>127</v>
      </c>
      <c r="E108">
        <v>0</v>
      </c>
      <c r="F108">
        <v>0</v>
      </c>
      <c r="G108">
        <v>0</v>
      </c>
      <c r="H108">
        <v>127</v>
      </c>
      <c r="I108" s="4">
        <f t="shared" si="1"/>
        <v>1</v>
      </c>
      <c r="J108" t="s">
        <v>219</v>
      </c>
      <c r="K108">
        <v>19</v>
      </c>
      <c r="L108" t="s">
        <v>290</v>
      </c>
      <c r="M108">
        <v>10</v>
      </c>
    </row>
    <row r="109" spans="1:13">
      <c r="A109" t="s">
        <v>219</v>
      </c>
      <c r="B109">
        <v>19</v>
      </c>
      <c r="C109">
        <v>11</v>
      </c>
      <c r="D109">
        <v>127</v>
      </c>
      <c r="E109">
        <v>0</v>
      </c>
      <c r="F109">
        <v>0</v>
      </c>
      <c r="G109">
        <v>0</v>
      </c>
      <c r="H109">
        <v>127</v>
      </c>
      <c r="I109" s="4">
        <f t="shared" si="1"/>
        <v>1</v>
      </c>
      <c r="J109" t="s">
        <v>219</v>
      </c>
      <c r="K109">
        <v>19</v>
      </c>
      <c r="L109" t="s">
        <v>289</v>
      </c>
      <c r="M109">
        <v>11</v>
      </c>
    </row>
    <row r="110" spans="1:13">
      <c r="A110" t="s">
        <v>219</v>
      </c>
      <c r="B110">
        <v>19</v>
      </c>
      <c r="C110">
        <v>12</v>
      </c>
      <c r="D110">
        <v>127</v>
      </c>
      <c r="E110">
        <v>0</v>
      </c>
      <c r="F110">
        <v>0</v>
      </c>
      <c r="G110">
        <v>0</v>
      </c>
      <c r="H110">
        <v>127</v>
      </c>
      <c r="I110" s="4">
        <f t="shared" si="1"/>
        <v>1</v>
      </c>
      <c r="J110" t="s">
        <v>219</v>
      </c>
      <c r="K110">
        <v>19</v>
      </c>
      <c r="L110" t="s">
        <v>291</v>
      </c>
      <c r="M110">
        <v>12</v>
      </c>
    </row>
    <row r="111" spans="1:13">
      <c r="A111" t="s">
        <v>219</v>
      </c>
      <c r="B111">
        <v>19</v>
      </c>
      <c r="C111">
        <v>13</v>
      </c>
      <c r="D111">
        <v>127</v>
      </c>
      <c r="E111">
        <v>0</v>
      </c>
      <c r="F111">
        <v>0</v>
      </c>
      <c r="G111">
        <v>0</v>
      </c>
      <c r="H111">
        <v>127</v>
      </c>
      <c r="I111" s="4">
        <f t="shared" si="1"/>
        <v>1</v>
      </c>
      <c r="J111" t="s">
        <v>219</v>
      </c>
      <c r="K111">
        <v>19</v>
      </c>
      <c r="L111" t="s">
        <v>294</v>
      </c>
      <c r="M111">
        <v>13</v>
      </c>
    </row>
    <row r="112" spans="1:13">
      <c r="A112" t="s">
        <v>219</v>
      </c>
      <c r="B112">
        <v>19</v>
      </c>
      <c r="C112">
        <v>14</v>
      </c>
      <c r="D112">
        <v>127</v>
      </c>
      <c r="E112">
        <v>0</v>
      </c>
      <c r="F112">
        <v>0</v>
      </c>
      <c r="G112">
        <v>0</v>
      </c>
      <c r="H112">
        <v>127</v>
      </c>
      <c r="I112" s="4">
        <f t="shared" si="1"/>
        <v>1</v>
      </c>
      <c r="J112" t="s">
        <v>219</v>
      </c>
      <c r="K112">
        <v>19</v>
      </c>
      <c r="L112" t="s">
        <v>293</v>
      </c>
      <c r="M112">
        <v>14</v>
      </c>
    </row>
    <row r="113" spans="1:13">
      <c r="A113" t="s">
        <v>219</v>
      </c>
      <c r="B113">
        <v>19</v>
      </c>
      <c r="C113">
        <v>15</v>
      </c>
      <c r="D113">
        <v>127</v>
      </c>
      <c r="E113">
        <v>0</v>
      </c>
      <c r="F113">
        <v>0</v>
      </c>
      <c r="G113">
        <v>0</v>
      </c>
      <c r="H113">
        <v>127</v>
      </c>
      <c r="I113" s="4">
        <f t="shared" si="1"/>
        <v>1</v>
      </c>
      <c r="J113" t="s">
        <v>219</v>
      </c>
      <c r="K113">
        <v>19</v>
      </c>
      <c r="L113" t="s">
        <v>292</v>
      </c>
      <c r="M113">
        <v>15</v>
      </c>
    </row>
    <row r="114" spans="1:13">
      <c r="A114" t="s">
        <v>219</v>
      </c>
      <c r="B114">
        <v>19</v>
      </c>
      <c r="C114">
        <v>16</v>
      </c>
      <c r="D114">
        <v>127</v>
      </c>
      <c r="E114">
        <v>0</v>
      </c>
      <c r="F114">
        <v>0</v>
      </c>
      <c r="G114">
        <v>0</v>
      </c>
      <c r="H114">
        <v>127</v>
      </c>
      <c r="I114" s="4">
        <f t="shared" si="1"/>
        <v>1</v>
      </c>
      <c r="J114" t="s">
        <v>219</v>
      </c>
      <c r="K114">
        <v>19</v>
      </c>
      <c r="L114" t="s">
        <v>296</v>
      </c>
      <c r="M114">
        <v>16</v>
      </c>
    </row>
    <row r="115" spans="1:13">
      <c r="A115" t="s">
        <v>219</v>
      </c>
      <c r="B115">
        <v>19</v>
      </c>
      <c r="C115">
        <v>17</v>
      </c>
      <c r="D115">
        <v>127</v>
      </c>
      <c r="E115">
        <v>0</v>
      </c>
      <c r="F115">
        <v>0</v>
      </c>
      <c r="G115">
        <v>0</v>
      </c>
      <c r="H115">
        <v>127</v>
      </c>
      <c r="I115" s="4">
        <f t="shared" si="1"/>
        <v>1</v>
      </c>
      <c r="J115" t="s">
        <v>219</v>
      </c>
      <c r="K115">
        <v>19</v>
      </c>
      <c r="L115" t="s">
        <v>298</v>
      </c>
      <c r="M115">
        <v>17</v>
      </c>
    </row>
    <row r="116" spans="1:13">
      <c r="A116" t="s">
        <v>219</v>
      </c>
      <c r="B116">
        <v>19</v>
      </c>
      <c r="C116">
        <v>18</v>
      </c>
      <c r="D116">
        <v>127</v>
      </c>
      <c r="E116">
        <v>0</v>
      </c>
      <c r="F116">
        <v>0</v>
      </c>
      <c r="G116">
        <v>0</v>
      </c>
      <c r="H116">
        <v>127</v>
      </c>
      <c r="I116" s="4">
        <f t="shared" si="1"/>
        <v>1</v>
      </c>
      <c r="J116" t="s">
        <v>219</v>
      </c>
      <c r="K116">
        <v>19</v>
      </c>
      <c r="L116" t="s">
        <v>301</v>
      </c>
      <c r="M116">
        <v>18</v>
      </c>
    </row>
    <row r="117" spans="1:13">
      <c r="A117" t="s">
        <v>219</v>
      </c>
      <c r="B117">
        <v>19</v>
      </c>
      <c r="C117">
        <v>19</v>
      </c>
      <c r="D117">
        <v>127</v>
      </c>
      <c r="E117">
        <v>0</v>
      </c>
      <c r="F117">
        <v>0</v>
      </c>
      <c r="G117">
        <v>0</v>
      </c>
      <c r="H117">
        <v>127</v>
      </c>
      <c r="I117" s="4">
        <f t="shared" si="1"/>
        <v>1</v>
      </c>
      <c r="J117" t="s">
        <v>219</v>
      </c>
      <c r="K117">
        <v>19</v>
      </c>
      <c r="L117" t="s">
        <v>295</v>
      </c>
      <c r="M117">
        <v>19</v>
      </c>
    </row>
    <row r="118" spans="1:13">
      <c r="A118" t="s">
        <v>219</v>
      </c>
      <c r="B118">
        <v>19</v>
      </c>
      <c r="C118">
        <v>20</v>
      </c>
      <c r="D118">
        <v>127</v>
      </c>
      <c r="E118">
        <v>0</v>
      </c>
      <c r="F118">
        <v>0</v>
      </c>
      <c r="G118">
        <v>0</v>
      </c>
      <c r="H118">
        <v>127</v>
      </c>
      <c r="I118" s="4">
        <f t="shared" si="1"/>
        <v>1</v>
      </c>
      <c r="J118" t="s">
        <v>219</v>
      </c>
      <c r="K118">
        <v>19</v>
      </c>
      <c r="L118" t="s">
        <v>303</v>
      </c>
      <c r="M118">
        <v>20</v>
      </c>
    </row>
    <row r="119" spans="1:13">
      <c r="A119" t="s">
        <v>219</v>
      </c>
      <c r="B119">
        <v>19</v>
      </c>
      <c r="C119">
        <v>21</v>
      </c>
      <c r="D119">
        <v>127</v>
      </c>
      <c r="E119">
        <v>0</v>
      </c>
      <c r="F119">
        <v>0</v>
      </c>
      <c r="G119">
        <v>0</v>
      </c>
      <c r="H119">
        <v>127</v>
      </c>
      <c r="I119" s="4">
        <f t="shared" si="1"/>
        <v>1</v>
      </c>
      <c r="J119" t="s">
        <v>219</v>
      </c>
      <c r="K119">
        <v>19</v>
      </c>
      <c r="L119" t="s">
        <v>304</v>
      </c>
      <c r="M119">
        <v>21</v>
      </c>
    </row>
    <row r="120" spans="1:13">
      <c r="A120" t="s">
        <v>219</v>
      </c>
      <c r="B120">
        <v>19</v>
      </c>
      <c r="C120">
        <v>22</v>
      </c>
      <c r="D120">
        <v>127</v>
      </c>
      <c r="E120">
        <v>0</v>
      </c>
      <c r="F120">
        <v>0</v>
      </c>
      <c r="G120">
        <v>0</v>
      </c>
      <c r="H120">
        <v>127</v>
      </c>
      <c r="I120" s="4">
        <f t="shared" si="1"/>
        <v>1</v>
      </c>
      <c r="J120" t="s">
        <v>219</v>
      </c>
      <c r="K120">
        <v>19</v>
      </c>
      <c r="L120" t="s">
        <v>297</v>
      </c>
      <c r="M120">
        <v>22</v>
      </c>
    </row>
    <row r="121" spans="1:13">
      <c r="A121" t="s">
        <v>219</v>
      </c>
      <c r="B121">
        <v>19</v>
      </c>
      <c r="C121">
        <v>23</v>
      </c>
      <c r="D121">
        <v>127</v>
      </c>
      <c r="E121">
        <v>0</v>
      </c>
      <c r="F121">
        <v>0</v>
      </c>
      <c r="G121">
        <v>0</v>
      </c>
      <c r="H121">
        <v>127</v>
      </c>
      <c r="I121" s="4">
        <f t="shared" si="1"/>
        <v>1</v>
      </c>
      <c r="J121" t="s">
        <v>219</v>
      </c>
      <c r="K121">
        <v>19</v>
      </c>
      <c r="L121" t="s">
        <v>305</v>
      </c>
      <c r="M121">
        <v>23</v>
      </c>
    </row>
    <row r="122" spans="1:13">
      <c r="A122" t="s">
        <v>219</v>
      </c>
      <c r="B122">
        <v>19</v>
      </c>
      <c r="C122">
        <v>24</v>
      </c>
      <c r="D122">
        <v>127</v>
      </c>
      <c r="E122">
        <v>0</v>
      </c>
      <c r="F122">
        <v>0</v>
      </c>
      <c r="G122">
        <v>0</v>
      </c>
      <c r="H122">
        <v>127</v>
      </c>
      <c r="I122" s="4">
        <f t="shared" si="1"/>
        <v>1</v>
      </c>
      <c r="J122" t="s">
        <v>219</v>
      </c>
      <c r="K122">
        <v>19</v>
      </c>
      <c r="L122" t="s">
        <v>306</v>
      </c>
      <c r="M122">
        <v>24</v>
      </c>
    </row>
    <row r="123" spans="1:13">
      <c r="A123" t="s">
        <v>219</v>
      </c>
      <c r="B123">
        <v>19</v>
      </c>
      <c r="C123">
        <v>25</v>
      </c>
      <c r="D123">
        <v>127</v>
      </c>
      <c r="E123">
        <v>0</v>
      </c>
      <c r="F123">
        <v>0</v>
      </c>
      <c r="G123">
        <v>0</v>
      </c>
      <c r="H123">
        <v>127</v>
      </c>
      <c r="I123" s="4">
        <f t="shared" si="1"/>
        <v>1</v>
      </c>
      <c r="J123" t="s">
        <v>219</v>
      </c>
      <c r="K123">
        <v>19</v>
      </c>
      <c r="L123" t="s">
        <v>307</v>
      </c>
      <c r="M123">
        <v>25</v>
      </c>
    </row>
    <row r="124" spans="1:13">
      <c r="A124" t="s">
        <v>219</v>
      </c>
      <c r="B124">
        <v>19</v>
      </c>
      <c r="C124">
        <v>26</v>
      </c>
      <c r="D124">
        <v>127</v>
      </c>
      <c r="E124">
        <v>0</v>
      </c>
      <c r="F124">
        <v>0</v>
      </c>
      <c r="G124">
        <v>0</v>
      </c>
      <c r="H124">
        <v>127</v>
      </c>
      <c r="I124" s="4">
        <f t="shared" si="1"/>
        <v>1</v>
      </c>
      <c r="J124" t="s">
        <v>219</v>
      </c>
      <c r="K124">
        <v>19</v>
      </c>
      <c r="L124" t="s">
        <v>300</v>
      </c>
      <c r="M124">
        <v>26</v>
      </c>
    </row>
    <row r="125" spans="1:13">
      <c r="A125" t="s">
        <v>219</v>
      </c>
      <c r="B125">
        <v>19</v>
      </c>
      <c r="C125">
        <v>27</v>
      </c>
      <c r="D125">
        <v>127</v>
      </c>
      <c r="E125">
        <v>0</v>
      </c>
      <c r="F125">
        <v>0</v>
      </c>
      <c r="G125">
        <v>0</v>
      </c>
      <c r="H125">
        <v>127</v>
      </c>
      <c r="I125" s="4">
        <f t="shared" si="1"/>
        <v>1</v>
      </c>
      <c r="J125" t="s">
        <v>219</v>
      </c>
      <c r="K125">
        <v>19</v>
      </c>
      <c r="L125" t="s">
        <v>299</v>
      </c>
      <c r="M125">
        <v>27</v>
      </c>
    </row>
    <row r="126" spans="1:13">
      <c r="A126" t="s">
        <v>219</v>
      </c>
      <c r="B126">
        <v>19</v>
      </c>
      <c r="C126">
        <v>28</v>
      </c>
      <c r="D126">
        <v>127</v>
      </c>
      <c r="E126">
        <v>0</v>
      </c>
      <c r="F126">
        <v>0</v>
      </c>
      <c r="G126">
        <v>0</v>
      </c>
      <c r="H126">
        <v>127</v>
      </c>
      <c r="I126" s="4">
        <f t="shared" si="1"/>
        <v>1</v>
      </c>
      <c r="J126" t="s">
        <v>219</v>
      </c>
      <c r="K126">
        <v>19</v>
      </c>
      <c r="L126" t="s">
        <v>302</v>
      </c>
      <c r="M126">
        <v>28</v>
      </c>
    </row>
    <row r="127" spans="1:13">
      <c r="A127" t="s">
        <v>219</v>
      </c>
      <c r="B127">
        <v>20</v>
      </c>
      <c r="C127">
        <v>1</v>
      </c>
      <c r="D127">
        <v>20</v>
      </c>
      <c r="E127">
        <v>0</v>
      </c>
      <c r="F127">
        <v>7</v>
      </c>
      <c r="G127">
        <v>0</v>
      </c>
      <c r="H127">
        <v>101</v>
      </c>
      <c r="I127" s="4">
        <f t="shared" si="1"/>
        <v>0.19801980198019803</v>
      </c>
      <c r="J127" t="s">
        <v>219</v>
      </c>
      <c r="K127">
        <v>20</v>
      </c>
      <c r="L127" t="s">
        <v>308</v>
      </c>
      <c r="M127">
        <v>1</v>
      </c>
    </row>
    <row r="128" spans="1:13">
      <c r="A128" t="s">
        <v>219</v>
      </c>
      <c r="B128">
        <v>20</v>
      </c>
      <c r="C128">
        <v>2</v>
      </c>
      <c r="D128">
        <v>23</v>
      </c>
      <c r="E128">
        <v>0</v>
      </c>
      <c r="F128">
        <v>7</v>
      </c>
      <c r="G128">
        <v>0</v>
      </c>
      <c r="H128">
        <v>101</v>
      </c>
      <c r="I128" s="4">
        <f t="shared" si="1"/>
        <v>0.22772277227722773</v>
      </c>
      <c r="J128" t="s">
        <v>219</v>
      </c>
      <c r="K128">
        <v>20</v>
      </c>
      <c r="L128" t="s">
        <v>309</v>
      </c>
      <c r="M128">
        <v>2</v>
      </c>
    </row>
    <row r="129" spans="1:13">
      <c r="A129" t="s">
        <v>219</v>
      </c>
      <c r="B129">
        <v>20</v>
      </c>
      <c r="C129">
        <v>3</v>
      </c>
      <c r="D129">
        <v>26</v>
      </c>
      <c r="E129">
        <v>0</v>
      </c>
      <c r="F129">
        <v>6</v>
      </c>
      <c r="G129">
        <v>0</v>
      </c>
      <c r="H129">
        <v>101</v>
      </c>
      <c r="I129" s="4">
        <f t="shared" si="1"/>
        <v>0.25742574257425743</v>
      </c>
      <c r="J129" t="s">
        <v>219</v>
      </c>
      <c r="K129">
        <v>20</v>
      </c>
      <c r="L129" t="s">
        <v>310</v>
      </c>
      <c r="M129">
        <v>3</v>
      </c>
    </row>
    <row r="130" spans="1:13">
      <c r="A130" t="s">
        <v>219</v>
      </c>
      <c r="B130">
        <v>20</v>
      </c>
      <c r="C130">
        <v>4</v>
      </c>
      <c r="D130">
        <v>29</v>
      </c>
      <c r="E130">
        <v>0</v>
      </c>
      <c r="F130">
        <v>9</v>
      </c>
      <c r="G130">
        <v>0</v>
      </c>
      <c r="H130">
        <v>101</v>
      </c>
      <c r="I130" s="4">
        <f t="shared" si="1"/>
        <v>0.28712871287128711</v>
      </c>
      <c r="J130" t="s">
        <v>219</v>
      </c>
      <c r="K130">
        <v>20</v>
      </c>
      <c r="L130" t="s">
        <v>311</v>
      </c>
      <c r="M130">
        <v>4</v>
      </c>
    </row>
    <row r="131" spans="1:13">
      <c r="A131" t="s">
        <v>219</v>
      </c>
      <c r="B131">
        <v>20</v>
      </c>
      <c r="C131">
        <v>5</v>
      </c>
      <c r="D131">
        <v>45</v>
      </c>
      <c r="E131">
        <v>0</v>
      </c>
      <c r="F131">
        <v>9</v>
      </c>
      <c r="G131">
        <v>0</v>
      </c>
      <c r="H131">
        <v>101</v>
      </c>
      <c r="I131" s="4">
        <f t="shared" ref="I131:I194" si="2">D131/H131</f>
        <v>0.44554455445544555</v>
      </c>
      <c r="J131" t="s">
        <v>219</v>
      </c>
      <c r="K131">
        <v>20</v>
      </c>
      <c r="L131" t="s">
        <v>312</v>
      </c>
      <c r="M131">
        <v>5</v>
      </c>
    </row>
    <row r="132" spans="1:13">
      <c r="A132" t="s">
        <v>219</v>
      </c>
      <c r="B132">
        <v>20</v>
      </c>
      <c r="C132">
        <v>6</v>
      </c>
      <c r="D132">
        <v>45</v>
      </c>
      <c r="E132">
        <v>0</v>
      </c>
      <c r="F132">
        <v>9</v>
      </c>
      <c r="G132">
        <v>0</v>
      </c>
      <c r="H132">
        <v>101</v>
      </c>
      <c r="I132" s="4">
        <f t="shared" si="2"/>
        <v>0.44554455445544555</v>
      </c>
      <c r="J132" t="s">
        <v>219</v>
      </c>
      <c r="K132">
        <v>20</v>
      </c>
      <c r="L132" t="s">
        <v>313</v>
      </c>
      <c r="M132">
        <v>6</v>
      </c>
    </row>
    <row r="133" spans="1:13">
      <c r="A133" t="s">
        <v>219</v>
      </c>
      <c r="B133">
        <v>20</v>
      </c>
      <c r="C133">
        <v>7</v>
      </c>
      <c r="D133">
        <v>53</v>
      </c>
      <c r="E133">
        <v>0</v>
      </c>
      <c r="F133">
        <v>7</v>
      </c>
      <c r="G133">
        <v>0</v>
      </c>
      <c r="H133">
        <v>101</v>
      </c>
      <c r="I133" s="4">
        <f t="shared" si="2"/>
        <v>0.52475247524752477</v>
      </c>
      <c r="J133" t="s">
        <v>219</v>
      </c>
      <c r="K133">
        <v>20</v>
      </c>
      <c r="L133" t="s">
        <v>314</v>
      </c>
      <c r="M133">
        <v>7</v>
      </c>
    </row>
    <row r="134" spans="1:13">
      <c r="A134" t="s">
        <v>219</v>
      </c>
      <c r="B134">
        <v>20</v>
      </c>
      <c r="C134">
        <v>8</v>
      </c>
      <c r="D134">
        <v>53</v>
      </c>
      <c r="E134">
        <v>0</v>
      </c>
      <c r="F134">
        <v>7</v>
      </c>
      <c r="G134">
        <v>0</v>
      </c>
      <c r="H134">
        <v>101</v>
      </c>
      <c r="I134" s="4">
        <f t="shared" si="2"/>
        <v>0.52475247524752477</v>
      </c>
      <c r="J134" t="s">
        <v>219</v>
      </c>
      <c r="K134">
        <v>20</v>
      </c>
      <c r="L134" t="s">
        <v>315</v>
      </c>
      <c r="M134">
        <v>8</v>
      </c>
    </row>
    <row r="135" spans="1:13">
      <c r="A135" t="s">
        <v>219</v>
      </c>
      <c r="B135">
        <v>20</v>
      </c>
      <c r="C135">
        <v>9</v>
      </c>
      <c r="D135">
        <v>53</v>
      </c>
      <c r="E135">
        <v>0</v>
      </c>
      <c r="F135">
        <v>7</v>
      </c>
      <c r="G135">
        <v>0</v>
      </c>
      <c r="H135">
        <v>101</v>
      </c>
      <c r="I135" s="4">
        <f t="shared" si="2"/>
        <v>0.52475247524752477</v>
      </c>
      <c r="J135" t="s">
        <v>219</v>
      </c>
      <c r="K135">
        <v>20</v>
      </c>
      <c r="L135" t="s">
        <v>316</v>
      </c>
      <c r="M135">
        <v>9</v>
      </c>
    </row>
    <row r="136" spans="1:13">
      <c r="A136" t="s">
        <v>219</v>
      </c>
      <c r="B136">
        <v>20</v>
      </c>
      <c r="C136">
        <v>10</v>
      </c>
      <c r="D136">
        <v>53</v>
      </c>
      <c r="E136">
        <v>0</v>
      </c>
      <c r="F136">
        <v>7</v>
      </c>
      <c r="G136">
        <v>0</v>
      </c>
      <c r="H136">
        <v>101</v>
      </c>
      <c r="I136" s="4">
        <f t="shared" si="2"/>
        <v>0.52475247524752477</v>
      </c>
      <c r="J136" t="s">
        <v>219</v>
      </c>
      <c r="K136">
        <v>20</v>
      </c>
      <c r="L136" t="s">
        <v>317</v>
      </c>
      <c r="M136">
        <v>10</v>
      </c>
    </row>
    <row r="137" spans="1:13">
      <c r="A137" t="s">
        <v>219</v>
      </c>
      <c r="B137">
        <v>20</v>
      </c>
      <c r="C137">
        <v>11</v>
      </c>
      <c r="D137">
        <v>53</v>
      </c>
      <c r="E137">
        <v>0</v>
      </c>
      <c r="F137">
        <v>7</v>
      </c>
      <c r="G137">
        <v>0</v>
      </c>
      <c r="H137">
        <v>101</v>
      </c>
      <c r="I137" s="4">
        <f t="shared" si="2"/>
        <v>0.52475247524752477</v>
      </c>
      <c r="J137" t="s">
        <v>219</v>
      </c>
      <c r="K137">
        <v>20</v>
      </c>
      <c r="L137" t="s">
        <v>318</v>
      </c>
      <c r="M137">
        <v>11</v>
      </c>
    </row>
    <row r="138" spans="1:13">
      <c r="A138" t="s">
        <v>219</v>
      </c>
      <c r="B138">
        <v>20</v>
      </c>
      <c r="C138">
        <v>12</v>
      </c>
      <c r="D138">
        <v>53</v>
      </c>
      <c r="E138">
        <v>0</v>
      </c>
      <c r="F138">
        <v>7</v>
      </c>
      <c r="G138">
        <v>0</v>
      </c>
      <c r="H138">
        <v>101</v>
      </c>
      <c r="I138" s="4">
        <f t="shared" si="2"/>
        <v>0.52475247524752477</v>
      </c>
      <c r="J138" t="s">
        <v>219</v>
      </c>
      <c r="K138">
        <v>20</v>
      </c>
      <c r="L138" t="s">
        <v>319</v>
      </c>
      <c r="M138">
        <v>12</v>
      </c>
    </row>
    <row r="139" spans="1:13">
      <c r="A139" t="s">
        <v>219</v>
      </c>
      <c r="B139">
        <v>20</v>
      </c>
      <c r="C139">
        <v>13</v>
      </c>
      <c r="D139">
        <v>53</v>
      </c>
      <c r="E139">
        <v>0</v>
      </c>
      <c r="F139">
        <v>7</v>
      </c>
      <c r="G139">
        <v>0</v>
      </c>
      <c r="H139">
        <v>101</v>
      </c>
      <c r="I139" s="4">
        <f t="shared" si="2"/>
        <v>0.52475247524752477</v>
      </c>
      <c r="J139" t="s">
        <v>219</v>
      </c>
      <c r="K139">
        <v>20</v>
      </c>
      <c r="L139" t="s">
        <v>320</v>
      </c>
      <c r="M139">
        <v>13</v>
      </c>
    </row>
    <row r="140" spans="1:13">
      <c r="A140" t="s">
        <v>219</v>
      </c>
      <c r="B140">
        <v>20</v>
      </c>
      <c r="C140">
        <v>14</v>
      </c>
      <c r="D140">
        <v>71</v>
      </c>
      <c r="E140">
        <v>0</v>
      </c>
      <c r="F140">
        <v>5</v>
      </c>
      <c r="G140">
        <v>0</v>
      </c>
      <c r="H140">
        <v>101</v>
      </c>
      <c r="I140" s="4">
        <f t="shared" si="2"/>
        <v>0.70297029702970293</v>
      </c>
      <c r="J140" t="s">
        <v>219</v>
      </c>
      <c r="K140">
        <v>20</v>
      </c>
      <c r="L140" t="s">
        <v>321</v>
      </c>
      <c r="M140">
        <v>14</v>
      </c>
    </row>
    <row r="141" spans="1:13">
      <c r="A141" t="s">
        <v>219</v>
      </c>
      <c r="B141">
        <v>20</v>
      </c>
      <c r="C141">
        <v>15</v>
      </c>
      <c r="D141">
        <v>71</v>
      </c>
      <c r="E141">
        <v>0</v>
      </c>
      <c r="F141">
        <v>5</v>
      </c>
      <c r="G141">
        <v>0</v>
      </c>
      <c r="H141">
        <v>101</v>
      </c>
      <c r="I141" s="4">
        <f t="shared" si="2"/>
        <v>0.70297029702970293</v>
      </c>
      <c r="J141" t="s">
        <v>219</v>
      </c>
      <c r="K141">
        <v>20</v>
      </c>
      <c r="L141" t="s">
        <v>322</v>
      </c>
      <c r="M141">
        <v>15</v>
      </c>
    </row>
    <row r="142" spans="1:13">
      <c r="A142" t="s">
        <v>219</v>
      </c>
      <c r="B142">
        <v>20</v>
      </c>
      <c r="C142">
        <v>16</v>
      </c>
      <c r="D142">
        <v>71</v>
      </c>
      <c r="E142">
        <v>0</v>
      </c>
      <c r="F142">
        <v>5</v>
      </c>
      <c r="G142">
        <v>0</v>
      </c>
      <c r="H142">
        <v>101</v>
      </c>
      <c r="I142" s="4">
        <f t="shared" si="2"/>
        <v>0.70297029702970293</v>
      </c>
      <c r="J142" t="s">
        <v>219</v>
      </c>
      <c r="K142">
        <v>20</v>
      </c>
      <c r="L142" t="s">
        <v>323</v>
      </c>
      <c r="M142">
        <v>16</v>
      </c>
    </row>
    <row r="143" spans="1:13">
      <c r="A143" t="s">
        <v>219</v>
      </c>
      <c r="B143">
        <v>20</v>
      </c>
      <c r="C143">
        <v>17</v>
      </c>
      <c r="D143">
        <v>71</v>
      </c>
      <c r="E143">
        <v>0</v>
      </c>
      <c r="F143">
        <v>5</v>
      </c>
      <c r="G143">
        <v>0</v>
      </c>
      <c r="H143">
        <v>101</v>
      </c>
      <c r="I143" s="4">
        <f t="shared" si="2"/>
        <v>0.70297029702970293</v>
      </c>
      <c r="J143" t="s">
        <v>219</v>
      </c>
      <c r="K143">
        <v>20</v>
      </c>
      <c r="L143" t="s">
        <v>324</v>
      </c>
      <c r="M143">
        <v>17</v>
      </c>
    </row>
    <row r="144" spans="1:13">
      <c r="A144" t="s">
        <v>219</v>
      </c>
      <c r="B144">
        <v>20</v>
      </c>
      <c r="C144">
        <v>18</v>
      </c>
      <c r="D144">
        <v>71</v>
      </c>
      <c r="E144">
        <v>0</v>
      </c>
      <c r="F144">
        <v>5</v>
      </c>
      <c r="G144">
        <v>0</v>
      </c>
      <c r="H144">
        <v>101</v>
      </c>
      <c r="I144" s="4">
        <f t="shared" si="2"/>
        <v>0.70297029702970293</v>
      </c>
      <c r="J144" t="s">
        <v>219</v>
      </c>
      <c r="K144">
        <v>20</v>
      </c>
      <c r="L144" t="s">
        <v>325</v>
      </c>
      <c r="M144">
        <v>18</v>
      </c>
    </row>
    <row r="145" spans="1:13">
      <c r="A145" t="s">
        <v>219</v>
      </c>
      <c r="B145">
        <v>20</v>
      </c>
      <c r="C145">
        <v>19</v>
      </c>
      <c r="D145">
        <v>71</v>
      </c>
      <c r="E145">
        <v>0</v>
      </c>
      <c r="F145">
        <v>5</v>
      </c>
      <c r="G145">
        <v>0</v>
      </c>
      <c r="H145">
        <v>101</v>
      </c>
      <c r="I145" s="4">
        <f t="shared" si="2"/>
        <v>0.70297029702970293</v>
      </c>
      <c r="J145" t="s">
        <v>219</v>
      </c>
      <c r="K145">
        <v>20</v>
      </c>
      <c r="L145" t="s">
        <v>326</v>
      </c>
      <c r="M145">
        <v>19</v>
      </c>
    </row>
    <row r="146" spans="1:13">
      <c r="A146" t="s">
        <v>219</v>
      </c>
      <c r="B146">
        <v>20</v>
      </c>
      <c r="C146">
        <v>20</v>
      </c>
      <c r="D146">
        <v>71</v>
      </c>
      <c r="E146">
        <v>0</v>
      </c>
      <c r="F146">
        <v>5</v>
      </c>
      <c r="G146">
        <v>0</v>
      </c>
      <c r="H146">
        <v>101</v>
      </c>
      <c r="I146" s="4">
        <f t="shared" si="2"/>
        <v>0.70297029702970293</v>
      </c>
      <c r="J146" t="s">
        <v>219</v>
      </c>
      <c r="K146">
        <v>20</v>
      </c>
      <c r="L146" t="s">
        <v>328</v>
      </c>
      <c r="M146">
        <v>20</v>
      </c>
    </row>
    <row r="147" spans="1:13">
      <c r="A147" t="s">
        <v>219</v>
      </c>
      <c r="B147">
        <v>20</v>
      </c>
      <c r="C147">
        <v>21</v>
      </c>
      <c r="D147">
        <v>71</v>
      </c>
      <c r="E147">
        <v>0</v>
      </c>
      <c r="F147">
        <v>5</v>
      </c>
      <c r="G147">
        <v>0</v>
      </c>
      <c r="H147">
        <v>101</v>
      </c>
      <c r="I147" s="4">
        <f t="shared" si="2"/>
        <v>0.70297029702970293</v>
      </c>
      <c r="J147" t="s">
        <v>219</v>
      </c>
      <c r="K147">
        <v>20</v>
      </c>
      <c r="L147" t="s">
        <v>327</v>
      </c>
      <c r="M147">
        <v>21</v>
      </c>
    </row>
    <row r="148" spans="1:13">
      <c r="A148" t="s">
        <v>219</v>
      </c>
      <c r="B148">
        <v>20</v>
      </c>
      <c r="C148">
        <v>22</v>
      </c>
      <c r="D148">
        <v>71</v>
      </c>
      <c r="E148">
        <v>0</v>
      </c>
      <c r="F148">
        <v>5</v>
      </c>
      <c r="G148">
        <v>0</v>
      </c>
      <c r="H148">
        <v>101</v>
      </c>
      <c r="I148" s="4">
        <f t="shared" si="2"/>
        <v>0.70297029702970293</v>
      </c>
      <c r="J148" t="s">
        <v>219</v>
      </c>
      <c r="K148">
        <v>20</v>
      </c>
      <c r="L148" t="s">
        <v>329</v>
      </c>
      <c r="M148">
        <v>22</v>
      </c>
    </row>
    <row r="149" spans="1:13">
      <c r="A149" t="s">
        <v>219</v>
      </c>
      <c r="B149">
        <v>20</v>
      </c>
      <c r="C149">
        <v>23</v>
      </c>
      <c r="D149">
        <v>101</v>
      </c>
      <c r="E149">
        <v>0</v>
      </c>
      <c r="F149">
        <v>4</v>
      </c>
      <c r="G149">
        <v>0</v>
      </c>
      <c r="H149">
        <v>101</v>
      </c>
      <c r="I149" s="4">
        <f t="shared" si="2"/>
        <v>1</v>
      </c>
      <c r="J149" t="s">
        <v>219</v>
      </c>
      <c r="K149">
        <v>20</v>
      </c>
      <c r="L149" t="s">
        <v>330</v>
      </c>
      <c r="M149">
        <v>23</v>
      </c>
    </row>
    <row r="150" spans="1:13">
      <c r="A150" t="s">
        <v>219</v>
      </c>
      <c r="B150">
        <v>20</v>
      </c>
      <c r="C150">
        <v>24</v>
      </c>
      <c r="D150">
        <v>101</v>
      </c>
      <c r="E150">
        <v>0</v>
      </c>
      <c r="F150">
        <v>4</v>
      </c>
      <c r="G150">
        <v>0</v>
      </c>
      <c r="H150">
        <v>101</v>
      </c>
      <c r="I150" s="4">
        <f t="shared" si="2"/>
        <v>1</v>
      </c>
      <c r="J150" t="s">
        <v>219</v>
      </c>
      <c r="K150">
        <v>20</v>
      </c>
      <c r="L150" t="s">
        <v>331</v>
      </c>
      <c r="M150">
        <v>24</v>
      </c>
    </row>
    <row r="151" spans="1:13">
      <c r="A151" t="s">
        <v>219</v>
      </c>
      <c r="B151">
        <v>20</v>
      </c>
      <c r="C151">
        <v>25</v>
      </c>
      <c r="D151">
        <v>101</v>
      </c>
      <c r="E151">
        <v>0</v>
      </c>
      <c r="F151">
        <v>4</v>
      </c>
      <c r="G151">
        <v>0</v>
      </c>
      <c r="H151">
        <v>101</v>
      </c>
      <c r="I151" s="4">
        <f t="shared" si="2"/>
        <v>1</v>
      </c>
      <c r="J151" t="s">
        <v>219</v>
      </c>
      <c r="K151">
        <v>20</v>
      </c>
      <c r="L151" t="s">
        <v>333</v>
      </c>
      <c r="M151">
        <v>25</v>
      </c>
    </row>
    <row r="152" spans="1:13">
      <c r="A152" t="s">
        <v>219</v>
      </c>
      <c r="B152">
        <v>20</v>
      </c>
      <c r="C152">
        <v>26</v>
      </c>
      <c r="D152">
        <v>101</v>
      </c>
      <c r="E152">
        <v>0</v>
      </c>
      <c r="F152">
        <v>4</v>
      </c>
      <c r="G152">
        <v>0</v>
      </c>
      <c r="H152">
        <v>101</v>
      </c>
      <c r="I152" s="4">
        <f t="shared" si="2"/>
        <v>1</v>
      </c>
      <c r="J152" t="s">
        <v>219</v>
      </c>
      <c r="K152">
        <v>20</v>
      </c>
      <c r="L152" t="s">
        <v>334</v>
      </c>
      <c r="M152">
        <v>26</v>
      </c>
    </row>
    <row r="153" spans="1:13">
      <c r="A153" t="s">
        <v>219</v>
      </c>
      <c r="B153">
        <v>20</v>
      </c>
      <c r="C153">
        <v>27</v>
      </c>
      <c r="D153">
        <v>101</v>
      </c>
      <c r="E153">
        <v>0</v>
      </c>
      <c r="F153">
        <v>4</v>
      </c>
      <c r="G153">
        <v>0</v>
      </c>
      <c r="H153">
        <v>101</v>
      </c>
      <c r="I153" s="4">
        <f t="shared" si="2"/>
        <v>1</v>
      </c>
      <c r="J153" t="s">
        <v>219</v>
      </c>
      <c r="K153">
        <v>20</v>
      </c>
      <c r="L153" t="s">
        <v>335</v>
      </c>
      <c r="M153">
        <v>27</v>
      </c>
    </row>
    <row r="154" spans="1:13">
      <c r="A154" t="s">
        <v>219</v>
      </c>
      <c r="B154">
        <v>20</v>
      </c>
      <c r="C154">
        <v>28</v>
      </c>
      <c r="D154">
        <v>101</v>
      </c>
      <c r="E154">
        <v>0</v>
      </c>
      <c r="F154">
        <v>4</v>
      </c>
      <c r="G154">
        <v>0</v>
      </c>
      <c r="H154">
        <v>101</v>
      </c>
      <c r="I154" s="4">
        <f t="shared" si="2"/>
        <v>1</v>
      </c>
      <c r="J154" t="s">
        <v>219</v>
      </c>
      <c r="K154">
        <v>20</v>
      </c>
      <c r="L154" t="s">
        <v>336</v>
      </c>
      <c r="M154">
        <v>28</v>
      </c>
    </row>
    <row r="155" spans="1:13">
      <c r="A155" t="s">
        <v>219</v>
      </c>
      <c r="B155">
        <v>20</v>
      </c>
      <c r="C155">
        <v>29</v>
      </c>
      <c r="D155">
        <v>101</v>
      </c>
      <c r="E155">
        <v>0</v>
      </c>
      <c r="F155">
        <v>4</v>
      </c>
      <c r="G155">
        <v>0</v>
      </c>
      <c r="H155">
        <v>101</v>
      </c>
      <c r="I155" s="4">
        <f t="shared" si="2"/>
        <v>1</v>
      </c>
      <c r="J155" t="s">
        <v>219</v>
      </c>
      <c r="K155">
        <v>20</v>
      </c>
      <c r="L155" t="s">
        <v>337</v>
      </c>
      <c r="M155">
        <v>29</v>
      </c>
    </row>
    <row r="156" spans="1:13">
      <c r="A156" t="s">
        <v>219</v>
      </c>
      <c r="B156">
        <v>20</v>
      </c>
      <c r="C156">
        <v>30</v>
      </c>
      <c r="D156">
        <v>101</v>
      </c>
      <c r="E156">
        <v>0</v>
      </c>
      <c r="F156">
        <v>4</v>
      </c>
      <c r="G156">
        <v>0</v>
      </c>
      <c r="H156">
        <v>101</v>
      </c>
      <c r="I156" s="4">
        <f t="shared" si="2"/>
        <v>1</v>
      </c>
      <c r="J156" t="s">
        <v>219</v>
      </c>
      <c r="K156">
        <v>20</v>
      </c>
      <c r="L156" t="s">
        <v>338</v>
      </c>
      <c r="M156">
        <v>30</v>
      </c>
    </row>
    <row r="157" spans="1:13">
      <c r="A157" t="s">
        <v>219</v>
      </c>
      <c r="B157">
        <v>20</v>
      </c>
      <c r="C157">
        <v>31</v>
      </c>
      <c r="D157">
        <v>101</v>
      </c>
      <c r="E157">
        <v>0</v>
      </c>
      <c r="F157">
        <v>4</v>
      </c>
      <c r="G157">
        <v>0</v>
      </c>
      <c r="H157">
        <v>101</v>
      </c>
      <c r="I157" s="4">
        <f t="shared" si="2"/>
        <v>1</v>
      </c>
      <c r="J157" t="s">
        <v>219</v>
      </c>
      <c r="K157">
        <v>20</v>
      </c>
      <c r="L157" t="s">
        <v>339</v>
      </c>
      <c r="M157">
        <v>31</v>
      </c>
    </row>
    <row r="158" spans="1:13">
      <c r="A158" t="s">
        <v>219</v>
      </c>
      <c r="B158">
        <v>20</v>
      </c>
      <c r="C158">
        <v>32</v>
      </c>
      <c r="D158">
        <v>101</v>
      </c>
      <c r="E158">
        <v>0</v>
      </c>
      <c r="F158">
        <v>4</v>
      </c>
      <c r="G158">
        <v>0</v>
      </c>
      <c r="H158">
        <v>101</v>
      </c>
      <c r="I158" s="4">
        <f t="shared" si="2"/>
        <v>1</v>
      </c>
      <c r="J158" t="s">
        <v>219</v>
      </c>
      <c r="K158">
        <v>20</v>
      </c>
      <c r="L158" t="s">
        <v>340</v>
      </c>
      <c r="M158">
        <v>32</v>
      </c>
    </row>
    <row r="159" spans="1:13">
      <c r="A159" s="6" t="s">
        <v>219</v>
      </c>
      <c r="B159" s="6">
        <v>20</v>
      </c>
      <c r="C159" s="6">
        <v>33</v>
      </c>
      <c r="D159" s="6">
        <v>101</v>
      </c>
      <c r="E159" s="6">
        <v>0</v>
      </c>
      <c r="F159" s="6">
        <v>4</v>
      </c>
      <c r="G159" s="6">
        <v>0</v>
      </c>
      <c r="H159" s="6">
        <v>101</v>
      </c>
      <c r="I159" s="4">
        <f t="shared" si="2"/>
        <v>1</v>
      </c>
      <c r="J159" t="s">
        <v>219</v>
      </c>
      <c r="K159">
        <v>20</v>
      </c>
      <c r="L159" t="s">
        <v>332</v>
      </c>
      <c r="M159">
        <v>33</v>
      </c>
    </row>
    <row r="160" spans="1:13">
      <c r="A160" t="s">
        <v>220</v>
      </c>
      <c r="B160">
        <v>2</v>
      </c>
      <c r="C160">
        <v>1</v>
      </c>
      <c r="D160">
        <v>5</v>
      </c>
      <c r="E160">
        <v>0</v>
      </c>
      <c r="F160">
        <v>1</v>
      </c>
      <c r="G160">
        <v>0</v>
      </c>
      <c r="H160">
        <v>112</v>
      </c>
      <c r="I160" s="4">
        <f t="shared" si="2"/>
        <v>4.4642857142857144E-2</v>
      </c>
      <c r="J160" t="s">
        <v>220</v>
      </c>
      <c r="K160">
        <v>2</v>
      </c>
      <c r="L160" t="s">
        <v>203</v>
      </c>
      <c r="M160">
        <v>1</v>
      </c>
    </row>
    <row r="161" spans="1:13">
      <c r="A161" t="s">
        <v>220</v>
      </c>
      <c r="B161">
        <v>2</v>
      </c>
      <c r="C161">
        <v>2</v>
      </c>
      <c r="D161">
        <v>56</v>
      </c>
      <c r="E161">
        <v>0</v>
      </c>
      <c r="F161">
        <v>12</v>
      </c>
      <c r="G161">
        <v>0</v>
      </c>
      <c r="H161">
        <v>112</v>
      </c>
      <c r="I161" s="4">
        <f t="shared" si="2"/>
        <v>0.5</v>
      </c>
      <c r="J161" t="s">
        <v>220</v>
      </c>
      <c r="K161">
        <v>2</v>
      </c>
      <c r="L161" t="s">
        <v>341</v>
      </c>
      <c r="M161">
        <v>2</v>
      </c>
    </row>
    <row r="162" spans="1:13">
      <c r="A162" t="s">
        <v>220</v>
      </c>
      <c r="B162">
        <v>2</v>
      </c>
      <c r="C162">
        <v>3</v>
      </c>
      <c r="D162">
        <v>112</v>
      </c>
      <c r="E162">
        <v>0</v>
      </c>
      <c r="F162">
        <v>0</v>
      </c>
      <c r="G162">
        <v>0</v>
      </c>
      <c r="H162">
        <v>112</v>
      </c>
      <c r="I162" s="4">
        <f t="shared" si="2"/>
        <v>1</v>
      </c>
      <c r="J162" t="s">
        <v>220</v>
      </c>
      <c r="K162">
        <v>2</v>
      </c>
      <c r="L162" t="s">
        <v>342</v>
      </c>
      <c r="M162">
        <v>3</v>
      </c>
    </row>
    <row r="163" spans="1:13">
      <c r="A163" t="s">
        <v>220</v>
      </c>
      <c r="B163">
        <v>3</v>
      </c>
      <c r="C163">
        <v>1</v>
      </c>
      <c r="D163">
        <v>41</v>
      </c>
      <c r="E163">
        <v>0</v>
      </c>
      <c r="F163">
        <v>2</v>
      </c>
      <c r="G163">
        <v>0</v>
      </c>
      <c r="H163">
        <v>44</v>
      </c>
      <c r="I163" s="4">
        <f t="shared" si="2"/>
        <v>0.93181818181818177</v>
      </c>
      <c r="J163" t="s">
        <v>220</v>
      </c>
      <c r="K163">
        <v>3</v>
      </c>
      <c r="L163" t="s">
        <v>343</v>
      </c>
      <c r="M163">
        <v>1</v>
      </c>
    </row>
    <row r="164" spans="1:13">
      <c r="A164" t="s">
        <v>220</v>
      </c>
      <c r="B164">
        <v>3</v>
      </c>
      <c r="C164">
        <v>2</v>
      </c>
      <c r="D164">
        <v>44</v>
      </c>
      <c r="E164">
        <v>0</v>
      </c>
      <c r="F164">
        <v>0</v>
      </c>
      <c r="G164">
        <v>0</v>
      </c>
      <c r="H164">
        <v>44</v>
      </c>
      <c r="I164" s="4">
        <f t="shared" si="2"/>
        <v>1</v>
      </c>
      <c r="J164" t="s">
        <v>220</v>
      </c>
      <c r="K164">
        <v>3</v>
      </c>
      <c r="L164" t="s">
        <v>235</v>
      </c>
      <c r="M164">
        <v>2</v>
      </c>
    </row>
    <row r="165" spans="1:13">
      <c r="A165" t="s">
        <v>220</v>
      </c>
      <c r="B165">
        <v>7</v>
      </c>
      <c r="C165">
        <v>1</v>
      </c>
      <c r="D165">
        <v>40</v>
      </c>
      <c r="E165">
        <v>0</v>
      </c>
      <c r="F165">
        <v>2</v>
      </c>
      <c r="G165">
        <v>0</v>
      </c>
      <c r="H165">
        <v>43</v>
      </c>
      <c r="I165" s="4">
        <f t="shared" si="2"/>
        <v>0.93023255813953487</v>
      </c>
      <c r="J165" t="s">
        <v>220</v>
      </c>
      <c r="K165">
        <v>7</v>
      </c>
      <c r="L165" t="s">
        <v>343</v>
      </c>
      <c r="M165">
        <v>1</v>
      </c>
    </row>
    <row r="166" spans="1:13">
      <c r="A166" t="s">
        <v>220</v>
      </c>
      <c r="B166">
        <v>7</v>
      </c>
      <c r="C166">
        <v>2</v>
      </c>
      <c r="D166">
        <v>43</v>
      </c>
      <c r="E166">
        <v>0</v>
      </c>
      <c r="F166">
        <v>0</v>
      </c>
      <c r="G166">
        <v>0</v>
      </c>
      <c r="H166">
        <v>43</v>
      </c>
      <c r="I166" s="4">
        <f t="shared" si="2"/>
        <v>1</v>
      </c>
      <c r="J166" t="s">
        <v>220</v>
      </c>
      <c r="K166">
        <v>7</v>
      </c>
      <c r="L166" t="s">
        <v>235</v>
      </c>
      <c r="M166">
        <v>2</v>
      </c>
    </row>
    <row r="167" spans="1:13">
      <c r="A167" t="s">
        <v>220</v>
      </c>
      <c r="B167">
        <v>10</v>
      </c>
      <c r="C167">
        <v>1</v>
      </c>
      <c r="D167">
        <v>47</v>
      </c>
      <c r="E167">
        <v>0</v>
      </c>
      <c r="F167">
        <v>8</v>
      </c>
      <c r="G167">
        <v>0</v>
      </c>
      <c r="H167">
        <v>406</v>
      </c>
      <c r="I167" s="4">
        <f t="shared" si="2"/>
        <v>0.11576354679802955</v>
      </c>
      <c r="J167" t="s">
        <v>220</v>
      </c>
      <c r="K167">
        <v>10</v>
      </c>
      <c r="L167" t="s">
        <v>344</v>
      </c>
      <c r="M167">
        <v>1</v>
      </c>
    </row>
    <row r="168" spans="1:13">
      <c r="A168" t="s">
        <v>220</v>
      </c>
      <c r="B168">
        <v>10</v>
      </c>
      <c r="C168">
        <v>2</v>
      </c>
      <c r="D168">
        <v>47</v>
      </c>
      <c r="E168">
        <v>0</v>
      </c>
      <c r="F168">
        <v>11</v>
      </c>
      <c r="G168">
        <v>0</v>
      </c>
      <c r="H168">
        <v>406</v>
      </c>
      <c r="I168" s="4">
        <f t="shared" si="2"/>
        <v>0.11576354679802955</v>
      </c>
      <c r="J168" t="s">
        <v>220</v>
      </c>
      <c r="K168">
        <v>10</v>
      </c>
      <c r="L168" t="s">
        <v>346</v>
      </c>
      <c r="M168">
        <v>2</v>
      </c>
    </row>
    <row r="169" spans="1:13">
      <c r="A169" t="s">
        <v>220</v>
      </c>
      <c r="B169">
        <v>10</v>
      </c>
      <c r="C169">
        <v>3</v>
      </c>
      <c r="D169">
        <v>47</v>
      </c>
      <c r="E169">
        <v>0</v>
      </c>
      <c r="F169">
        <v>11</v>
      </c>
      <c r="G169">
        <v>0</v>
      </c>
      <c r="H169">
        <v>406</v>
      </c>
      <c r="I169" s="4">
        <f t="shared" si="2"/>
        <v>0.11576354679802955</v>
      </c>
      <c r="J169" t="s">
        <v>220</v>
      </c>
      <c r="K169">
        <v>10</v>
      </c>
      <c r="L169" t="s">
        <v>347</v>
      </c>
      <c r="M169">
        <v>3</v>
      </c>
    </row>
    <row r="170" spans="1:13">
      <c r="A170" t="s">
        <v>220</v>
      </c>
      <c r="B170">
        <v>10</v>
      </c>
      <c r="C170">
        <v>4</v>
      </c>
      <c r="D170">
        <v>47</v>
      </c>
      <c r="E170">
        <v>0</v>
      </c>
      <c r="F170">
        <v>11</v>
      </c>
      <c r="G170">
        <v>0</v>
      </c>
      <c r="H170">
        <v>406</v>
      </c>
      <c r="I170" s="4">
        <f t="shared" si="2"/>
        <v>0.11576354679802955</v>
      </c>
      <c r="J170" t="s">
        <v>220</v>
      </c>
      <c r="K170">
        <v>10</v>
      </c>
      <c r="L170" t="s">
        <v>345</v>
      </c>
      <c r="M170">
        <v>4</v>
      </c>
    </row>
    <row r="171" spans="1:13">
      <c r="A171" t="s">
        <v>220</v>
      </c>
      <c r="B171">
        <v>10</v>
      </c>
      <c r="C171">
        <v>5</v>
      </c>
      <c r="D171">
        <v>84</v>
      </c>
      <c r="E171">
        <v>0</v>
      </c>
      <c r="F171">
        <v>11</v>
      </c>
      <c r="G171">
        <v>0</v>
      </c>
      <c r="H171">
        <v>406</v>
      </c>
      <c r="I171" s="4">
        <f t="shared" si="2"/>
        <v>0.20689655172413793</v>
      </c>
      <c r="J171" t="s">
        <v>220</v>
      </c>
      <c r="K171">
        <v>10</v>
      </c>
      <c r="L171" t="s">
        <v>349</v>
      </c>
      <c r="M171">
        <v>5</v>
      </c>
    </row>
    <row r="172" spans="1:13">
      <c r="A172" t="s">
        <v>220</v>
      </c>
      <c r="B172">
        <v>10</v>
      </c>
      <c r="C172">
        <v>6</v>
      </c>
      <c r="D172">
        <v>84</v>
      </c>
      <c r="E172">
        <v>0</v>
      </c>
      <c r="F172">
        <v>11</v>
      </c>
      <c r="G172">
        <v>0</v>
      </c>
      <c r="H172">
        <v>406</v>
      </c>
      <c r="I172" s="4">
        <f t="shared" si="2"/>
        <v>0.20689655172413793</v>
      </c>
      <c r="J172" t="s">
        <v>220</v>
      </c>
      <c r="K172">
        <v>10</v>
      </c>
      <c r="L172" t="s">
        <v>348</v>
      </c>
      <c r="M172">
        <v>6</v>
      </c>
    </row>
    <row r="173" spans="1:13">
      <c r="A173" t="s">
        <v>220</v>
      </c>
      <c r="B173">
        <v>10</v>
      </c>
      <c r="C173">
        <v>7</v>
      </c>
      <c r="D173">
        <v>84</v>
      </c>
      <c r="E173">
        <v>0</v>
      </c>
      <c r="F173">
        <v>11</v>
      </c>
      <c r="G173">
        <v>0</v>
      </c>
      <c r="H173">
        <v>406</v>
      </c>
      <c r="I173" s="4">
        <f t="shared" si="2"/>
        <v>0.20689655172413793</v>
      </c>
      <c r="J173" t="s">
        <v>220</v>
      </c>
      <c r="K173">
        <v>10</v>
      </c>
      <c r="L173" t="s">
        <v>350</v>
      </c>
      <c r="M173">
        <v>7</v>
      </c>
    </row>
    <row r="174" spans="1:13">
      <c r="A174" t="s">
        <v>220</v>
      </c>
      <c r="B174">
        <v>10</v>
      </c>
      <c r="C174">
        <v>8</v>
      </c>
      <c r="D174">
        <v>84</v>
      </c>
      <c r="E174">
        <v>0</v>
      </c>
      <c r="F174">
        <v>11</v>
      </c>
      <c r="G174">
        <v>0</v>
      </c>
      <c r="H174">
        <v>406</v>
      </c>
      <c r="I174" s="4">
        <f t="shared" si="2"/>
        <v>0.20689655172413793</v>
      </c>
      <c r="J174" t="s">
        <v>220</v>
      </c>
      <c r="K174">
        <v>10</v>
      </c>
      <c r="L174" t="s">
        <v>351</v>
      </c>
      <c r="M174">
        <v>8</v>
      </c>
    </row>
    <row r="175" spans="1:13">
      <c r="A175" t="s">
        <v>220</v>
      </c>
      <c r="B175">
        <v>10</v>
      </c>
      <c r="C175">
        <v>9</v>
      </c>
      <c r="D175">
        <v>90</v>
      </c>
      <c r="E175">
        <v>0</v>
      </c>
      <c r="F175">
        <v>8</v>
      </c>
      <c r="G175">
        <v>0</v>
      </c>
      <c r="H175">
        <v>406</v>
      </c>
      <c r="I175" s="4">
        <f t="shared" si="2"/>
        <v>0.22167487684729065</v>
      </c>
      <c r="J175" t="s">
        <v>220</v>
      </c>
      <c r="K175">
        <v>10</v>
      </c>
      <c r="L175" t="s">
        <v>352</v>
      </c>
      <c r="M175">
        <v>9</v>
      </c>
    </row>
    <row r="176" spans="1:13">
      <c r="A176" t="s">
        <v>220</v>
      </c>
      <c r="B176">
        <v>10</v>
      </c>
      <c r="C176">
        <v>10</v>
      </c>
      <c r="D176">
        <v>90</v>
      </c>
      <c r="E176">
        <v>0</v>
      </c>
      <c r="F176">
        <v>8</v>
      </c>
      <c r="G176">
        <v>0</v>
      </c>
      <c r="H176">
        <v>406</v>
      </c>
      <c r="I176" s="4">
        <f t="shared" si="2"/>
        <v>0.22167487684729065</v>
      </c>
      <c r="J176" t="s">
        <v>220</v>
      </c>
      <c r="K176">
        <v>10</v>
      </c>
      <c r="L176" t="s">
        <v>353</v>
      </c>
      <c r="M176">
        <v>10</v>
      </c>
    </row>
    <row r="177" spans="1:13">
      <c r="A177" t="s">
        <v>220</v>
      </c>
      <c r="B177">
        <v>10</v>
      </c>
      <c r="C177">
        <v>11</v>
      </c>
      <c r="D177">
        <v>90</v>
      </c>
      <c r="E177">
        <v>0</v>
      </c>
      <c r="F177">
        <v>8</v>
      </c>
      <c r="G177">
        <v>0</v>
      </c>
      <c r="H177">
        <v>406</v>
      </c>
      <c r="I177" s="4">
        <f t="shared" si="2"/>
        <v>0.22167487684729065</v>
      </c>
      <c r="J177" t="s">
        <v>220</v>
      </c>
      <c r="K177">
        <v>10</v>
      </c>
      <c r="L177" t="s">
        <v>354</v>
      </c>
      <c r="M177">
        <v>11</v>
      </c>
    </row>
    <row r="178" spans="1:13">
      <c r="A178" t="s">
        <v>220</v>
      </c>
      <c r="B178">
        <v>10</v>
      </c>
      <c r="C178">
        <v>12</v>
      </c>
      <c r="D178">
        <v>90</v>
      </c>
      <c r="E178">
        <v>0</v>
      </c>
      <c r="F178">
        <v>8</v>
      </c>
      <c r="G178">
        <v>0</v>
      </c>
      <c r="H178">
        <v>406</v>
      </c>
      <c r="I178" s="4">
        <f t="shared" si="2"/>
        <v>0.22167487684729065</v>
      </c>
      <c r="J178" t="s">
        <v>220</v>
      </c>
      <c r="K178">
        <v>10</v>
      </c>
      <c r="L178" t="s">
        <v>355</v>
      </c>
      <c r="M178">
        <v>12</v>
      </c>
    </row>
    <row r="179" spans="1:13">
      <c r="A179" t="s">
        <v>220</v>
      </c>
      <c r="B179">
        <v>10</v>
      </c>
      <c r="C179">
        <v>13</v>
      </c>
      <c r="D179">
        <v>90</v>
      </c>
      <c r="E179">
        <v>0</v>
      </c>
      <c r="F179">
        <v>8</v>
      </c>
      <c r="G179">
        <v>0</v>
      </c>
      <c r="H179">
        <v>406</v>
      </c>
      <c r="I179" s="4">
        <f t="shared" si="2"/>
        <v>0.22167487684729065</v>
      </c>
      <c r="J179" t="s">
        <v>220</v>
      </c>
      <c r="K179">
        <v>10</v>
      </c>
      <c r="L179" t="s">
        <v>356</v>
      </c>
      <c r="M179">
        <v>13</v>
      </c>
    </row>
    <row r="180" spans="1:13">
      <c r="A180" t="s">
        <v>220</v>
      </c>
      <c r="B180">
        <v>10</v>
      </c>
      <c r="C180">
        <v>14</v>
      </c>
      <c r="D180">
        <v>90</v>
      </c>
      <c r="E180">
        <v>0</v>
      </c>
      <c r="F180">
        <v>8</v>
      </c>
      <c r="G180">
        <v>0</v>
      </c>
      <c r="H180">
        <v>406</v>
      </c>
      <c r="I180" s="4">
        <f t="shared" si="2"/>
        <v>0.22167487684729065</v>
      </c>
      <c r="J180" t="s">
        <v>220</v>
      </c>
      <c r="K180">
        <v>10</v>
      </c>
      <c r="L180" t="s">
        <v>357</v>
      </c>
      <c r="M180">
        <v>14</v>
      </c>
    </row>
    <row r="181" spans="1:13">
      <c r="A181" t="s">
        <v>220</v>
      </c>
      <c r="B181">
        <v>10</v>
      </c>
      <c r="C181">
        <v>15</v>
      </c>
      <c r="D181">
        <v>90</v>
      </c>
      <c r="E181">
        <v>0</v>
      </c>
      <c r="F181">
        <v>8</v>
      </c>
      <c r="G181">
        <v>0</v>
      </c>
      <c r="H181">
        <v>406</v>
      </c>
      <c r="I181" s="4">
        <f t="shared" si="2"/>
        <v>0.22167487684729065</v>
      </c>
      <c r="J181" t="s">
        <v>220</v>
      </c>
      <c r="K181">
        <v>10</v>
      </c>
      <c r="L181" t="s">
        <v>358</v>
      </c>
      <c r="M181">
        <v>15</v>
      </c>
    </row>
    <row r="182" spans="1:13">
      <c r="A182" t="s">
        <v>220</v>
      </c>
      <c r="B182">
        <v>10</v>
      </c>
      <c r="C182">
        <v>16</v>
      </c>
      <c r="D182">
        <v>90</v>
      </c>
      <c r="E182">
        <v>0</v>
      </c>
      <c r="F182">
        <v>8</v>
      </c>
      <c r="G182">
        <v>0</v>
      </c>
      <c r="H182">
        <v>406</v>
      </c>
      <c r="I182" s="4">
        <f t="shared" si="2"/>
        <v>0.22167487684729065</v>
      </c>
      <c r="J182" t="s">
        <v>220</v>
      </c>
      <c r="K182">
        <v>10</v>
      </c>
      <c r="L182" t="s">
        <v>359</v>
      </c>
      <c r="M182">
        <v>16</v>
      </c>
    </row>
    <row r="183" spans="1:13">
      <c r="A183" t="s">
        <v>220</v>
      </c>
      <c r="B183">
        <v>10</v>
      </c>
      <c r="C183">
        <v>17</v>
      </c>
      <c r="D183">
        <v>137</v>
      </c>
      <c r="E183">
        <v>0</v>
      </c>
      <c r="F183">
        <v>7</v>
      </c>
      <c r="G183">
        <v>0</v>
      </c>
      <c r="H183">
        <v>406</v>
      </c>
      <c r="I183" s="4">
        <f t="shared" si="2"/>
        <v>0.33743842364532017</v>
      </c>
      <c r="J183" t="s">
        <v>220</v>
      </c>
      <c r="K183">
        <v>10</v>
      </c>
      <c r="L183" t="s">
        <v>360</v>
      </c>
      <c r="M183">
        <v>17</v>
      </c>
    </row>
    <row r="184" spans="1:13">
      <c r="A184" t="s">
        <v>220</v>
      </c>
      <c r="B184">
        <v>10</v>
      </c>
      <c r="C184">
        <v>18</v>
      </c>
      <c r="D184">
        <v>183</v>
      </c>
      <c r="E184">
        <v>0</v>
      </c>
      <c r="F184">
        <v>7</v>
      </c>
      <c r="G184">
        <v>0</v>
      </c>
      <c r="H184">
        <v>406</v>
      </c>
      <c r="I184" s="4">
        <f t="shared" si="2"/>
        <v>0.45073891625615764</v>
      </c>
      <c r="J184" t="s">
        <v>220</v>
      </c>
      <c r="K184">
        <v>10</v>
      </c>
      <c r="L184" t="s">
        <v>361</v>
      </c>
      <c r="M184">
        <v>18</v>
      </c>
    </row>
    <row r="185" spans="1:13">
      <c r="A185" t="s">
        <v>220</v>
      </c>
      <c r="B185">
        <v>10</v>
      </c>
      <c r="C185">
        <v>19</v>
      </c>
      <c r="D185">
        <v>238</v>
      </c>
      <c r="E185">
        <v>0</v>
      </c>
      <c r="F185">
        <v>4</v>
      </c>
      <c r="G185">
        <v>0</v>
      </c>
      <c r="H185">
        <v>406</v>
      </c>
      <c r="I185" s="4">
        <f t="shared" si="2"/>
        <v>0.58620689655172409</v>
      </c>
      <c r="J185" t="s">
        <v>220</v>
      </c>
      <c r="K185">
        <v>10</v>
      </c>
      <c r="L185" t="s">
        <v>362</v>
      </c>
      <c r="M185">
        <v>19</v>
      </c>
    </row>
    <row r="186" spans="1:13">
      <c r="A186" t="s">
        <v>220</v>
      </c>
      <c r="B186">
        <v>10</v>
      </c>
      <c r="C186">
        <v>20</v>
      </c>
      <c r="D186">
        <v>238</v>
      </c>
      <c r="E186">
        <v>0</v>
      </c>
      <c r="F186">
        <v>4</v>
      </c>
      <c r="G186">
        <v>0</v>
      </c>
      <c r="H186">
        <v>406</v>
      </c>
      <c r="I186" s="4">
        <f t="shared" si="2"/>
        <v>0.58620689655172409</v>
      </c>
      <c r="J186" t="s">
        <v>220</v>
      </c>
      <c r="K186">
        <v>10</v>
      </c>
      <c r="L186" t="s">
        <v>363</v>
      </c>
      <c r="M186">
        <v>20</v>
      </c>
    </row>
    <row r="187" spans="1:13">
      <c r="A187" t="s">
        <v>220</v>
      </c>
      <c r="B187">
        <v>10</v>
      </c>
      <c r="C187">
        <v>21</v>
      </c>
      <c r="D187">
        <v>238</v>
      </c>
      <c r="E187">
        <v>0</v>
      </c>
      <c r="F187">
        <v>4</v>
      </c>
      <c r="G187">
        <v>0</v>
      </c>
      <c r="H187">
        <v>406</v>
      </c>
      <c r="I187" s="4">
        <f t="shared" si="2"/>
        <v>0.58620689655172409</v>
      </c>
      <c r="J187" t="s">
        <v>220</v>
      </c>
      <c r="K187">
        <v>10</v>
      </c>
      <c r="L187" t="s">
        <v>364</v>
      </c>
      <c r="M187">
        <v>21</v>
      </c>
    </row>
    <row r="188" spans="1:13">
      <c r="A188" t="s">
        <v>220</v>
      </c>
      <c r="B188">
        <v>10</v>
      </c>
      <c r="C188">
        <v>22</v>
      </c>
      <c r="D188">
        <v>238</v>
      </c>
      <c r="E188">
        <v>0</v>
      </c>
      <c r="F188">
        <v>4</v>
      </c>
      <c r="G188">
        <v>0</v>
      </c>
      <c r="H188">
        <v>406</v>
      </c>
      <c r="I188" s="4">
        <f t="shared" si="2"/>
        <v>0.58620689655172409</v>
      </c>
      <c r="J188" t="s">
        <v>220</v>
      </c>
      <c r="K188">
        <v>10</v>
      </c>
      <c r="L188" t="s">
        <v>365</v>
      </c>
      <c r="M188">
        <v>22</v>
      </c>
    </row>
    <row r="189" spans="1:13">
      <c r="A189" t="s">
        <v>220</v>
      </c>
      <c r="B189">
        <v>10</v>
      </c>
      <c r="C189">
        <v>23</v>
      </c>
      <c r="D189">
        <v>313</v>
      </c>
      <c r="E189">
        <v>0</v>
      </c>
      <c r="F189">
        <v>2</v>
      </c>
      <c r="G189">
        <v>0</v>
      </c>
      <c r="H189">
        <v>406</v>
      </c>
      <c r="I189" s="4">
        <f t="shared" si="2"/>
        <v>0.77093596059113301</v>
      </c>
      <c r="J189" t="s">
        <v>220</v>
      </c>
      <c r="K189">
        <v>10</v>
      </c>
      <c r="L189" t="s">
        <v>366</v>
      </c>
      <c r="M189">
        <v>23</v>
      </c>
    </row>
    <row r="190" spans="1:13">
      <c r="A190" t="s">
        <v>220</v>
      </c>
      <c r="B190">
        <v>10</v>
      </c>
      <c r="C190">
        <v>24</v>
      </c>
      <c r="D190">
        <v>313</v>
      </c>
      <c r="E190">
        <v>0</v>
      </c>
      <c r="F190">
        <v>2</v>
      </c>
      <c r="G190">
        <v>0</v>
      </c>
      <c r="H190">
        <v>406</v>
      </c>
      <c r="I190" s="4">
        <f t="shared" si="2"/>
        <v>0.77093596059113301</v>
      </c>
      <c r="J190" t="s">
        <v>220</v>
      </c>
      <c r="K190">
        <v>10</v>
      </c>
      <c r="L190" t="s">
        <v>367</v>
      </c>
      <c r="M190">
        <v>24</v>
      </c>
    </row>
    <row r="191" spans="1:13">
      <c r="A191" t="s">
        <v>220</v>
      </c>
      <c r="B191">
        <v>10</v>
      </c>
      <c r="C191">
        <v>25</v>
      </c>
      <c r="D191">
        <v>313</v>
      </c>
      <c r="E191">
        <v>0</v>
      </c>
      <c r="F191">
        <v>2</v>
      </c>
      <c r="G191">
        <v>0</v>
      </c>
      <c r="H191">
        <v>406</v>
      </c>
      <c r="I191" s="4">
        <f t="shared" si="2"/>
        <v>0.77093596059113301</v>
      </c>
      <c r="J191" t="s">
        <v>220</v>
      </c>
      <c r="K191">
        <v>10</v>
      </c>
      <c r="L191" t="s">
        <v>368</v>
      </c>
      <c r="M191">
        <v>25</v>
      </c>
    </row>
    <row r="192" spans="1:13">
      <c r="A192" t="s">
        <v>220</v>
      </c>
      <c r="B192">
        <v>10</v>
      </c>
      <c r="C192">
        <v>26</v>
      </c>
      <c r="D192">
        <v>313</v>
      </c>
      <c r="E192">
        <v>0</v>
      </c>
      <c r="F192">
        <v>2</v>
      </c>
      <c r="G192">
        <v>0</v>
      </c>
      <c r="H192">
        <v>406</v>
      </c>
      <c r="I192" s="4">
        <f t="shared" si="2"/>
        <v>0.77093596059113301</v>
      </c>
      <c r="J192" t="s">
        <v>220</v>
      </c>
      <c r="K192">
        <v>10</v>
      </c>
      <c r="L192" t="s">
        <v>369</v>
      </c>
      <c r="M192">
        <v>26</v>
      </c>
    </row>
    <row r="193" spans="1:13">
      <c r="A193" t="s">
        <v>220</v>
      </c>
      <c r="B193">
        <v>10</v>
      </c>
      <c r="C193">
        <v>27</v>
      </c>
      <c r="D193">
        <v>313</v>
      </c>
      <c r="E193">
        <v>0</v>
      </c>
      <c r="F193">
        <v>2</v>
      </c>
      <c r="G193">
        <v>0</v>
      </c>
      <c r="H193">
        <v>406</v>
      </c>
      <c r="I193" s="4">
        <f t="shared" si="2"/>
        <v>0.77093596059113301</v>
      </c>
      <c r="J193" t="s">
        <v>220</v>
      </c>
      <c r="K193">
        <v>10</v>
      </c>
      <c r="L193" t="s">
        <v>370</v>
      </c>
      <c r="M193">
        <v>27</v>
      </c>
    </row>
    <row r="194" spans="1:13">
      <c r="A194" t="s">
        <v>220</v>
      </c>
      <c r="B194">
        <v>10</v>
      </c>
      <c r="C194">
        <v>28</v>
      </c>
      <c r="D194">
        <v>313</v>
      </c>
      <c r="E194">
        <v>0</v>
      </c>
      <c r="F194">
        <v>2</v>
      </c>
      <c r="G194">
        <v>0</v>
      </c>
      <c r="H194">
        <v>406</v>
      </c>
      <c r="I194" s="4">
        <f t="shared" si="2"/>
        <v>0.77093596059113301</v>
      </c>
      <c r="J194" t="s">
        <v>220</v>
      </c>
      <c r="K194">
        <v>10</v>
      </c>
      <c r="L194" t="s">
        <v>372</v>
      </c>
      <c r="M194">
        <v>28</v>
      </c>
    </row>
    <row r="195" spans="1:13">
      <c r="A195" t="s">
        <v>220</v>
      </c>
      <c r="B195">
        <v>10</v>
      </c>
      <c r="C195">
        <v>29</v>
      </c>
      <c r="D195">
        <v>313</v>
      </c>
      <c r="E195">
        <v>0</v>
      </c>
      <c r="F195">
        <v>2</v>
      </c>
      <c r="G195">
        <v>0</v>
      </c>
      <c r="H195">
        <v>406</v>
      </c>
      <c r="I195" s="4">
        <f t="shared" ref="I195:I258" si="3">D195/H195</f>
        <v>0.77093596059113301</v>
      </c>
      <c r="J195" t="s">
        <v>220</v>
      </c>
      <c r="K195">
        <v>10</v>
      </c>
      <c r="L195" t="s">
        <v>371</v>
      </c>
      <c r="M195">
        <v>29</v>
      </c>
    </row>
    <row r="196" spans="1:13">
      <c r="A196" t="s">
        <v>220</v>
      </c>
      <c r="B196">
        <v>10</v>
      </c>
      <c r="C196">
        <v>30</v>
      </c>
      <c r="D196">
        <v>313</v>
      </c>
      <c r="E196">
        <v>0</v>
      </c>
      <c r="F196">
        <v>2</v>
      </c>
      <c r="G196">
        <v>0</v>
      </c>
      <c r="H196">
        <v>406</v>
      </c>
      <c r="I196" s="4">
        <f t="shared" si="3"/>
        <v>0.77093596059113301</v>
      </c>
      <c r="J196" t="s">
        <v>220</v>
      </c>
      <c r="K196">
        <v>10</v>
      </c>
      <c r="L196" t="s">
        <v>373</v>
      </c>
      <c r="M196">
        <v>30</v>
      </c>
    </row>
    <row r="197" spans="1:13">
      <c r="A197" t="s">
        <v>220</v>
      </c>
      <c r="B197">
        <v>10</v>
      </c>
      <c r="C197">
        <v>31</v>
      </c>
      <c r="D197">
        <v>406</v>
      </c>
      <c r="E197">
        <v>0</v>
      </c>
      <c r="F197">
        <v>0</v>
      </c>
      <c r="G197">
        <v>0</v>
      </c>
      <c r="H197">
        <v>406</v>
      </c>
      <c r="I197" s="4">
        <f t="shared" si="3"/>
        <v>1</v>
      </c>
      <c r="J197" t="s">
        <v>220</v>
      </c>
      <c r="K197">
        <v>10</v>
      </c>
      <c r="L197" t="s">
        <v>374</v>
      </c>
      <c r="M197">
        <v>31</v>
      </c>
    </row>
    <row r="198" spans="1:13">
      <c r="A198" t="s">
        <v>220</v>
      </c>
      <c r="B198">
        <v>10</v>
      </c>
      <c r="C198">
        <v>32</v>
      </c>
      <c r="D198">
        <v>406</v>
      </c>
      <c r="E198">
        <v>0</v>
      </c>
      <c r="F198">
        <v>0</v>
      </c>
      <c r="G198">
        <v>0</v>
      </c>
      <c r="H198">
        <v>406</v>
      </c>
      <c r="I198" s="4">
        <f t="shared" si="3"/>
        <v>1</v>
      </c>
      <c r="J198" t="s">
        <v>220</v>
      </c>
      <c r="K198">
        <v>10</v>
      </c>
      <c r="L198" t="s">
        <v>375</v>
      </c>
      <c r="M198">
        <v>32</v>
      </c>
    </row>
    <row r="199" spans="1:13">
      <c r="A199" t="s">
        <v>220</v>
      </c>
      <c r="B199">
        <v>11</v>
      </c>
      <c r="C199">
        <v>1</v>
      </c>
      <c r="D199">
        <v>1</v>
      </c>
      <c r="E199">
        <v>0</v>
      </c>
      <c r="F199">
        <v>1</v>
      </c>
      <c r="G199">
        <v>0</v>
      </c>
      <c r="H199">
        <v>192</v>
      </c>
      <c r="I199" s="4">
        <f t="shared" si="3"/>
        <v>5.208333333333333E-3</v>
      </c>
      <c r="J199" t="s">
        <v>220</v>
      </c>
      <c r="K199">
        <v>11</v>
      </c>
      <c r="L199" t="s">
        <v>2</v>
      </c>
      <c r="M199">
        <v>1</v>
      </c>
    </row>
    <row r="200" spans="1:13">
      <c r="A200" t="s">
        <v>220</v>
      </c>
      <c r="B200">
        <v>11</v>
      </c>
      <c r="C200">
        <v>2</v>
      </c>
      <c r="D200">
        <v>17</v>
      </c>
      <c r="E200">
        <v>0</v>
      </c>
      <c r="F200">
        <v>18</v>
      </c>
      <c r="G200">
        <v>0</v>
      </c>
      <c r="H200">
        <v>192</v>
      </c>
      <c r="I200" s="4">
        <f t="shared" si="3"/>
        <v>8.8541666666666671E-2</v>
      </c>
      <c r="J200" t="s">
        <v>220</v>
      </c>
      <c r="K200">
        <v>11</v>
      </c>
      <c r="L200" t="s">
        <v>376</v>
      </c>
      <c r="M200">
        <v>2</v>
      </c>
    </row>
    <row r="201" spans="1:13">
      <c r="A201" t="s">
        <v>220</v>
      </c>
      <c r="B201">
        <v>11</v>
      </c>
      <c r="C201">
        <v>3</v>
      </c>
      <c r="D201">
        <v>23</v>
      </c>
      <c r="E201">
        <v>0</v>
      </c>
      <c r="F201">
        <v>15</v>
      </c>
      <c r="G201">
        <v>0</v>
      </c>
      <c r="H201">
        <v>192</v>
      </c>
      <c r="I201" s="4">
        <f t="shared" si="3"/>
        <v>0.11979166666666667</v>
      </c>
      <c r="J201" t="s">
        <v>220</v>
      </c>
      <c r="K201">
        <v>11</v>
      </c>
      <c r="L201" t="s">
        <v>377</v>
      </c>
      <c r="M201">
        <v>3</v>
      </c>
    </row>
    <row r="202" spans="1:13">
      <c r="A202" t="s">
        <v>220</v>
      </c>
      <c r="B202">
        <v>11</v>
      </c>
      <c r="C202">
        <v>4</v>
      </c>
      <c r="D202">
        <v>50</v>
      </c>
      <c r="E202">
        <v>0</v>
      </c>
      <c r="F202">
        <v>13</v>
      </c>
      <c r="G202">
        <v>0</v>
      </c>
      <c r="H202">
        <v>192</v>
      </c>
      <c r="I202" s="4">
        <f t="shared" si="3"/>
        <v>0.26041666666666669</v>
      </c>
      <c r="J202" t="s">
        <v>220</v>
      </c>
      <c r="K202">
        <v>11</v>
      </c>
      <c r="L202" t="s">
        <v>378</v>
      </c>
      <c r="M202">
        <v>4</v>
      </c>
    </row>
    <row r="203" spans="1:13">
      <c r="A203" t="s">
        <v>220</v>
      </c>
      <c r="B203">
        <v>11</v>
      </c>
      <c r="C203">
        <v>5</v>
      </c>
      <c r="D203">
        <v>77</v>
      </c>
      <c r="E203">
        <v>0</v>
      </c>
      <c r="F203">
        <v>11</v>
      </c>
      <c r="G203">
        <v>0</v>
      </c>
      <c r="H203">
        <v>192</v>
      </c>
      <c r="I203" s="4">
        <f t="shared" si="3"/>
        <v>0.40104166666666669</v>
      </c>
      <c r="J203" t="s">
        <v>220</v>
      </c>
      <c r="K203">
        <v>11</v>
      </c>
      <c r="L203" t="s">
        <v>379</v>
      </c>
      <c r="M203">
        <v>5</v>
      </c>
    </row>
    <row r="204" spans="1:13">
      <c r="A204" t="s">
        <v>220</v>
      </c>
      <c r="B204">
        <v>11</v>
      </c>
      <c r="C204">
        <v>6</v>
      </c>
      <c r="D204">
        <v>104</v>
      </c>
      <c r="E204">
        <v>0</v>
      </c>
      <c r="F204">
        <v>9</v>
      </c>
      <c r="G204">
        <v>0</v>
      </c>
      <c r="H204">
        <v>192</v>
      </c>
      <c r="I204" s="4">
        <f t="shared" si="3"/>
        <v>0.54166666666666663</v>
      </c>
      <c r="J204" t="s">
        <v>220</v>
      </c>
      <c r="K204">
        <v>11</v>
      </c>
      <c r="L204" t="s">
        <v>380</v>
      </c>
      <c r="M204">
        <v>6</v>
      </c>
    </row>
    <row r="205" spans="1:13">
      <c r="A205" t="s">
        <v>220</v>
      </c>
      <c r="B205">
        <v>11</v>
      </c>
      <c r="C205">
        <v>7</v>
      </c>
      <c r="D205">
        <v>131</v>
      </c>
      <c r="E205">
        <v>0</v>
      </c>
      <c r="F205">
        <v>7</v>
      </c>
      <c r="G205">
        <v>0</v>
      </c>
      <c r="H205">
        <v>192</v>
      </c>
      <c r="I205" s="4">
        <f t="shared" si="3"/>
        <v>0.68229166666666663</v>
      </c>
      <c r="J205" t="s">
        <v>220</v>
      </c>
      <c r="K205">
        <v>11</v>
      </c>
      <c r="L205" t="s">
        <v>382</v>
      </c>
      <c r="M205">
        <v>7</v>
      </c>
    </row>
    <row r="206" spans="1:13">
      <c r="A206" t="s">
        <v>220</v>
      </c>
      <c r="B206">
        <v>11</v>
      </c>
      <c r="C206">
        <v>8</v>
      </c>
      <c r="D206">
        <v>131</v>
      </c>
      <c r="E206">
        <v>0</v>
      </c>
      <c r="F206">
        <v>7</v>
      </c>
      <c r="G206">
        <v>0</v>
      </c>
      <c r="H206">
        <v>192</v>
      </c>
      <c r="I206" s="4">
        <f t="shared" si="3"/>
        <v>0.68229166666666663</v>
      </c>
      <c r="J206" t="s">
        <v>220</v>
      </c>
      <c r="K206">
        <v>11</v>
      </c>
      <c r="L206" t="s">
        <v>381</v>
      </c>
      <c r="M206">
        <v>8</v>
      </c>
    </row>
    <row r="207" spans="1:13">
      <c r="A207" t="s">
        <v>220</v>
      </c>
      <c r="B207">
        <v>11</v>
      </c>
      <c r="C207">
        <v>9</v>
      </c>
      <c r="D207">
        <v>131</v>
      </c>
      <c r="E207">
        <v>0</v>
      </c>
      <c r="F207">
        <v>7</v>
      </c>
      <c r="G207">
        <v>0</v>
      </c>
      <c r="H207">
        <v>192</v>
      </c>
      <c r="I207" s="4">
        <f t="shared" si="3"/>
        <v>0.68229166666666663</v>
      </c>
      <c r="J207" t="s">
        <v>220</v>
      </c>
      <c r="K207">
        <v>11</v>
      </c>
      <c r="L207" t="s">
        <v>383</v>
      </c>
      <c r="M207">
        <v>9</v>
      </c>
    </row>
    <row r="208" spans="1:13">
      <c r="A208" t="s">
        <v>220</v>
      </c>
      <c r="B208">
        <v>11</v>
      </c>
      <c r="C208">
        <v>10</v>
      </c>
      <c r="D208">
        <v>131</v>
      </c>
      <c r="E208">
        <v>0</v>
      </c>
      <c r="F208">
        <v>7</v>
      </c>
      <c r="G208">
        <v>0</v>
      </c>
      <c r="H208">
        <v>192</v>
      </c>
      <c r="I208" s="4">
        <f t="shared" si="3"/>
        <v>0.68229166666666663</v>
      </c>
      <c r="J208" t="s">
        <v>220</v>
      </c>
      <c r="K208">
        <v>11</v>
      </c>
      <c r="L208" t="s">
        <v>384</v>
      </c>
      <c r="M208">
        <v>10</v>
      </c>
    </row>
    <row r="209" spans="1:13">
      <c r="A209" t="s">
        <v>220</v>
      </c>
      <c r="B209">
        <v>11</v>
      </c>
      <c r="C209">
        <v>11</v>
      </c>
      <c r="D209">
        <v>131</v>
      </c>
      <c r="E209">
        <v>0</v>
      </c>
      <c r="F209">
        <v>7</v>
      </c>
      <c r="G209">
        <v>0</v>
      </c>
      <c r="H209">
        <v>192</v>
      </c>
      <c r="I209" s="4">
        <f t="shared" si="3"/>
        <v>0.68229166666666663</v>
      </c>
      <c r="J209" t="s">
        <v>220</v>
      </c>
      <c r="K209">
        <v>11</v>
      </c>
      <c r="L209" t="s">
        <v>385</v>
      </c>
      <c r="M209">
        <v>11</v>
      </c>
    </row>
    <row r="210" spans="1:13">
      <c r="A210" t="s">
        <v>220</v>
      </c>
      <c r="B210">
        <v>11</v>
      </c>
      <c r="C210">
        <v>12</v>
      </c>
      <c r="D210">
        <v>192</v>
      </c>
      <c r="E210">
        <v>0</v>
      </c>
      <c r="F210">
        <v>0</v>
      </c>
      <c r="G210">
        <v>0</v>
      </c>
      <c r="H210">
        <v>192</v>
      </c>
      <c r="I210" s="4">
        <f t="shared" si="3"/>
        <v>1</v>
      </c>
      <c r="J210" t="s">
        <v>220</v>
      </c>
      <c r="K210">
        <v>11</v>
      </c>
      <c r="L210" t="s">
        <v>386</v>
      </c>
      <c r="M210">
        <v>12</v>
      </c>
    </row>
    <row r="211" spans="1:13">
      <c r="A211" t="s">
        <v>220</v>
      </c>
      <c r="B211">
        <v>11</v>
      </c>
      <c r="C211">
        <v>13</v>
      </c>
      <c r="D211">
        <v>192</v>
      </c>
      <c r="E211">
        <v>0</v>
      </c>
      <c r="F211">
        <v>0</v>
      </c>
      <c r="G211">
        <v>0</v>
      </c>
      <c r="H211">
        <v>192</v>
      </c>
      <c r="I211" s="4">
        <f t="shared" si="3"/>
        <v>1</v>
      </c>
      <c r="J211" t="s">
        <v>220</v>
      </c>
      <c r="K211">
        <v>11</v>
      </c>
      <c r="L211" t="s">
        <v>387</v>
      </c>
      <c r="M211">
        <v>13</v>
      </c>
    </row>
    <row r="212" spans="1:13">
      <c r="A212" t="s">
        <v>220</v>
      </c>
      <c r="B212">
        <v>12</v>
      </c>
      <c r="C212">
        <v>1</v>
      </c>
      <c r="D212">
        <v>1</v>
      </c>
      <c r="E212">
        <v>0</v>
      </c>
      <c r="F212">
        <v>1</v>
      </c>
      <c r="G212">
        <v>0</v>
      </c>
      <c r="H212">
        <v>118</v>
      </c>
      <c r="I212" s="4">
        <f t="shared" si="3"/>
        <v>8.4745762711864406E-3</v>
      </c>
      <c r="J212" t="s">
        <v>220</v>
      </c>
      <c r="K212">
        <v>12</v>
      </c>
      <c r="L212" t="s">
        <v>2</v>
      </c>
      <c r="M212">
        <v>1</v>
      </c>
    </row>
    <row r="213" spans="1:13">
      <c r="A213" t="s">
        <v>220</v>
      </c>
      <c r="B213">
        <v>12</v>
      </c>
      <c r="C213">
        <v>2</v>
      </c>
      <c r="D213">
        <v>62</v>
      </c>
      <c r="E213">
        <v>0</v>
      </c>
      <c r="F213">
        <v>9</v>
      </c>
      <c r="G213">
        <v>0</v>
      </c>
      <c r="H213">
        <v>118</v>
      </c>
      <c r="I213" s="4">
        <f t="shared" si="3"/>
        <v>0.52542372881355937</v>
      </c>
      <c r="J213" t="s">
        <v>220</v>
      </c>
      <c r="K213">
        <v>12</v>
      </c>
      <c r="L213" t="s">
        <v>388</v>
      </c>
      <c r="M213">
        <v>2</v>
      </c>
    </row>
    <row r="214" spans="1:13">
      <c r="A214" t="s">
        <v>220</v>
      </c>
      <c r="B214">
        <v>12</v>
      </c>
      <c r="C214">
        <v>3</v>
      </c>
      <c r="D214">
        <v>66</v>
      </c>
      <c r="E214">
        <v>0</v>
      </c>
      <c r="F214">
        <v>9</v>
      </c>
      <c r="G214">
        <v>0</v>
      </c>
      <c r="H214">
        <v>118</v>
      </c>
      <c r="I214" s="4">
        <f t="shared" si="3"/>
        <v>0.55932203389830504</v>
      </c>
      <c r="J214" t="s">
        <v>220</v>
      </c>
      <c r="K214">
        <v>12</v>
      </c>
      <c r="L214" t="s">
        <v>389</v>
      </c>
      <c r="M214">
        <v>3</v>
      </c>
    </row>
    <row r="215" spans="1:13">
      <c r="A215" t="s">
        <v>220</v>
      </c>
      <c r="B215">
        <v>12</v>
      </c>
      <c r="C215">
        <v>4</v>
      </c>
      <c r="D215">
        <v>70</v>
      </c>
      <c r="E215">
        <v>0</v>
      </c>
      <c r="F215">
        <v>9</v>
      </c>
      <c r="G215">
        <v>0</v>
      </c>
      <c r="H215">
        <v>118</v>
      </c>
      <c r="I215" s="4">
        <f t="shared" si="3"/>
        <v>0.59322033898305082</v>
      </c>
      <c r="J215" t="s">
        <v>220</v>
      </c>
      <c r="K215">
        <v>12</v>
      </c>
      <c r="L215" t="s">
        <v>390</v>
      </c>
      <c r="M215">
        <v>4</v>
      </c>
    </row>
    <row r="216" spans="1:13">
      <c r="A216" t="s">
        <v>220</v>
      </c>
      <c r="B216">
        <v>12</v>
      </c>
      <c r="C216">
        <v>5</v>
      </c>
      <c r="D216">
        <v>84</v>
      </c>
      <c r="E216">
        <v>0</v>
      </c>
      <c r="F216">
        <v>6</v>
      </c>
      <c r="G216">
        <v>0</v>
      </c>
      <c r="H216">
        <v>118</v>
      </c>
      <c r="I216" s="4">
        <f t="shared" si="3"/>
        <v>0.71186440677966101</v>
      </c>
      <c r="J216" t="s">
        <v>220</v>
      </c>
      <c r="K216">
        <v>12</v>
      </c>
      <c r="L216" t="s">
        <v>391</v>
      </c>
      <c r="M216">
        <v>5</v>
      </c>
    </row>
    <row r="217" spans="1:13">
      <c r="A217" t="s">
        <v>220</v>
      </c>
      <c r="B217">
        <v>12</v>
      </c>
      <c r="C217">
        <v>6</v>
      </c>
      <c r="D217">
        <v>105</v>
      </c>
      <c r="E217">
        <v>0</v>
      </c>
      <c r="F217">
        <v>3</v>
      </c>
      <c r="G217">
        <v>0</v>
      </c>
      <c r="H217">
        <v>118</v>
      </c>
      <c r="I217" s="4">
        <f t="shared" si="3"/>
        <v>0.88983050847457623</v>
      </c>
      <c r="J217" t="s">
        <v>220</v>
      </c>
      <c r="K217">
        <v>12</v>
      </c>
      <c r="L217" t="s">
        <v>392</v>
      </c>
      <c r="M217">
        <v>6</v>
      </c>
    </row>
    <row r="218" spans="1:13">
      <c r="A218" t="s">
        <v>220</v>
      </c>
      <c r="B218">
        <v>12</v>
      </c>
      <c r="C218">
        <v>7</v>
      </c>
      <c r="D218">
        <v>118</v>
      </c>
      <c r="E218">
        <v>0</v>
      </c>
      <c r="F218">
        <v>0</v>
      </c>
      <c r="G218">
        <v>0</v>
      </c>
      <c r="H218">
        <v>118</v>
      </c>
      <c r="I218" s="4">
        <f t="shared" si="3"/>
        <v>1</v>
      </c>
      <c r="J218" t="s">
        <v>220</v>
      </c>
      <c r="K218">
        <v>12</v>
      </c>
      <c r="L218" t="s">
        <v>393</v>
      </c>
      <c r="M218">
        <v>7</v>
      </c>
    </row>
    <row r="219" spans="1:13">
      <c r="A219" t="s">
        <v>220</v>
      </c>
      <c r="B219">
        <v>12</v>
      </c>
      <c r="C219">
        <v>8</v>
      </c>
      <c r="D219">
        <v>118</v>
      </c>
      <c r="E219">
        <v>0</v>
      </c>
      <c r="F219">
        <v>0</v>
      </c>
      <c r="G219">
        <v>0</v>
      </c>
      <c r="H219">
        <v>118</v>
      </c>
      <c r="I219" s="4">
        <f t="shared" si="3"/>
        <v>1</v>
      </c>
      <c r="J219" t="s">
        <v>220</v>
      </c>
      <c r="K219">
        <v>12</v>
      </c>
      <c r="L219" t="s">
        <v>394</v>
      </c>
      <c r="M219">
        <v>8</v>
      </c>
    </row>
    <row r="220" spans="1:13">
      <c r="A220" t="s">
        <v>220</v>
      </c>
      <c r="B220">
        <v>12</v>
      </c>
      <c r="C220">
        <v>9</v>
      </c>
      <c r="D220">
        <v>118</v>
      </c>
      <c r="E220">
        <v>0</v>
      </c>
      <c r="F220">
        <v>0</v>
      </c>
      <c r="G220">
        <v>0</v>
      </c>
      <c r="H220">
        <v>118</v>
      </c>
      <c r="I220" s="4">
        <f t="shared" si="3"/>
        <v>1</v>
      </c>
      <c r="J220" t="s">
        <v>220</v>
      </c>
      <c r="K220">
        <v>12</v>
      </c>
      <c r="L220" t="s">
        <v>395</v>
      </c>
      <c r="M220">
        <v>9</v>
      </c>
    </row>
    <row r="221" spans="1:13">
      <c r="A221" t="s">
        <v>220</v>
      </c>
      <c r="B221">
        <v>12</v>
      </c>
      <c r="C221">
        <v>10</v>
      </c>
      <c r="D221">
        <v>118</v>
      </c>
      <c r="E221">
        <v>0</v>
      </c>
      <c r="F221">
        <v>0</v>
      </c>
      <c r="G221">
        <v>0</v>
      </c>
      <c r="H221">
        <v>118</v>
      </c>
      <c r="I221" s="4">
        <f t="shared" si="3"/>
        <v>1</v>
      </c>
      <c r="J221" t="s">
        <v>220</v>
      </c>
      <c r="K221">
        <v>12</v>
      </c>
      <c r="L221" t="s">
        <v>396</v>
      </c>
      <c r="M221">
        <v>10</v>
      </c>
    </row>
    <row r="222" spans="1:13">
      <c r="A222" t="s">
        <v>220</v>
      </c>
      <c r="B222">
        <v>12</v>
      </c>
      <c r="C222">
        <v>11</v>
      </c>
      <c r="D222">
        <v>118</v>
      </c>
      <c r="E222">
        <v>0</v>
      </c>
      <c r="F222">
        <v>0</v>
      </c>
      <c r="G222">
        <v>0</v>
      </c>
      <c r="H222">
        <v>118</v>
      </c>
      <c r="I222" s="4">
        <f t="shared" si="3"/>
        <v>1</v>
      </c>
      <c r="J222" t="s">
        <v>220</v>
      </c>
      <c r="K222">
        <v>12</v>
      </c>
      <c r="L222" t="s">
        <v>398</v>
      </c>
      <c r="M222">
        <v>11</v>
      </c>
    </row>
    <row r="223" spans="1:13">
      <c r="A223" t="s">
        <v>220</v>
      </c>
      <c r="B223">
        <v>12</v>
      </c>
      <c r="C223">
        <v>12</v>
      </c>
      <c r="D223">
        <v>118</v>
      </c>
      <c r="E223">
        <v>0</v>
      </c>
      <c r="F223">
        <v>0</v>
      </c>
      <c r="G223">
        <v>0</v>
      </c>
      <c r="H223">
        <v>118</v>
      </c>
      <c r="I223" s="4">
        <f t="shared" si="3"/>
        <v>1</v>
      </c>
      <c r="J223" t="s">
        <v>220</v>
      </c>
      <c r="K223">
        <v>12</v>
      </c>
      <c r="L223" t="s">
        <v>397</v>
      </c>
      <c r="M223">
        <v>12</v>
      </c>
    </row>
    <row r="224" spans="1:13">
      <c r="A224" t="s">
        <v>220</v>
      </c>
      <c r="B224">
        <v>12</v>
      </c>
      <c r="C224">
        <v>13</v>
      </c>
      <c r="D224">
        <v>118</v>
      </c>
      <c r="E224">
        <v>0</v>
      </c>
      <c r="F224">
        <v>0</v>
      </c>
      <c r="G224">
        <v>0</v>
      </c>
      <c r="H224">
        <v>118</v>
      </c>
      <c r="I224" s="4">
        <f t="shared" si="3"/>
        <v>1</v>
      </c>
      <c r="J224" t="s">
        <v>220</v>
      </c>
      <c r="K224">
        <v>12</v>
      </c>
      <c r="L224" t="s">
        <v>399</v>
      </c>
      <c r="M224">
        <v>13</v>
      </c>
    </row>
    <row r="225" spans="1:13">
      <c r="A225" t="s">
        <v>220</v>
      </c>
      <c r="B225">
        <v>12</v>
      </c>
      <c r="C225">
        <v>14</v>
      </c>
      <c r="D225">
        <v>118</v>
      </c>
      <c r="E225">
        <v>0</v>
      </c>
      <c r="F225">
        <v>0</v>
      </c>
      <c r="G225">
        <v>0</v>
      </c>
      <c r="H225">
        <v>118</v>
      </c>
      <c r="I225" s="4">
        <f t="shared" si="3"/>
        <v>1</v>
      </c>
      <c r="J225" t="s">
        <v>220</v>
      </c>
      <c r="K225">
        <v>12</v>
      </c>
      <c r="L225" t="s">
        <v>401</v>
      </c>
      <c r="M225">
        <v>14</v>
      </c>
    </row>
    <row r="226" spans="1:13">
      <c r="A226" t="s">
        <v>220</v>
      </c>
      <c r="B226">
        <v>12</v>
      </c>
      <c r="C226">
        <v>15</v>
      </c>
      <c r="D226">
        <v>118</v>
      </c>
      <c r="E226">
        <v>0</v>
      </c>
      <c r="F226">
        <v>0</v>
      </c>
      <c r="G226">
        <v>0</v>
      </c>
      <c r="H226">
        <v>118</v>
      </c>
      <c r="I226" s="4">
        <f t="shared" si="3"/>
        <v>1</v>
      </c>
      <c r="J226" t="s">
        <v>220</v>
      </c>
      <c r="K226">
        <v>12</v>
      </c>
      <c r="L226" t="s">
        <v>400</v>
      </c>
      <c r="M226">
        <v>15</v>
      </c>
    </row>
    <row r="227" spans="1:13">
      <c r="A227" t="s">
        <v>220</v>
      </c>
      <c r="B227">
        <v>12</v>
      </c>
      <c r="C227">
        <v>16</v>
      </c>
      <c r="D227">
        <v>118</v>
      </c>
      <c r="E227">
        <v>0</v>
      </c>
      <c r="F227">
        <v>0</v>
      </c>
      <c r="G227">
        <v>0</v>
      </c>
      <c r="H227">
        <v>118</v>
      </c>
      <c r="I227" s="4">
        <f t="shared" si="3"/>
        <v>1</v>
      </c>
      <c r="J227" t="s">
        <v>220</v>
      </c>
      <c r="K227">
        <v>12</v>
      </c>
      <c r="L227" t="s">
        <v>402</v>
      </c>
      <c r="M227">
        <v>16</v>
      </c>
    </row>
    <row r="228" spans="1:13">
      <c r="A228" t="s">
        <v>220</v>
      </c>
      <c r="B228">
        <v>12</v>
      </c>
      <c r="C228">
        <v>17</v>
      </c>
      <c r="D228">
        <v>118</v>
      </c>
      <c r="E228">
        <v>0</v>
      </c>
      <c r="F228">
        <v>0</v>
      </c>
      <c r="G228">
        <v>0</v>
      </c>
      <c r="H228">
        <v>118</v>
      </c>
      <c r="I228" s="4">
        <f t="shared" si="3"/>
        <v>1</v>
      </c>
      <c r="J228" t="s">
        <v>220</v>
      </c>
      <c r="K228">
        <v>12</v>
      </c>
      <c r="L228" t="s">
        <v>403</v>
      </c>
      <c r="M228">
        <v>17</v>
      </c>
    </row>
    <row r="229" spans="1:13">
      <c r="A229" t="s">
        <v>221</v>
      </c>
      <c r="B229">
        <v>1</v>
      </c>
      <c r="C229">
        <v>1</v>
      </c>
      <c r="D229">
        <v>18</v>
      </c>
      <c r="E229">
        <v>0</v>
      </c>
      <c r="F229">
        <v>4</v>
      </c>
      <c r="G229">
        <v>0</v>
      </c>
      <c r="H229">
        <v>88</v>
      </c>
      <c r="I229" s="4">
        <f t="shared" si="3"/>
        <v>0.20454545454545456</v>
      </c>
      <c r="J229" t="s">
        <v>221</v>
      </c>
      <c r="K229">
        <v>1</v>
      </c>
      <c r="L229" t="s">
        <v>404</v>
      </c>
      <c r="M229">
        <v>1</v>
      </c>
    </row>
    <row r="230" spans="1:13">
      <c r="A230" t="s">
        <v>221</v>
      </c>
      <c r="B230">
        <v>1</v>
      </c>
      <c r="C230">
        <v>2</v>
      </c>
      <c r="D230">
        <v>34</v>
      </c>
      <c r="E230">
        <v>0</v>
      </c>
      <c r="F230">
        <v>4</v>
      </c>
      <c r="G230">
        <v>0</v>
      </c>
      <c r="H230">
        <v>88</v>
      </c>
      <c r="I230" s="4">
        <f t="shared" si="3"/>
        <v>0.38636363636363635</v>
      </c>
      <c r="J230" t="s">
        <v>221</v>
      </c>
      <c r="K230">
        <v>1</v>
      </c>
      <c r="L230" t="s">
        <v>405</v>
      </c>
      <c r="M230">
        <v>2</v>
      </c>
    </row>
    <row r="231" spans="1:13">
      <c r="A231" t="s">
        <v>221</v>
      </c>
      <c r="B231">
        <v>1</v>
      </c>
      <c r="C231">
        <v>3</v>
      </c>
      <c r="D231">
        <v>34</v>
      </c>
      <c r="E231">
        <v>0</v>
      </c>
      <c r="F231">
        <v>4</v>
      </c>
      <c r="G231">
        <v>0</v>
      </c>
      <c r="H231">
        <v>88</v>
      </c>
      <c r="I231" s="4">
        <f t="shared" si="3"/>
        <v>0.38636363636363635</v>
      </c>
      <c r="J231" t="s">
        <v>221</v>
      </c>
      <c r="K231">
        <v>1</v>
      </c>
      <c r="L231" t="s">
        <v>406</v>
      </c>
      <c r="M231">
        <v>3</v>
      </c>
    </row>
    <row r="232" spans="1:13">
      <c r="A232" t="s">
        <v>221</v>
      </c>
      <c r="B232">
        <v>1</v>
      </c>
      <c r="C232">
        <v>4</v>
      </c>
      <c r="D232">
        <v>34</v>
      </c>
      <c r="E232">
        <v>0</v>
      </c>
      <c r="F232">
        <v>4</v>
      </c>
      <c r="G232">
        <v>0</v>
      </c>
      <c r="H232">
        <v>88</v>
      </c>
      <c r="I232" s="4">
        <f t="shared" si="3"/>
        <v>0.38636363636363635</v>
      </c>
      <c r="J232" t="s">
        <v>221</v>
      </c>
      <c r="K232">
        <v>1</v>
      </c>
      <c r="L232" t="s">
        <v>407</v>
      </c>
      <c r="M232">
        <v>4</v>
      </c>
    </row>
    <row r="233" spans="1:13">
      <c r="A233" t="s">
        <v>221</v>
      </c>
      <c r="B233">
        <v>1</v>
      </c>
      <c r="C233">
        <v>5</v>
      </c>
      <c r="D233">
        <v>88</v>
      </c>
      <c r="E233">
        <v>0</v>
      </c>
      <c r="F233">
        <v>0</v>
      </c>
      <c r="G233">
        <v>0</v>
      </c>
      <c r="H233">
        <v>88</v>
      </c>
      <c r="I233" s="4">
        <f t="shared" si="3"/>
        <v>1</v>
      </c>
      <c r="J233" t="s">
        <v>221</v>
      </c>
      <c r="K233">
        <v>1</v>
      </c>
      <c r="L233" t="s">
        <v>408</v>
      </c>
      <c r="M233">
        <v>5</v>
      </c>
    </row>
    <row r="234" spans="1:13">
      <c r="A234" t="s">
        <v>221</v>
      </c>
      <c r="B234">
        <v>1</v>
      </c>
      <c r="C234">
        <v>6</v>
      </c>
      <c r="D234">
        <v>88</v>
      </c>
      <c r="E234">
        <v>0</v>
      </c>
      <c r="F234">
        <v>0</v>
      </c>
      <c r="G234">
        <v>0</v>
      </c>
      <c r="H234">
        <v>88</v>
      </c>
      <c r="I234" s="4">
        <f t="shared" si="3"/>
        <v>1</v>
      </c>
      <c r="J234" t="s">
        <v>221</v>
      </c>
      <c r="K234">
        <v>1</v>
      </c>
      <c r="L234" t="s">
        <v>409</v>
      </c>
      <c r="M234">
        <v>6</v>
      </c>
    </row>
    <row r="235" spans="1:13">
      <c r="A235" t="s">
        <v>221</v>
      </c>
      <c r="B235">
        <v>1</v>
      </c>
      <c r="C235">
        <v>7</v>
      </c>
      <c r="D235">
        <v>88</v>
      </c>
      <c r="E235">
        <v>0</v>
      </c>
      <c r="F235">
        <v>0</v>
      </c>
      <c r="G235">
        <v>0</v>
      </c>
      <c r="H235">
        <v>88</v>
      </c>
      <c r="I235" s="4">
        <f t="shared" si="3"/>
        <v>1</v>
      </c>
      <c r="J235" t="s">
        <v>221</v>
      </c>
      <c r="K235">
        <v>1</v>
      </c>
      <c r="L235" t="s">
        <v>410</v>
      </c>
      <c r="M235">
        <v>7</v>
      </c>
    </row>
    <row r="236" spans="1:13">
      <c r="A236" t="s">
        <v>222</v>
      </c>
      <c r="B236">
        <v>1</v>
      </c>
      <c r="C236">
        <v>1</v>
      </c>
      <c r="D236">
        <v>13</v>
      </c>
      <c r="E236">
        <v>0</v>
      </c>
      <c r="F236">
        <v>3</v>
      </c>
      <c r="G236">
        <v>0</v>
      </c>
      <c r="H236">
        <v>165</v>
      </c>
      <c r="I236" s="4">
        <f t="shared" si="3"/>
        <v>7.8787878787878782E-2</v>
      </c>
      <c r="J236" t="s">
        <v>222</v>
      </c>
      <c r="K236">
        <v>1</v>
      </c>
      <c r="L236" t="s">
        <v>411</v>
      </c>
      <c r="M236">
        <v>1</v>
      </c>
    </row>
    <row r="237" spans="1:13">
      <c r="A237" t="s">
        <v>222</v>
      </c>
      <c r="B237">
        <v>1</v>
      </c>
      <c r="C237">
        <v>2</v>
      </c>
      <c r="D237">
        <v>15</v>
      </c>
      <c r="E237">
        <v>0</v>
      </c>
      <c r="F237">
        <v>3</v>
      </c>
      <c r="G237">
        <v>0</v>
      </c>
      <c r="H237">
        <v>165</v>
      </c>
      <c r="I237" s="4">
        <f t="shared" si="3"/>
        <v>9.0909090909090912E-2</v>
      </c>
      <c r="J237" t="s">
        <v>222</v>
      </c>
      <c r="K237">
        <v>1</v>
      </c>
      <c r="L237" t="s">
        <v>412</v>
      </c>
      <c r="M237">
        <v>2</v>
      </c>
    </row>
    <row r="238" spans="1:13">
      <c r="A238" t="s">
        <v>222</v>
      </c>
      <c r="B238">
        <v>1</v>
      </c>
      <c r="C238">
        <v>3</v>
      </c>
      <c r="D238">
        <v>21</v>
      </c>
      <c r="E238">
        <v>0</v>
      </c>
      <c r="F238">
        <v>4</v>
      </c>
      <c r="G238">
        <v>0</v>
      </c>
      <c r="H238">
        <v>165</v>
      </c>
      <c r="I238" s="4">
        <f t="shared" si="3"/>
        <v>0.12727272727272726</v>
      </c>
      <c r="J238" t="s">
        <v>222</v>
      </c>
      <c r="K238">
        <v>1</v>
      </c>
      <c r="L238" t="s">
        <v>413</v>
      </c>
      <c r="M238">
        <v>3</v>
      </c>
    </row>
    <row r="239" spans="1:13">
      <c r="A239" t="s">
        <v>222</v>
      </c>
      <c r="B239">
        <v>1</v>
      </c>
      <c r="C239">
        <v>4</v>
      </c>
      <c r="D239">
        <v>22</v>
      </c>
      <c r="E239">
        <v>0</v>
      </c>
      <c r="F239">
        <v>4</v>
      </c>
      <c r="G239">
        <v>0</v>
      </c>
      <c r="H239">
        <v>165</v>
      </c>
      <c r="I239" s="4">
        <f t="shared" si="3"/>
        <v>0.13333333333333333</v>
      </c>
      <c r="J239" t="s">
        <v>222</v>
      </c>
      <c r="K239">
        <v>1</v>
      </c>
      <c r="L239" t="s">
        <v>414</v>
      </c>
      <c r="M239">
        <v>4</v>
      </c>
    </row>
    <row r="240" spans="1:13">
      <c r="A240" t="s">
        <v>222</v>
      </c>
      <c r="B240">
        <v>1</v>
      </c>
      <c r="C240">
        <v>5</v>
      </c>
      <c r="D240">
        <v>24</v>
      </c>
      <c r="E240">
        <v>0</v>
      </c>
      <c r="F240">
        <v>4</v>
      </c>
      <c r="G240">
        <v>0</v>
      </c>
      <c r="H240">
        <v>165</v>
      </c>
      <c r="I240" s="4">
        <f t="shared" si="3"/>
        <v>0.14545454545454545</v>
      </c>
      <c r="J240" t="s">
        <v>222</v>
      </c>
      <c r="K240">
        <v>1</v>
      </c>
      <c r="L240" t="s">
        <v>415</v>
      </c>
      <c r="M240">
        <v>5</v>
      </c>
    </row>
    <row r="241" spans="1:13">
      <c r="A241" t="s">
        <v>222</v>
      </c>
      <c r="B241">
        <v>1</v>
      </c>
      <c r="C241">
        <v>6</v>
      </c>
      <c r="D241">
        <v>26</v>
      </c>
      <c r="E241">
        <v>0</v>
      </c>
      <c r="F241">
        <v>4</v>
      </c>
      <c r="G241">
        <v>0</v>
      </c>
      <c r="H241">
        <v>165</v>
      </c>
      <c r="I241" s="4">
        <f t="shared" si="3"/>
        <v>0.15757575757575756</v>
      </c>
      <c r="J241" t="s">
        <v>222</v>
      </c>
      <c r="K241">
        <v>1</v>
      </c>
      <c r="L241" t="s">
        <v>416</v>
      </c>
      <c r="M241">
        <v>6</v>
      </c>
    </row>
    <row r="242" spans="1:13">
      <c r="A242" t="s">
        <v>222</v>
      </c>
      <c r="B242">
        <v>1</v>
      </c>
      <c r="C242">
        <v>7</v>
      </c>
      <c r="D242">
        <v>27</v>
      </c>
      <c r="E242">
        <v>0</v>
      </c>
      <c r="F242">
        <v>4</v>
      </c>
      <c r="G242">
        <v>0</v>
      </c>
      <c r="H242">
        <v>165</v>
      </c>
      <c r="I242" s="4">
        <f t="shared" si="3"/>
        <v>0.16363636363636364</v>
      </c>
      <c r="J242" t="s">
        <v>222</v>
      </c>
      <c r="K242">
        <v>1</v>
      </c>
      <c r="L242" t="s">
        <v>417</v>
      </c>
      <c r="M242">
        <v>7</v>
      </c>
    </row>
    <row r="243" spans="1:13">
      <c r="A243" t="s">
        <v>222</v>
      </c>
      <c r="B243">
        <v>1</v>
      </c>
      <c r="C243">
        <v>8</v>
      </c>
      <c r="D243">
        <v>28</v>
      </c>
      <c r="E243">
        <v>0</v>
      </c>
      <c r="F243">
        <v>4</v>
      </c>
      <c r="G243">
        <v>0</v>
      </c>
      <c r="H243">
        <v>165</v>
      </c>
      <c r="I243" s="4">
        <f t="shared" si="3"/>
        <v>0.16969696969696971</v>
      </c>
      <c r="J243" t="s">
        <v>222</v>
      </c>
      <c r="K243">
        <v>1</v>
      </c>
      <c r="L243" t="s">
        <v>418</v>
      </c>
      <c r="M243">
        <v>8</v>
      </c>
    </row>
    <row r="244" spans="1:13">
      <c r="A244" t="s">
        <v>222</v>
      </c>
      <c r="B244">
        <v>1</v>
      </c>
      <c r="C244">
        <v>9</v>
      </c>
      <c r="D244">
        <v>30</v>
      </c>
      <c r="E244">
        <v>0</v>
      </c>
      <c r="F244">
        <v>4</v>
      </c>
      <c r="G244">
        <v>0</v>
      </c>
      <c r="H244">
        <v>165</v>
      </c>
      <c r="I244" s="4">
        <f t="shared" si="3"/>
        <v>0.18181818181818182</v>
      </c>
      <c r="J244" t="s">
        <v>222</v>
      </c>
      <c r="K244">
        <v>1</v>
      </c>
      <c r="L244" t="s">
        <v>419</v>
      </c>
      <c r="M244">
        <v>9</v>
      </c>
    </row>
    <row r="245" spans="1:13">
      <c r="A245" t="s">
        <v>222</v>
      </c>
      <c r="B245">
        <v>1</v>
      </c>
      <c r="C245">
        <v>10</v>
      </c>
      <c r="D245">
        <v>32</v>
      </c>
      <c r="E245">
        <v>0</v>
      </c>
      <c r="F245">
        <v>4</v>
      </c>
      <c r="G245">
        <v>0</v>
      </c>
      <c r="H245">
        <v>165</v>
      </c>
      <c r="I245" s="4">
        <f t="shared" si="3"/>
        <v>0.19393939393939394</v>
      </c>
      <c r="J245" t="s">
        <v>222</v>
      </c>
      <c r="K245">
        <v>1</v>
      </c>
      <c r="L245" t="s">
        <v>420</v>
      </c>
      <c r="M245">
        <v>10</v>
      </c>
    </row>
    <row r="246" spans="1:13">
      <c r="A246" t="s">
        <v>222</v>
      </c>
      <c r="B246">
        <v>1</v>
      </c>
      <c r="C246">
        <v>11</v>
      </c>
      <c r="D246">
        <v>35</v>
      </c>
      <c r="E246">
        <v>0</v>
      </c>
      <c r="F246">
        <v>5</v>
      </c>
      <c r="G246">
        <v>0</v>
      </c>
      <c r="H246">
        <v>165</v>
      </c>
      <c r="I246" s="4">
        <f t="shared" si="3"/>
        <v>0.21212121212121213</v>
      </c>
      <c r="J246" t="s">
        <v>222</v>
      </c>
      <c r="K246">
        <v>1</v>
      </c>
      <c r="L246" t="s">
        <v>421</v>
      </c>
      <c r="M246">
        <v>11</v>
      </c>
    </row>
    <row r="247" spans="1:13">
      <c r="A247" t="s">
        <v>222</v>
      </c>
      <c r="B247">
        <v>1</v>
      </c>
      <c r="C247">
        <v>12</v>
      </c>
      <c r="D247">
        <v>36</v>
      </c>
      <c r="E247">
        <v>0</v>
      </c>
      <c r="F247">
        <v>4</v>
      </c>
      <c r="G247">
        <v>0</v>
      </c>
      <c r="H247">
        <v>165</v>
      </c>
      <c r="I247" s="4">
        <f t="shared" si="3"/>
        <v>0.21818181818181817</v>
      </c>
      <c r="J247" t="s">
        <v>222</v>
      </c>
      <c r="K247">
        <v>1</v>
      </c>
      <c r="L247" t="s">
        <v>422</v>
      </c>
      <c r="M247">
        <v>12</v>
      </c>
    </row>
    <row r="248" spans="1:13">
      <c r="A248" t="s">
        <v>222</v>
      </c>
      <c r="B248">
        <v>1</v>
      </c>
      <c r="C248">
        <v>13</v>
      </c>
      <c r="D248">
        <v>39</v>
      </c>
      <c r="E248">
        <v>0</v>
      </c>
      <c r="F248">
        <v>4</v>
      </c>
      <c r="G248">
        <v>0</v>
      </c>
      <c r="H248">
        <v>165</v>
      </c>
      <c r="I248" s="4">
        <f t="shared" si="3"/>
        <v>0.23636363636363636</v>
      </c>
      <c r="J248" t="s">
        <v>222</v>
      </c>
      <c r="K248">
        <v>1</v>
      </c>
      <c r="L248" t="s">
        <v>424</v>
      </c>
      <c r="M248">
        <v>13</v>
      </c>
    </row>
    <row r="249" spans="1:13">
      <c r="A249" t="s">
        <v>222</v>
      </c>
      <c r="B249">
        <v>1</v>
      </c>
      <c r="C249">
        <v>14</v>
      </c>
      <c r="D249">
        <v>40</v>
      </c>
      <c r="E249">
        <v>0</v>
      </c>
      <c r="F249">
        <v>3</v>
      </c>
      <c r="G249">
        <v>0</v>
      </c>
      <c r="H249">
        <v>165</v>
      </c>
      <c r="I249" s="4">
        <f t="shared" si="3"/>
        <v>0.24242424242424243</v>
      </c>
      <c r="J249" t="s">
        <v>222</v>
      </c>
      <c r="K249">
        <v>1</v>
      </c>
      <c r="L249" t="s">
        <v>423</v>
      </c>
      <c r="M249">
        <v>14</v>
      </c>
    </row>
    <row r="250" spans="1:13">
      <c r="A250" t="s">
        <v>222</v>
      </c>
      <c r="B250">
        <v>1</v>
      </c>
      <c r="C250">
        <v>15</v>
      </c>
      <c r="D250">
        <v>41</v>
      </c>
      <c r="E250">
        <v>0</v>
      </c>
      <c r="F250">
        <v>2</v>
      </c>
      <c r="G250">
        <v>0</v>
      </c>
      <c r="H250">
        <v>165</v>
      </c>
      <c r="I250" s="4">
        <f t="shared" si="3"/>
        <v>0.24848484848484848</v>
      </c>
      <c r="J250" t="s">
        <v>222</v>
      </c>
      <c r="K250">
        <v>1</v>
      </c>
      <c r="L250" t="s">
        <v>425</v>
      </c>
      <c r="M250">
        <v>15</v>
      </c>
    </row>
    <row r="251" spans="1:13">
      <c r="A251" t="s">
        <v>222</v>
      </c>
      <c r="B251">
        <v>1</v>
      </c>
      <c r="C251">
        <v>16</v>
      </c>
      <c r="D251">
        <v>165</v>
      </c>
      <c r="E251">
        <v>0</v>
      </c>
      <c r="F251">
        <v>0</v>
      </c>
      <c r="G251">
        <v>0</v>
      </c>
      <c r="H251">
        <v>165</v>
      </c>
      <c r="I251" s="4">
        <f t="shared" si="3"/>
        <v>1</v>
      </c>
      <c r="J251" t="s">
        <v>222</v>
      </c>
      <c r="K251">
        <v>1</v>
      </c>
      <c r="L251" t="s">
        <v>426</v>
      </c>
      <c r="M251">
        <v>16</v>
      </c>
    </row>
    <row r="252" spans="1:13">
      <c r="A252" t="s">
        <v>222</v>
      </c>
      <c r="B252">
        <v>3</v>
      </c>
      <c r="C252">
        <v>1</v>
      </c>
      <c r="D252">
        <v>279</v>
      </c>
      <c r="E252">
        <v>0</v>
      </c>
      <c r="F252">
        <v>2</v>
      </c>
      <c r="G252">
        <v>0</v>
      </c>
      <c r="H252">
        <v>332</v>
      </c>
      <c r="I252" s="4">
        <f t="shared" si="3"/>
        <v>0.84036144578313254</v>
      </c>
      <c r="J252" t="s">
        <v>222</v>
      </c>
      <c r="K252">
        <v>3</v>
      </c>
      <c r="L252" t="s">
        <v>427</v>
      </c>
      <c r="M252">
        <v>1</v>
      </c>
    </row>
    <row r="253" spans="1:13">
      <c r="A253" t="s">
        <v>222</v>
      </c>
      <c r="B253">
        <v>3</v>
      </c>
      <c r="C253">
        <v>2</v>
      </c>
      <c r="D253">
        <v>331</v>
      </c>
      <c r="E253">
        <v>0</v>
      </c>
      <c r="F253">
        <v>1</v>
      </c>
      <c r="G253">
        <v>0</v>
      </c>
      <c r="H253">
        <v>332</v>
      </c>
      <c r="I253" s="4">
        <f t="shared" si="3"/>
        <v>0.99698795180722888</v>
      </c>
      <c r="J253" t="s">
        <v>222</v>
      </c>
      <c r="K253">
        <v>3</v>
      </c>
      <c r="L253" t="s">
        <v>428</v>
      </c>
      <c r="M253">
        <v>2</v>
      </c>
    </row>
    <row r="254" spans="1:13">
      <c r="A254" t="s">
        <v>222</v>
      </c>
      <c r="B254">
        <v>3</v>
      </c>
      <c r="C254">
        <v>3</v>
      </c>
      <c r="D254">
        <v>332</v>
      </c>
      <c r="E254">
        <v>0</v>
      </c>
      <c r="F254">
        <v>0</v>
      </c>
      <c r="G254">
        <v>0</v>
      </c>
      <c r="H254">
        <v>332</v>
      </c>
      <c r="I254" s="4">
        <f t="shared" si="3"/>
        <v>1</v>
      </c>
      <c r="J254" t="s">
        <v>222</v>
      </c>
      <c r="K254">
        <v>3</v>
      </c>
      <c r="L254" t="s">
        <v>429</v>
      </c>
      <c r="M254">
        <v>3</v>
      </c>
    </row>
    <row r="255" spans="1:13">
      <c r="A255" t="s">
        <v>222</v>
      </c>
      <c r="B255">
        <v>4</v>
      </c>
      <c r="C255">
        <v>1</v>
      </c>
      <c r="D255">
        <v>112</v>
      </c>
      <c r="E255">
        <v>0</v>
      </c>
      <c r="F255">
        <v>5</v>
      </c>
      <c r="G255">
        <v>0</v>
      </c>
      <c r="H255">
        <f>129</f>
        <v>129</v>
      </c>
      <c r="I255" s="4">
        <f t="shared" si="3"/>
        <v>0.86821705426356588</v>
      </c>
      <c r="J255" t="s">
        <v>222</v>
      </c>
      <c r="K255">
        <v>4</v>
      </c>
      <c r="L255" t="s">
        <v>430</v>
      </c>
      <c r="M255">
        <v>1</v>
      </c>
    </row>
    <row r="256" spans="1:13">
      <c r="A256" t="s">
        <v>222</v>
      </c>
      <c r="B256">
        <v>4</v>
      </c>
      <c r="C256">
        <v>2</v>
      </c>
      <c r="D256">
        <v>116</v>
      </c>
      <c r="E256">
        <v>0</v>
      </c>
      <c r="F256">
        <v>3</v>
      </c>
      <c r="G256">
        <v>0</v>
      </c>
      <c r="H256">
        <f>129</f>
        <v>129</v>
      </c>
      <c r="I256" s="4">
        <f t="shared" si="3"/>
        <v>0.89922480620155043</v>
      </c>
      <c r="J256" t="s">
        <v>222</v>
      </c>
      <c r="K256">
        <v>4</v>
      </c>
      <c r="L256" t="s">
        <v>431</v>
      </c>
      <c r="M256">
        <v>2</v>
      </c>
    </row>
    <row r="257" spans="1:13">
      <c r="A257" t="s">
        <v>222</v>
      </c>
      <c r="B257">
        <v>4</v>
      </c>
      <c r="C257">
        <v>3</v>
      </c>
      <c r="D257">
        <v>119</v>
      </c>
      <c r="E257">
        <v>0</v>
      </c>
      <c r="F257">
        <v>2</v>
      </c>
      <c r="G257">
        <v>0</v>
      </c>
      <c r="H257">
        <f>129</f>
        <v>129</v>
      </c>
      <c r="I257" s="4">
        <f t="shared" si="3"/>
        <v>0.92248062015503873</v>
      </c>
      <c r="J257" t="s">
        <v>222</v>
      </c>
      <c r="K257">
        <v>4</v>
      </c>
      <c r="L257" t="s">
        <v>432</v>
      </c>
      <c r="M257">
        <v>3</v>
      </c>
    </row>
    <row r="258" spans="1:13">
      <c r="A258" t="s">
        <v>222</v>
      </c>
      <c r="B258">
        <v>4</v>
      </c>
      <c r="C258">
        <v>4</v>
      </c>
      <c r="D258">
        <v>128</v>
      </c>
      <c r="E258">
        <v>0</v>
      </c>
      <c r="F258">
        <v>1</v>
      </c>
      <c r="G258">
        <v>0</v>
      </c>
      <c r="H258">
        <f>129</f>
        <v>129</v>
      </c>
      <c r="I258" s="4">
        <f t="shared" si="3"/>
        <v>0.99224806201550386</v>
      </c>
      <c r="J258" t="s">
        <v>222</v>
      </c>
      <c r="K258">
        <v>4</v>
      </c>
      <c r="L258" t="s">
        <v>433</v>
      </c>
      <c r="M258">
        <v>4</v>
      </c>
    </row>
    <row r="259" spans="1:13">
      <c r="A259" t="s">
        <v>222</v>
      </c>
      <c r="B259">
        <v>4</v>
      </c>
      <c r="C259">
        <v>5</v>
      </c>
      <c r="D259">
        <v>128</v>
      </c>
      <c r="E259">
        <v>0</v>
      </c>
      <c r="F259">
        <v>1</v>
      </c>
      <c r="G259">
        <v>0</v>
      </c>
      <c r="H259">
        <f>129</f>
        <v>129</v>
      </c>
      <c r="I259" s="4">
        <f t="shared" ref="I259:I322" si="4">D259/H259</f>
        <v>0.99224806201550386</v>
      </c>
      <c r="J259" t="s">
        <v>222</v>
      </c>
      <c r="K259">
        <v>4</v>
      </c>
      <c r="L259" t="s">
        <v>435</v>
      </c>
      <c r="M259">
        <v>5</v>
      </c>
    </row>
    <row r="260" spans="1:13">
      <c r="A260" t="s">
        <v>222</v>
      </c>
      <c r="B260">
        <v>4</v>
      </c>
      <c r="C260">
        <v>6</v>
      </c>
      <c r="D260">
        <v>128</v>
      </c>
      <c r="E260">
        <v>0</v>
      </c>
      <c r="F260">
        <v>1</v>
      </c>
      <c r="G260">
        <v>0</v>
      </c>
      <c r="H260">
        <f>129</f>
        <v>129</v>
      </c>
      <c r="I260" s="4">
        <f t="shared" si="4"/>
        <v>0.99224806201550386</v>
      </c>
      <c r="J260" t="s">
        <v>222</v>
      </c>
      <c r="K260">
        <v>4</v>
      </c>
      <c r="L260" t="s">
        <v>434</v>
      </c>
      <c r="M260">
        <v>6</v>
      </c>
    </row>
    <row r="261" spans="1:13">
      <c r="A261" t="s">
        <v>222</v>
      </c>
      <c r="B261">
        <v>4</v>
      </c>
      <c r="C261">
        <v>7</v>
      </c>
      <c r="D261">
        <v>129</v>
      </c>
      <c r="E261">
        <v>0</v>
      </c>
      <c r="F261">
        <v>0</v>
      </c>
      <c r="G261">
        <v>0</v>
      </c>
      <c r="H261">
        <f>129</f>
        <v>129</v>
      </c>
      <c r="I261" s="4">
        <f t="shared" si="4"/>
        <v>1</v>
      </c>
      <c r="J261" t="s">
        <v>222</v>
      </c>
      <c r="K261">
        <v>4</v>
      </c>
      <c r="L261" t="s">
        <v>436</v>
      </c>
      <c r="M261">
        <v>7</v>
      </c>
    </row>
    <row r="262" spans="1:13">
      <c r="A262" t="s">
        <v>222</v>
      </c>
      <c r="B262">
        <v>4</v>
      </c>
      <c r="C262">
        <v>8</v>
      </c>
      <c r="D262">
        <v>129</v>
      </c>
      <c r="E262">
        <v>0</v>
      </c>
      <c r="F262">
        <v>0</v>
      </c>
      <c r="G262">
        <v>0</v>
      </c>
      <c r="H262">
        <f>129</f>
        <v>129</v>
      </c>
      <c r="I262" s="4">
        <f t="shared" si="4"/>
        <v>1</v>
      </c>
      <c r="J262" t="s">
        <v>222</v>
      </c>
      <c r="K262">
        <v>4</v>
      </c>
      <c r="L262" t="s">
        <v>437</v>
      </c>
      <c r="M262">
        <v>8</v>
      </c>
    </row>
    <row r="263" spans="1:13">
      <c r="A263" t="s">
        <v>222</v>
      </c>
      <c r="B263">
        <v>4</v>
      </c>
      <c r="C263">
        <v>9</v>
      </c>
      <c r="D263">
        <v>129</v>
      </c>
      <c r="E263">
        <v>0</v>
      </c>
      <c r="F263">
        <v>0</v>
      </c>
      <c r="G263">
        <v>0</v>
      </c>
      <c r="H263">
        <f>129</f>
        <v>129</v>
      </c>
      <c r="I263" s="4">
        <f t="shared" si="4"/>
        <v>1</v>
      </c>
      <c r="J263" t="s">
        <v>222</v>
      </c>
      <c r="K263">
        <v>4</v>
      </c>
      <c r="L263" t="s">
        <v>438</v>
      </c>
      <c r="M263">
        <v>9</v>
      </c>
    </row>
    <row r="264" spans="1:13">
      <c r="A264" t="s">
        <v>222</v>
      </c>
      <c r="B264">
        <v>6</v>
      </c>
      <c r="C264">
        <v>1</v>
      </c>
      <c r="D264">
        <v>78</v>
      </c>
      <c r="E264">
        <v>0</v>
      </c>
      <c r="F264">
        <v>3</v>
      </c>
      <c r="G264">
        <v>0</v>
      </c>
      <c r="H264">
        <v>121</v>
      </c>
      <c r="I264" s="4">
        <f t="shared" si="4"/>
        <v>0.64462809917355368</v>
      </c>
      <c r="J264" t="s">
        <v>222</v>
      </c>
      <c r="K264">
        <v>6</v>
      </c>
      <c r="L264" t="s">
        <v>440</v>
      </c>
      <c r="M264">
        <v>1</v>
      </c>
    </row>
    <row r="265" spans="1:13">
      <c r="A265" t="s">
        <v>222</v>
      </c>
      <c r="B265">
        <v>6</v>
      </c>
      <c r="C265">
        <v>2</v>
      </c>
      <c r="D265">
        <v>121</v>
      </c>
      <c r="E265">
        <v>0</v>
      </c>
      <c r="F265">
        <v>0</v>
      </c>
      <c r="G265">
        <v>0</v>
      </c>
      <c r="H265">
        <v>121</v>
      </c>
      <c r="I265" s="4">
        <f t="shared" si="4"/>
        <v>1</v>
      </c>
      <c r="J265" t="s">
        <v>222</v>
      </c>
      <c r="K265">
        <v>6</v>
      </c>
      <c r="L265" t="s">
        <v>439</v>
      </c>
      <c r="M265">
        <v>2</v>
      </c>
    </row>
    <row r="266" spans="1:13">
      <c r="A266" t="s">
        <v>222</v>
      </c>
      <c r="B266">
        <v>7</v>
      </c>
      <c r="C266">
        <v>1</v>
      </c>
      <c r="D266">
        <v>1</v>
      </c>
      <c r="E266">
        <v>0</v>
      </c>
      <c r="F266">
        <v>1</v>
      </c>
      <c r="G266">
        <v>0</v>
      </c>
      <c r="H266">
        <v>43</v>
      </c>
      <c r="I266" s="4">
        <f t="shared" si="4"/>
        <v>2.3255813953488372E-2</v>
      </c>
      <c r="J266" t="s">
        <v>222</v>
      </c>
      <c r="K266">
        <v>7</v>
      </c>
      <c r="L266" t="s">
        <v>203</v>
      </c>
      <c r="M266">
        <v>1</v>
      </c>
    </row>
    <row r="267" spans="1:13">
      <c r="A267" t="s">
        <v>222</v>
      </c>
      <c r="B267">
        <v>7</v>
      </c>
      <c r="C267">
        <v>2</v>
      </c>
      <c r="D267">
        <v>3</v>
      </c>
      <c r="E267">
        <v>0</v>
      </c>
      <c r="F267">
        <v>1</v>
      </c>
      <c r="G267">
        <v>0</v>
      </c>
      <c r="H267">
        <v>43</v>
      </c>
      <c r="I267" s="4">
        <f t="shared" si="4"/>
        <v>6.9767441860465115E-2</v>
      </c>
      <c r="J267" t="s">
        <v>222</v>
      </c>
      <c r="K267">
        <v>7</v>
      </c>
      <c r="L267" t="s">
        <v>179</v>
      </c>
      <c r="M267">
        <v>2</v>
      </c>
    </row>
    <row r="268" spans="1:13">
      <c r="A268" t="s">
        <v>222</v>
      </c>
      <c r="B268">
        <v>7</v>
      </c>
      <c r="C268">
        <v>3</v>
      </c>
      <c r="D268">
        <v>6</v>
      </c>
      <c r="E268">
        <v>0</v>
      </c>
      <c r="F268">
        <v>2</v>
      </c>
      <c r="G268">
        <v>0</v>
      </c>
      <c r="H268">
        <v>43</v>
      </c>
      <c r="I268" s="4">
        <f t="shared" si="4"/>
        <v>0.13953488372093023</v>
      </c>
      <c r="J268" t="s">
        <v>222</v>
      </c>
      <c r="K268">
        <v>7</v>
      </c>
      <c r="L268" t="s">
        <v>215</v>
      </c>
      <c r="M268">
        <v>3</v>
      </c>
    </row>
    <row r="269" spans="1:13">
      <c r="A269" t="s">
        <v>222</v>
      </c>
      <c r="B269">
        <v>7</v>
      </c>
      <c r="C269">
        <v>4</v>
      </c>
      <c r="D269">
        <v>7</v>
      </c>
      <c r="E269">
        <v>0</v>
      </c>
      <c r="F269">
        <v>1</v>
      </c>
      <c r="G269">
        <v>0</v>
      </c>
      <c r="H269">
        <v>43</v>
      </c>
      <c r="I269" s="4">
        <f t="shared" si="4"/>
        <v>0.16279069767441862</v>
      </c>
      <c r="J269" t="s">
        <v>222</v>
      </c>
      <c r="K269">
        <v>7</v>
      </c>
      <c r="L269" t="s">
        <v>204</v>
      </c>
      <c r="M269">
        <v>4</v>
      </c>
    </row>
    <row r="270" spans="1:13">
      <c r="A270" t="s">
        <v>222</v>
      </c>
      <c r="B270">
        <v>7</v>
      </c>
      <c r="C270">
        <v>5</v>
      </c>
      <c r="D270">
        <v>11</v>
      </c>
      <c r="E270">
        <v>0</v>
      </c>
      <c r="F270">
        <v>3</v>
      </c>
      <c r="G270">
        <v>0</v>
      </c>
      <c r="H270">
        <v>43</v>
      </c>
      <c r="I270" s="4">
        <f t="shared" si="4"/>
        <v>0.2558139534883721</v>
      </c>
      <c r="J270" t="s">
        <v>222</v>
      </c>
      <c r="K270">
        <v>7</v>
      </c>
      <c r="L270" t="s">
        <v>441</v>
      </c>
      <c r="M270">
        <v>5</v>
      </c>
    </row>
    <row r="271" spans="1:13">
      <c r="A271" t="s">
        <v>222</v>
      </c>
      <c r="B271">
        <v>7</v>
      </c>
      <c r="C271">
        <v>6</v>
      </c>
      <c r="D271">
        <v>11</v>
      </c>
      <c r="E271">
        <v>0</v>
      </c>
      <c r="F271">
        <v>3</v>
      </c>
      <c r="G271">
        <v>0</v>
      </c>
      <c r="H271">
        <v>43</v>
      </c>
      <c r="I271" s="4">
        <f t="shared" si="4"/>
        <v>0.2558139534883721</v>
      </c>
      <c r="J271" t="s">
        <v>222</v>
      </c>
      <c r="K271">
        <v>7</v>
      </c>
      <c r="L271" t="s">
        <v>442</v>
      </c>
      <c r="M271">
        <v>6</v>
      </c>
    </row>
    <row r="272" spans="1:13">
      <c r="A272" t="s">
        <v>222</v>
      </c>
      <c r="B272">
        <v>7</v>
      </c>
      <c r="C272">
        <v>7</v>
      </c>
      <c r="D272">
        <v>43</v>
      </c>
      <c r="E272">
        <v>0</v>
      </c>
      <c r="F272">
        <v>0</v>
      </c>
      <c r="G272">
        <v>0</v>
      </c>
      <c r="H272" s="9">
        <v>43</v>
      </c>
      <c r="I272" s="4">
        <f t="shared" si="4"/>
        <v>1</v>
      </c>
      <c r="J272" t="s">
        <v>222</v>
      </c>
      <c r="K272">
        <v>7</v>
      </c>
      <c r="L272" t="s">
        <v>443</v>
      </c>
      <c r="M272">
        <v>7</v>
      </c>
    </row>
    <row r="273" spans="1:13">
      <c r="A273" t="s">
        <v>223</v>
      </c>
      <c r="B273">
        <v>3</v>
      </c>
      <c r="C273">
        <v>1</v>
      </c>
      <c r="D273">
        <v>6</v>
      </c>
      <c r="E273">
        <v>0</v>
      </c>
      <c r="F273">
        <v>1</v>
      </c>
      <c r="G273">
        <v>0</v>
      </c>
      <c r="H273">
        <v>62</v>
      </c>
      <c r="I273" s="4">
        <f t="shared" si="4"/>
        <v>9.6774193548387094E-2</v>
      </c>
      <c r="J273" t="s">
        <v>223</v>
      </c>
      <c r="K273">
        <v>3</v>
      </c>
      <c r="L273" t="s">
        <v>2</v>
      </c>
      <c r="M273">
        <v>1</v>
      </c>
    </row>
    <row r="274" spans="1:13">
      <c r="A274" t="s">
        <v>223</v>
      </c>
      <c r="B274">
        <v>3</v>
      </c>
      <c r="C274">
        <v>2</v>
      </c>
      <c r="D274">
        <v>46</v>
      </c>
      <c r="E274">
        <v>0</v>
      </c>
      <c r="F274">
        <v>3</v>
      </c>
      <c r="G274">
        <v>0</v>
      </c>
      <c r="H274">
        <v>62</v>
      </c>
      <c r="I274" s="4">
        <f t="shared" si="4"/>
        <v>0.74193548387096775</v>
      </c>
      <c r="J274" t="s">
        <v>223</v>
      </c>
      <c r="K274">
        <v>3</v>
      </c>
      <c r="L274" t="s">
        <v>444</v>
      </c>
      <c r="M274">
        <v>2</v>
      </c>
    </row>
    <row r="275" spans="1:13">
      <c r="A275" t="s">
        <v>223</v>
      </c>
      <c r="B275">
        <v>3</v>
      </c>
      <c r="C275">
        <v>3</v>
      </c>
      <c r="D275">
        <v>62</v>
      </c>
      <c r="E275">
        <v>0</v>
      </c>
      <c r="F275">
        <v>0</v>
      </c>
      <c r="G275">
        <v>0</v>
      </c>
      <c r="H275">
        <v>62</v>
      </c>
      <c r="I275" s="4">
        <f t="shared" si="4"/>
        <v>1</v>
      </c>
      <c r="J275" t="s">
        <v>223</v>
      </c>
      <c r="K275">
        <v>3</v>
      </c>
      <c r="L275" t="s">
        <v>445</v>
      </c>
      <c r="M275">
        <v>3</v>
      </c>
    </row>
    <row r="276" spans="1:13">
      <c r="A276" t="s">
        <v>223</v>
      </c>
      <c r="B276">
        <v>7</v>
      </c>
      <c r="C276">
        <v>1</v>
      </c>
      <c r="D276">
        <v>3</v>
      </c>
      <c r="E276">
        <v>0</v>
      </c>
      <c r="F276">
        <v>0</v>
      </c>
      <c r="G276">
        <v>0</v>
      </c>
      <c r="H276">
        <v>56</v>
      </c>
      <c r="I276" s="4">
        <f t="shared" si="4"/>
        <v>5.3571428571428568E-2</v>
      </c>
      <c r="J276" t="s">
        <v>223</v>
      </c>
      <c r="K276">
        <v>7</v>
      </c>
      <c r="L276" t="s">
        <v>235</v>
      </c>
      <c r="M276">
        <v>1</v>
      </c>
    </row>
    <row r="277" spans="1:13">
      <c r="A277" s="9" t="s">
        <v>223</v>
      </c>
      <c r="B277" s="9">
        <v>7</v>
      </c>
      <c r="C277" s="9">
        <v>2</v>
      </c>
      <c r="D277" s="9">
        <v>4</v>
      </c>
      <c r="E277" s="9">
        <v>0</v>
      </c>
      <c r="F277" s="9">
        <v>1</v>
      </c>
      <c r="G277" s="9">
        <v>0</v>
      </c>
      <c r="H277">
        <v>56</v>
      </c>
      <c r="I277" s="4">
        <f t="shared" si="4"/>
        <v>7.1428571428571425E-2</v>
      </c>
      <c r="J277" t="s">
        <v>223</v>
      </c>
      <c r="K277">
        <v>7</v>
      </c>
      <c r="L277" t="s">
        <v>236</v>
      </c>
      <c r="M277">
        <v>2</v>
      </c>
    </row>
    <row r="278" spans="1:13">
      <c r="A278" t="s">
        <v>223</v>
      </c>
      <c r="B278">
        <v>7</v>
      </c>
      <c r="C278">
        <v>3</v>
      </c>
      <c r="D278">
        <v>16</v>
      </c>
      <c r="E278">
        <v>0</v>
      </c>
      <c r="F278">
        <v>1</v>
      </c>
      <c r="G278">
        <v>0</v>
      </c>
      <c r="H278">
        <v>56</v>
      </c>
      <c r="I278" s="4">
        <f t="shared" si="4"/>
        <v>0.2857142857142857</v>
      </c>
      <c r="J278" t="s">
        <v>223</v>
      </c>
      <c r="K278">
        <v>7</v>
      </c>
      <c r="L278" t="s">
        <v>446</v>
      </c>
      <c r="M278">
        <v>3</v>
      </c>
    </row>
    <row r="279" spans="1:13">
      <c r="A279" t="s">
        <v>223</v>
      </c>
      <c r="B279">
        <v>7</v>
      </c>
      <c r="C279">
        <v>4</v>
      </c>
      <c r="D279">
        <v>27</v>
      </c>
      <c r="E279">
        <v>0</v>
      </c>
      <c r="F279">
        <v>1</v>
      </c>
      <c r="G279">
        <v>0</v>
      </c>
      <c r="H279">
        <v>56</v>
      </c>
      <c r="I279" s="4">
        <f t="shared" si="4"/>
        <v>0.48214285714285715</v>
      </c>
      <c r="J279" t="s">
        <v>223</v>
      </c>
      <c r="K279">
        <v>7</v>
      </c>
      <c r="L279" t="s">
        <v>447</v>
      </c>
      <c r="M279">
        <v>4</v>
      </c>
    </row>
    <row r="280" spans="1:13">
      <c r="A280" t="s">
        <v>223</v>
      </c>
      <c r="B280">
        <v>7</v>
      </c>
      <c r="C280">
        <v>5</v>
      </c>
      <c r="D280">
        <v>29</v>
      </c>
      <c r="E280">
        <v>0</v>
      </c>
      <c r="F280">
        <v>1</v>
      </c>
      <c r="G280">
        <v>0</v>
      </c>
      <c r="H280">
        <v>56</v>
      </c>
      <c r="I280" s="4">
        <f t="shared" si="4"/>
        <v>0.5178571428571429</v>
      </c>
      <c r="J280" t="s">
        <v>223</v>
      </c>
      <c r="K280">
        <v>7</v>
      </c>
      <c r="L280" t="s">
        <v>448</v>
      </c>
      <c r="M280">
        <v>5</v>
      </c>
    </row>
    <row r="281" spans="1:13">
      <c r="A281" t="s">
        <v>223</v>
      </c>
      <c r="B281">
        <v>7</v>
      </c>
      <c r="C281">
        <v>6</v>
      </c>
      <c r="D281">
        <v>56</v>
      </c>
      <c r="E281">
        <v>0</v>
      </c>
      <c r="F281">
        <v>0</v>
      </c>
      <c r="G281">
        <v>0</v>
      </c>
      <c r="H281">
        <v>56</v>
      </c>
      <c r="I281" s="4">
        <f t="shared" si="4"/>
        <v>1</v>
      </c>
      <c r="J281" t="s">
        <v>223</v>
      </c>
      <c r="K281">
        <v>7</v>
      </c>
      <c r="L281" t="s">
        <v>449</v>
      </c>
      <c r="M281">
        <v>6</v>
      </c>
    </row>
    <row r="282" spans="1:13">
      <c r="A282" t="s">
        <v>223</v>
      </c>
      <c r="B282">
        <v>8</v>
      </c>
      <c r="C282">
        <v>1</v>
      </c>
      <c r="D282">
        <v>4</v>
      </c>
      <c r="E282">
        <v>0</v>
      </c>
      <c r="F282">
        <v>1</v>
      </c>
      <c r="G282">
        <v>0</v>
      </c>
      <c r="H282">
        <v>86</v>
      </c>
      <c r="I282" s="4">
        <f t="shared" si="4"/>
        <v>4.6511627906976744E-2</v>
      </c>
      <c r="J282" t="s">
        <v>223</v>
      </c>
      <c r="K282">
        <v>8</v>
      </c>
      <c r="L282" t="s">
        <v>2</v>
      </c>
      <c r="M282">
        <v>1</v>
      </c>
    </row>
    <row r="283" spans="1:13">
      <c r="A283" t="s">
        <v>223</v>
      </c>
      <c r="B283">
        <v>8</v>
      </c>
      <c r="C283">
        <v>2</v>
      </c>
      <c r="D283">
        <v>15</v>
      </c>
      <c r="E283">
        <v>0</v>
      </c>
      <c r="F283">
        <v>2</v>
      </c>
      <c r="G283">
        <v>0</v>
      </c>
      <c r="H283">
        <v>86</v>
      </c>
      <c r="I283" s="4">
        <f t="shared" si="4"/>
        <v>0.1744186046511628</v>
      </c>
      <c r="J283" t="s">
        <v>223</v>
      </c>
      <c r="K283">
        <v>8</v>
      </c>
      <c r="L283" t="s">
        <v>233</v>
      </c>
      <c r="M283">
        <v>2</v>
      </c>
    </row>
    <row r="284" spans="1:13">
      <c r="A284" t="s">
        <v>223</v>
      </c>
      <c r="B284">
        <v>8</v>
      </c>
      <c r="C284">
        <v>3</v>
      </c>
      <c r="D284">
        <v>19</v>
      </c>
      <c r="E284">
        <v>0</v>
      </c>
      <c r="F284">
        <v>2</v>
      </c>
      <c r="G284">
        <v>0</v>
      </c>
      <c r="H284">
        <v>86</v>
      </c>
      <c r="I284" s="4">
        <f t="shared" si="4"/>
        <v>0.22093023255813954</v>
      </c>
      <c r="J284" t="s">
        <v>223</v>
      </c>
      <c r="K284">
        <v>8</v>
      </c>
      <c r="L284" t="s">
        <v>234</v>
      </c>
      <c r="M284">
        <v>3</v>
      </c>
    </row>
    <row r="285" spans="1:13">
      <c r="A285" t="s">
        <v>223</v>
      </c>
      <c r="B285">
        <v>8</v>
      </c>
      <c r="C285">
        <v>4</v>
      </c>
      <c r="D285">
        <v>29</v>
      </c>
      <c r="E285">
        <v>0</v>
      </c>
      <c r="F285">
        <v>2</v>
      </c>
      <c r="G285">
        <v>0</v>
      </c>
      <c r="H285">
        <v>86</v>
      </c>
      <c r="I285" s="4">
        <f t="shared" si="4"/>
        <v>0.33720930232558138</v>
      </c>
      <c r="J285" t="s">
        <v>223</v>
      </c>
      <c r="K285">
        <v>8</v>
      </c>
      <c r="L285" t="s">
        <v>450</v>
      </c>
      <c r="M285">
        <v>4</v>
      </c>
    </row>
    <row r="286" spans="1:13">
      <c r="A286" t="s">
        <v>223</v>
      </c>
      <c r="B286">
        <v>8</v>
      </c>
      <c r="C286">
        <v>5</v>
      </c>
      <c r="D286">
        <v>31</v>
      </c>
      <c r="E286">
        <v>0</v>
      </c>
      <c r="F286">
        <v>2</v>
      </c>
      <c r="G286">
        <v>0</v>
      </c>
      <c r="H286">
        <v>86</v>
      </c>
      <c r="I286" s="4">
        <f t="shared" si="4"/>
        <v>0.36046511627906974</v>
      </c>
      <c r="J286" t="s">
        <v>223</v>
      </c>
      <c r="K286">
        <v>8</v>
      </c>
      <c r="L286" t="s">
        <v>451</v>
      </c>
      <c r="M286">
        <v>5</v>
      </c>
    </row>
    <row r="287" spans="1:13">
      <c r="A287" t="s">
        <v>223</v>
      </c>
      <c r="B287">
        <v>8</v>
      </c>
      <c r="C287">
        <v>6</v>
      </c>
      <c r="D287">
        <v>65</v>
      </c>
      <c r="E287">
        <v>0</v>
      </c>
      <c r="F287">
        <v>2</v>
      </c>
      <c r="G287">
        <v>0</v>
      </c>
      <c r="H287">
        <v>86</v>
      </c>
      <c r="I287" s="4">
        <f t="shared" si="4"/>
        <v>0.7558139534883721</v>
      </c>
      <c r="J287" t="s">
        <v>223</v>
      </c>
      <c r="K287">
        <v>8</v>
      </c>
      <c r="L287" t="s">
        <v>452</v>
      </c>
      <c r="M287">
        <v>6</v>
      </c>
    </row>
    <row r="288" spans="1:13">
      <c r="A288" t="s">
        <v>223</v>
      </c>
      <c r="B288">
        <v>8</v>
      </c>
      <c r="C288">
        <v>7</v>
      </c>
      <c r="D288">
        <v>69</v>
      </c>
      <c r="E288">
        <v>0</v>
      </c>
      <c r="F288">
        <v>3</v>
      </c>
      <c r="G288">
        <v>0</v>
      </c>
      <c r="H288">
        <v>86</v>
      </c>
      <c r="I288" s="4">
        <f t="shared" si="4"/>
        <v>0.80232558139534882</v>
      </c>
      <c r="J288" t="s">
        <v>223</v>
      </c>
      <c r="K288">
        <v>8</v>
      </c>
      <c r="L288" t="s">
        <v>453</v>
      </c>
      <c r="M288">
        <v>7</v>
      </c>
    </row>
    <row r="289" spans="1:13">
      <c r="A289" t="s">
        <v>223</v>
      </c>
      <c r="B289">
        <v>8</v>
      </c>
      <c r="C289">
        <v>8</v>
      </c>
      <c r="D289">
        <v>70</v>
      </c>
      <c r="E289">
        <v>0</v>
      </c>
      <c r="F289">
        <v>2</v>
      </c>
      <c r="G289">
        <v>0</v>
      </c>
      <c r="H289">
        <v>86</v>
      </c>
      <c r="I289" s="4">
        <f t="shared" si="4"/>
        <v>0.81395348837209303</v>
      </c>
      <c r="J289" t="s">
        <v>223</v>
      </c>
      <c r="K289">
        <v>8</v>
      </c>
      <c r="L289" t="s">
        <v>454</v>
      </c>
      <c r="M289">
        <v>8</v>
      </c>
    </row>
    <row r="290" spans="1:13">
      <c r="A290" t="s">
        <v>223</v>
      </c>
      <c r="B290">
        <v>8</v>
      </c>
      <c r="C290">
        <v>9</v>
      </c>
      <c r="D290">
        <v>75</v>
      </c>
      <c r="E290">
        <v>0</v>
      </c>
      <c r="F290">
        <v>2</v>
      </c>
      <c r="G290">
        <v>0</v>
      </c>
      <c r="H290">
        <v>86</v>
      </c>
      <c r="I290" s="4">
        <f t="shared" si="4"/>
        <v>0.87209302325581395</v>
      </c>
      <c r="J290" t="s">
        <v>223</v>
      </c>
      <c r="K290">
        <v>8</v>
      </c>
      <c r="L290" t="s">
        <v>455</v>
      </c>
      <c r="M290">
        <v>9</v>
      </c>
    </row>
    <row r="291" spans="1:13">
      <c r="A291" t="s">
        <v>223</v>
      </c>
      <c r="B291">
        <v>8</v>
      </c>
      <c r="C291">
        <v>10</v>
      </c>
      <c r="D291">
        <v>79</v>
      </c>
      <c r="E291">
        <v>0</v>
      </c>
      <c r="F291">
        <v>2</v>
      </c>
      <c r="G291">
        <v>0</v>
      </c>
      <c r="H291">
        <v>86</v>
      </c>
      <c r="I291" s="4">
        <f t="shared" si="4"/>
        <v>0.91860465116279066</v>
      </c>
      <c r="J291" t="s">
        <v>223</v>
      </c>
      <c r="K291">
        <v>8</v>
      </c>
      <c r="L291" t="s">
        <v>456</v>
      </c>
      <c r="M291">
        <v>10</v>
      </c>
    </row>
    <row r="292" spans="1:13">
      <c r="A292" t="s">
        <v>223</v>
      </c>
      <c r="B292">
        <v>8</v>
      </c>
      <c r="C292">
        <v>11</v>
      </c>
      <c r="D292">
        <v>86</v>
      </c>
      <c r="E292">
        <v>0</v>
      </c>
      <c r="F292">
        <v>0</v>
      </c>
      <c r="G292">
        <v>0</v>
      </c>
      <c r="H292">
        <v>86</v>
      </c>
      <c r="I292" s="4">
        <f t="shared" si="4"/>
        <v>1</v>
      </c>
      <c r="J292" t="s">
        <v>223</v>
      </c>
      <c r="K292">
        <v>8</v>
      </c>
      <c r="L292" t="s">
        <v>457</v>
      </c>
      <c r="M292">
        <v>11</v>
      </c>
    </row>
    <row r="293" spans="1:13">
      <c r="A293" t="s">
        <v>223</v>
      </c>
      <c r="B293">
        <v>9</v>
      </c>
      <c r="C293">
        <v>1</v>
      </c>
      <c r="D293">
        <v>4</v>
      </c>
      <c r="E293">
        <v>0</v>
      </c>
      <c r="F293">
        <v>1</v>
      </c>
      <c r="G293">
        <v>0</v>
      </c>
      <c r="H293">
        <v>46</v>
      </c>
      <c r="I293" s="4">
        <f t="shared" si="4"/>
        <v>8.6956521739130432E-2</v>
      </c>
      <c r="J293" t="s">
        <v>223</v>
      </c>
      <c r="K293">
        <v>9</v>
      </c>
      <c r="L293" t="s">
        <v>2</v>
      </c>
      <c r="M293">
        <v>1</v>
      </c>
    </row>
    <row r="294" spans="1:13">
      <c r="A294" t="s">
        <v>223</v>
      </c>
      <c r="B294">
        <v>9</v>
      </c>
      <c r="C294">
        <v>2</v>
      </c>
      <c r="D294">
        <v>9</v>
      </c>
      <c r="E294">
        <v>0</v>
      </c>
      <c r="F294">
        <v>1</v>
      </c>
      <c r="G294">
        <v>0</v>
      </c>
      <c r="H294">
        <v>46</v>
      </c>
      <c r="I294" s="4">
        <f t="shared" si="4"/>
        <v>0.19565217391304349</v>
      </c>
      <c r="J294" t="s">
        <v>223</v>
      </c>
      <c r="K294">
        <v>9</v>
      </c>
      <c r="L294" t="s">
        <v>1</v>
      </c>
      <c r="M294">
        <v>2</v>
      </c>
    </row>
    <row r="295" spans="1:13">
      <c r="A295" t="s">
        <v>223</v>
      </c>
      <c r="B295">
        <v>9</v>
      </c>
      <c r="C295">
        <v>3</v>
      </c>
      <c r="D295">
        <v>19</v>
      </c>
      <c r="E295">
        <v>0</v>
      </c>
      <c r="F295">
        <v>1</v>
      </c>
      <c r="G295">
        <v>0</v>
      </c>
      <c r="H295">
        <v>46</v>
      </c>
      <c r="I295" s="4">
        <f t="shared" si="4"/>
        <v>0.41304347826086957</v>
      </c>
      <c r="J295" t="s">
        <v>223</v>
      </c>
      <c r="K295">
        <v>9</v>
      </c>
      <c r="L295" t="s">
        <v>458</v>
      </c>
      <c r="M295">
        <v>3</v>
      </c>
    </row>
    <row r="296" spans="1:13">
      <c r="A296" t="s">
        <v>223</v>
      </c>
      <c r="B296">
        <v>9</v>
      </c>
      <c r="C296">
        <v>4</v>
      </c>
      <c r="D296">
        <v>21</v>
      </c>
      <c r="E296">
        <v>0</v>
      </c>
      <c r="F296">
        <v>1</v>
      </c>
      <c r="G296">
        <v>0</v>
      </c>
      <c r="H296">
        <v>46</v>
      </c>
      <c r="I296" s="4">
        <f t="shared" si="4"/>
        <v>0.45652173913043476</v>
      </c>
      <c r="J296" t="s">
        <v>223</v>
      </c>
      <c r="K296">
        <v>9</v>
      </c>
      <c r="L296" t="s">
        <v>459</v>
      </c>
      <c r="M296">
        <v>4</v>
      </c>
    </row>
    <row r="297" spans="1:13">
      <c r="A297" t="s">
        <v>223</v>
      </c>
      <c r="B297">
        <v>9</v>
      </c>
      <c r="C297">
        <v>5</v>
      </c>
      <c r="D297">
        <v>46</v>
      </c>
      <c r="E297">
        <v>0</v>
      </c>
      <c r="F297">
        <v>0</v>
      </c>
      <c r="G297">
        <v>0</v>
      </c>
      <c r="H297">
        <v>46</v>
      </c>
      <c r="I297" s="4">
        <f t="shared" si="4"/>
        <v>1</v>
      </c>
      <c r="J297" t="s">
        <v>223</v>
      </c>
      <c r="K297">
        <v>9</v>
      </c>
      <c r="L297" t="s">
        <v>460</v>
      </c>
      <c r="M297">
        <v>5</v>
      </c>
    </row>
    <row r="298" spans="1:13">
      <c r="A298" t="s">
        <v>223</v>
      </c>
      <c r="B298">
        <v>10</v>
      </c>
      <c r="C298">
        <v>1</v>
      </c>
      <c r="D298">
        <v>1</v>
      </c>
      <c r="E298">
        <v>0</v>
      </c>
      <c r="F298">
        <v>1</v>
      </c>
      <c r="G298">
        <v>0</v>
      </c>
      <c r="H298">
        <v>30</v>
      </c>
      <c r="I298" s="4">
        <f t="shared" si="4"/>
        <v>3.3333333333333333E-2</v>
      </c>
      <c r="J298" t="s">
        <v>223</v>
      </c>
      <c r="K298">
        <v>10</v>
      </c>
      <c r="L298" t="s">
        <v>2</v>
      </c>
      <c r="M298">
        <v>1</v>
      </c>
    </row>
    <row r="299" spans="1:13">
      <c r="A299" t="s">
        <v>223</v>
      </c>
      <c r="B299">
        <v>10</v>
      </c>
      <c r="C299">
        <v>2</v>
      </c>
      <c r="D299">
        <v>6</v>
      </c>
      <c r="E299">
        <v>0</v>
      </c>
      <c r="F299">
        <v>3</v>
      </c>
      <c r="G299">
        <v>0</v>
      </c>
      <c r="H299">
        <v>30</v>
      </c>
      <c r="I299" s="4">
        <f t="shared" si="4"/>
        <v>0.2</v>
      </c>
      <c r="J299" t="s">
        <v>223</v>
      </c>
      <c r="K299">
        <v>10</v>
      </c>
      <c r="L299" t="s">
        <v>233</v>
      </c>
      <c r="M299">
        <v>2</v>
      </c>
    </row>
    <row r="300" spans="1:13">
      <c r="A300" t="s">
        <v>223</v>
      </c>
      <c r="B300">
        <v>10</v>
      </c>
      <c r="C300">
        <v>3</v>
      </c>
      <c r="D300">
        <v>12</v>
      </c>
      <c r="E300">
        <v>0</v>
      </c>
      <c r="F300">
        <v>4</v>
      </c>
      <c r="G300">
        <v>0</v>
      </c>
      <c r="H300">
        <v>30</v>
      </c>
      <c r="I300" s="4">
        <f t="shared" si="4"/>
        <v>0.4</v>
      </c>
      <c r="J300" t="s">
        <v>223</v>
      </c>
      <c r="K300">
        <v>10</v>
      </c>
      <c r="L300" t="s">
        <v>459</v>
      </c>
      <c r="M300">
        <v>3</v>
      </c>
    </row>
    <row r="301" spans="1:13">
      <c r="A301" t="s">
        <v>223</v>
      </c>
      <c r="B301">
        <v>10</v>
      </c>
      <c r="C301">
        <v>4</v>
      </c>
      <c r="D301">
        <v>13</v>
      </c>
      <c r="E301">
        <v>0</v>
      </c>
      <c r="F301">
        <v>3</v>
      </c>
      <c r="G301">
        <v>0</v>
      </c>
      <c r="H301">
        <v>30</v>
      </c>
      <c r="I301" s="4">
        <f t="shared" si="4"/>
        <v>0.43333333333333335</v>
      </c>
      <c r="J301" t="s">
        <v>223</v>
      </c>
      <c r="K301">
        <v>10</v>
      </c>
      <c r="L301" t="s">
        <v>461</v>
      </c>
      <c r="M301">
        <v>4</v>
      </c>
    </row>
    <row r="302" spans="1:13">
      <c r="A302" t="s">
        <v>223</v>
      </c>
      <c r="B302">
        <v>10</v>
      </c>
      <c r="C302">
        <v>5</v>
      </c>
      <c r="D302">
        <v>19</v>
      </c>
      <c r="E302">
        <v>0</v>
      </c>
      <c r="F302">
        <v>4</v>
      </c>
      <c r="G302">
        <v>0</v>
      </c>
      <c r="H302">
        <v>30</v>
      </c>
      <c r="I302" s="4">
        <f t="shared" si="4"/>
        <v>0.6333333333333333</v>
      </c>
      <c r="J302" t="s">
        <v>223</v>
      </c>
      <c r="K302">
        <v>10</v>
      </c>
      <c r="L302" t="s">
        <v>462</v>
      </c>
      <c r="M302">
        <v>5</v>
      </c>
    </row>
    <row r="303" spans="1:13">
      <c r="A303" t="s">
        <v>223</v>
      </c>
      <c r="B303">
        <v>10</v>
      </c>
      <c r="C303">
        <v>6</v>
      </c>
      <c r="D303">
        <v>19</v>
      </c>
      <c r="E303">
        <v>0</v>
      </c>
      <c r="F303">
        <v>4</v>
      </c>
      <c r="G303">
        <v>0</v>
      </c>
      <c r="H303">
        <v>30</v>
      </c>
      <c r="I303" s="4">
        <f t="shared" si="4"/>
        <v>0.6333333333333333</v>
      </c>
      <c r="J303" t="s">
        <v>223</v>
      </c>
      <c r="K303">
        <v>10</v>
      </c>
      <c r="L303" t="s">
        <v>464</v>
      </c>
      <c r="M303">
        <v>6</v>
      </c>
    </row>
    <row r="304" spans="1:13">
      <c r="A304" t="s">
        <v>223</v>
      </c>
      <c r="B304">
        <v>10</v>
      </c>
      <c r="C304">
        <v>7</v>
      </c>
      <c r="D304">
        <v>20</v>
      </c>
      <c r="E304">
        <v>0</v>
      </c>
      <c r="F304">
        <v>3</v>
      </c>
      <c r="G304">
        <v>0</v>
      </c>
      <c r="H304">
        <v>30</v>
      </c>
      <c r="I304" s="4">
        <f t="shared" si="4"/>
        <v>0.66666666666666663</v>
      </c>
      <c r="J304" t="s">
        <v>223</v>
      </c>
      <c r="K304">
        <v>10</v>
      </c>
      <c r="L304" t="s">
        <v>463</v>
      </c>
      <c r="M304">
        <v>7</v>
      </c>
    </row>
    <row r="305" spans="1:13">
      <c r="A305" t="s">
        <v>223</v>
      </c>
      <c r="B305">
        <v>10</v>
      </c>
      <c r="C305">
        <v>8</v>
      </c>
      <c r="D305">
        <v>24</v>
      </c>
      <c r="E305">
        <v>0</v>
      </c>
      <c r="F305">
        <v>3</v>
      </c>
      <c r="G305">
        <v>0</v>
      </c>
      <c r="H305">
        <v>30</v>
      </c>
      <c r="I305" s="4">
        <f t="shared" si="4"/>
        <v>0.8</v>
      </c>
      <c r="J305" t="s">
        <v>223</v>
      </c>
      <c r="K305">
        <v>10</v>
      </c>
      <c r="L305" t="s">
        <v>465</v>
      </c>
      <c r="M305">
        <v>8</v>
      </c>
    </row>
    <row r="306" spans="1:13">
      <c r="A306" t="s">
        <v>223</v>
      </c>
      <c r="B306">
        <v>10</v>
      </c>
      <c r="C306">
        <v>9</v>
      </c>
      <c r="D306">
        <v>24</v>
      </c>
      <c r="E306">
        <v>0</v>
      </c>
      <c r="F306">
        <v>3</v>
      </c>
      <c r="G306">
        <v>0</v>
      </c>
      <c r="H306">
        <v>30</v>
      </c>
      <c r="I306" s="4">
        <f t="shared" si="4"/>
        <v>0.8</v>
      </c>
      <c r="J306" t="s">
        <v>223</v>
      </c>
      <c r="K306">
        <v>10</v>
      </c>
      <c r="L306" t="s">
        <v>466</v>
      </c>
      <c r="M306">
        <v>9</v>
      </c>
    </row>
    <row r="307" spans="1:13">
      <c r="A307" t="s">
        <v>223</v>
      </c>
      <c r="B307">
        <v>10</v>
      </c>
      <c r="C307">
        <v>10</v>
      </c>
      <c r="D307">
        <v>28</v>
      </c>
      <c r="E307">
        <v>0</v>
      </c>
      <c r="F307">
        <v>2</v>
      </c>
      <c r="G307">
        <v>0</v>
      </c>
      <c r="H307">
        <v>30</v>
      </c>
      <c r="I307" s="4">
        <f t="shared" si="4"/>
        <v>0.93333333333333335</v>
      </c>
      <c r="J307" t="s">
        <v>223</v>
      </c>
      <c r="K307">
        <v>10</v>
      </c>
      <c r="L307" t="s">
        <v>467</v>
      </c>
      <c r="M307">
        <v>10</v>
      </c>
    </row>
    <row r="308" spans="1:13">
      <c r="A308" t="s">
        <v>223</v>
      </c>
      <c r="B308">
        <v>10</v>
      </c>
      <c r="C308">
        <v>11</v>
      </c>
      <c r="D308">
        <v>28</v>
      </c>
      <c r="E308">
        <v>0</v>
      </c>
      <c r="F308">
        <v>2</v>
      </c>
      <c r="G308">
        <v>0</v>
      </c>
      <c r="H308">
        <v>30</v>
      </c>
      <c r="I308" s="4">
        <f t="shared" si="4"/>
        <v>0.93333333333333335</v>
      </c>
      <c r="J308" t="s">
        <v>223</v>
      </c>
      <c r="K308">
        <v>10</v>
      </c>
      <c r="L308" t="s">
        <v>468</v>
      </c>
      <c r="M308">
        <v>11</v>
      </c>
    </row>
    <row r="309" spans="1:13">
      <c r="A309" t="s">
        <v>223</v>
      </c>
      <c r="B309">
        <v>10</v>
      </c>
      <c r="C309">
        <v>12</v>
      </c>
      <c r="D309">
        <v>29</v>
      </c>
      <c r="E309">
        <v>0</v>
      </c>
      <c r="F309">
        <v>1</v>
      </c>
      <c r="G309">
        <v>0</v>
      </c>
      <c r="H309">
        <v>30</v>
      </c>
      <c r="I309" s="4">
        <f t="shared" si="4"/>
        <v>0.96666666666666667</v>
      </c>
      <c r="J309" t="s">
        <v>223</v>
      </c>
      <c r="K309">
        <v>10</v>
      </c>
      <c r="L309" t="s">
        <v>469</v>
      </c>
      <c r="M309">
        <v>12</v>
      </c>
    </row>
    <row r="310" spans="1:13">
      <c r="A310" t="s">
        <v>223</v>
      </c>
      <c r="B310">
        <v>10</v>
      </c>
      <c r="C310">
        <v>13</v>
      </c>
      <c r="D310">
        <v>30</v>
      </c>
      <c r="E310">
        <v>0</v>
      </c>
      <c r="F310">
        <v>0</v>
      </c>
      <c r="G310">
        <v>0</v>
      </c>
      <c r="H310">
        <v>30</v>
      </c>
      <c r="I310" s="4">
        <f t="shared" si="4"/>
        <v>1</v>
      </c>
      <c r="J310" t="s">
        <v>223</v>
      </c>
      <c r="K310">
        <v>10</v>
      </c>
      <c r="L310" t="s">
        <v>470</v>
      </c>
      <c r="M310">
        <v>13</v>
      </c>
    </row>
    <row r="311" spans="1:13">
      <c r="A311" t="s">
        <v>223</v>
      </c>
      <c r="B311">
        <v>10</v>
      </c>
      <c r="C311">
        <v>14</v>
      </c>
      <c r="D311">
        <v>30</v>
      </c>
      <c r="E311">
        <v>0</v>
      </c>
      <c r="F311">
        <v>0</v>
      </c>
      <c r="G311">
        <v>0</v>
      </c>
      <c r="H311">
        <v>30</v>
      </c>
      <c r="I311" s="4">
        <f t="shared" si="4"/>
        <v>1</v>
      </c>
      <c r="J311" t="s">
        <v>223</v>
      </c>
      <c r="K311">
        <v>10</v>
      </c>
      <c r="L311" t="s">
        <v>471</v>
      </c>
      <c r="M311">
        <v>14</v>
      </c>
    </row>
    <row r="312" spans="1:13">
      <c r="A312" t="s">
        <v>223</v>
      </c>
      <c r="B312">
        <v>10</v>
      </c>
      <c r="C312">
        <v>15</v>
      </c>
      <c r="D312">
        <v>30</v>
      </c>
      <c r="E312">
        <v>0</v>
      </c>
      <c r="F312">
        <v>0</v>
      </c>
      <c r="G312">
        <v>0</v>
      </c>
      <c r="H312">
        <v>30</v>
      </c>
      <c r="I312" s="4">
        <f t="shared" si="4"/>
        <v>1</v>
      </c>
      <c r="J312" t="s">
        <v>223</v>
      </c>
      <c r="K312">
        <v>10</v>
      </c>
      <c r="L312" t="s">
        <v>472</v>
      </c>
      <c r="M312">
        <v>15</v>
      </c>
    </row>
    <row r="313" spans="1:13">
      <c r="A313" t="s">
        <v>223</v>
      </c>
      <c r="B313">
        <v>10</v>
      </c>
      <c r="C313">
        <v>16</v>
      </c>
      <c r="D313">
        <v>30</v>
      </c>
      <c r="E313">
        <v>0</v>
      </c>
      <c r="F313">
        <v>0</v>
      </c>
      <c r="G313">
        <v>0</v>
      </c>
      <c r="H313">
        <v>30</v>
      </c>
      <c r="I313" s="4">
        <f t="shared" si="4"/>
        <v>1</v>
      </c>
      <c r="J313" t="s">
        <v>223</v>
      </c>
      <c r="K313">
        <v>10</v>
      </c>
      <c r="L313" t="s">
        <v>473</v>
      </c>
      <c r="M313">
        <v>16</v>
      </c>
    </row>
    <row r="314" spans="1:13">
      <c r="A314" t="s">
        <v>223</v>
      </c>
      <c r="B314">
        <v>10</v>
      </c>
      <c r="C314">
        <v>17</v>
      </c>
      <c r="D314">
        <v>30</v>
      </c>
      <c r="E314">
        <v>0</v>
      </c>
      <c r="F314">
        <v>0</v>
      </c>
      <c r="G314">
        <v>0</v>
      </c>
      <c r="H314">
        <v>30</v>
      </c>
      <c r="I314" s="4">
        <f t="shared" si="4"/>
        <v>1</v>
      </c>
      <c r="J314" t="s">
        <v>223</v>
      </c>
      <c r="K314">
        <v>10</v>
      </c>
      <c r="L314" t="s">
        <v>475</v>
      </c>
      <c r="M314">
        <v>17</v>
      </c>
    </row>
    <row r="315" spans="1:13">
      <c r="A315" t="s">
        <v>223</v>
      </c>
      <c r="B315">
        <v>10</v>
      </c>
      <c r="C315">
        <v>18</v>
      </c>
      <c r="D315">
        <v>30</v>
      </c>
      <c r="E315">
        <v>0</v>
      </c>
      <c r="F315">
        <v>0</v>
      </c>
      <c r="G315">
        <v>0</v>
      </c>
      <c r="H315">
        <v>30</v>
      </c>
      <c r="I315" s="4">
        <f t="shared" si="4"/>
        <v>1</v>
      </c>
      <c r="J315" t="s">
        <v>223</v>
      </c>
      <c r="K315">
        <v>10</v>
      </c>
      <c r="L315" t="s">
        <v>477</v>
      </c>
      <c r="M315">
        <v>18</v>
      </c>
    </row>
    <row r="316" spans="1:13">
      <c r="A316" t="s">
        <v>223</v>
      </c>
      <c r="B316">
        <v>10</v>
      </c>
      <c r="C316">
        <v>19</v>
      </c>
      <c r="D316">
        <v>30</v>
      </c>
      <c r="E316">
        <v>0</v>
      </c>
      <c r="F316">
        <v>0</v>
      </c>
      <c r="G316">
        <v>0</v>
      </c>
      <c r="H316">
        <v>30</v>
      </c>
      <c r="I316" s="4">
        <f t="shared" si="4"/>
        <v>1</v>
      </c>
      <c r="J316" t="s">
        <v>223</v>
      </c>
      <c r="K316">
        <v>10</v>
      </c>
      <c r="L316" t="s">
        <v>474</v>
      </c>
      <c r="M316">
        <v>19</v>
      </c>
    </row>
    <row r="317" spans="1:13">
      <c r="A317" t="s">
        <v>223</v>
      </c>
      <c r="B317">
        <v>10</v>
      </c>
      <c r="C317">
        <v>20</v>
      </c>
      <c r="D317">
        <v>30</v>
      </c>
      <c r="E317">
        <v>0</v>
      </c>
      <c r="F317">
        <v>0</v>
      </c>
      <c r="G317">
        <v>0</v>
      </c>
      <c r="H317">
        <v>30</v>
      </c>
      <c r="I317" s="4">
        <f t="shared" si="4"/>
        <v>1</v>
      </c>
      <c r="J317" t="s">
        <v>223</v>
      </c>
      <c r="K317">
        <v>10</v>
      </c>
      <c r="L317" t="s">
        <v>476</v>
      </c>
      <c r="M317">
        <v>20</v>
      </c>
    </row>
    <row r="318" spans="1:13">
      <c r="A318" t="s">
        <v>223</v>
      </c>
      <c r="B318">
        <v>10</v>
      </c>
      <c r="C318">
        <v>21</v>
      </c>
      <c r="D318">
        <v>30</v>
      </c>
      <c r="E318">
        <v>0</v>
      </c>
      <c r="F318">
        <v>0</v>
      </c>
      <c r="G318">
        <v>0</v>
      </c>
      <c r="H318">
        <v>30</v>
      </c>
      <c r="I318" s="4">
        <f t="shared" si="4"/>
        <v>1</v>
      </c>
      <c r="J318" t="s">
        <v>223</v>
      </c>
      <c r="K318">
        <v>10</v>
      </c>
      <c r="L318" t="s">
        <v>479</v>
      </c>
      <c r="M318">
        <v>21</v>
      </c>
    </row>
    <row r="319" spans="1:13">
      <c r="A319" t="s">
        <v>223</v>
      </c>
      <c r="B319">
        <v>10</v>
      </c>
      <c r="C319">
        <v>22</v>
      </c>
      <c r="D319">
        <v>30</v>
      </c>
      <c r="E319">
        <v>0</v>
      </c>
      <c r="F319">
        <v>0</v>
      </c>
      <c r="G319">
        <v>0</v>
      </c>
      <c r="H319">
        <v>30</v>
      </c>
      <c r="I319" s="4">
        <f t="shared" si="4"/>
        <v>1</v>
      </c>
      <c r="J319" t="s">
        <v>223</v>
      </c>
      <c r="K319">
        <v>10</v>
      </c>
      <c r="L319" t="s">
        <v>478</v>
      </c>
      <c r="M319">
        <v>22</v>
      </c>
    </row>
    <row r="320" spans="1:13">
      <c r="A320" t="s">
        <v>223</v>
      </c>
      <c r="B320">
        <v>10</v>
      </c>
      <c r="C320">
        <v>23</v>
      </c>
      <c r="D320">
        <v>30</v>
      </c>
      <c r="E320">
        <v>0</v>
      </c>
      <c r="F320">
        <v>0</v>
      </c>
      <c r="G320">
        <v>0</v>
      </c>
      <c r="H320">
        <v>30</v>
      </c>
      <c r="I320" s="4">
        <f t="shared" si="4"/>
        <v>1</v>
      </c>
      <c r="J320" t="s">
        <v>223</v>
      </c>
      <c r="K320">
        <v>10</v>
      </c>
      <c r="L320" t="s">
        <v>480</v>
      </c>
      <c r="M320">
        <v>23</v>
      </c>
    </row>
    <row r="321" spans="1:13">
      <c r="A321" t="s">
        <v>223</v>
      </c>
      <c r="B321">
        <v>10</v>
      </c>
      <c r="C321">
        <v>24</v>
      </c>
      <c r="D321">
        <v>30</v>
      </c>
      <c r="E321">
        <v>0</v>
      </c>
      <c r="F321">
        <v>0</v>
      </c>
      <c r="G321">
        <v>0</v>
      </c>
      <c r="H321">
        <v>30</v>
      </c>
      <c r="I321" s="4">
        <f t="shared" si="4"/>
        <v>1</v>
      </c>
      <c r="J321" t="s">
        <v>223</v>
      </c>
      <c r="K321">
        <v>10</v>
      </c>
      <c r="L321" t="s">
        <v>481</v>
      </c>
      <c r="M321">
        <v>24</v>
      </c>
    </row>
    <row r="322" spans="1:13">
      <c r="A322" t="s">
        <v>223</v>
      </c>
      <c r="B322">
        <v>10</v>
      </c>
      <c r="C322">
        <v>25</v>
      </c>
      <c r="D322">
        <v>30</v>
      </c>
      <c r="E322">
        <v>0</v>
      </c>
      <c r="F322">
        <v>0</v>
      </c>
      <c r="G322">
        <v>0</v>
      </c>
      <c r="H322">
        <v>30</v>
      </c>
      <c r="I322" s="4">
        <f t="shared" si="4"/>
        <v>1</v>
      </c>
      <c r="J322" t="s">
        <v>223</v>
      </c>
      <c r="K322">
        <v>10</v>
      </c>
      <c r="L322" t="s">
        <v>482</v>
      </c>
      <c r="M322">
        <v>25</v>
      </c>
    </row>
    <row r="323" spans="1:13">
      <c r="A323" t="s">
        <v>223</v>
      </c>
      <c r="B323">
        <v>10</v>
      </c>
      <c r="C323">
        <v>26</v>
      </c>
      <c r="D323">
        <v>30</v>
      </c>
      <c r="E323">
        <v>0</v>
      </c>
      <c r="F323">
        <v>0</v>
      </c>
      <c r="G323">
        <v>0</v>
      </c>
      <c r="H323">
        <v>30</v>
      </c>
      <c r="I323" s="4">
        <f t="shared" ref="I323:I386" si="5">D323/H323</f>
        <v>1</v>
      </c>
      <c r="J323" t="s">
        <v>223</v>
      </c>
      <c r="K323">
        <v>10</v>
      </c>
      <c r="L323" t="s">
        <v>483</v>
      </c>
      <c r="M323">
        <v>26</v>
      </c>
    </row>
    <row r="324" spans="1:13">
      <c r="A324" t="s">
        <v>223</v>
      </c>
      <c r="B324">
        <v>10</v>
      </c>
      <c r="C324">
        <v>27</v>
      </c>
      <c r="D324">
        <v>30</v>
      </c>
      <c r="E324">
        <v>0</v>
      </c>
      <c r="F324">
        <v>0</v>
      </c>
      <c r="G324">
        <v>0</v>
      </c>
      <c r="H324">
        <v>30</v>
      </c>
      <c r="I324" s="4">
        <f t="shared" si="5"/>
        <v>1</v>
      </c>
      <c r="J324" t="s">
        <v>223</v>
      </c>
      <c r="K324">
        <v>10</v>
      </c>
      <c r="L324" t="s">
        <v>485</v>
      </c>
      <c r="M324">
        <v>27</v>
      </c>
    </row>
    <row r="325" spans="1:13">
      <c r="A325" t="s">
        <v>223</v>
      </c>
      <c r="B325">
        <v>10</v>
      </c>
      <c r="C325">
        <v>28</v>
      </c>
      <c r="D325">
        <v>30</v>
      </c>
      <c r="E325">
        <v>0</v>
      </c>
      <c r="F325">
        <v>0</v>
      </c>
      <c r="G325">
        <v>0</v>
      </c>
      <c r="H325">
        <v>30</v>
      </c>
      <c r="I325" s="4">
        <f t="shared" si="5"/>
        <v>1</v>
      </c>
      <c r="J325" t="s">
        <v>223</v>
      </c>
      <c r="K325">
        <v>10</v>
      </c>
      <c r="L325" t="s">
        <v>484</v>
      </c>
      <c r="M325">
        <v>28</v>
      </c>
    </row>
    <row r="326" spans="1:13">
      <c r="A326" t="s">
        <v>223</v>
      </c>
      <c r="B326">
        <v>10</v>
      </c>
      <c r="C326">
        <v>29</v>
      </c>
      <c r="D326">
        <v>30</v>
      </c>
      <c r="E326">
        <v>0</v>
      </c>
      <c r="F326">
        <v>0</v>
      </c>
      <c r="G326">
        <v>0</v>
      </c>
      <c r="H326">
        <v>30</v>
      </c>
      <c r="I326" s="4">
        <f t="shared" si="5"/>
        <v>1</v>
      </c>
      <c r="J326" t="s">
        <v>223</v>
      </c>
      <c r="K326">
        <v>10</v>
      </c>
      <c r="L326" t="s">
        <v>486</v>
      </c>
      <c r="M326">
        <v>29</v>
      </c>
    </row>
    <row r="327" spans="1:13">
      <c r="A327" t="s">
        <v>223</v>
      </c>
      <c r="B327">
        <v>10</v>
      </c>
      <c r="C327">
        <v>30</v>
      </c>
      <c r="D327">
        <v>30</v>
      </c>
      <c r="E327">
        <v>0</v>
      </c>
      <c r="F327">
        <v>0</v>
      </c>
      <c r="G327">
        <v>0</v>
      </c>
      <c r="H327">
        <v>30</v>
      </c>
      <c r="I327" s="4">
        <f t="shared" si="5"/>
        <v>1</v>
      </c>
      <c r="J327" t="s">
        <v>223</v>
      </c>
      <c r="K327">
        <v>10</v>
      </c>
      <c r="L327" t="s">
        <v>487</v>
      </c>
      <c r="M327">
        <v>30</v>
      </c>
    </row>
    <row r="328" spans="1:13">
      <c r="A328" t="s">
        <v>223</v>
      </c>
      <c r="B328">
        <v>10</v>
      </c>
      <c r="C328">
        <v>31</v>
      </c>
      <c r="D328">
        <v>30</v>
      </c>
      <c r="E328">
        <v>0</v>
      </c>
      <c r="F328">
        <v>0</v>
      </c>
      <c r="G328">
        <v>0</v>
      </c>
      <c r="H328">
        <v>30</v>
      </c>
      <c r="I328" s="4">
        <f t="shared" si="5"/>
        <v>1</v>
      </c>
      <c r="J328" t="s">
        <v>223</v>
      </c>
      <c r="K328">
        <v>10</v>
      </c>
      <c r="L328" t="s">
        <v>488</v>
      </c>
      <c r="M328">
        <v>31</v>
      </c>
    </row>
    <row r="329" spans="1:13">
      <c r="A329" t="s">
        <v>223</v>
      </c>
      <c r="B329">
        <v>10</v>
      </c>
      <c r="C329">
        <v>32</v>
      </c>
      <c r="D329">
        <v>30</v>
      </c>
      <c r="E329">
        <v>0</v>
      </c>
      <c r="F329">
        <v>0</v>
      </c>
      <c r="G329">
        <v>0</v>
      </c>
      <c r="H329">
        <v>30</v>
      </c>
      <c r="I329" s="4">
        <f t="shared" si="5"/>
        <v>1</v>
      </c>
      <c r="J329" t="s">
        <v>223</v>
      </c>
      <c r="K329">
        <v>10</v>
      </c>
      <c r="L329" t="s">
        <v>489</v>
      </c>
      <c r="M329">
        <v>32</v>
      </c>
    </row>
    <row r="330" spans="1:13">
      <c r="A330" t="s">
        <v>224</v>
      </c>
      <c r="B330">
        <v>3</v>
      </c>
      <c r="C330">
        <v>1</v>
      </c>
      <c r="D330">
        <v>130</v>
      </c>
      <c r="E330">
        <v>0</v>
      </c>
      <c r="F330">
        <v>3</v>
      </c>
      <c r="G330">
        <v>0</v>
      </c>
      <c r="H330">
        <v>139</v>
      </c>
      <c r="I330" s="4">
        <f t="shared" si="5"/>
        <v>0.93525179856115104</v>
      </c>
      <c r="J330" t="s">
        <v>224</v>
      </c>
      <c r="K330">
        <v>3</v>
      </c>
      <c r="L330" t="s">
        <v>343</v>
      </c>
      <c r="M330">
        <v>1</v>
      </c>
    </row>
    <row r="331" spans="1:13">
      <c r="A331" t="s">
        <v>224</v>
      </c>
      <c r="B331">
        <v>3</v>
      </c>
      <c r="C331">
        <v>2</v>
      </c>
      <c r="D331">
        <v>139</v>
      </c>
      <c r="E331">
        <v>0</v>
      </c>
      <c r="F331">
        <v>0</v>
      </c>
      <c r="G331">
        <v>0</v>
      </c>
      <c r="H331">
        <v>139</v>
      </c>
      <c r="I331" s="4">
        <f t="shared" si="5"/>
        <v>1</v>
      </c>
      <c r="J331" t="s">
        <v>224</v>
      </c>
      <c r="K331">
        <v>3</v>
      </c>
      <c r="L331" t="s">
        <v>235</v>
      </c>
      <c r="M331">
        <v>2</v>
      </c>
    </row>
    <row r="332" spans="1:13">
      <c r="A332" t="s">
        <v>225</v>
      </c>
      <c r="B332">
        <v>2</v>
      </c>
      <c r="C332">
        <v>1</v>
      </c>
      <c r="D332">
        <v>14</v>
      </c>
      <c r="E332">
        <v>0</v>
      </c>
      <c r="F332">
        <v>10</v>
      </c>
      <c r="G332">
        <v>0</v>
      </c>
      <c r="H332">
        <v>112</v>
      </c>
      <c r="I332" s="4">
        <f t="shared" si="5"/>
        <v>0.125</v>
      </c>
      <c r="J332" t="s">
        <v>225</v>
      </c>
      <c r="K332">
        <v>2</v>
      </c>
      <c r="L332" t="s">
        <v>490</v>
      </c>
      <c r="M332">
        <v>1</v>
      </c>
    </row>
    <row r="333" spans="1:13">
      <c r="A333" t="s">
        <v>225</v>
      </c>
      <c r="B333">
        <v>2</v>
      </c>
      <c r="C333">
        <v>2</v>
      </c>
      <c r="D333">
        <v>26</v>
      </c>
      <c r="E333">
        <v>0</v>
      </c>
      <c r="F333">
        <v>8</v>
      </c>
      <c r="G333">
        <v>0</v>
      </c>
      <c r="H333">
        <v>112</v>
      </c>
      <c r="I333" s="4">
        <f t="shared" si="5"/>
        <v>0.23214285714285715</v>
      </c>
      <c r="J333" t="s">
        <v>225</v>
      </c>
      <c r="K333">
        <v>2</v>
      </c>
      <c r="L333" t="s">
        <v>211</v>
      </c>
      <c r="M333">
        <v>2</v>
      </c>
    </row>
    <row r="334" spans="1:13">
      <c r="A334" t="s">
        <v>225</v>
      </c>
      <c r="B334">
        <v>2</v>
      </c>
      <c r="C334">
        <v>3</v>
      </c>
      <c r="D334">
        <v>39</v>
      </c>
      <c r="E334">
        <v>0</v>
      </c>
      <c r="F334">
        <v>6</v>
      </c>
      <c r="G334">
        <v>0</v>
      </c>
      <c r="H334">
        <v>112</v>
      </c>
      <c r="I334" s="4">
        <f t="shared" si="5"/>
        <v>0.3482142857142857</v>
      </c>
      <c r="J334" t="s">
        <v>225</v>
      </c>
      <c r="K334">
        <v>2</v>
      </c>
      <c r="L334" t="s">
        <v>491</v>
      </c>
      <c r="M334">
        <v>3</v>
      </c>
    </row>
    <row r="335" spans="1:13">
      <c r="A335" t="s">
        <v>225</v>
      </c>
      <c r="B335">
        <v>2</v>
      </c>
      <c r="C335">
        <v>4</v>
      </c>
      <c r="D335">
        <v>50</v>
      </c>
      <c r="E335">
        <v>0</v>
      </c>
      <c r="F335">
        <v>4</v>
      </c>
      <c r="G335">
        <v>0</v>
      </c>
      <c r="H335">
        <v>112</v>
      </c>
      <c r="I335" s="4">
        <f t="shared" si="5"/>
        <v>0.44642857142857145</v>
      </c>
      <c r="J335" t="s">
        <v>225</v>
      </c>
      <c r="K335">
        <v>2</v>
      </c>
      <c r="L335" t="s">
        <v>492</v>
      </c>
      <c r="M335">
        <v>4</v>
      </c>
    </row>
    <row r="336" spans="1:13">
      <c r="A336" t="s">
        <v>225</v>
      </c>
      <c r="B336">
        <v>2</v>
      </c>
      <c r="C336">
        <v>5</v>
      </c>
      <c r="D336">
        <v>62</v>
      </c>
      <c r="E336">
        <v>0</v>
      </c>
      <c r="F336">
        <v>4</v>
      </c>
      <c r="G336">
        <v>0</v>
      </c>
      <c r="H336">
        <v>112</v>
      </c>
      <c r="I336" s="4">
        <f t="shared" si="5"/>
        <v>0.5535714285714286</v>
      </c>
      <c r="J336" t="s">
        <v>225</v>
      </c>
      <c r="K336">
        <v>2</v>
      </c>
      <c r="L336" t="s">
        <v>493</v>
      </c>
      <c r="M336">
        <v>5</v>
      </c>
    </row>
    <row r="337" spans="1:13">
      <c r="A337" t="s">
        <v>225</v>
      </c>
      <c r="B337">
        <v>2</v>
      </c>
      <c r="C337">
        <v>6</v>
      </c>
      <c r="D337">
        <v>72</v>
      </c>
      <c r="E337">
        <v>0</v>
      </c>
      <c r="F337">
        <v>1</v>
      </c>
      <c r="G337">
        <v>0</v>
      </c>
      <c r="H337">
        <v>112</v>
      </c>
      <c r="I337" s="4">
        <f t="shared" si="5"/>
        <v>0.6428571428571429</v>
      </c>
      <c r="J337" t="s">
        <v>225</v>
      </c>
      <c r="K337">
        <v>2</v>
      </c>
      <c r="L337" t="s">
        <v>494</v>
      </c>
      <c r="M337">
        <v>6</v>
      </c>
    </row>
    <row r="338" spans="1:13">
      <c r="A338" t="s">
        <v>225</v>
      </c>
      <c r="B338">
        <v>2</v>
      </c>
      <c r="C338">
        <v>7</v>
      </c>
      <c r="D338">
        <v>72</v>
      </c>
      <c r="E338">
        <v>0</v>
      </c>
      <c r="F338">
        <v>1</v>
      </c>
      <c r="G338">
        <v>0</v>
      </c>
      <c r="H338">
        <v>112</v>
      </c>
      <c r="I338" s="4">
        <f t="shared" si="5"/>
        <v>0.6428571428571429</v>
      </c>
      <c r="J338" t="s">
        <v>225</v>
      </c>
      <c r="K338">
        <v>2</v>
      </c>
      <c r="L338" t="s">
        <v>495</v>
      </c>
      <c r="M338">
        <v>7</v>
      </c>
    </row>
    <row r="339" spans="1:13">
      <c r="A339" t="s">
        <v>225</v>
      </c>
      <c r="B339">
        <v>2</v>
      </c>
      <c r="C339">
        <v>8</v>
      </c>
      <c r="D339">
        <v>72</v>
      </c>
      <c r="E339">
        <v>0</v>
      </c>
      <c r="F339">
        <v>1</v>
      </c>
      <c r="G339">
        <v>0</v>
      </c>
      <c r="H339">
        <v>112</v>
      </c>
      <c r="I339" s="4">
        <f t="shared" si="5"/>
        <v>0.6428571428571429</v>
      </c>
      <c r="J339" t="s">
        <v>225</v>
      </c>
      <c r="K339">
        <v>2</v>
      </c>
      <c r="L339" t="s">
        <v>496</v>
      </c>
      <c r="M339">
        <v>8</v>
      </c>
    </row>
    <row r="340" spans="1:13">
      <c r="A340" t="s">
        <v>225</v>
      </c>
      <c r="B340">
        <v>2</v>
      </c>
      <c r="C340">
        <v>9</v>
      </c>
      <c r="D340">
        <v>72</v>
      </c>
      <c r="E340">
        <v>0</v>
      </c>
      <c r="F340">
        <v>1</v>
      </c>
      <c r="G340">
        <v>0</v>
      </c>
      <c r="H340">
        <v>112</v>
      </c>
      <c r="I340" s="4">
        <f t="shared" si="5"/>
        <v>0.6428571428571429</v>
      </c>
      <c r="J340" t="s">
        <v>225</v>
      </c>
      <c r="K340">
        <v>2</v>
      </c>
      <c r="L340" t="s">
        <v>497</v>
      </c>
      <c r="M340">
        <v>9</v>
      </c>
    </row>
    <row r="341" spans="1:13">
      <c r="A341" t="s">
        <v>225</v>
      </c>
      <c r="B341">
        <v>2</v>
      </c>
      <c r="C341">
        <v>10</v>
      </c>
      <c r="D341">
        <v>89</v>
      </c>
      <c r="E341">
        <v>0</v>
      </c>
      <c r="F341">
        <v>1</v>
      </c>
      <c r="G341">
        <v>0</v>
      </c>
      <c r="H341">
        <v>112</v>
      </c>
      <c r="I341" s="4">
        <f t="shared" si="5"/>
        <v>0.7946428571428571</v>
      </c>
      <c r="J341" t="s">
        <v>225</v>
      </c>
      <c r="K341">
        <v>2</v>
      </c>
      <c r="L341" t="s">
        <v>498</v>
      </c>
      <c r="M341">
        <v>10</v>
      </c>
    </row>
    <row r="342" spans="1:13">
      <c r="A342" t="s">
        <v>225</v>
      </c>
      <c r="B342">
        <v>2</v>
      </c>
      <c r="C342">
        <v>11</v>
      </c>
      <c r="D342">
        <v>89</v>
      </c>
      <c r="E342">
        <v>0</v>
      </c>
      <c r="F342">
        <v>1</v>
      </c>
      <c r="G342">
        <v>0</v>
      </c>
      <c r="H342">
        <v>112</v>
      </c>
      <c r="I342" s="4">
        <f t="shared" si="5"/>
        <v>0.7946428571428571</v>
      </c>
      <c r="J342" t="s">
        <v>225</v>
      </c>
      <c r="K342">
        <v>2</v>
      </c>
      <c r="L342" t="s">
        <v>499</v>
      </c>
      <c r="M342">
        <v>11</v>
      </c>
    </row>
    <row r="343" spans="1:13">
      <c r="A343" t="s">
        <v>225</v>
      </c>
      <c r="B343">
        <v>2</v>
      </c>
      <c r="C343">
        <v>12</v>
      </c>
      <c r="D343">
        <v>112</v>
      </c>
      <c r="E343">
        <v>0</v>
      </c>
      <c r="F343">
        <v>0</v>
      </c>
      <c r="G343">
        <v>0</v>
      </c>
      <c r="H343">
        <v>112</v>
      </c>
      <c r="I343" s="4">
        <f t="shared" si="5"/>
        <v>1</v>
      </c>
      <c r="J343" t="s">
        <v>225</v>
      </c>
      <c r="K343">
        <v>2</v>
      </c>
      <c r="L343" t="s">
        <v>500</v>
      </c>
      <c r="M343">
        <v>12</v>
      </c>
    </row>
    <row r="344" spans="1:13">
      <c r="A344" t="s">
        <v>225</v>
      </c>
      <c r="B344">
        <v>2</v>
      </c>
      <c r="C344">
        <v>13</v>
      </c>
      <c r="D344">
        <v>112</v>
      </c>
      <c r="E344">
        <v>0</v>
      </c>
      <c r="F344">
        <v>0</v>
      </c>
      <c r="G344">
        <v>0</v>
      </c>
      <c r="H344">
        <v>112</v>
      </c>
      <c r="I344" s="4">
        <f t="shared" si="5"/>
        <v>1</v>
      </c>
      <c r="J344" t="s">
        <v>225</v>
      </c>
      <c r="K344">
        <v>2</v>
      </c>
      <c r="L344" t="s">
        <v>501</v>
      </c>
      <c r="M344">
        <v>13</v>
      </c>
    </row>
    <row r="345" spans="1:13">
      <c r="A345" t="s">
        <v>225</v>
      </c>
      <c r="B345">
        <v>2</v>
      </c>
      <c r="C345">
        <v>14</v>
      </c>
      <c r="D345">
        <v>112</v>
      </c>
      <c r="E345">
        <v>0</v>
      </c>
      <c r="F345">
        <v>0</v>
      </c>
      <c r="G345">
        <v>0</v>
      </c>
      <c r="H345">
        <v>112</v>
      </c>
      <c r="I345" s="4">
        <f t="shared" si="5"/>
        <v>1</v>
      </c>
      <c r="J345" t="s">
        <v>225</v>
      </c>
      <c r="K345">
        <v>2</v>
      </c>
      <c r="L345" t="s">
        <v>502</v>
      </c>
      <c r="M345">
        <v>14</v>
      </c>
    </row>
    <row r="346" spans="1:13">
      <c r="A346" t="s">
        <v>225</v>
      </c>
      <c r="B346">
        <v>3</v>
      </c>
      <c r="C346">
        <v>1</v>
      </c>
      <c r="D346">
        <v>19</v>
      </c>
      <c r="E346">
        <v>0</v>
      </c>
      <c r="F346">
        <v>1</v>
      </c>
      <c r="G346">
        <v>0</v>
      </c>
      <c r="H346">
        <v>140</v>
      </c>
      <c r="I346" s="4">
        <f t="shared" si="5"/>
        <v>0.1357142857142857</v>
      </c>
      <c r="J346" t="s">
        <v>225</v>
      </c>
      <c r="K346">
        <v>3</v>
      </c>
      <c r="L346" t="s">
        <v>439</v>
      </c>
      <c r="M346">
        <v>1</v>
      </c>
    </row>
    <row r="347" spans="1:13">
      <c r="A347" t="s">
        <v>225</v>
      </c>
      <c r="B347">
        <v>3</v>
      </c>
      <c r="C347">
        <v>2</v>
      </c>
      <c r="D347">
        <v>28</v>
      </c>
      <c r="E347">
        <v>0</v>
      </c>
      <c r="F347">
        <v>7</v>
      </c>
      <c r="G347">
        <v>0</v>
      </c>
      <c r="H347">
        <v>140</v>
      </c>
      <c r="I347" s="4">
        <f t="shared" si="5"/>
        <v>0.2</v>
      </c>
      <c r="J347" t="s">
        <v>225</v>
      </c>
      <c r="K347">
        <v>3</v>
      </c>
      <c r="L347" t="s">
        <v>503</v>
      </c>
      <c r="M347">
        <v>2</v>
      </c>
    </row>
    <row r="348" spans="1:13">
      <c r="A348" t="s">
        <v>225</v>
      </c>
      <c r="B348">
        <v>3</v>
      </c>
      <c r="C348">
        <v>3</v>
      </c>
      <c r="D348">
        <v>63</v>
      </c>
      <c r="E348">
        <v>0</v>
      </c>
      <c r="F348">
        <v>5</v>
      </c>
      <c r="G348">
        <v>0</v>
      </c>
      <c r="H348">
        <v>140</v>
      </c>
      <c r="I348" s="4">
        <f t="shared" si="5"/>
        <v>0.45</v>
      </c>
      <c r="J348" t="s">
        <v>225</v>
      </c>
      <c r="K348">
        <v>3</v>
      </c>
      <c r="L348" t="s">
        <v>504</v>
      </c>
      <c r="M348">
        <v>3</v>
      </c>
    </row>
    <row r="349" spans="1:13">
      <c r="A349" t="s">
        <v>225</v>
      </c>
      <c r="B349">
        <v>3</v>
      </c>
      <c r="C349">
        <v>4</v>
      </c>
      <c r="D349">
        <v>63</v>
      </c>
      <c r="E349">
        <v>0</v>
      </c>
      <c r="F349">
        <v>5</v>
      </c>
      <c r="G349">
        <v>0</v>
      </c>
      <c r="H349">
        <v>140</v>
      </c>
      <c r="I349" s="4">
        <f t="shared" si="5"/>
        <v>0.45</v>
      </c>
      <c r="J349" t="s">
        <v>225</v>
      </c>
      <c r="K349">
        <v>3</v>
      </c>
      <c r="L349" t="s">
        <v>505</v>
      </c>
      <c r="M349">
        <v>4</v>
      </c>
    </row>
    <row r="350" spans="1:13">
      <c r="A350" t="s">
        <v>225</v>
      </c>
      <c r="B350">
        <v>3</v>
      </c>
      <c r="C350">
        <v>5</v>
      </c>
      <c r="D350">
        <v>120</v>
      </c>
      <c r="E350">
        <v>0</v>
      </c>
      <c r="F350">
        <v>3</v>
      </c>
      <c r="G350">
        <v>0</v>
      </c>
      <c r="H350">
        <v>140</v>
      </c>
      <c r="I350" s="4">
        <f t="shared" si="5"/>
        <v>0.8571428571428571</v>
      </c>
      <c r="J350" t="s">
        <v>225</v>
      </c>
      <c r="K350">
        <v>3</v>
      </c>
      <c r="L350" t="s">
        <v>506</v>
      </c>
      <c r="M350">
        <v>5</v>
      </c>
    </row>
    <row r="351" spans="1:13">
      <c r="A351" t="s">
        <v>225</v>
      </c>
      <c r="B351">
        <v>3</v>
      </c>
      <c r="C351">
        <v>6</v>
      </c>
      <c r="D351">
        <v>140</v>
      </c>
      <c r="E351">
        <v>0</v>
      </c>
      <c r="F351">
        <v>2</v>
      </c>
      <c r="G351">
        <v>0</v>
      </c>
      <c r="H351">
        <v>140</v>
      </c>
      <c r="I351" s="4">
        <f t="shared" si="5"/>
        <v>1</v>
      </c>
      <c r="J351" t="s">
        <v>225</v>
      </c>
      <c r="K351">
        <v>3</v>
      </c>
      <c r="L351" t="s">
        <v>507</v>
      </c>
      <c r="M351">
        <v>6</v>
      </c>
    </row>
    <row r="352" spans="1:13">
      <c r="A352" t="s">
        <v>225</v>
      </c>
      <c r="B352">
        <v>4</v>
      </c>
      <c r="C352">
        <v>1</v>
      </c>
      <c r="D352">
        <v>19</v>
      </c>
      <c r="E352">
        <v>0</v>
      </c>
      <c r="F352">
        <v>1</v>
      </c>
      <c r="G352">
        <v>0</v>
      </c>
      <c r="H352">
        <v>272</v>
      </c>
      <c r="I352" s="4">
        <f t="shared" si="5"/>
        <v>6.985294117647059E-2</v>
      </c>
      <c r="J352" t="s">
        <v>225</v>
      </c>
      <c r="K352">
        <v>4</v>
      </c>
      <c r="L352" t="s">
        <v>439</v>
      </c>
      <c r="M352">
        <v>1</v>
      </c>
    </row>
    <row r="353" spans="1:13">
      <c r="A353" t="s">
        <v>225</v>
      </c>
      <c r="B353">
        <v>4</v>
      </c>
      <c r="C353">
        <v>2</v>
      </c>
      <c r="D353">
        <v>31</v>
      </c>
      <c r="E353">
        <v>0</v>
      </c>
      <c r="F353">
        <v>13</v>
      </c>
      <c r="G353">
        <v>0</v>
      </c>
      <c r="H353">
        <v>272</v>
      </c>
      <c r="I353" s="4">
        <f t="shared" si="5"/>
        <v>0.11397058823529412</v>
      </c>
      <c r="J353" t="s">
        <v>225</v>
      </c>
      <c r="K353">
        <v>4</v>
      </c>
      <c r="L353" t="s">
        <v>508</v>
      </c>
      <c r="M353">
        <v>2</v>
      </c>
    </row>
    <row r="354" spans="1:13">
      <c r="A354" t="s">
        <v>225</v>
      </c>
      <c r="B354">
        <v>4</v>
      </c>
      <c r="C354">
        <v>3</v>
      </c>
      <c r="D354">
        <v>66</v>
      </c>
      <c r="E354">
        <v>0</v>
      </c>
      <c r="F354">
        <v>11</v>
      </c>
      <c r="G354">
        <v>0</v>
      </c>
      <c r="H354">
        <v>272</v>
      </c>
      <c r="I354" s="4">
        <f t="shared" si="5"/>
        <v>0.24264705882352941</v>
      </c>
      <c r="J354" t="s">
        <v>225</v>
      </c>
      <c r="K354">
        <v>4</v>
      </c>
      <c r="L354" t="s">
        <v>505</v>
      </c>
      <c r="M354">
        <v>3</v>
      </c>
    </row>
    <row r="355" spans="1:13">
      <c r="A355" t="s">
        <v>225</v>
      </c>
      <c r="B355">
        <v>4</v>
      </c>
      <c r="C355">
        <v>4</v>
      </c>
      <c r="D355">
        <v>101</v>
      </c>
      <c r="E355">
        <v>0</v>
      </c>
      <c r="F355">
        <v>9</v>
      </c>
      <c r="G355">
        <v>0</v>
      </c>
      <c r="H355">
        <v>272</v>
      </c>
      <c r="I355" s="4">
        <f t="shared" si="5"/>
        <v>0.37132352941176472</v>
      </c>
      <c r="J355" t="s">
        <v>225</v>
      </c>
      <c r="K355">
        <v>4</v>
      </c>
      <c r="L355" t="s">
        <v>504</v>
      </c>
      <c r="M355">
        <v>4</v>
      </c>
    </row>
    <row r="356" spans="1:13">
      <c r="A356" t="s">
        <v>225</v>
      </c>
      <c r="B356">
        <v>4</v>
      </c>
      <c r="C356">
        <v>5</v>
      </c>
      <c r="D356">
        <v>154</v>
      </c>
      <c r="E356">
        <v>0</v>
      </c>
      <c r="F356">
        <v>7</v>
      </c>
      <c r="G356">
        <v>0</v>
      </c>
      <c r="H356">
        <v>272</v>
      </c>
      <c r="I356" s="4">
        <f t="shared" si="5"/>
        <v>0.56617647058823528</v>
      </c>
      <c r="J356" t="s">
        <v>225</v>
      </c>
      <c r="K356">
        <v>4</v>
      </c>
      <c r="L356" t="s">
        <v>506</v>
      </c>
      <c r="M356">
        <v>5</v>
      </c>
    </row>
    <row r="357" spans="1:13">
      <c r="A357" t="s">
        <v>225</v>
      </c>
      <c r="B357">
        <v>4</v>
      </c>
      <c r="C357">
        <v>6</v>
      </c>
      <c r="D357">
        <v>175</v>
      </c>
      <c r="E357">
        <v>0</v>
      </c>
      <c r="F357">
        <v>5</v>
      </c>
      <c r="G357">
        <v>0</v>
      </c>
      <c r="H357">
        <v>272</v>
      </c>
      <c r="I357" s="4">
        <f t="shared" si="5"/>
        <v>0.64338235294117652</v>
      </c>
      <c r="J357" t="s">
        <v>225</v>
      </c>
      <c r="K357">
        <v>4</v>
      </c>
      <c r="L357" t="s">
        <v>507</v>
      </c>
      <c r="M357">
        <v>6</v>
      </c>
    </row>
    <row r="358" spans="1:13">
      <c r="A358" t="s">
        <v>225</v>
      </c>
      <c r="B358">
        <v>4</v>
      </c>
      <c r="C358">
        <v>7</v>
      </c>
      <c r="D358">
        <v>202</v>
      </c>
      <c r="E358">
        <v>0</v>
      </c>
      <c r="F358">
        <v>3</v>
      </c>
      <c r="G358">
        <v>0</v>
      </c>
      <c r="H358">
        <v>272</v>
      </c>
      <c r="I358" s="4">
        <f t="shared" si="5"/>
        <v>0.74264705882352944</v>
      </c>
      <c r="J358" t="s">
        <v>225</v>
      </c>
      <c r="K358">
        <v>4</v>
      </c>
      <c r="L358" t="s">
        <v>509</v>
      </c>
      <c r="M358">
        <v>7</v>
      </c>
    </row>
    <row r="359" spans="1:13">
      <c r="A359" t="s">
        <v>225</v>
      </c>
      <c r="B359">
        <v>4</v>
      </c>
      <c r="C359">
        <v>8</v>
      </c>
      <c r="D359">
        <v>234</v>
      </c>
      <c r="E359">
        <v>0</v>
      </c>
      <c r="F359">
        <v>1</v>
      </c>
      <c r="G359">
        <v>0</v>
      </c>
      <c r="H359">
        <v>272</v>
      </c>
      <c r="I359" s="4">
        <f t="shared" si="5"/>
        <v>0.86029411764705888</v>
      </c>
      <c r="J359" t="s">
        <v>225</v>
      </c>
      <c r="K359">
        <v>4</v>
      </c>
      <c r="L359" t="s">
        <v>510</v>
      </c>
      <c r="M359">
        <v>8</v>
      </c>
    </row>
    <row r="360" spans="1:13">
      <c r="A360" t="s">
        <v>225</v>
      </c>
      <c r="B360">
        <v>4</v>
      </c>
      <c r="C360">
        <v>9</v>
      </c>
      <c r="D360">
        <v>272</v>
      </c>
      <c r="E360">
        <v>0</v>
      </c>
      <c r="F360">
        <v>0</v>
      </c>
      <c r="G360">
        <v>0</v>
      </c>
      <c r="H360">
        <v>272</v>
      </c>
      <c r="I360" s="4">
        <f t="shared" si="5"/>
        <v>1</v>
      </c>
      <c r="J360" t="s">
        <v>225</v>
      </c>
      <c r="K360">
        <v>4</v>
      </c>
      <c r="L360" t="s">
        <v>511</v>
      </c>
      <c r="M360">
        <v>9</v>
      </c>
    </row>
    <row r="361" spans="1:13">
      <c r="A361" t="s">
        <v>225</v>
      </c>
      <c r="B361">
        <v>5</v>
      </c>
      <c r="C361">
        <v>1</v>
      </c>
      <c r="D361">
        <v>8</v>
      </c>
      <c r="E361">
        <v>0</v>
      </c>
      <c r="F361">
        <v>3</v>
      </c>
      <c r="G361">
        <v>0</v>
      </c>
      <c r="H361">
        <v>22</v>
      </c>
      <c r="I361" s="4">
        <f t="shared" si="5"/>
        <v>0.36363636363636365</v>
      </c>
      <c r="J361" t="s">
        <v>225</v>
      </c>
      <c r="K361">
        <v>5</v>
      </c>
      <c r="L361" t="s">
        <v>203</v>
      </c>
      <c r="M361">
        <v>1</v>
      </c>
    </row>
    <row r="362" spans="1:13">
      <c r="A362" t="s">
        <v>225</v>
      </c>
      <c r="B362">
        <v>5</v>
      </c>
      <c r="C362">
        <v>2</v>
      </c>
      <c r="D362">
        <v>12</v>
      </c>
      <c r="E362">
        <v>0</v>
      </c>
      <c r="F362">
        <v>3</v>
      </c>
      <c r="G362">
        <v>0</v>
      </c>
      <c r="H362">
        <v>22</v>
      </c>
      <c r="I362" s="4">
        <f t="shared" si="5"/>
        <v>0.54545454545454541</v>
      </c>
      <c r="J362" t="s">
        <v>225</v>
      </c>
      <c r="K362">
        <v>5</v>
      </c>
      <c r="L362" t="s">
        <v>179</v>
      </c>
      <c r="M362">
        <v>2</v>
      </c>
    </row>
    <row r="363" spans="1:13">
      <c r="A363" t="s">
        <v>225</v>
      </c>
      <c r="B363">
        <v>5</v>
      </c>
      <c r="C363">
        <v>3</v>
      </c>
      <c r="D363">
        <v>16</v>
      </c>
      <c r="E363">
        <v>0</v>
      </c>
      <c r="F363">
        <v>3</v>
      </c>
      <c r="G363">
        <v>0</v>
      </c>
      <c r="H363">
        <v>22</v>
      </c>
      <c r="I363" s="4">
        <f t="shared" si="5"/>
        <v>0.72727272727272729</v>
      </c>
      <c r="J363" t="s">
        <v>225</v>
      </c>
      <c r="K363">
        <v>5</v>
      </c>
      <c r="L363" t="s">
        <v>215</v>
      </c>
      <c r="M363">
        <v>3</v>
      </c>
    </row>
    <row r="364" spans="1:13">
      <c r="A364" t="s">
        <v>225</v>
      </c>
      <c r="B364">
        <v>5</v>
      </c>
      <c r="C364">
        <v>4</v>
      </c>
      <c r="D364">
        <v>17</v>
      </c>
      <c r="E364">
        <v>0</v>
      </c>
      <c r="F364">
        <v>2</v>
      </c>
      <c r="G364">
        <v>0</v>
      </c>
      <c r="H364">
        <v>22</v>
      </c>
      <c r="I364" s="4">
        <f t="shared" si="5"/>
        <v>0.77272727272727271</v>
      </c>
      <c r="J364" t="s">
        <v>225</v>
      </c>
      <c r="K364">
        <v>5</v>
      </c>
      <c r="L364" t="s">
        <v>204</v>
      </c>
      <c r="M364">
        <v>4</v>
      </c>
    </row>
    <row r="365" spans="1:13">
      <c r="A365" t="s">
        <v>225</v>
      </c>
      <c r="B365">
        <v>5</v>
      </c>
      <c r="C365">
        <v>5</v>
      </c>
      <c r="D365">
        <v>19</v>
      </c>
      <c r="E365">
        <v>0</v>
      </c>
      <c r="F365">
        <v>2</v>
      </c>
      <c r="G365">
        <v>0</v>
      </c>
      <c r="H365">
        <v>22</v>
      </c>
      <c r="I365" s="4">
        <f t="shared" si="5"/>
        <v>0.86363636363636365</v>
      </c>
      <c r="J365" t="s">
        <v>225</v>
      </c>
      <c r="K365">
        <v>5</v>
      </c>
      <c r="L365" t="s">
        <v>443</v>
      </c>
      <c r="M365">
        <v>5</v>
      </c>
    </row>
    <row r="366" spans="1:13">
      <c r="A366" t="s">
        <v>225</v>
      </c>
      <c r="B366">
        <v>5</v>
      </c>
      <c r="C366">
        <v>6</v>
      </c>
      <c r="D366">
        <v>22</v>
      </c>
      <c r="E366">
        <v>0</v>
      </c>
      <c r="F366">
        <v>0</v>
      </c>
      <c r="G366">
        <v>0</v>
      </c>
      <c r="H366">
        <v>22</v>
      </c>
      <c r="I366" s="4">
        <f t="shared" si="5"/>
        <v>1</v>
      </c>
      <c r="J366" t="s">
        <v>225</v>
      </c>
      <c r="K366">
        <v>5</v>
      </c>
      <c r="L366" t="s">
        <v>512</v>
      </c>
      <c r="M366">
        <v>6</v>
      </c>
    </row>
    <row r="367" spans="1:13">
      <c r="A367" t="s">
        <v>225</v>
      </c>
      <c r="B367">
        <v>6</v>
      </c>
      <c r="C367">
        <v>1</v>
      </c>
      <c r="D367">
        <v>6</v>
      </c>
      <c r="E367">
        <v>0</v>
      </c>
      <c r="F367">
        <v>5</v>
      </c>
      <c r="G367">
        <v>0</v>
      </c>
      <c r="H367">
        <v>21</v>
      </c>
      <c r="I367" s="4">
        <f t="shared" si="5"/>
        <v>0.2857142857142857</v>
      </c>
      <c r="J367" t="s">
        <v>225</v>
      </c>
      <c r="K367">
        <v>6</v>
      </c>
      <c r="L367" t="s">
        <v>513</v>
      </c>
      <c r="M367">
        <v>1</v>
      </c>
    </row>
    <row r="368" spans="1:13">
      <c r="A368" t="s">
        <v>225</v>
      </c>
      <c r="B368">
        <v>6</v>
      </c>
      <c r="C368">
        <v>2</v>
      </c>
      <c r="D368">
        <v>10</v>
      </c>
      <c r="E368">
        <v>0</v>
      </c>
      <c r="F368">
        <v>4</v>
      </c>
      <c r="G368">
        <v>0</v>
      </c>
      <c r="H368">
        <v>21</v>
      </c>
      <c r="I368" s="4">
        <f t="shared" si="5"/>
        <v>0.47619047619047616</v>
      </c>
      <c r="J368" t="s">
        <v>225</v>
      </c>
      <c r="K368">
        <v>6</v>
      </c>
      <c r="L368" t="s">
        <v>514</v>
      </c>
      <c r="M368">
        <v>2</v>
      </c>
    </row>
    <row r="369" spans="1:13">
      <c r="A369" t="s">
        <v>225</v>
      </c>
      <c r="B369">
        <v>6</v>
      </c>
      <c r="C369">
        <v>3</v>
      </c>
      <c r="D369">
        <v>10</v>
      </c>
      <c r="E369">
        <v>0</v>
      </c>
      <c r="F369">
        <v>4</v>
      </c>
      <c r="G369">
        <v>0</v>
      </c>
      <c r="H369">
        <v>21</v>
      </c>
      <c r="I369" s="4">
        <f t="shared" si="5"/>
        <v>0.47619047619047616</v>
      </c>
      <c r="J369" t="s">
        <v>225</v>
      </c>
      <c r="K369">
        <v>6</v>
      </c>
      <c r="L369" t="s">
        <v>515</v>
      </c>
      <c r="M369">
        <v>3</v>
      </c>
    </row>
    <row r="370" spans="1:13">
      <c r="A370" t="s">
        <v>225</v>
      </c>
      <c r="B370">
        <v>6</v>
      </c>
      <c r="C370">
        <v>4</v>
      </c>
      <c r="D370">
        <v>16</v>
      </c>
      <c r="E370">
        <v>0</v>
      </c>
      <c r="F370">
        <v>4</v>
      </c>
      <c r="G370">
        <v>0</v>
      </c>
      <c r="H370">
        <v>21</v>
      </c>
      <c r="I370" s="4">
        <f t="shared" si="5"/>
        <v>0.76190476190476186</v>
      </c>
      <c r="J370" t="s">
        <v>225</v>
      </c>
      <c r="K370">
        <v>6</v>
      </c>
      <c r="L370" t="s">
        <v>520</v>
      </c>
      <c r="M370">
        <v>4</v>
      </c>
    </row>
    <row r="371" spans="1:13">
      <c r="A371" t="s">
        <v>225</v>
      </c>
      <c r="B371">
        <v>6</v>
      </c>
      <c r="C371">
        <v>5</v>
      </c>
      <c r="D371">
        <v>18</v>
      </c>
      <c r="E371">
        <v>0</v>
      </c>
      <c r="F371">
        <v>2</v>
      </c>
      <c r="G371">
        <v>0</v>
      </c>
      <c r="H371">
        <v>21</v>
      </c>
      <c r="I371" s="4">
        <f t="shared" si="5"/>
        <v>0.8571428571428571</v>
      </c>
      <c r="J371" t="s">
        <v>225</v>
      </c>
      <c r="K371">
        <v>6</v>
      </c>
      <c r="L371" t="s">
        <v>516</v>
      </c>
      <c r="M371">
        <v>5</v>
      </c>
    </row>
    <row r="372" spans="1:13">
      <c r="A372" t="s">
        <v>225</v>
      </c>
      <c r="B372">
        <v>6</v>
      </c>
      <c r="C372">
        <v>6</v>
      </c>
      <c r="D372">
        <v>18</v>
      </c>
      <c r="E372">
        <v>0</v>
      </c>
      <c r="F372">
        <v>2</v>
      </c>
      <c r="G372">
        <v>0</v>
      </c>
      <c r="H372">
        <v>21</v>
      </c>
      <c r="I372" s="4">
        <f t="shared" si="5"/>
        <v>0.8571428571428571</v>
      </c>
      <c r="J372" t="s">
        <v>225</v>
      </c>
      <c r="K372">
        <v>6</v>
      </c>
      <c r="L372" t="s">
        <v>517</v>
      </c>
      <c r="M372">
        <v>6</v>
      </c>
    </row>
    <row r="373" spans="1:13">
      <c r="A373" t="s">
        <v>225</v>
      </c>
      <c r="B373">
        <v>6</v>
      </c>
      <c r="C373">
        <v>7</v>
      </c>
      <c r="D373">
        <v>21</v>
      </c>
      <c r="E373">
        <v>0</v>
      </c>
      <c r="F373">
        <v>0</v>
      </c>
      <c r="G373">
        <v>0</v>
      </c>
      <c r="H373">
        <v>21</v>
      </c>
      <c r="I373" s="4">
        <f t="shared" si="5"/>
        <v>1</v>
      </c>
      <c r="J373" t="s">
        <v>225</v>
      </c>
      <c r="K373">
        <v>6</v>
      </c>
      <c r="L373" t="s">
        <v>518</v>
      </c>
      <c r="M373">
        <v>7</v>
      </c>
    </row>
    <row r="374" spans="1:13">
      <c r="A374" t="s">
        <v>225</v>
      </c>
      <c r="B374">
        <v>6</v>
      </c>
      <c r="C374">
        <v>8</v>
      </c>
      <c r="D374">
        <v>21</v>
      </c>
      <c r="E374">
        <v>0</v>
      </c>
      <c r="F374">
        <v>0</v>
      </c>
      <c r="G374">
        <v>0</v>
      </c>
      <c r="H374">
        <v>21</v>
      </c>
      <c r="I374" s="4">
        <f t="shared" si="5"/>
        <v>1</v>
      </c>
      <c r="J374" t="s">
        <v>225</v>
      </c>
      <c r="K374">
        <v>6</v>
      </c>
      <c r="L374" t="s">
        <v>519</v>
      </c>
      <c r="M374">
        <v>8</v>
      </c>
    </row>
    <row r="375" spans="1:13">
      <c r="A375" t="s">
        <v>225</v>
      </c>
      <c r="B375">
        <v>6</v>
      </c>
      <c r="C375">
        <v>9</v>
      </c>
      <c r="D375">
        <v>21</v>
      </c>
      <c r="E375">
        <v>0</v>
      </c>
      <c r="F375">
        <v>0</v>
      </c>
      <c r="G375">
        <v>0</v>
      </c>
      <c r="H375">
        <v>21</v>
      </c>
      <c r="I375" s="4">
        <f t="shared" si="5"/>
        <v>1</v>
      </c>
      <c r="J375" t="s">
        <v>225</v>
      </c>
      <c r="K375">
        <v>6</v>
      </c>
      <c r="L375" t="s">
        <v>522</v>
      </c>
      <c r="M375">
        <v>9</v>
      </c>
    </row>
    <row r="376" spans="1:13">
      <c r="A376" t="s">
        <v>225</v>
      </c>
      <c r="B376">
        <v>6</v>
      </c>
      <c r="C376">
        <v>10</v>
      </c>
      <c r="D376">
        <v>21</v>
      </c>
      <c r="E376">
        <v>0</v>
      </c>
      <c r="F376">
        <v>0</v>
      </c>
      <c r="G376">
        <v>0</v>
      </c>
      <c r="H376">
        <v>21</v>
      </c>
      <c r="I376" s="4">
        <f t="shared" si="5"/>
        <v>1</v>
      </c>
      <c r="J376" t="s">
        <v>225</v>
      </c>
      <c r="K376">
        <v>6</v>
      </c>
      <c r="L376" t="s">
        <v>521</v>
      </c>
      <c r="M376">
        <v>10</v>
      </c>
    </row>
    <row r="377" spans="1:13">
      <c r="A377" t="s">
        <v>225</v>
      </c>
      <c r="B377">
        <v>7</v>
      </c>
      <c r="C377">
        <v>1</v>
      </c>
      <c r="D377">
        <v>24</v>
      </c>
      <c r="E377">
        <v>0</v>
      </c>
      <c r="F377">
        <v>7</v>
      </c>
      <c r="G377">
        <v>0</v>
      </c>
      <c r="H377">
        <v>120</v>
      </c>
      <c r="I377" s="4">
        <f t="shared" si="5"/>
        <v>0.2</v>
      </c>
      <c r="J377" t="s">
        <v>225</v>
      </c>
      <c r="K377">
        <v>7</v>
      </c>
      <c r="L377" t="s">
        <v>523</v>
      </c>
      <c r="M377">
        <v>1</v>
      </c>
    </row>
    <row r="378" spans="1:13">
      <c r="A378" t="s">
        <v>225</v>
      </c>
      <c r="B378">
        <v>7</v>
      </c>
      <c r="C378">
        <v>2</v>
      </c>
      <c r="D378">
        <v>35</v>
      </c>
      <c r="E378">
        <v>0</v>
      </c>
      <c r="F378">
        <v>7</v>
      </c>
      <c r="G378">
        <v>0</v>
      </c>
      <c r="H378">
        <v>120</v>
      </c>
      <c r="I378" s="4">
        <f t="shared" si="5"/>
        <v>0.29166666666666669</v>
      </c>
      <c r="J378" t="s">
        <v>225</v>
      </c>
      <c r="K378">
        <v>7</v>
      </c>
      <c r="L378" t="s">
        <v>524</v>
      </c>
      <c r="M378">
        <v>2</v>
      </c>
    </row>
    <row r="379" spans="1:13">
      <c r="A379" t="s">
        <v>225</v>
      </c>
      <c r="B379">
        <v>7</v>
      </c>
      <c r="C379">
        <v>3</v>
      </c>
      <c r="D379">
        <v>39</v>
      </c>
      <c r="E379">
        <v>0</v>
      </c>
      <c r="F379">
        <v>11</v>
      </c>
      <c r="G379">
        <v>0</v>
      </c>
      <c r="H379">
        <v>120</v>
      </c>
      <c r="I379" s="4">
        <f t="shared" si="5"/>
        <v>0.32500000000000001</v>
      </c>
      <c r="J379" t="s">
        <v>225</v>
      </c>
      <c r="K379">
        <v>7</v>
      </c>
      <c r="L379" t="s">
        <v>526</v>
      </c>
      <c r="M379">
        <v>3</v>
      </c>
    </row>
    <row r="380" spans="1:13">
      <c r="A380" t="s">
        <v>225</v>
      </c>
      <c r="B380">
        <v>7</v>
      </c>
      <c r="C380">
        <v>4</v>
      </c>
      <c r="D380">
        <v>52</v>
      </c>
      <c r="E380">
        <v>0</v>
      </c>
      <c r="F380">
        <v>11</v>
      </c>
      <c r="G380">
        <v>0</v>
      </c>
      <c r="H380">
        <v>120</v>
      </c>
      <c r="I380" s="4">
        <f t="shared" si="5"/>
        <v>0.43333333333333335</v>
      </c>
      <c r="J380" t="s">
        <v>225</v>
      </c>
      <c r="K380">
        <v>7</v>
      </c>
      <c r="L380" t="s">
        <v>525</v>
      </c>
      <c r="M380">
        <v>4</v>
      </c>
    </row>
    <row r="381" spans="1:13">
      <c r="A381" t="s">
        <v>225</v>
      </c>
      <c r="B381">
        <v>7</v>
      </c>
      <c r="C381">
        <v>5</v>
      </c>
      <c r="D381">
        <v>68</v>
      </c>
      <c r="E381">
        <v>0</v>
      </c>
      <c r="F381">
        <v>9</v>
      </c>
      <c r="G381">
        <v>0</v>
      </c>
      <c r="H381">
        <v>120</v>
      </c>
      <c r="I381" s="4">
        <f t="shared" si="5"/>
        <v>0.56666666666666665</v>
      </c>
      <c r="J381" t="s">
        <v>225</v>
      </c>
      <c r="K381">
        <v>7</v>
      </c>
      <c r="L381" t="s">
        <v>527</v>
      </c>
      <c r="M381">
        <v>5</v>
      </c>
    </row>
    <row r="382" spans="1:13">
      <c r="A382" t="s">
        <v>225</v>
      </c>
      <c r="B382">
        <v>7</v>
      </c>
      <c r="C382">
        <v>6</v>
      </c>
      <c r="D382">
        <v>71</v>
      </c>
      <c r="E382">
        <v>0</v>
      </c>
      <c r="F382">
        <v>7</v>
      </c>
      <c r="G382">
        <v>0</v>
      </c>
      <c r="H382">
        <v>120</v>
      </c>
      <c r="I382" s="4">
        <f t="shared" si="5"/>
        <v>0.59166666666666667</v>
      </c>
      <c r="J382" t="s">
        <v>225</v>
      </c>
      <c r="K382">
        <v>7</v>
      </c>
      <c r="L382" t="s">
        <v>528</v>
      </c>
      <c r="M382">
        <v>6</v>
      </c>
    </row>
    <row r="383" spans="1:13">
      <c r="A383" t="s">
        <v>225</v>
      </c>
      <c r="B383">
        <v>7</v>
      </c>
      <c r="C383">
        <v>7</v>
      </c>
      <c r="D383">
        <v>78</v>
      </c>
      <c r="E383">
        <v>0</v>
      </c>
      <c r="F383">
        <v>5</v>
      </c>
      <c r="G383">
        <v>0</v>
      </c>
      <c r="H383">
        <v>120</v>
      </c>
      <c r="I383" s="4">
        <f t="shared" si="5"/>
        <v>0.65</v>
      </c>
      <c r="J383" t="s">
        <v>225</v>
      </c>
      <c r="K383">
        <v>7</v>
      </c>
      <c r="L383" t="s">
        <v>529</v>
      </c>
      <c r="M383">
        <v>7</v>
      </c>
    </row>
    <row r="384" spans="1:13">
      <c r="A384" t="s">
        <v>225</v>
      </c>
      <c r="B384">
        <v>7</v>
      </c>
      <c r="C384">
        <v>8</v>
      </c>
      <c r="D384">
        <v>88</v>
      </c>
      <c r="E384">
        <v>0</v>
      </c>
      <c r="F384">
        <v>3</v>
      </c>
      <c r="G384">
        <v>0</v>
      </c>
      <c r="H384">
        <v>120</v>
      </c>
      <c r="I384" s="4">
        <f t="shared" si="5"/>
        <v>0.73333333333333328</v>
      </c>
      <c r="J384" t="s">
        <v>225</v>
      </c>
      <c r="K384">
        <v>7</v>
      </c>
      <c r="L384" t="s">
        <v>530</v>
      </c>
      <c r="M384">
        <v>8</v>
      </c>
    </row>
    <row r="385" spans="1:13">
      <c r="A385" t="s">
        <v>225</v>
      </c>
      <c r="B385">
        <v>7</v>
      </c>
      <c r="C385">
        <v>9</v>
      </c>
      <c r="D385">
        <v>102</v>
      </c>
      <c r="E385">
        <v>0</v>
      </c>
      <c r="F385">
        <v>1</v>
      </c>
      <c r="G385">
        <v>0</v>
      </c>
      <c r="H385">
        <v>120</v>
      </c>
      <c r="I385" s="4">
        <f t="shared" si="5"/>
        <v>0.85</v>
      </c>
      <c r="J385" t="s">
        <v>225</v>
      </c>
      <c r="K385">
        <v>7</v>
      </c>
      <c r="L385" t="s">
        <v>531</v>
      </c>
      <c r="M385">
        <v>9</v>
      </c>
    </row>
    <row r="386" spans="1:13">
      <c r="A386" t="s">
        <v>225</v>
      </c>
      <c r="B386">
        <v>7</v>
      </c>
      <c r="C386">
        <v>10</v>
      </c>
      <c r="D386">
        <v>120</v>
      </c>
      <c r="E386">
        <v>0</v>
      </c>
      <c r="F386">
        <v>0</v>
      </c>
      <c r="G386">
        <v>0</v>
      </c>
      <c r="H386">
        <v>120</v>
      </c>
      <c r="I386" s="4">
        <f t="shared" si="5"/>
        <v>1</v>
      </c>
      <c r="J386" t="s">
        <v>225</v>
      </c>
      <c r="K386">
        <v>7</v>
      </c>
      <c r="L386" t="s">
        <v>532</v>
      </c>
      <c r="M386">
        <v>10</v>
      </c>
    </row>
    <row r="387" spans="1:13">
      <c r="A387" t="s">
        <v>225</v>
      </c>
      <c r="B387">
        <v>8</v>
      </c>
      <c r="C387">
        <v>1</v>
      </c>
      <c r="D387">
        <v>19</v>
      </c>
      <c r="E387">
        <v>0</v>
      </c>
      <c r="F387">
        <v>1</v>
      </c>
      <c r="G387">
        <v>0</v>
      </c>
      <c r="H387">
        <v>162</v>
      </c>
      <c r="I387" s="4">
        <f t="shared" ref="I387:I450" si="6">D387/H387</f>
        <v>0.11728395061728394</v>
      </c>
      <c r="J387" t="s">
        <v>225</v>
      </c>
      <c r="K387">
        <v>8</v>
      </c>
      <c r="L387" t="s">
        <v>439</v>
      </c>
      <c r="M387">
        <v>1</v>
      </c>
    </row>
    <row r="388" spans="1:13">
      <c r="A388" t="s">
        <v>225</v>
      </c>
      <c r="B388">
        <v>8</v>
      </c>
      <c r="C388">
        <v>2</v>
      </c>
      <c r="D388">
        <v>28</v>
      </c>
      <c r="E388">
        <v>0</v>
      </c>
      <c r="F388">
        <v>7</v>
      </c>
      <c r="G388">
        <v>0</v>
      </c>
      <c r="H388">
        <v>162</v>
      </c>
      <c r="I388" s="4">
        <f t="shared" si="6"/>
        <v>0.1728395061728395</v>
      </c>
      <c r="J388" t="s">
        <v>225</v>
      </c>
      <c r="K388">
        <v>8</v>
      </c>
      <c r="L388" t="s">
        <v>533</v>
      </c>
      <c r="M388">
        <v>2</v>
      </c>
    </row>
    <row r="389" spans="1:13">
      <c r="A389" t="s">
        <v>225</v>
      </c>
      <c r="B389">
        <v>8</v>
      </c>
      <c r="C389">
        <v>3</v>
      </c>
      <c r="D389">
        <v>63</v>
      </c>
      <c r="E389">
        <v>0</v>
      </c>
      <c r="F389">
        <v>5</v>
      </c>
      <c r="G389">
        <v>0</v>
      </c>
      <c r="H389">
        <v>162</v>
      </c>
      <c r="I389" s="4">
        <f t="shared" si="6"/>
        <v>0.3888888888888889</v>
      </c>
      <c r="J389" t="s">
        <v>225</v>
      </c>
      <c r="K389">
        <v>8</v>
      </c>
      <c r="L389" t="s">
        <v>505</v>
      </c>
      <c r="M389">
        <v>3</v>
      </c>
    </row>
    <row r="390" spans="1:13">
      <c r="A390" t="s">
        <v>225</v>
      </c>
      <c r="B390">
        <v>8</v>
      </c>
      <c r="C390">
        <v>4</v>
      </c>
      <c r="D390">
        <v>107</v>
      </c>
      <c r="E390">
        <v>0</v>
      </c>
      <c r="F390">
        <v>3</v>
      </c>
      <c r="G390">
        <v>0</v>
      </c>
      <c r="H390">
        <v>162</v>
      </c>
      <c r="I390" s="4">
        <f t="shared" si="6"/>
        <v>0.66049382716049387</v>
      </c>
      <c r="J390" t="s">
        <v>225</v>
      </c>
      <c r="K390">
        <v>8</v>
      </c>
      <c r="L390" t="s">
        <v>534</v>
      </c>
      <c r="M390">
        <v>4</v>
      </c>
    </row>
    <row r="391" spans="1:13">
      <c r="A391" t="s">
        <v>225</v>
      </c>
      <c r="B391">
        <v>8</v>
      </c>
      <c r="C391">
        <v>5</v>
      </c>
      <c r="D391">
        <v>140</v>
      </c>
      <c r="E391">
        <v>0</v>
      </c>
      <c r="F391">
        <v>1</v>
      </c>
      <c r="G391">
        <v>0</v>
      </c>
      <c r="H391">
        <v>162</v>
      </c>
      <c r="I391" s="4">
        <f t="shared" si="6"/>
        <v>0.86419753086419748</v>
      </c>
      <c r="J391" t="s">
        <v>225</v>
      </c>
      <c r="K391">
        <v>8</v>
      </c>
      <c r="L391" t="s">
        <v>535</v>
      </c>
      <c r="M391">
        <v>5</v>
      </c>
    </row>
    <row r="392" spans="1:13">
      <c r="A392" t="s">
        <v>225</v>
      </c>
      <c r="B392">
        <v>8</v>
      </c>
      <c r="C392">
        <v>6</v>
      </c>
      <c r="D392">
        <v>162</v>
      </c>
      <c r="E392">
        <v>0</v>
      </c>
      <c r="F392">
        <v>0</v>
      </c>
      <c r="G392">
        <v>0</v>
      </c>
      <c r="H392">
        <v>162</v>
      </c>
      <c r="I392" s="4">
        <f t="shared" si="6"/>
        <v>1</v>
      </c>
      <c r="J392" t="s">
        <v>225</v>
      </c>
      <c r="K392">
        <v>8</v>
      </c>
      <c r="L392" t="s">
        <v>536</v>
      </c>
      <c r="M392">
        <v>6</v>
      </c>
    </row>
    <row r="393" spans="1:13">
      <c r="A393" t="s">
        <v>225</v>
      </c>
      <c r="B393">
        <v>9</v>
      </c>
      <c r="C393">
        <v>1</v>
      </c>
      <c r="D393">
        <v>19</v>
      </c>
      <c r="E393">
        <v>0</v>
      </c>
      <c r="F393">
        <v>1</v>
      </c>
      <c r="G393">
        <v>0</v>
      </c>
      <c r="H393">
        <v>258</v>
      </c>
      <c r="I393" s="4">
        <f t="shared" si="6"/>
        <v>7.3643410852713184E-2</v>
      </c>
      <c r="J393" t="s">
        <v>225</v>
      </c>
      <c r="K393">
        <v>9</v>
      </c>
      <c r="L393" t="s">
        <v>439</v>
      </c>
      <c r="M393">
        <v>1</v>
      </c>
    </row>
    <row r="394" spans="1:13">
      <c r="A394" t="s">
        <v>225</v>
      </c>
      <c r="B394">
        <v>9</v>
      </c>
      <c r="C394">
        <v>2</v>
      </c>
      <c r="D394">
        <v>31</v>
      </c>
      <c r="E394">
        <v>0</v>
      </c>
      <c r="F394">
        <v>13</v>
      </c>
      <c r="G394">
        <v>0</v>
      </c>
      <c r="H394">
        <v>258</v>
      </c>
      <c r="I394" s="4">
        <f t="shared" si="6"/>
        <v>0.12015503875968993</v>
      </c>
      <c r="J394" t="s">
        <v>225</v>
      </c>
      <c r="K394">
        <v>9</v>
      </c>
      <c r="L394" t="s">
        <v>537</v>
      </c>
      <c r="M394">
        <v>2</v>
      </c>
    </row>
    <row r="395" spans="1:13">
      <c r="A395" t="s">
        <v>225</v>
      </c>
      <c r="B395">
        <v>9</v>
      </c>
      <c r="C395">
        <v>3</v>
      </c>
      <c r="D395">
        <v>66</v>
      </c>
      <c r="E395">
        <v>0</v>
      </c>
      <c r="F395">
        <v>11</v>
      </c>
      <c r="G395">
        <v>0</v>
      </c>
      <c r="H395">
        <v>258</v>
      </c>
      <c r="I395" s="4">
        <f t="shared" si="6"/>
        <v>0.2558139534883721</v>
      </c>
      <c r="J395" t="s">
        <v>225</v>
      </c>
      <c r="K395">
        <v>9</v>
      </c>
      <c r="L395" t="s">
        <v>505</v>
      </c>
      <c r="M395">
        <v>3</v>
      </c>
    </row>
    <row r="396" spans="1:13">
      <c r="A396" t="s">
        <v>225</v>
      </c>
      <c r="B396">
        <v>9</v>
      </c>
      <c r="C396">
        <v>4</v>
      </c>
      <c r="D396">
        <v>110</v>
      </c>
      <c r="E396">
        <v>0</v>
      </c>
      <c r="F396">
        <v>9</v>
      </c>
      <c r="G396">
        <v>0</v>
      </c>
      <c r="H396">
        <v>258</v>
      </c>
      <c r="I396" s="4">
        <f t="shared" si="6"/>
        <v>0.4263565891472868</v>
      </c>
      <c r="J396" t="s">
        <v>225</v>
      </c>
      <c r="K396">
        <v>9</v>
      </c>
      <c r="L396" t="s">
        <v>534</v>
      </c>
      <c r="M396">
        <v>4</v>
      </c>
    </row>
    <row r="397" spans="1:13">
      <c r="A397" t="s">
        <v>225</v>
      </c>
      <c r="B397">
        <v>9</v>
      </c>
      <c r="C397">
        <v>5</v>
      </c>
      <c r="D397">
        <v>143</v>
      </c>
      <c r="E397">
        <v>0</v>
      </c>
      <c r="F397">
        <v>7</v>
      </c>
      <c r="G397">
        <v>0</v>
      </c>
      <c r="H397">
        <v>258</v>
      </c>
      <c r="I397" s="4">
        <f t="shared" si="6"/>
        <v>0.55426356589147285</v>
      </c>
      <c r="J397" t="s">
        <v>225</v>
      </c>
      <c r="K397">
        <v>9</v>
      </c>
      <c r="L397" t="s">
        <v>535</v>
      </c>
      <c r="M397">
        <v>5</v>
      </c>
    </row>
    <row r="398" spans="1:13">
      <c r="A398" t="s">
        <v>225</v>
      </c>
      <c r="B398">
        <v>9</v>
      </c>
      <c r="C398">
        <v>6</v>
      </c>
      <c r="D398">
        <v>165</v>
      </c>
      <c r="E398">
        <v>0</v>
      </c>
      <c r="F398">
        <v>5</v>
      </c>
      <c r="G398">
        <v>0</v>
      </c>
      <c r="H398">
        <v>258</v>
      </c>
      <c r="I398" s="4">
        <f t="shared" si="6"/>
        <v>0.63953488372093026</v>
      </c>
      <c r="J398" t="s">
        <v>225</v>
      </c>
      <c r="K398">
        <v>9</v>
      </c>
      <c r="L398" t="s">
        <v>536</v>
      </c>
      <c r="M398">
        <v>6</v>
      </c>
    </row>
    <row r="399" spans="1:13">
      <c r="A399" t="s">
        <v>225</v>
      </c>
      <c r="B399">
        <v>9</v>
      </c>
      <c r="C399">
        <v>7</v>
      </c>
      <c r="D399">
        <v>192</v>
      </c>
      <c r="E399">
        <v>0</v>
      </c>
      <c r="F399">
        <v>3</v>
      </c>
      <c r="G399">
        <v>0</v>
      </c>
      <c r="H399">
        <v>258</v>
      </c>
      <c r="I399" s="4">
        <f t="shared" si="6"/>
        <v>0.7441860465116279</v>
      </c>
      <c r="J399" t="s">
        <v>225</v>
      </c>
      <c r="K399">
        <v>9</v>
      </c>
      <c r="L399" t="s">
        <v>538</v>
      </c>
      <c r="M399">
        <v>7</v>
      </c>
    </row>
    <row r="400" spans="1:13">
      <c r="A400" t="s">
        <v>225</v>
      </c>
      <c r="B400">
        <v>9</v>
      </c>
      <c r="C400">
        <v>8</v>
      </c>
      <c r="D400">
        <v>223</v>
      </c>
      <c r="E400">
        <v>0</v>
      </c>
      <c r="F400">
        <v>1</v>
      </c>
      <c r="G400">
        <v>0</v>
      </c>
      <c r="H400">
        <v>258</v>
      </c>
      <c r="I400" s="4">
        <f t="shared" si="6"/>
        <v>0.86434108527131781</v>
      </c>
      <c r="J400" t="s">
        <v>225</v>
      </c>
      <c r="K400">
        <v>9</v>
      </c>
      <c r="L400" t="s">
        <v>539</v>
      </c>
      <c r="M400">
        <v>8</v>
      </c>
    </row>
    <row r="401" spans="1:13">
      <c r="A401" t="s">
        <v>225</v>
      </c>
      <c r="B401">
        <v>9</v>
      </c>
      <c r="C401">
        <v>9</v>
      </c>
      <c r="D401">
        <v>258</v>
      </c>
      <c r="E401">
        <v>0</v>
      </c>
      <c r="F401">
        <v>0</v>
      </c>
      <c r="G401">
        <v>0</v>
      </c>
      <c r="H401">
        <v>258</v>
      </c>
      <c r="I401" s="4">
        <f t="shared" si="6"/>
        <v>1</v>
      </c>
      <c r="J401" t="s">
        <v>225</v>
      </c>
      <c r="K401">
        <v>9</v>
      </c>
      <c r="L401" t="s">
        <v>540</v>
      </c>
      <c r="M401">
        <v>9</v>
      </c>
    </row>
    <row r="402" spans="1:13">
      <c r="A402" t="s">
        <v>225</v>
      </c>
      <c r="B402">
        <v>11</v>
      </c>
      <c r="C402">
        <v>1</v>
      </c>
      <c r="D402">
        <v>18</v>
      </c>
      <c r="E402">
        <v>0</v>
      </c>
      <c r="F402">
        <v>1</v>
      </c>
      <c r="G402">
        <v>0</v>
      </c>
      <c r="H402">
        <v>53</v>
      </c>
      <c r="I402" s="4">
        <f t="shared" si="6"/>
        <v>0.33962264150943394</v>
      </c>
      <c r="J402" t="s">
        <v>225</v>
      </c>
      <c r="K402">
        <v>11</v>
      </c>
      <c r="L402" t="s">
        <v>2</v>
      </c>
      <c r="M402">
        <v>1</v>
      </c>
    </row>
    <row r="403" spans="1:13">
      <c r="A403" t="s">
        <v>225</v>
      </c>
      <c r="B403">
        <v>11</v>
      </c>
      <c r="C403">
        <v>2</v>
      </c>
      <c r="D403">
        <v>53</v>
      </c>
      <c r="E403">
        <v>0</v>
      </c>
      <c r="F403">
        <v>0</v>
      </c>
      <c r="G403">
        <v>0</v>
      </c>
      <c r="H403">
        <v>53</v>
      </c>
      <c r="I403" s="4">
        <f t="shared" si="6"/>
        <v>1</v>
      </c>
      <c r="J403" t="s">
        <v>225</v>
      </c>
      <c r="K403">
        <v>11</v>
      </c>
      <c r="L403" t="s">
        <v>203</v>
      </c>
      <c r="M403">
        <v>2</v>
      </c>
    </row>
    <row r="404" spans="1:13">
      <c r="A404" t="s">
        <v>225</v>
      </c>
      <c r="B404">
        <v>13</v>
      </c>
      <c r="C404">
        <v>1</v>
      </c>
      <c r="D404">
        <v>1</v>
      </c>
      <c r="E404">
        <v>0</v>
      </c>
      <c r="F404">
        <v>1</v>
      </c>
      <c r="G404">
        <v>0</v>
      </c>
      <c r="H404">
        <v>737</v>
      </c>
      <c r="I404" s="4">
        <f t="shared" si="6"/>
        <v>1.3568521031207597E-3</v>
      </c>
      <c r="J404" t="s">
        <v>225</v>
      </c>
      <c r="K404">
        <v>13</v>
      </c>
      <c r="L404" t="s">
        <v>203</v>
      </c>
      <c r="M404">
        <v>1</v>
      </c>
    </row>
    <row r="405" spans="1:13">
      <c r="A405" t="s">
        <v>225</v>
      </c>
      <c r="B405">
        <v>13</v>
      </c>
      <c r="C405">
        <v>2</v>
      </c>
      <c r="D405">
        <v>3</v>
      </c>
      <c r="E405">
        <v>0</v>
      </c>
      <c r="F405">
        <v>1</v>
      </c>
      <c r="G405">
        <v>0</v>
      </c>
      <c r="H405">
        <v>737</v>
      </c>
      <c r="I405" s="4">
        <f t="shared" si="6"/>
        <v>4.0705563093622792E-3</v>
      </c>
      <c r="J405" t="s">
        <v>225</v>
      </c>
      <c r="K405">
        <v>13</v>
      </c>
      <c r="L405" t="s">
        <v>179</v>
      </c>
      <c r="M405">
        <v>2</v>
      </c>
    </row>
    <row r="406" spans="1:13">
      <c r="A406" t="s">
        <v>225</v>
      </c>
      <c r="B406">
        <v>13</v>
      </c>
      <c r="C406">
        <v>3</v>
      </c>
      <c r="D406">
        <v>5</v>
      </c>
      <c r="E406">
        <v>0</v>
      </c>
      <c r="F406">
        <v>1</v>
      </c>
      <c r="G406">
        <v>0</v>
      </c>
      <c r="H406">
        <v>737</v>
      </c>
      <c r="I406" s="4">
        <f t="shared" si="6"/>
        <v>6.7842605156037995E-3</v>
      </c>
      <c r="J406" t="s">
        <v>225</v>
      </c>
      <c r="K406">
        <v>13</v>
      </c>
      <c r="L406" t="s">
        <v>541</v>
      </c>
      <c r="M406">
        <v>3</v>
      </c>
    </row>
    <row r="407" spans="1:13">
      <c r="A407" t="s">
        <v>225</v>
      </c>
      <c r="B407">
        <v>13</v>
      </c>
      <c r="C407">
        <v>4</v>
      </c>
      <c r="D407">
        <v>737</v>
      </c>
      <c r="E407">
        <v>0</v>
      </c>
      <c r="F407">
        <v>0</v>
      </c>
      <c r="G407">
        <v>0</v>
      </c>
      <c r="H407">
        <v>737</v>
      </c>
      <c r="I407" s="4">
        <f t="shared" si="6"/>
        <v>1</v>
      </c>
      <c r="J407" t="s">
        <v>225</v>
      </c>
      <c r="K407">
        <v>13</v>
      </c>
      <c r="L407" t="s">
        <v>204</v>
      </c>
      <c r="M407">
        <v>4</v>
      </c>
    </row>
    <row r="408" spans="1:13">
      <c r="A408" s="9" t="s">
        <v>225</v>
      </c>
      <c r="B408" s="9">
        <v>14</v>
      </c>
      <c r="C408" s="9">
        <v>1</v>
      </c>
      <c r="D408" s="9">
        <v>1</v>
      </c>
      <c r="E408" s="9">
        <v>0</v>
      </c>
      <c r="F408" s="9">
        <v>1</v>
      </c>
      <c r="G408" s="9">
        <v>0</v>
      </c>
      <c r="H408">
        <v>958</v>
      </c>
      <c r="I408" s="4">
        <f t="shared" si="6"/>
        <v>1.0438413361169101E-3</v>
      </c>
      <c r="J408" t="s">
        <v>225</v>
      </c>
      <c r="K408">
        <v>14</v>
      </c>
      <c r="L408" t="s">
        <v>203</v>
      </c>
      <c r="M408">
        <v>1</v>
      </c>
    </row>
    <row r="409" spans="1:13">
      <c r="A409" t="s">
        <v>225</v>
      </c>
      <c r="B409">
        <v>14</v>
      </c>
      <c r="C409">
        <v>2</v>
      </c>
      <c r="D409">
        <v>3</v>
      </c>
      <c r="E409">
        <v>0</v>
      </c>
      <c r="F409">
        <v>1</v>
      </c>
      <c r="G409">
        <v>0</v>
      </c>
      <c r="H409">
        <v>958</v>
      </c>
      <c r="I409" s="4">
        <f t="shared" si="6"/>
        <v>3.1315240083507308E-3</v>
      </c>
      <c r="J409" t="s">
        <v>225</v>
      </c>
      <c r="K409">
        <v>14</v>
      </c>
      <c r="L409" t="s">
        <v>179</v>
      </c>
      <c r="M409">
        <v>2</v>
      </c>
    </row>
    <row r="410" spans="1:13">
      <c r="A410" t="s">
        <v>225</v>
      </c>
      <c r="B410">
        <v>14</v>
      </c>
      <c r="C410">
        <v>3</v>
      </c>
      <c r="D410">
        <v>5</v>
      </c>
      <c r="E410">
        <v>0</v>
      </c>
      <c r="F410">
        <v>1</v>
      </c>
      <c r="G410">
        <v>0</v>
      </c>
      <c r="H410">
        <v>958</v>
      </c>
      <c r="I410" s="4">
        <f t="shared" si="6"/>
        <v>5.2192066805845511E-3</v>
      </c>
      <c r="J410" t="s">
        <v>225</v>
      </c>
      <c r="K410">
        <v>14</v>
      </c>
      <c r="L410" t="s">
        <v>541</v>
      </c>
      <c r="M410">
        <v>3</v>
      </c>
    </row>
    <row r="411" spans="1:13">
      <c r="A411" t="s">
        <v>225</v>
      </c>
      <c r="B411">
        <v>14</v>
      </c>
      <c r="C411">
        <v>4</v>
      </c>
      <c r="D411">
        <v>381</v>
      </c>
      <c r="E411">
        <v>0</v>
      </c>
      <c r="F411">
        <v>5</v>
      </c>
      <c r="G411">
        <v>0</v>
      </c>
      <c r="H411">
        <v>958</v>
      </c>
      <c r="I411" s="4">
        <f t="shared" si="6"/>
        <v>0.39770354906054278</v>
      </c>
      <c r="J411" t="s">
        <v>225</v>
      </c>
      <c r="K411">
        <v>14</v>
      </c>
      <c r="L411" t="s">
        <v>685</v>
      </c>
      <c r="M411">
        <v>4</v>
      </c>
    </row>
    <row r="412" spans="1:13">
      <c r="A412" t="s">
        <v>225</v>
      </c>
      <c r="B412">
        <v>14</v>
      </c>
      <c r="C412">
        <v>5</v>
      </c>
      <c r="D412">
        <v>561</v>
      </c>
      <c r="E412">
        <v>0</v>
      </c>
      <c r="F412">
        <v>3</v>
      </c>
      <c r="G412">
        <v>0</v>
      </c>
      <c r="H412">
        <v>958</v>
      </c>
      <c r="I412" s="4">
        <f t="shared" si="6"/>
        <v>0.58559498956158662</v>
      </c>
      <c r="J412" t="s">
        <v>225</v>
      </c>
      <c r="K412">
        <v>14</v>
      </c>
      <c r="L412" t="s">
        <v>686</v>
      </c>
      <c r="M412">
        <v>5</v>
      </c>
    </row>
    <row r="413" spans="1:13">
      <c r="A413" t="s">
        <v>225</v>
      </c>
      <c r="B413">
        <v>14</v>
      </c>
      <c r="C413">
        <v>6</v>
      </c>
      <c r="D413">
        <v>562</v>
      </c>
      <c r="E413">
        <v>0</v>
      </c>
      <c r="F413">
        <v>2</v>
      </c>
      <c r="G413">
        <v>0</v>
      </c>
      <c r="H413">
        <v>958</v>
      </c>
      <c r="I413" s="4">
        <f t="shared" si="6"/>
        <v>0.58663883089770352</v>
      </c>
      <c r="J413" t="s">
        <v>225</v>
      </c>
      <c r="K413">
        <v>14</v>
      </c>
      <c r="L413" t="s">
        <v>687</v>
      </c>
      <c r="M413">
        <v>6</v>
      </c>
    </row>
    <row r="414" spans="1:13">
      <c r="A414" t="s">
        <v>225</v>
      </c>
      <c r="B414">
        <v>14</v>
      </c>
      <c r="C414">
        <v>7</v>
      </c>
      <c r="D414">
        <v>564</v>
      </c>
      <c r="E414">
        <v>0</v>
      </c>
      <c r="F414">
        <v>1</v>
      </c>
      <c r="G414">
        <v>0</v>
      </c>
      <c r="H414">
        <v>958</v>
      </c>
      <c r="I414" s="4">
        <f t="shared" si="6"/>
        <v>0.58872651356993733</v>
      </c>
      <c r="J414" t="s">
        <v>225</v>
      </c>
      <c r="K414">
        <v>14</v>
      </c>
      <c r="L414" t="s">
        <v>688</v>
      </c>
      <c r="M414">
        <v>7</v>
      </c>
    </row>
    <row r="415" spans="1:13">
      <c r="A415" t="s">
        <v>225</v>
      </c>
      <c r="B415">
        <v>14</v>
      </c>
      <c r="C415">
        <v>8</v>
      </c>
      <c r="D415">
        <v>564</v>
      </c>
      <c r="E415">
        <v>0</v>
      </c>
      <c r="F415">
        <v>1</v>
      </c>
      <c r="G415">
        <v>0</v>
      </c>
      <c r="H415">
        <v>958</v>
      </c>
      <c r="I415" s="4">
        <f t="shared" si="6"/>
        <v>0.58872651356993733</v>
      </c>
      <c r="J415" t="s">
        <v>225</v>
      </c>
      <c r="K415">
        <v>14</v>
      </c>
      <c r="L415" t="s">
        <v>689</v>
      </c>
      <c r="M415">
        <v>8</v>
      </c>
    </row>
    <row r="416" spans="1:13">
      <c r="A416" t="s">
        <v>225</v>
      </c>
      <c r="B416">
        <v>14</v>
      </c>
      <c r="C416">
        <v>9</v>
      </c>
      <c r="D416">
        <v>564</v>
      </c>
      <c r="E416">
        <v>0</v>
      </c>
      <c r="F416">
        <v>1</v>
      </c>
      <c r="G416">
        <v>0</v>
      </c>
      <c r="H416">
        <v>958</v>
      </c>
      <c r="I416" s="4">
        <f t="shared" si="6"/>
        <v>0.58872651356993733</v>
      </c>
      <c r="J416" t="s">
        <v>225</v>
      </c>
      <c r="K416">
        <v>14</v>
      </c>
      <c r="L416" t="s">
        <v>690</v>
      </c>
      <c r="M416">
        <v>9</v>
      </c>
    </row>
    <row r="417" spans="1:13">
      <c r="A417" t="s">
        <v>225</v>
      </c>
      <c r="B417">
        <v>14</v>
      </c>
      <c r="C417">
        <v>10</v>
      </c>
      <c r="D417">
        <v>957</v>
      </c>
      <c r="E417">
        <v>0</v>
      </c>
      <c r="F417">
        <v>1</v>
      </c>
      <c r="G417">
        <v>0</v>
      </c>
      <c r="H417">
        <v>958</v>
      </c>
      <c r="I417" s="4">
        <f t="shared" si="6"/>
        <v>0.9989561586638831</v>
      </c>
      <c r="J417" t="s">
        <v>225</v>
      </c>
      <c r="K417">
        <v>14</v>
      </c>
      <c r="L417" t="s">
        <v>691</v>
      </c>
      <c r="M417">
        <v>10</v>
      </c>
    </row>
    <row r="418" spans="1:13">
      <c r="A418" t="s">
        <v>225</v>
      </c>
      <c r="B418">
        <v>14</v>
      </c>
      <c r="C418">
        <v>11</v>
      </c>
      <c r="D418">
        <v>958</v>
      </c>
      <c r="E418">
        <v>0</v>
      </c>
      <c r="F418">
        <v>0</v>
      </c>
      <c r="G418">
        <v>0</v>
      </c>
      <c r="H418">
        <v>958</v>
      </c>
      <c r="I418" s="4">
        <f t="shared" si="6"/>
        <v>1</v>
      </c>
      <c r="J418" t="s">
        <v>225</v>
      </c>
      <c r="K418">
        <v>14</v>
      </c>
      <c r="L418" t="s">
        <v>692</v>
      </c>
      <c r="M418">
        <v>11</v>
      </c>
    </row>
    <row r="419" spans="1:13">
      <c r="A419" t="s">
        <v>225</v>
      </c>
      <c r="B419">
        <v>15</v>
      </c>
      <c r="C419">
        <v>1</v>
      </c>
      <c r="D419">
        <v>1</v>
      </c>
      <c r="E419">
        <v>0</v>
      </c>
      <c r="F419">
        <v>1</v>
      </c>
      <c r="G419">
        <v>0</v>
      </c>
      <c r="H419">
        <v>475</v>
      </c>
      <c r="I419" s="4">
        <f t="shared" si="6"/>
        <v>2.1052631578947368E-3</v>
      </c>
      <c r="J419" t="s">
        <v>225</v>
      </c>
      <c r="K419">
        <v>15</v>
      </c>
      <c r="L419" t="s">
        <v>203</v>
      </c>
      <c r="M419">
        <v>1</v>
      </c>
    </row>
    <row r="420" spans="1:13">
      <c r="A420" t="s">
        <v>225</v>
      </c>
      <c r="B420">
        <v>15</v>
      </c>
      <c r="C420">
        <v>2</v>
      </c>
      <c r="D420">
        <v>1</v>
      </c>
      <c r="E420">
        <v>0</v>
      </c>
      <c r="F420">
        <v>1</v>
      </c>
      <c r="G420">
        <v>0</v>
      </c>
      <c r="H420">
        <v>475</v>
      </c>
      <c r="I420" s="4">
        <f t="shared" si="6"/>
        <v>2.1052631578947368E-3</v>
      </c>
      <c r="J420" t="s">
        <v>225</v>
      </c>
      <c r="K420">
        <v>15</v>
      </c>
      <c r="L420" t="s">
        <v>179</v>
      </c>
      <c r="M420">
        <v>2</v>
      </c>
    </row>
    <row r="421" spans="1:13">
      <c r="A421" t="s">
        <v>225</v>
      </c>
      <c r="B421">
        <v>15</v>
      </c>
      <c r="C421">
        <v>3</v>
      </c>
      <c r="D421">
        <v>4</v>
      </c>
      <c r="E421">
        <v>0</v>
      </c>
      <c r="F421">
        <v>2</v>
      </c>
      <c r="G421">
        <v>0</v>
      </c>
      <c r="H421">
        <v>475</v>
      </c>
      <c r="I421" s="4">
        <f t="shared" si="6"/>
        <v>8.4210526315789472E-3</v>
      </c>
      <c r="J421" t="s">
        <v>225</v>
      </c>
      <c r="K421">
        <v>15</v>
      </c>
      <c r="L421" t="s">
        <v>541</v>
      </c>
      <c r="M421">
        <v>3</v>
      </c>
    </row>
    <row r="422" spans="1:13">
      <c r="A422" t="s">
        <v>225</v>
      </c>
      <c r="B422">
        <v>15</v>
      </c>
      <c r="C422">
        <v>4</v>
      </c>
      <c r="D422">
        <v>475</v>
      </c>
      <c r="E422">
        <v>0</v>
      </c>
      <c r="F422">
        <v>1</v>
      </c>
      <c r="G422">
        <v>0</v>
      </c>
      <c r="H422">
        <v>475</v>
      </c>
      <c r="I422" s="4">
        <f t="shared" si="6"/>
        <v>1</v>
      </c>
      <c r="J422" t="s">
        <v>225</v>
      </c>
      <c r="K422">
        <v>15</v>
      </c>
      <c r="L422" t="s">
        <v>204</v>
      </c>
      <c r="M422">
        <v>4</v>
      </c>
    </row>
    <row r="423" spans="1:13">
      <c r="A423" t="s">
        <v>225</v>
      </c>
      <c r="B423">
        <v>16</v>
      </c>
      <c r="C423">
        <v>1</v>
      </c>
      <c r="D423">
        <v>1</v>
      </c>
      <c r="E423">
        <v>0</v>
      </c>
      <c r="F423">
        <v>1</v>
      </c>
      <c r="G423">
        <v>0</v>
      </c>
      <c r="H423">
        <v>607</v>
      </c>
      <c r="I423" s="4">
        <f t="shared" si="6"/>
        <v>1.6474464579901153E-3</v>
      </c>
      <c r="J423" t="s">
        <v>225</v>
      </c>
      <c r="K423">
        <v>16</v>
      </c>
      <c r="L423" t="s">
        <v>203</v>
      </c>
      <c r="M423">
        <v>1</v>
      </c>
    </row>
    <row r="424" spans="1:13">
      <c r="A424" t="s">
        <v>225</v>
      </c>
      <c r="B424">
        <v>16</v>
      </c>
      <c r="C424">
        <v>2</v>
      </c>
      <c r="D424">
        <v>3</v>
      </c>
      <c r="E424">
        <v>0</v>
      </c>
      <c r="F424">
        <v>1</v>
      </c>
      <c r="G424">
        <v>0</v>
      </c>
      <c r="H424">
        <v>607</v>
      </c>
      <c r="I424" s="4">
        <f t="shared" si="6"/>
        <v>4.9423393739703456E-3</v>
      </c>
      <c r="J424" t="s">
        <v>225</v>
      </c>
      <c r="K424">
        <v>16</v>
      </c>
      <c r="L424" t="s">
        <v>179</v>
      </c>
      <c r="M424">
        <v>2</v>
      </c>
    </row>
    <row r="425" spans="1:13">
      <c r="A425" t="s">
        <v>225</v>
      </c>
      <c r="B425">
        <v>16</v>
      </c>
      <c r="C425">
        <v>3</v>
      </c>
      <c r="D425">
        <v>5</v>
      </c>
      <c r="E425">
        <v>0</v>
      </c>
      <c r="F425">
        <v>1</v>
      </c>
      <c r="G425">
        <v>0</v>
      </c>
      <c r="H425">
        <v>607</v>
      </c>
      <c r="I425" s="4">
        <f t="shared" si="6"/>
        <v>8.2372322899505763E-3</v>
      </c>
      <c r="J425" t="s">
        <v>225</v>
      </c>
      <c r="K425">
        <v>16</v>
      </c>
      <c r="L425" t="s">
        <v>541</v>
      </c>
      <c r="M425">
        <v>3</v>
      </c>
    </row>
    <row r="426" spans="1:13">
      <c r="A426" t="s">
        <v>225</v>
      </c>
      <c r="B426">
        <v>16</v>
      </c>
      <c r="C426">
        <v>4</v>
      </c>
      <c r="D426">
        <v>607</v>
      </c>
      <c r="E426">
        <v>0</v>
      </c>
      <c r="F426">
        <v>0</v>
      </c>
      <c r="G426">
        <v>0</v>
      </c>
      <c r="H426">
        <v>607</v>
      </c>
      <c r="I426" s="4">
        <f t="shared" si="6"/>
        <v>1</v>
      </c>
      <c r="J426" t="s">
        <v>225</v>
      </c>
      <c r="K426">
        <v>16</v>
      </c>
      <c r="L426" t="s">
        <v>204</v>
      </c>
      <c r="M426">
        <v>4</v>
      </c>
    </row>
    <row r="427" spans="1:13">
      <c r="A427" t="s">
        <v>225</v>
      </c>
      <c r="B427">
        <v>20</v>
      </c>
      <c r="C427">
        <v>1</v>
      </c>
      <c r="D427">
        <v>16</v>
      </c>
      <c r="E427">
        <v>0</v>
      </c>
      <c r="F427">
        <v>2</v>
      </c>
      <c r="G427">
        <v>0</v>
      </c>
      <c r="H427">
        <v>27</v>
      </c>
      <c r="I427" s="4">
        <f t="shared" si="6"/>
        <v>0.59259259259259256</v>
      </c>
      <c r="J427" t="s">
        <v>225</v>
      </c>
      <c r="K427">
        <v>20</v>
      </c>
      <c r="L427" t="s">
        <v>203</v>
      </c>
      <c r="M427">
        <v>1</v>
      </c>
    </row>
    <row r="428" spans="1:13">
      <c r="A428" t="s">
        <v>225</v>
      </c>
      <c r="B428">
        <v>20</v>
      </c>
      <c r="C428">
        <v>2</v>
      </c>
      <c r="D428">
        <v>27</v>
      </c>
      <c r="E428">
        <v>0</v>
      </c>
      <c r="F428">
        <v>0</v>
      </c>
      <c r="G428">
        <v>0</v>
      </c>
      <c r="H428">
        <v>27</v>
      </c>
      <c r="I428" s="4">
        <f t="shared" si="6"/>
        <v>1</v>
      </c>
      <c r="J428" t="s">
        <v>225</v>
      </c>
      <c r="K428">
        <v>20</v>
      </c>
      <c r="L428" t="s">
        <v>2</v>
      </c>
      <c r="M428">
        <v>2</v>
      </c>
    </row>
    <row r="429" spans="1:13">
      <c r="A429" t="s">
        <v>225</v>
      </c>
      <c r="B429">
        <v>21</v>
      </c>
      <c r="C429">
        <v>1</v>
      </c>
      <c r="D429">
        <v>31</v>
      </c>
      <c r="E429">
        <v>0</v>
      </c>
      <c r="F429">
        <v>1</v>
      </c>
      <c r="G429">
        <v>0</v>
      </c>
      <c r="H429">
        <v>57</v>
      </c>
      <c r="I429" s="4">
        <f t="shared" si="6"/>
        <v>0.54385964912280704</v>
      </c>
      <c r="J429" t="s">
        <v>225</v>
      </c>
      <c r="K429">
        <v>21</v>
      </c>
      <c r="L429" t="s">
        <v>2</v>
      </c>
      <c r="M429">
        <v>1</v>
      </c>
    </row>
    <row r="430" spans="1:13">
      <c r="A430" t="s">
        <v>225</v>
      </c>
      <c r="B430">
        <v>21</v>
      </c>
      <c r="C430">
        <v>2</v>
      </c>
      <c r="D430">
        <v>57</v>
      </c>
      <c r="E430">
        <v>0</v>
      </c>
      <c r="F430">
        <v>0</v>
      </c>
      <c r="G430">
        <v>0</v>
      </c>
      <c r="H430">
        <v>57</v>
      </c>
      <c r="I430" s="4">
        <f t="shared" si="6"/>
        <v>1</v>
      </c>
      <c r="J430" t="s">
        <v>225</v>
      </c>
      <c r="K430">
        <v>21</v>
      </c>
      <c r="L430" t="s">
        <v>203</v>
      </c>
      <c r="M430">
        <v>2</v>
      </c>
    </row>
    <row r="431" spans="1:13">
      <c r="A431" t="s">
        <v>227</v>
      </c>
      <c r="B431">
        <v>0</v>
      </c>
      <c r="C431">
        <v>1</v>
      </c>
      <c r="D431">
        <v>1</v>
      </c>
      <c r="E431">
        <v>0</v>
      </c>
      <c r="F431">
        <v>1</v>
      </c>
      <c r="G431">
        <v>0</v>
      </c>
      <c r="H431">
        <v>10</v>
      </c>
      <c r="I431" s="4">
        <f t="shared" si="6"/>
        <v>0.1</v>
      </c>
      <c r="J431" t="s">
        <v>227</v>
      </c>
      <c r="K431">
        <v>0</v>
      </c>
      <c r="L431" t="s">
        <v>2</v>
      </c>
      <c r="M431">
        <v>1</v>
      </c>
    </row>
    <row r="432" spans="1:13">
      <c r="A432" t="s">
        <v>227</v>
      </c>
      <c r="B432">
        <v>0</v>
      </c>
      <c r="C432">
        <v>2</v>
      </c>
      <c r="D432">
        <v>4</v>
      </c>
      <c r="E432">
        <v>0</v>
      </c>
      <c r="F432">
        <v>5</v>
      </c>
      <c r="G432">
        <v>0</v>
      </c>
      <c r="H432">
        <v>10</v>
      </c>
      <c r="I432" s="4">
        <f t="shared" si="6"/>
        <v>0.4</v>
      </c>
      <c r="J432" t="s">
        <v>227</v>
      </c>
      <c r="K432">
        <v>0</v>
      </c>
      <c r="L432" t="s">
        <v>0</v>
      </c>
      <c r="M432">
        <v>2</v>
      </c>
    </row>
    <row r="433" spans="1:13">
      <c r="A433" t="s">
        <v>227</v>
      </c>
      <c r="B433">
        <v>0</v>
      </c>
      <c r="C433">
        <v>3</v>
      </c>
      <c r="D433">
        <v>6</v>
      </c>
      <c r="E433">
        <v>0</v>
      </c>
      <c r="F433">
        <v>4</v>
      </c>
      <c r="G433">
        <v>0</v>
      </c>
      <c r="H433">
        <v>10</v>
      </c>
      <c r="I433" s="4">
        <f t="shared" si="6"/>
        <v>0.6</v>
      </c>
      <c r="J433" t="s">
        <v>227</v>
      </c>
      <c r="K433">
        <v>0</v>
      </c>
      <c r="L433" t="s">
        <v>233</v>
      </c>
      <c r="M433">
        <v>3</v>
      </c>
    </row>
    <row r="434" spans="1:13">
      <c r="A434" t="s">
        <v>227</v>
      </c>
      <c r="B434">
        <v>0</v>
      </c>
      <c r="C434">
        <v>4</v>
      </c>
      <c r="D434">
        <v>10</v>
      </c>
      <c r="E434">
        <v>0</v>
      </c>
      <c r="F434">
        <v>0</v>
      </c>
      <c r="G434">
        <v>0</v>
      </c>
      <c r="H434">
        <v>10</v>
      </c>
      <c r="I434" s="4">
        <f t="shared" si="6"/>
        <v>1</v>
      </c>
      <c r="J434" t="s">
        <v>227</v>
      </c>
      <c r="K434">
        <v>0</v>
      </c>
      <c r="L434" t="s">
        <v>234</v>
      </c>
      <c r="M434">
        <v>4</v>
      </c>
    </row>
    <row r="435" spans="1:13">
      <c r="A435" t="s">
        <v>227</v>
      </c>
      <c r="B435">
        <v>1</v>
      </c>
      <c r="C435">
        <v>1</v>
      </c>
      <c r="D435">
        <v>11</v>
      </c>
      <c r="E435">
        <v>0</v>
      </c>
      <c r="F435">
        <v>8</v>
      </c>
      <c r="G435">
        <v>0</v>
      </c>
      <c r="H435">
        <v>113</v>
      </c>
      <c r="I435" s="4">
        <f t="shared" si="6"/>
        <v>9.7345132743362831E-2</v>
      </c>
      <c r="J435" t="s">
        <v>227</v>
      </c>
      <c r="K435">
        <v>1</v>
      </c>
      <c r="L435" t="s">
        <v>544</v>
      </c>
      <c r="M435">
        <v>1</v>
      </c>
    </row>
    <row r="436" spans="1:13">
      <c r="A436" t="s">
        <v>227</v>
      </c>
      <c r="B436">
        <v>1</v>
      </c>
      <c r="C436">
        <v>2</v>
      </c>
      <c r="D436">
        <v>30</v>
      </c>
      <c r="E436">
        <v>0</v>
      </c>
      <c r="F436">
        <v>5</v>
      </c>
      <c r="G436">
        <v>0</v>
      </c>
      <c r="H436">
        <v>113</v>
      </c>
      <c r="I436" s="4">
        <f t="shared" si="6"/>
        <v>0.26548672566371684</v>
      </c>
      <c r="J436" t="s">
        <v>227</v>
      </c>
      <c r="K436">
        <v>1</v>
      </c>
      <c r="L436" t="s">
        <v>2</v>
      </c>
      <c r="M436">
        <v>2</v>
      </c>
    </row>
    <row r="437" spans="1:13">
      <c r="A437" t="s">
        <v>227</v>
      </c>
      <c r="B437">
        <v>1</v>
      </c>
      <c r="C437">
        <v>3</v>
      </c>
      <c r="D437">
        <v>58</v>
      </c>
      <c r="E437">
        <v>0</v>
      </c>
      <c r="F437">
        <v>2</v>
      </c>
      <c r="G437">
        <v>0</v>
      </c>
      <c r="H437">
        <v>113</v>
      </c>
      <c r="I437" s="4">
        <f t="shared" si="6"/>
        <v>0.51327433628318586</v>
      </c>
      <c r="J437" t="s">
        <v>227</v>
      </c>
      <c r="K437">
        <v>1</v>
      </c>
      <c r="L437" t="s">
        <v>545</v>
      </c>
      <c r="M437">
        <v>3</v>
      </c>
    </row>
    <row r="438" spans="1:13">
      <c r="A438" t="s">
        <v>227</v>
      </c>
      <c r="B438">
        <v>1</v>
      </c>
      <c r="C438">
        <v>4</v>
      </c>
      <c r="D438">
        <v>113</v>
      </c>
      <c r="E438">
        <v>0</v>
      </c>
      <c r="F438">
        <v>0</v>
      </c>
      <c r="G438">
        <v>0</v>
      </c>
      <c r="H438">
        <v>113</v>
      </c>
      <c r="I438" s="4">
        <f t="shared" si="6"/>
        <v>1</v>
      </c>
      <c r="J438" t="s">
        <v>227</v>
      </c>
      <c r="K438">
        <v>1</v>
      </c>
      <c r="L438" t="s">
        <v>546</v>
      </c>
      <c r="M438">
        <v>4</v>
      </c>
    </row>
    <row r="439" spans="1:13">
      <c r="A439" s="9" t="s">
        <v>228</v>
      </c>
      <c r="B439" s="9">
        <v>1</v>
      </c>
      <c r="C439" s="9">
        <v>1</v>
      </c>
      <c r="D439" s="9">
        <v>10</v>
      </c>
      <c r="E439" s="9">
        <v>0</v>
      </c>
      <c r="F439" s="9">
        <v>6</v>
      </c>
      <c r="G439" s="9">
        <v>0</v>
      </c>
      <c r="H439">
        <v>94</v>
      </c>
      <c r="I439" s="4">
        <f t="shared" si="6"/>
        <v>0.10638297872340426</v>
      </c>
      <c r="J439" t="s">
        <v>228</v>
      </c>
      <c r="K439">
        <v>1</v>
      </c>
      <c r="L439" t="s">
        <v>547</v>
      </c>
      <c r="M439">
        <v>1</v>
      </c>
    </row>
    <row r="440" spans="1:13">
      <c r="A440" t="s">
        <v>228</v>
      </c>
      <c r="B440">
        <v>1</v>
      </c>
      <c r="C440">
        <v>2</v>
      </c>
      <c r="D440">
        <v>17</v>
      </c>
      <c r="E440">
        <v>0</v>
      </c>
      <c r="F440">
        <v>8</v>
      </c>
      <c r="G440">
        <v>0</v>
      </c>
      <c r="H440">
        <v>94</v>
      </c>
      <c r="I440" s="4">
        <f t="shared" si="6"/>
        <v>0.18085106382978725</v>
      </c>
      <c r="J440" t="s">
        <v>228</v>
      </c>
      <c r="K440">
        <v>1</v>
      </c>
      <c r="L440" t="s">
        <v>206</v>
      </c>
      <c r="M440">
        <v>2</v>
      </c>
    </row>
    <row r="441" spans="1:13">
      <c r="A441" t="s">
        <v>228</v>
      </c>
      <c r="B441">
        <v>1</v>
      </c>
      <c r="C441">
        <v>3</v>
      </c>
      <c r="D441">
        <v>28</v>
      </c>
      <c r="E441">
        <v>0</v>
      </c>
      <c r="F441">
        <v>6</v>
      </c>
      <c r="G441">
        <v>0</v>
      </c>
      <c r="H441">
        <v>94</v>
      </c>
      <c r="I441" s="4">
        <f t="shared" si="6"/>
        <v>0.2978723404255319</v>
      </c>
      <c r="J441" t="s">
        <v>228</v>
      </c>
      <c r="K441">
        <v>1</v>
      </c>
      <c r="L441" t="s">
        <v>491</v>
      </c>
      <c r="M441">
        <v>3</v>
      </c>
    </row>
    <row r="442" spans="1:13">
      <c r="A442" t="s">
        <v>228</v>
      </c>
      <c r="B442">
        <v>1</v>
      </c>
      <c r="C442">
        <v>4</v>
      </c>
      <c r="D442">
        <v>41</v>
      </c>
      <c r="E442">
        <v>0</v>
      </c>
      <c r="F442">
        <v>6</v>
      </c>
      <c r="G442">
        <v>0</v>
      </c>
      <c r="H442">
        <v>94</v>
      </c>
      <c r="I442" s="4">
        <f t="shared" si="6"/>
        <v>0.43617021276595747</v>
      </c>
      <c r="J442" t="s">
        <v>228</v>
      </c>
      <c r="K442">
        <v>1</v>
      </c>
      <c r="L442" t="s">
        <v>548</v>
      </c>
      <c r="M442">
        <v>4</v>
      </c>
    </row>
    <row r="443" spans="1:13">
      <c r="A443" t="s">
        <v>228</v>
      </c>
      <c r="B443">
        <v>1</v>
      </c>
      <c r="C443">
        <v>5</v>
      </c>
      <c r="D443">
        <v>53</v>
      </c>
      <c r="E443">
        <v>0</v>
      </c>
      <c r="F443">
        <v>4</v>
      </c>
      <c r="G443">
        <v>0</v>
      </c>
      <c r="H443">
        <v>94</v>
      </c>
      <c r="I443" s="4">
        <f t="shared" si="6"/>
        <v>0.56382978723404253</v>
      </c>
      <c r="J443" t="s">
        <v>228</v>
      </c>
      <c r="K443">
        <v>1</v>
      </c>
      <c r="L443" t="s">
        <v>549</v>
      </c>
      <c r="M443">
        <v>5</v>
      </c>
    </row>
    <row r="444" spans="1:13">
      <c r="A444" t="s">
        <v>228</v>
      </c>
      <c r="B444">
        <v>1</v>
      </c>
      <c r="C444">
        <v>6</v>
      </c>
      <c r="D444">
        <v>65</v>
      </c>
      <c r="E444">
        <v>0</v>
      </c>
      <c r="F444">
        <v>2</v>
      </c>
      <c r="G444">
        <v>0</v>
      </c>
      <c r="H444">
        <v>94</v>
      </c>
      <c r="I444" s="4">
        <f t="shared" si="6"/>
        <v>0.69148936170212771</v>
      </c>
      <c r="J444" t="s">
        <v>228</v>
      </c>
      <c r="K444">
        <v>1</v>
      </c>
      <c r="L444" t="s">
        <v>550</v>
      </c>
      <c r="M444">
        <v>6</v>
      </c>
    </row>
    <row r="445" spans="1:13">
      <c r="A445" t="s">
        <v>228</v>
      </c>
      <c r="B445">
        <v>1</v>
      </c>
      <c r="C445">
        <v>7</v>
      </c>
      <c r="D445">
        <v>80</v>
      </c>
      <c r="E445">
        <v>0</v>
      </c>
      <c r="F445">
        <v>2</v>
      </c>
      <c r="G445">
        <v>0</v>
      </c>
      <c r="H445">
        <v>94</v>
      </c>
      <c r="I445" s="4">
        <f t="shared" si="6"/>
        <v>0.85106382978723405</v>
      </c>
      <c r="J445" t="s">
        <v>228</v>
      </c>
      <c r="K445">
        <v>1</v>
      </c>
      <c r="L445" t="s">
        <v>204</v>
      </c>
      <c r="M445">
        <v>7</v>
      </c>
    </row>
    <row r="446" spans="1:13">
      <c r="A446" t="s">
        <v>228</v>
      </c>
      <c r="B446">
        <v>1</v>
      </c>
      <c r="C446">
        <v>8</v>
      </c>
      <c r="D446">
        <v>94</v>
      </c>
      <c r="E446">
        <v>0</v>
      </c>
      <c r="F446">
        <v>0</v>
      </c>
      <c r="G446">
        <v>0</v>
      </c>
      <c r="H446">
        <v>94</v>
      </c>
      <c r="I446" s="4">
        <f t="shared" si="6"/>
        <v>1</v>
      </c>
      <c r="J446" t="s">
        <v>228</v>
      </c>
      <c r="K446">
        <v>1</v>
      </c>
      <c r="L446" t="s">
        <v>541</v>
      </c>
      <c r="M446">
        <v>8</v>
      </c>
    </row>
    <row r="447" spans="1:13">
      <c r="A447" t="s">
        <v>230</v>
      </c>
      <c r="B447">
        <v>1</v>
      </c>
      <c r="C447">
        <v>1</v>
      </c>
      <c r="D447">
        <v>36</v>
      </c>
      <c r="E447">
        <v>0</v>
      </c>
      <c r="F447">
        <v>2</v>
      </c>
      <c r="G447">
        <v>0</v>
      </c>
      <c r="H447">
        <v>169</v>
      </c>
      <c r="I447" s="4">
        <f t="shared" si="6"/>
        <v>0.21301775147928995</v>
      </c>
      <c r="J447" t="s">
        <v>230</v>
      </c>
      <c r="K447">
        <v>1</v>
      </c>
      <c r="L447" t="s">
        <v>2</v>
      </c>
      <c r="M447">
        <v>1</v>
      </c>
    </row>
    <row r="448" spans="1:13">
      <c r="A448" t="s">
        <v>230</v>
      </c>
      <c r="B448">
        <v>1</v>
      </c>
      <c r="C448">
        <v>2</v>
      </c>
      <c r="D448">
        <v>69</v>
      </c>
      <c r="E448">
        <v>0</v>
      </c>
      <c r="F448">
        <v>2</v>
      </c>
      <c r="G448">
        <v>0</v>
      </c>
      <c r="H448">
        <v>169</v>
      </c>
      <c r="I448" s="4">
        <f t="shared" si="6"/>
        <v>0.40828402366863903</v>
      </c>
      <c r="J448" t="s">
        <v>230</v>
      </c>
      <c r="K448">
        <v>1</v>
      </c>
      <c r="L448" t="s">
        <v>445</v>
      </c>
      <c r="M448">
        <v>2</v>
      </c>
    </row>
    <row r="449" spans="1:13">
      <c r="A449" t="s">
        <v>230</v>
      </c>
      <c r="B449">
        <v>1</v>
      </c>
      <c r="C449">
        <v>3</v>
      </c>
      <c r="D449">
        <v>102</v>
      </c>
      <c r="E449">
        <v>0</v>
      </c>
      <c r="F449">
        <v>2</v>
      </c>
      <c r="G449">
        <v>0</v>
      </c>
      <c r="H449">
        <v>169</v>
      </c>
      <c r="I449" s="4">
        <f t="shared" si="6"/>
        <v>0.60355029585798814</v>
      </c>
      <c r="J449" t="s">
        <v>230</v>
      </c>
      <c r="K449">
        <v>1</v>
      </c>
      <c r="L449" t="s">
        <v>551</v>
      </c>
      <c r="M449">
        <v>3</v>
      </c>
    </row>
    <row r="450" spans="1:13">
      <c r="A450" t="s">
        <v>230</v>
      </c>
      <c r="B450">
        <v>1</v>
      </c>
      <c r="C450">
        <v>4</v>
      </c>
      <c r="D450">
        <v>135</v>
      </c>
      <c r="E450">
        <v>0</v>
      </c>
      <c r="F450">
        <v>2</v>
      </c>
      <c r="G450">
        <v>0</v>
      </c>
      <c r="H450">
        <v>169</v>
      </c>
      <c r="I450" s="4">
        <f t="shared" si="6"/>
        <v>0.79881656804733725</v>
      </c>
      <c r="J450" t="s">
        <v>230</v>
      </c>
      <c r="K450">
        <v>1</v>
      </c>
      <c r="L450" t="s">
        <v>552</v>
      </c>
      <c r="M450">
        <v>4</v>
      </c>
    </row>
    <row r="451" spans="1:13">
      <c r="A451" t="s">
        <v>230</v>
      </c>
      <c r="B451">
        <v>1</v>
      </c>
      <c r="C451">
        <v>5</v>
      </c>
      <c r="D451">
        <v>169</v>
      </c>
      <c r="E451">
        <v>0</v>
      </c>
      <c r="F451">
        <v>0</v>
      </c>
      <c r="G451">
        <v>0</v>
      </c>
      <c r="H451">
        <v>169</v>
      </c>
      <c r="I451" s="4">
        <f t="shared" ref="I451:I514" si="7">D451/H451</f>
        <v>1</v>
      </c>
      <c r="J451" t="s">
        <v>230</v>
      </c>
      <c r="K451">
        <v>1</v>
      </c>
      <c r="L451" t="s">
        <v>553</v>
      </c>
      <c r="M451">
        <v>5</v>
      </c>
    </row>
    <row r="452" spans="1:13">
      <c r="A452" t="s">
        <v>231</v>
      </c>
      <c r="B452">
        <v>5</v>
      </c>
      <c r="C452">
        <v>1</v>
      </c>
      <c r="D452">
        <v>39</v>
      </c>
      <c r="E452">
        <v>0</v>
      </c>
      <c r="F452">
        <v>9</v>
      </c>
      <c r="G452">
        <v>0</v>
      </c>
      <c r="H452">
        <v>123</v>
      </c>
      <c r="I452" s="4">
        <f t="shared" si="7"/>
        <v>0.31707317073170732</v>
      </c>
      <c r="J452" t="s">
        <v>231</v>
      </c>
      <c r="K452">
        <v>5</v>
      </c>
      <c r="L452" t="s">
        <v>554</v>
      </c>
      <c r="M452">
        <v>1</v>
      </c>
    </row>
    <row r="453" spans="1:13">
      <c r="A453" t="s">
        <v>231</v>
      </c>
      <c r="B453">
        <v>5</v>
      </c>
      <c r="C453">
        <v>2</v>
      </c>
      <c r="D453">
        <v>44</v>
      </c>
      <c r="E453">
        <v>0</v>
      </c>
      <c r="F453">
        <v>9</v>
      </c>
      <c r="G453">
        <v>0</v>
      </c>
      <c r="H453">
        <v>123</v>
      </c>
      <c r="I453" s="4">
        <f t="shared" si="7"/>
        <v>0.35772357723577236</v>
      </c>
      <c r="J453" t="s">
        <v>231</v>
      </c>
      <c r="K453">
        <v>5</v>
      </c>
      <c r="L453" t="s">
        <v>2</v>
      </c>
      <c r="M453">
        <v>2</v>
      </c>
    </row>
    <row r="454" spans="1:13">
      <c r="A454" t="s">
        <v>231</v>
      </c>
      <c r="B454">
        <v>5</v>
      </c>
      <c r="C454">
        <v>3</v>
      </c>
      <c r="D454">
        <v>55</v>
      </c>
      <c r="E454">
        <v>0</v>
      </c>
      <c r="F454">
        <v>8</v>
      </c>
      <c r="G454">
        <v>0</v>
      </c>
      <c r="H454">
        <v>123</v>
      </c>
      <c r="I454" s="4">
        <f t="shared" si="7"/>
        <v>0.44715447154471544</v>
      </c>
      <c r="J454" t="s">
        <v>231</v>
      </c>
      <c r="K454">
        <v>5</v>
      </c>
      <c r="L454" t="s">
        <v>545</v>
      </c>
      <c r="M454">
        <v>3</v>
      </c>
    </row>
    <row r="455" spans="1:13">
      <c r="A455" t="s">
        <v>231</v>
      </c>
      <c r="B455">
        <v>5</v>
      </c>
      <c r="C455">
        <v>4</v>
      </c>
      <c r="D455">
        <v>71</v>
      </c>
      <c r="E455">
        <v>0</v>
      </c>
      <c r="F455">
        <v>6</v>
      </c>
      <c r="G455">
        <v>0</v>
      </c>
      <c r="H455">
        <v>123</v>
      </c>
      <c r="I455" s="4">
        <f t="shared" si="7"/>
        <v>0.57723577235772361</v>
      </c>
      <c r="J455" t="s">
        <v>231</v>
      </c>
      <c r="K455">
        <v>5</v>
      </c>
      <c r="L455" t="s">
        <v>555</v>
      </c>
      <c r="M455">
        <v>4</v>
      </c>
    </row>
    <row r="456" spans="1:13">
      <c r="A456" t="s">
        <v>231</v>
      </c>
      <c r="B456">
        <v>5</v>
      </c>
      <c r="C456">
        <v>5</v>
      </c>
      <c r="D456">
        <v>123</v>
      </c>
      <c r="E456">
        <v>0</v>
      </c>
      <c r="F456">
        <v>4</v>
      </c>
      <c r="G456">
        <v>0</v>
      </c>
      <c r="H456">
        <v>123</v>
      </c>
      <c r="I456" s="4">
        <f t="shared" si="7"/>
        <v>1</v>
      </c>
      <c r="J456" t="s">
        <v>231</v>
      </c>
      <c r="K456">
        <v>5</v>
      </c>
      <c r="L456" t="s">
        <v>556</v>
      </c>
      <c r="M456">
        <v>5</v>
      </c>
    </row>
    <row r="457" spans="1:13">
      <c r="A457" t="s">
        <v>231</v>
      </c>
      <c r="B457">
        <v>7</v>
      </c>
      <c r="C457">
        <v>1</v>
      </c>
      <c r="D457">
        <v>10</v>
      </c>
      <c r="E457">
        <v>0</v>
      </c>
      <c r="F457">
        <v>5</v>
      </c>
      <c r="G457">
        <v>0</v>
      </c>
      <c r="H457">
        <v>33</v>
      </c>
      <c r="I457" s="4">
        <f t="shared" si="7"/>
        <v>0.30303030303030304</v>
      </c>
      <c r="J457" t="s">
        <v>231</v>
      </c>
      <c r="K457">
        <v>7</v>
      </c>
      <c r="L457" t="s">
        <v>1</v>
      </c>
      <c r="M457">
        <v>1</v>
      </c>
    </row>
    <row r="458" spans="1:13">
      <c r="A458" t="s">
        <v>231</v>
      </c>
      <c r="B458">
        <v>7</v>
      </c>
      <c r="C458">
        <v>2</v>
      </c>
      <c r="D458">
        <v>22</v>
      </c>
      <c r="E458">
        <v>0</v>
      </c>
      <c r="F458">
        <v>3</v>
      </c>
      <c r="G458">
        <v>0</v>
      </c>
      <c r="H458">
        <v>33</v>
      </c>
      <c r="I458" s="4">
        <f t="shared" si="7"/>
        <v>0.66666666666666663</v>
      </c>
      <c r="J458" t="s">
        <v>231</v>
      </c>
      <c r="K458">
        <v>7</v>
      </c>
      <c r="L458" t="s">
        <v>2</v>
      </c>
      <c r="M458">
        <v>2</v>
      </c>
    </row>
    <row r="459" spans="1:13">
      <c r="A459" t="s">
        <v>231</v>
      </c>
      <c r="B459">
        <v>7</v>
      </c>
      <c r="C459">
        <v>3</v>
      </c>
      <c r="D459">
        <v>33</v>
      </c>
      <c r="E459">
        <v>0</v>
      </c>
      <c r="F459">
        <v>0</v>
      </c>
      <c r="G459">
        <v>0</v>
      </c>
      <c r="H459">
        <v>33</v>
      </c>
      <c r="I459" s="4">
        <f t="shared" si="7"/>
        <v>1</v>
      </c>
      <c r="J459" t="s">
        <v>231</v>
      </c>
      <c r="K459">
        <v>7</v>
      </c>
      <c r="L459" t="s">
        <v>0</v>
      </c>
      <c r="M459">
        <v>3</v>
      </c>
    </row>
    <row r="460" spans="1:13">
      <c r="A460" t="s">
        <v>231</v>
      </c>
      <c r="B460">
        <v>9</v>
      </c>
      <c r="C460">
        <v>1</v>
      </c>
      <c r="D460">
        <v>7</v>
      </c>
      <c r="E460">
        <v>0</v>
      </c>
      <c r="F460">
        <v>5</v>
      </c>
      <c r="G460">
        <v>0</v>
      </c>
      <c r="H460">
        <v>36</v>
      </c>
      <c r="I460" s="4">
        <f t="shared" si="7"/>
        <v>0.19444444444444445</v>
      </c>
      <c r="J460" t="s">
        <v>231</v>
      </c>
      <c r="K460">
        <v>9</v>
      </c>
      <c r="L460" t="s">
        <v>557</v>
      </c>
      <c r="M460">
        <v>1</v>
      </c>
    </row>
    <row r="461" spans="1:13">
      <c r="A461" t="s">
        <v>231</v>
      </c>
      <c r="B461">
        <v>9</v>
      </c>
      <c r="C461">
        <v>2</v>
      </c>
      <c r="D461">
        <v>8</v>
      </c>
      <c r="E461">
        <v>0</v>
      </c>
      <c r="F461">
        <v>4</v>
      </c>
      <c r="G461">
        <v>0</v>
      </c>
      <c r="H461">
        <v>36</v>
      </c>
      <c r="I461" s="4">
        <f t="shared" si="7"/>
        <v>0.22222222222222221</v>
      </c>
      <c r="J461" t="s">
        <v>231</v>
      </c>
      <c r="K461">
        <v>9</v>
      </c>
      <c r="L461" t="s">
        <v>559</v>
      </c>
      <c r="M461">
        <v>2</v>
      </c>
    </row>
    <row r="462" spans="1:13">
      <c r="A462" t="s">
        <v>231</v>
      </c>
      <c r="B462">
        <v>9</v>
      </c>
      <c r="C462">
        <v>3</v>
      </c>
      <c r="D462">
        <v>12</v>
      </c>
      <c r="E462">
        <v>0</v>
      </c>
      <c r="F462">
        <v>5</v>
      </c>
      <c r="G462">
        <v>0</v>
      </c>
      <c r="H462">
        <v>36</v>
      </c>
      <c r="I462" s="4">
        <f t="shared" si="7"/>
        <v>0.33333333333333331</v>
      </c>
      <c r="J462" t="s">
        <v>231</v>
      </c>
      <c r="K462">
        <v>9</v>
      </c>
      <c r="L462" t="s">
        <v>558</v>
      </c>
      <c r="M462">
        <v>3</v>
      </c>
    </row>
    <row r="463" spans="1:13">
      <c r="A463" t="s">
        <v>231</v>
      </c>
      <c r="B463">
        <v>9</v>
      </c>
      <c r="C463">
        <v>4</v>
      </c>
      <c r="D463">
        <v>17</v>
      </c>
      <c r="E463">
        <v>0</v>
      </c>
      <c r="F463">
        <v>5</v>
      </c>
      <c r="G463">
        <v>0</v>
      </c>
      <c r="H463">
        <v>36</v>
      </c>
      <c r="I463" s="4">
        <f t="shared" si="7"/>
        <v>0.47222222222222221</v>
      </c>
      <c r="J463" t="s">
        <v>231</v>
      </c>
      <c r="K463">
        <v>9</v>
      </c>
      <c r="L463" t="s">
        <v>560</v>
      </c>
      <c r="M463">
        <v>4</v>
      </c>
    </row>
    <row r="464" spans="1:13">
      <c r="A464" t="s">
        <v>231</v>
      </c>
      <c r="B464">
        <v>9</v>
      </c>
      <c r="C464">
        <v>5</v>
      </c>
      <c r="D464">
        <v>19</v>
      </c>
      <c r="E464">
        <v>0</v>
      </c>
      <c r="F464">
        <v>5</v>
      </c>
      <c r="G464">
        <v>0</v>
      </c>
      <c r="H464">
        <v>36</v>
      </c>
      <c r="I464" s="4">
        <f t="shared" si="7"/>
        <v>0.52777777777777779</v>
      </c>
      <c r="J464" t="s">
        <v>231</v>
      </c>
      <c r="K464">
        <v>9</v>
      </c>
      <c r="L464" t="s">
        <v>561</v>
      </c>
      <c r="M464">
        <v>5</v>
      </c>
    </row>
    <row r="465" spans="1:13">
      <c r="A465" t="s">
        <v>231</v>
      </c>
      <c r="B465">
        <v>9</v>
      </c>
      <c r="C465">
        <v>6</v>
      </c>
      <c r="D465">
        <v>20</v>
      </c>
      <c r="E465">
        <v>0</v>
      </c>
      <c r="F465">
        <v>4</v>
      </c>
      <c r="G465">
        <v>0</v>
      </c>
      <c r="H465">
        <v>36</v>
      </c>
      <c r="I465" s="4">
        <f t="shared" si="7"/>
        <v>0.55555555555555558</v>
      </c>
      <c r="J465" t="s">
        <v>231</v>
      </c>
      <c r="K465">
        <v>9</v>
      </c>
      <c r="L465" t="s">
        <v>563</v>
      </c>
      <c r="M465">
        <v>6</v>
      </c>
    </row>
    <row r="466" spans="1:13">
      <c r="A466" t="s">
        <v>231</v>
      </c>
      <c r="B466">
        <v>9</v>
      </c>
      <c r="C466">
        <v>7</v>
      </c>
      <c r="D466">
        <v>23</v>
      </c>
      <c r="E466">
        <v>0</v>
      </c>
      <c r="F466">
        <v>3</v>
      </c>
      <c r="G466">
        <v>0</v>
      </c>
      <c r="H466">
        <v>36</v>
      </c>
      <c r="I466" s="4">
        <f t="shared" si="7"/>
        <v>0.63888888888888884</v>
      </c>
      <c r="J466" t="s">
        <v>231</v>
      </c>
      <c r="K466">
        <v>9</v>
      </c>
      <c r="L466" t="s">
        <v>564</v>
      </c>
      <c r="M466">
        <v>7</v>
      </c>
    </row>
    <row r="467" spans="1:13">
      <c r="A467" t="s">
        <v>231</v>
      </c>
      <c r="B467">
        <v>9</v>
      </c>
      <c r="C467">
        <v>8</v>
      </c>
      <c r="D467">
        <v>24</v>
      </c>
      <c r="E467">
        <v>0</v>
      </c>
      <c r="F467">
        <v>2</v>
      </c>
      <c r="G467">
        <v>0</v>
      </c>
      <c r="H467">
        <v>36</v>
      </c>
      <c r="I467" s="4">
        <f t="shared" si="7"/>
        <v>0.66666666666666663</v>
      </c>
      <c r="J467" t="s">
        <v>231</v>
      </c>
      <c r="K467">
        <v>9</v>
      </c>
      <c r="L467" t="s">
        <v>205</v>
      </c>
      <c r="M467">
        <v>8</v>
      </c>
    </row>
    <row r="468" spans="1:13">
      <c r="A468" t="s">
        <v>231</v>
      </c>
      <c r="B468">
        <v>9</v>
      </c>
      <c r="C468">
        <v>9</v>
      </c>
      <c r="D468">
        <v>24</v>
      </c>
      <c r="E468">
        <v>0</v>
      </c>
      <c r="F468">
        <v>2</v>
      </c>
      <c r="G468">
        <v>0</v>
      </c>
      <c r="H468">
        <v>36</v>
      </c>
      <c r="I468" s="4">
        <f t="shared" si="7"/>
        <v>0.66666666666666663</v>
      </c>
      <c r="J468" t="s">
        <v>231</v>
      </c>
      <c r="K468">
        <v>9</v>
      </c>
      <c r="L468" t="s">
        <v>562</v>
      </c>
      <c r="M468">
        <v>9</v>
      </c>
    </row>
    <row r="469" spans="1:13">
      <c r="A469" t="s">
        <v>231</v>
      </c>
      <c r="B469">
        <v>9</v>
      </c>
      <c r="C469">
        <v>10</v>
      </c>
      <c r="D469">
        <v>24</v>
      </c>
      <c r="E469">
        <v>0</v>
      </c>
      <c r="F469">
        <v>2</v>
      </c>
      <c r="G469">
        <v>0</v>
      </c>
      <c r="H469">
        <v>36</v>
      </c>
      <c r="I469" s="4">
        <f t="shared" si="7"/>
        <v>0.66666666666666663</v>
      </c>
      <c r="J469" t="s">
        <v>231</v>
      </c>
      <c r="K469">
        <v>9</v>
      </c>
      <c r="L469" t="s">
        <v>566</v>
      </c>
      <c r="M469">
        <v>10</v>
      </c>
    </row>
    <row r="470" spans="1:13">
      <c r="A470" t="s">
        <v>231</v>
      </c>
      <c r="B470">
        <v>9</v>
      </c>
      <c r="C470">
        <v>11</v>
      </c>
      <c r="D470">
        <v>24</v>
      </c>
      <c r="E470">
        <v>0</v>
      </c>
      <c r="F470">
        <v>2</v>
      </c>
      <c r="G470">
        <v>0</v>
      </c>
      <c r="H470">
        <v>36</v>
      </c>
      <c r="I470" s="4">
        <f t="shared" si="7"/>
        <v>0.66666666666666663</v>
      </c>
      <c r="J470" t="s">
        <v>231</v>
      </c>
      <c r="K470">
        <v>9</v>
      </c>
      <c r="L470" t="s">
        <v>565</v>
      </c>
      <c r="M470">
        <v>11</v>
      </c>
    </row>
    <row r="471" spans="1:13">
      <c r="A471" t="s">
        <v>231</v>
      </c>
      <c r="B471">
        <v>9</v>
      </c>
      <c r="C471">
        <v>12</v>
      </c>
      <c r="D471">
        <v>24</v>
      </c>
      <c r="E471">
        <v>0</v>
      </c>
      <c r="F471">
        <v>2</v>
      </c>
      <c r="G471">
        <v>0</v>
      </c>
      <c r="H471">
        <v>36</v>
      </c>
      <c r="I471" s="4">
        <f t="shared" si="7"/>
        <v>0.66666666666666663</v>
      </c>
      <c r="J471" t="s">
        <v>231</v>
      </c>
      <c r="K471">
        <v>9</v>
      </c>
      <c r="L471" t="s">
        <v>567</v>
      </c>
      <c r="M471">
        <v>12</v>
      </c>
    </row>
    <row r="472" spans="1:13">
      <c r="A472" t="s">
        <v>231</v>
      </c>
      <c r="B472">
        <v>9</v>
      </c>
      <c r="C472">
        <v>13</v>
      </c>
      <c r="D472">
        <v>24</v>
      </c>
      <c r="E472">
        <v>0</v>
      </c>
      <c r="F472">
        <v>2</v>
      </c>
      <c r="G472">
        <v>0</v>
      </c>
      <c r="H472">
        <v>36</v>
      </c>
      <c r="I472" s="4">
        <f t="shared" si="7"/>
        <v>0.66666666666666663</v>
      </c>
      <c r="J472" t="s">
        <v>231</v>
      </c>
      <c r="K472">
        <v>9</v>
      </c>
      <c r="L472" t="s">
        <v>568</v>
      </c>
      <c r="M472">
        <v>13</v>
      </c>
    </row>
    <row r="473" spans="1:13">
      <c r="A473" t="s">
        <v>231</v>
      </c>
      <c r="B473">
        <v>9</v>
      </c>
      <c r="C473">
        <v>14</v>
      </c>
      <c r="D473">
        <v>28</v>
      </c>
      <c r="E473">
        <v>0</v>
      </c>
      <c r="F473">
        <v>3</v>
      </c>
      <c r="G473">
        <v>0</v>
      </c>
      <c r="H473">
        <v>36</v>
      </c>
      <c r="I473" s="4">
        <f t="shared" si="7"/>
        <v>0.77777777777777779</v>
      </c>
      <c r="J473" t="s">
        <v>231</v>
      </c>
      <c r="K473">
        <v>9</v>
      </c>
      <c r="L473" t="s">
        <v>569</v>
      </c>
      <c r="M473">
        <v>14</v>
      </c>
    </row>
    <row r="474" spans="1:13">
      <c r="A474" t="s">
        <v>231</v>
      </c>
      <c r="B474">
        <v>9</v>
      </c>
      <c r="C474">
        <v>15</v>
      </c>
      <c r="D474">
        <v>35</v>
      </c>
      <c r="E474">
        <v>0</v>
      </c>
      <c r="F474">
        <v>1</v>
      </c>
      <c r="G474">
        <v>0</v>
      </c>
      <c r="H474">
        <v>36</v>
      </c>
      <c r="I474" s="4">
        <f t="shared" si="7"/>
        <v>0.97222222222222221</v>
      </c>
      <c r="J474" t="s">
        <v>231</v>
      </c>
      <c r="K474">
        <v>9</v>
      </c>
      <c r="L474" t="s">
        <v>570</v>
      </c>
      <c r="M474">
        <v>15</v>
      </c>
    </row>
    <row r="475" spans="1:13">
      <c r="A475" t="s">
        <v>231</v>
      </c>
      <c r="B475">
        <v>9</v>
      </c>
      <c r="C475">
        <v>16</v>
      </c>
      <c r="D475">
        <v>35</v>
      </c>
      <c r="E475">
        <v>0</v>
      </c>
      <c r="F475">
        <v>1</v>
      </c>
      <c r="G475">
        <v>0</v>
      </c>
      <c r="H475">
        <v>36</v>
      </c>
      <c r="I475" s="4">
        <f t="shared" si="7"/>
        <v>0.97222222222222221</v>
      </c>
      <c r="J475" t="s">
        <v>231</v>
      </c>
      <c r="K475">
        <v>9</v>
      </c>
      <c r="L475" t="s">
        <v>571</v>
      </c>
      <c r="M475">
        <v>16</v>
      </c>
    </row>
    <row r="476" spans="1:13">
      <c r="A476" t="s">
        <v>231</v>
      </c>
      <c r="B476">
        <v>9</v>
      </c>
      <c r="C476">
        <v>17</v>
      </c>
      <c r="D476">
        <v>36</v>
      </c>
      <c r="E476">
        <v>0</v>
      </c>
      <c r="F476">
        <v>0</v>
      </c>
      <c r="G476">
        <v>0</v>
      </c>
      <c r="H476">
        <v>36</v>
      </c>
      <c r="I476" s="4">
        <f t="shared" si="7"/>
        <v>1</v>
      </c>
      <c r="J476" t="s">
        <v>231</v>
      </c>
      <c r="K476">
        <v>9</v>
      </c>
      <c r="L476" t="s">
        <v>572</v>
      </c>
      <c r="M476">
        <v>17</v>
      </c>
    </row>
    <row r="477" spans="1:13">
      <c r="A477" t="s">
        <v>231</v>
      </c>
      <c r="B477">
        <v>9</v>
      </c>
      <c r="C477">
        <v>18</v>
      </c>
      <c r="D477">
        <v>36</v>
      </c>
      <c r="E477">
        <v>0</v>
      </c>
      <c r="F477">
        <v>0</v>
      </c>
      <c r="G477">
        <v>0</v>
      </c>
      <c r="H477">
        <v>36</v>
      </c>
      <c r="I477" s="4">
        <f t="shared" si="7"/>
        <v>1</v>
      </c>
      <c r="J477" t="s">
        <v>231</v>
      </c>
      <c r="K477">
        <v>9</v>
      </c>
      <c r="L477" t="s">
        <v>573</v>
      </c>
      <c r="M477">
        <v>18</v>
      </c>
    </row>
    <row r="478" spans="1:13">
      <c r="A478" t="s">
        <v>231</v>
      </c>
      <c r="B478">
        <v>10</v>
      </c>
      <c r="C478">
        <v>1</v>
      </c>
      <c r="D478">
        <v>27</v>
      </c>
      <c r="E478">
        <v>0</v>
      </c>
      <c r="F478">
        <v>3</v>
      </c>
      <c r="G478">
        <v>0</v>
      </c>
      <c r="H478">
        <v>30</v>
      </c>
      <c r="I478" s="4">
        <f t="shared" si="7"/>
        <v>0.9</v>
      </c>
      <c r="J478" t="s">
        <v>231</v>
      </c>
      <c r="K478">
        <v>10</v>
      </c>
      <c r="L478" t="s">
        <v>179</v>
      </c>
      <c r="M478">
        <v>1</v>
      </c>
    </row>
    <row r="479" spans="1:13">
      <c r="A479" t="s">
        <v>231</v>
      </c>
      <c r="B479">
        <v>10</v>
      </c>
      <c r="C479">
        <v>2</v>
      </c>
      <c r="D479">
        <v>30</v>
      </c>
      <c r="E479">
        <v>0</v>
      </c>
      <c r="F479">
        <v>0</v>
      </c>
      <c r="G479">
        <v>0</v>
      </c>
      <c r="H479">
        <v>30</v>
      </c>
      <c r="I479" s="4">
        <f t="shared" si="7"/>
        <v>1</v>
      </c>
      <c r="J479" t="s">
        <v>231</v>
      </c>
      <c r="K479">
        <v>10</v>
      </c>
      <c r="L479" t="s">
        <v>1</v>
      </c>
      <c r="M479">
        <v>2</v>
      </c>
    </row>
    <row r="480" spans="1:13">
      <c r="A480" t="s">
        <v>231</v>
      </c>
      <c r="B480">
        <v>10</v>
      </c>
      <c r="C480">
        <v>3</v>
      </c>
      <c r="D480">
        <v>30</v>
      </c>
      <c r="E480">
        <v>0</v>
      </c>
      <c r="F480">
        <v>0</v>
      </c>
      <c r="G480">
        <v>0</v>
      </c>
      <c r="H480">
        <v>30</v>
      </c>
      <c r="I480" s="4">
        <f t="shared" si="7"/>
        <v>1</v>
      </c>
      <c r="J480" t="s">
        <v>231</v>
      </c>
      <c r="K480">
        <v>10</v>
      </c>
      <c r="L480" t="s">
        <v>180</v>
      </c>
      <c r="M480">
        <v>3</v>
      </c>
    </row>
    <row r="481" spans="1:13">
      <c r="A481" t="s">
        <v>231</v>
      </c>
      <c r="B481">
        <v>10</v>
      </c>
      <c r="C481">
        <v>4</v>
      </c>
      <c r="D481">
        <v>30</v>
      </c>
      <c r="E481">
        <v>0</v>
      </c>
      <c r="F481">
        <v>0</v>
      </c>
      <c r="G481">
        <v>0</v>
      </c>
      <c r="H481">
        <v>30</v>
      </c>
      <c r="I481" s="4">
        <f t="shared" si="7"/>
        <v>1</v>
      </c>
      <c r="J481" t="s">
        <v>231</v>
      </c>
      <c r="K481">
        <v>10</v>
      </c>
      <c r="L481" t="s">
        <v>0</v>
      </c>
      <c r="M481">
        <v>4</v>
      </c>
    </row>
    <row r="482" spans="1:13">
      <c r="A482" t="s">
        <v>231</v>
      </c>
      <c r="B482">
        <v>11</v>
      </c>
      <c r="C482">
        <v>1</v>
      </c>
      <c r="D482">
        <v>7</v>
      </c>
      <c r="E482">
        <v>0</v>
      </c>
      <c r="F482">
        <v>3</v>
      </c>
      <c r="G482">
        <v>0</v>
      </c>
      <c r="H482">
        <v>88</v>
      </c>
      <c r="I482" s="4">
        <f t="shared" si="7"/>
        <v>7.9545454545454544E-2</v>
      </c>
      <c r="J482" t="s">
        <v>231</v>
      </c>
      <c r="K482">
        <v>11</v>
      </c>
      <c r="L482" t="s">
        <v>542</v>
      </c>
      <c r="M482">
        <v>1</v>
      </c>
    </row>
    <row r="483" spans="1:13">
      <c r="A483" t="s">
        <v>231</v>
      </c>
      <c r="B483">
        <v>11</v>
      </c>
      <c r="C483">
        <v>2</v>
      </c>
      <c r="D483">
        <v>34</v>
      </c>
      <c r="E483">
        <v>0</v>
      </c>
      <c r="F483">
        <v>9</v>
      </c>
      <c r="G483">
        <v>0</v>
      </c>
      <c r="H483">
        <v>88</v>
      </c>
      <c r="I483" s="4">
        <f t="shared" si="7"/>
        <v>0.38636363636363635</v>
      </c>
      <c r="J483" t="s">
        <v>231</v>
      </c>
      <c r="K483">
        <v>11</v>
      </c>
      <c r="L483" t="s">
        <v>574</v>
      </c>
      <c r="M483">
        <v>2</v>
      </c>
    </row>
    <row r="484" spans="1:13">
      <c r="A484" t="s">
        <v>231</v>
      </c>
      <c r="B484">
        <v>11</v>
      </c>
      <c r="C484">
        <v>3</v>
      </c>
      <c r="D484">
        <v>43</v>
      </c>
      <c r="E484">
        <v>0</v>
      </c>
      <c r="F484">
        <v>7</v>
      </c>
      <c r="G484">
        <v>0</v>
      </c>
      <c r="H484">
        <v>88</v>
      </c>
      <c r="I484" s="4">
        <f t="shared" si="7"/>
        <v>0.48863636363636365</v>
      </c>
      <c r="J484" t="s">
        <v>231</v>
      </c>
      <c r="K484">
        <v>11</v>
      </c>
      <c r="L484" t="s">
        <v>575</v>
      </c>
      <c r="M484">
        <v>3</v>
      </c>
    </row>
    <row r="485" spans="1:13">
      <c r="A485" t="s">
        <v>231</v>
      </c>
      <c r="B485">
        <v>11</v>
      </c>
      <c r="C485">
        <v>4</v>
      </c>
      <c r="D485">
        <v>46</v>
      </c>
      <c r="E485">
        <v>0</v>
      </c>
      <c r="F485">
        <v>5</v>
      </c>
      <c r="G485">
        <v>0</v>
      </c>
      <c r="H485">
        <v>88</v>
      </c>
      <c r="I485" s="4">
        <f t="shared" si="7"/>
        <v>0.52272727272727271</v>
      </c>
      <c r="J485" t="s">
        <v>231</v>
      </c>
      <c r="K485">
        <v>11</v>
      </c>
      <c r="L485" t="s">
        <v>576</v>
      </c>
      <c r="M485">
        <v>4</v>
      </c>
    </row>
    <row r="486" spans="1:13">
      <c r="A486" t="s">
        <v>231</v>
      </c>
      <c r="B486">
        <v>11</v>
      </c>
      <c r="C486">
        <v>5</v>
      </c>
      <c r="D486">
        <v>54</v>
      </c>
      <c r="E486">
        <v>0</v>
      </c>
      <c r="F486">
        <v>6</v>
      </c>
      <c r="G486">
        <v>0</v>
      </c>
      <c r="H486">
        <v>88</v>
      </c>
      <c r="I486" s="4">
        <f t="shared" si="7"/>
        <v>0.61363636363636365</v>
      </c>
      <c r="J486" t="s">
        <v>231</v>
      </c>
      <c r="K486">
        <v>11</v>
      </c>
      <c r="L486" t="s">
        <v>577</v>
      </c>
      <c r="M486">
        <v>5</v>
      </c>
    </row>
    <row r="487" spans="1:13">
      <c r="A487" t="s">
        <v>231</v>
      </c>
      <c r="B487">
        <v>11</v>
      </c>
      <c r="C487">
        <v>6</v>
      </c>
      <c r="D487">
        <v>54</v>
      </c>
      <c r="E487">
        <v>0</v>
      </c>
      <c r="F487">
        <v>6</v>
      </c>
      <c r="G487">
        <v>0</v>
      </c>
      <c r="H487">
        <v>88</v>
      </c>
      <c r="I487" s="4">
        <f t="shared" si="7"/>
        <v>0.61363636363636365</v>
      </c>
      <c r="J487" t="s">
        <v>231</v>
      </c>
      <c r="K487">
        <v>11</v>
      </c>
      <c r="L487" t="s">
        <v>543</v>
      </c>
      <c r="M487">
        <v>6</v>
      </c>
    </row>
    <row r="488" spans="1:13">
      <c r="A488" t="s">
        <v>231</v>
      </c>
      <c r="B488">
        <v>11</v>
      </c>
      <c r="C488">
        <v>7</v>
      </c>
      <c r="D488">
        <v>54</v>
      </c>
      <c r="E488">
        <v>0</v>
      </c>
      <c r="F488">
        <v>6</v>
      </c>
      <c r="G488">
        <v>0</v>
      </c>
      <c r="H488">
        <v>88</v>
      </c>
      <c r="I488" s="4">
        <f t="shared" si="7"/>
        <v>0.61363636363636365</v>
      </c>
      <c r="J488" t="s">
        <v>231</v>
      </c>
      <c r="K488">
        <v>11</v>
      </c>
      <c r="L488" t="s">
        <v>578</v>
      </c>
      <c r="M488">
        <v>7</v>
      </c>
    </row>
    <row r="489" spans="1:13">
      <c r="A489" t="s">
        <v>231</v>
      </c>
      <c r="B489">
        <v>11</v>
      </c>
      <c r="C489">
        <v>8</v>
      </c>
      <c r="D489">
        <v>62</v>
      </c>
      <c r="E489">
        <v>0</v>
      </c>
      <c r="F489">
        <v>6</v>
      </c>
      <c r="G489">
        <v>0</v>
      </c>
      <c r="H489">
        <v>88</v>
      </c>
      <c r="I489" s="4">
        <f t="shared" si="7"/>
        <v>0.70454545454545459</v>
      </c>
      <c r="J489" t="s">
        <v>231</v>
      </c>
      <c r="K489">
        <v>11</v>
      </c>
      <c r="L489" t="s">
        <v>579</v>
      </c>
      <c r="M489">
        <v>8</v>
      </c>
    </row>
    <row r="490" spans="1:13">
      <c r="A490" t="s">
        <v>231</v>
      </c>
      <c r="B490">
        <v>11</v>
      </c>
      <c r="C490">
        <v>9</v>
      </c>
      <c r="D490">
        <v>68</v>
      </c>
      <c r="E490">
        <v>0</v>
      </c>
      <c r="F490">
        <v>3</v>
      </c>
      <c r="G490">
        <v>0</v>
      </c>
      <c r="H490">
        <v>88</v>
      </c>
      <c r="I490" s="4">
        <f t="shared" si="7"/>
        <v>0.77272727272727271</v>
      </c>
      <c r="J490" t="s">
        <v>231</v>
      </c>
      <c r="K490">
        <v>11</v>
      </c>
      <c r="L490" t="s">
        <v>580</v>
      </c>
      <c r="M490">
        <v>9</v>
      </c>
    </row>
    <row r="491" spans="1:13">
      <c r="A491" t="s">
        <v>231</v>
      </c>
      <c r="B491">
        <v>11</v>
      </c>
      <c r="C491">
        <v>10</v>
      </c>
      <c r="D491">
        <v>68</v>
      </c>
      <c r="E491">
        <v>0</v>
      </c>
      <c r="F491">
        <v>3</v>
      </c>
      <c r="G491">
        <v>0</v>
      </c>
      <c r="H491">
        <v>88</v>
      </c>
      <c r="I491" s="4">
        <f t="shared" si="7"/>
        <v>0.77272727272727271</v>
      </c>
      <c r="J491" t="s">
        <v>231</v>
      </c>
      <c r="K491">
        <v>11</v>
      </c>
      <c r="L491" t="s">
        <v>581</v>
      </c>
      <c r="M491">
        <v>10</v>
      </c>
    </row>
    <row r="492" spans="1:13">
      <c r="A492" t="s">
        <v>231</v>
      </c>
      <c r="B492">
        <v>11</v>
      </c>
      <c r="C492">
        <v>11</v>
      </c>
      <c r="D492">
        <v>68</v>
      </c>
      <c r="E492">
        <v>0</v>
      </c>
      <c r="F492">
        <v>3</v>
      </c>
      <c r="G492">
        <v>0</v>
      </c>
      <c r="H492">
        <v>88</v>
      </c>
      <c r="I492" s="4">
        <f t="shared" si="7"/>
        <v>0.77272727272727271</v>
      </c>
      <c r="J492" t="s">
        <v>231</v>
      </c>
      <c r="K492">
        <v>11</v>
      </c>
      <c r="L492" t="s">
        <v>583</v>
      </c>
      <c r="M492">
        <v>11</v>
      </c>
    </row>
    <row r="493" spans="1:13">
      <c r="A493" t="s">
        <v>231</v>
      </c>
      <c r="B493">
        <v>11</v>
      </c>
      <c r="C493">
        <v>12</v>
      </c>
      <c r="D493">
        <v>68</v>
      </c>
      <c r="E493">
        <v>0</v>
      </c>
      <c r="F493">
        <v>3</v>
      </c>
      <c r="G493">
        <v>0</v>
      </c>
      <c r="H493">
        <v>88</v>
      </c>
      <c r="I493" s="4">
        <f t="shared" si="7"/>
        <v>0.77272727272727271</v>
      </c>
      <c r="J493" t="s">
        <v>231</v>
      </c>
      <c r="K493">
        <v>11</v>
      </c>
      <c r="L493" t="s">
        <v>585</v>
      </c>
      <c r="M493">
        <v>12</v>
      </c>
    </row>
    <row r="494" spans="1:13">
      <c r="A494" t="s">
        <v>231</v>
      </c>
      <c r="B494">
        <v>11</v>
      </c>
      <c r="C494">
        <v>13</v>
      </c>
      <c r="D494">
        <v>78</v>
      </c>
      <c r="E494">
        <v>0</v>
      </c>
      <c r="F494">
        <v>3</v>
      </c>
      <c r="G494">
        <v>0</v>
      </c>
      <c r="H494">
        <v>88</v>
      </c>
      <c r="I494" s="4">
        <f t="shared" si="7"/>
        <v>0.88636363636363635</v>
      </c>
      <c r="J494" t="s">
        <v>231</v>
      </c>
      <c r="K494">
        <v>11</v>
      </c>
      <c r="L494" t="s">
        <v>584</v>
      </c>
      <c r="M494">
        <v>13</v>
      </c>
    </row>
    <row r="495" spans="1:13">
      <c r="A495" t="s">
        <v>231</v>
      </c>
      <c r="B495">
        <v>11</v>
      </c>
      <c r="C495">
        <v>14</v>
      </c>
      <c r="D495">
        <v>78</v>
      </c>
      <c r="E495">
        <v>0</v>
      </c>
      <c r="F495">
        <v>3</v>
      </c>
      <c r="G495">
        <v>0</v>
      </c>
      <c r="H495">
        <v>88</v>
      </c>
      <c r="I495" s="4">
        <f t="shared" si="7"/>
        <v>0.88636363636363635</v>
      </c>
      <c r="J495" t="s">
        <v>231</v>
      </c>
      <c r="K495">
        <v>11</v>
      </c>
      <c r="L495" t="s">
        <v>582</v>
      </c>
      <c r="M495">
        <v>14</v>
      </c>
    </row>
    <row r="496" spans="1:13">
      <c r="A496" t="s">
        <v>231</v>
      </c>
      <c r="B496">
        <v>11</v>
      </c>
      <c r="C496">
        <v>15</v>
      </c>
      <c r="D496">
        <v>88</v>
      </c>
      <c r="E496">
        <v>0</v>
      </c>
      <c r="F496">
        <v>0</v>
      </c>
      <c r="G496">
        <v>0</v>
      </c>
      <c r="H496">
        <v>88</v>
      </c>
      <c r="I496" s="4">
        <f t="shared" si="7"/>
        <v>1</v>
      </c>
      <c r="J496" t="s">
        <v>231</v>
      </c>
      <c r="K496">
        <v>11</v>
      </c>
      <c r="L496" t="s">
        <v>587</v>
      </c>
      <c r="M496">
        <v>15</v>
      </c>
    </row>
    <row r="497" spans="1:13">
      <c r="A497" t="s">
        <v>231</v>
      </c>
      <c r="B497">
        <v>11</v>
      </c>
      <c r="C497">
        <v>16</v>
      </c>
      <c r="D497">
        <v>88</v>
      </c>
      <c r="E497">
        <v>0</v>
      </c>
      <c r="F497">
        <v>0</v>
      </c>
      <c r="G497">
        <v>0</v>
      </c>
      <c r="H497">
        <v>88</v>
      </c>
      <c r="I497" s="4">
        <f t="shared" si="7"/>
        <v>1</v>
      </c>
      <c r="J497" t="s">
        <v>231</v>
      </c>
      <c r="K497">
        <v>11</v>
      </c>
      <c r="L497" t="s">
        <v>586</v>
      </c>
      <c r="M497">
        <v>16</v>
      </c>
    </row>
    <row r="498" spans="1:13">
      <c r="A498" t="s">
        <v>231</v>
      </c>
      <c r="B498">
        <v>11</v>
      </c>
      <c r="C498">
        <v>17</v>
      </c>
      <c r="D498">
        <v>88</v>
      </c>
      <c r="E498">
        <v>0</v>
      </c>
      <c r="F498">
        <v>0</v>
      </c>
      <c r="G498">
        <v>0</v>
      </c>
      <c r="H498">
        <v>88</v>
      </c>
      <c r="I498" s="4">
        <f t="shared" si="7"/>
        <v>1</v>
      </c>
      <c r="J498" t="s">
        <v>231</v>
      </c>
      <c r="K498">
        <v>11</v>
      </c>
      <c r="L498" t="s">
        <v>588</v>
      </c>
      <c r="M498">
        <v>17</v>
      </c>
    </row>
    <row r="499" spans="1:13">
      <c r="A499" t="s">
        <v>231</v>
      </c>
      <c r="B499">
        <v>11</v>
      </c>
      <c r="C499">
        <v>18</v>
      </c>
      <c r="D499">
        <v>88</v>
      </c>
      <c r="E499">
        <v>0</v>
      </c>
      <c r="F499">
        <v>0</v>
      </c>
      <c r="G499">
        <v>0</v>
      </c>
      <c r="H499">
        <v>88</v>
      </c>
      <c r="I499" s="4">
        <f t="shared" si="7"/>
        <v>1</v>
      </c>
      <c r="J499" t="s">
        <v>231</v>
      </c>
      <c r="K499">
        <v>11</v>
      </c>
      <c r="L499" t="s">
        <v>589</v>
      </c>
      <c r="M499">
        <v>18</v>
      </c>
    </row>
    <row r="500" spans="1:13">
      <c r="A500" t="s">
        <v>231</v>
      </c>
      <c r="B500">
        <v>11</v>
      </c>
      <c r="C500">
        <v>19</v>
      </c>
      <c r="D500">
        <v>88</v>
      </c>
      <c r="E500">
        <v>0</v>
      </c>
      <c r="F500">
        <v>0</v>
      </c>
      <c r="G500">
        <v>0</v>
      </c>
      <c r="H500">
        <v>88</v>
      </c>
      <c r="I500" s="4">
        <f t="shared" si="7"/>
        <v>1</v>
      </c>
      <c r="J500" t="s">
        <v>231</v>
      </c>
      <c r="K500">
        <v>11</v>
      </c>
      <c r="L500" t="s">
        <v>590</v>
      </c>
      <c r="M500">
        <v>19</v>
      </c>
    </row>
    <row r="501" spans="1:13">
      <c r="A501" t="s">
        <v>231</v>
      </c>
      <c r="B501">
        <v>12</v>
      </c>
      <c r="C501">
        <v>1</v>
      </c>
      <c r="D501">
        <v>7</v>
      </c>
      <c r="E501">
        <v>0</v>
      </c>
      <c r="F501">
        <v>3</v>
      </c>
      <c r="G501">
        <v>0</v>
      </c>
      <c r="H501">
        <v>56</v>
      </c>
      <c r="I501" s="4">
        <f t="shared" si="7"/>
        <v>0.125</v>
      </c>
      <c r="J501" t="s">
        <v>231</v>
      </c>
      <c r="K501">
        <v>12</v>
      </c>
      <c r="L501" t="s">
        <v>591</v>
      </c>
      <c r="M501">
        <v>1</v>
      </c>
    </row>
    <row r="502" spans="1:13">
      <c r="A502" t="s">
        <v>231</v>
      </c>
      <c r="B502">
        <v>12</v>
      </c>
      <c r="C502">
        <v>2</v>
      </c>
      <c r="D502">
        <v>29</v>
      </c>
      <c r="E502">
        <v>0</v>
      </c>
      <c r="F502">
        <v>7</v>
      </c>
      <c r="G502">
        <v>0</v>
      </c>
      <c r="H502">
        <v>56</v>
      </c>
      <c r="I502" s="4">
        <f t="shared" si="7"/>
        <v>0.5178571428571429</v>
      </c>
      <c r="J502" t="s">
        <v>231</v>
      </c>
      <c r="K502">
        <v>12</v>
      </c>
      <c r="L502" t="s">
        <v>592</v>
      </c>
      <c r="M502">
        <v>2</v>
      </c>
    </row>
    <row r="503" spans="1:13">
      <c r="A503" t="s">
        <v>231</v>
      </c>
      <c r="B503">
        <v>12</v>
      </c>
      <c r="C503">
        <v>3</v>
      </c>
      <c r="D503">
        <v>32</v>
      </c>
      <c r="E503">
        <v>0</v>
      </c>
      <c r="F503">
        <v>4</v>
      </c>
      <c r="G503">
        <v>0</v>
      </c>
      <c r="H503">
        <v>56</v>
      </c>
      <c r="I503" s="4">
        <f t="shared" si="7"/>
        <v>0.5714285714285714</v>
      </c>
      <c r="J503" t="s">
        <v>231</v>
      </c>
      <c r="K503">
        <v>12</v>
      </c>
      <c r="L503" t="s">
        <v>593</v>
      </c>
      <c r="M503">
        <v>3</v>
      </c>
    </row>
    <row r="504" spans="1:13">
      <c r="A504" t="s">
        <v>231</v>
      </c>
      <c r="B504">
        <v>12</v>
      </c>
      <c r="C504">
        <v>4</v>
      </c>
      <c r="D504">
        <v>43</v>
      </c>
      <c r="E504">
        <v>0</v>
      </c>
      <c r="F504">
        <v>2</v>
      </c>
      <c r="G504">
        <v>0</v>
      </c>
      <c r="H504">
        <v>56</v>
      </c>
      <c r="I504" s="4">
        <f t="shared" si="7"/>
        <v>0.7678571428571429</v>
      </c>
      <c r="J504" t="s">
        <v>231</v>
      </c>
      <c r="K504">
        <v>12</v>
      </c>
      <c r="L504" t="s">
        <v>594</v>
      </c>
      <c r="M504">
        <v>4</v>
      </c>
    </row>
    <row r="505" spans="1:13">
      <c r="A505" t="s">
        <v>231</v>
      </c>
      <c r="B505">
        <v>12</v>
      </c>
      <c r="C505">
        <v>5</v>
      </c>
      <c r="D505">
        <v>43</v>
      </c>
      <c r="E505">
        <v>0</v>
      </c>
      <c r="F505">
        <v>2</v>
      </c>
      <c r="G505">
        <v>0</v>
      </c>
      <c r="H505">
        <v>56</v>
      </c>
      <c r="I505" s="4">
        <f t="shared" si="7"/>
        <v>0.7678571428571429</v>
      </c>
      <c r="J505" t="s">
        <v>231</v>
      </c>
      <c r="K505">
        <v>12</v>
      </c>
      <c r="L505" t="s">
        <v>558</v>
      </c>
      <c r="M505">
        <v>5</v>
      </c>
    </row>
    <row r="506" spans="1:13">
      <c r="A506" t="s">
        <v>231</v>
      </c>
      <c r="B506">
        <v>12</v>
      </c>
      <c r="C506">
        <v>6</v>
      </c>
      <c r="D506">
        <v>53</v>
      </c>
      <c r="E506">
        <v>0</v>
      </c>
      <c r="F506">
        <v>3</v>
      </c>
      <c r="G506">
        <v>0</v>
      </c>
      <c r="H506">
        <v>56</v>
      </c>
      <c r="I506" s="4">
        <f t="shared" si="7"/>
        <v>0.9464285714285714</v>
      </c>
      <c r="J506" t="s">
        <v>231</v>
      </c>
      <c r="K506">
        <v>12</v>
      </c>
      <c r="L506" t="s">
        <v>197</v>
      </c>
      <c r="M506">
        <v>6</v>
      </c>
    </row>
    <row r="507" spans="1:13">
      <c r="A507" t="s">
        <v>231</v>
      </c>
      <c r="B507">
        <v>12</v>
      </c>
      <c r="C507">
        <v>7</v>
      </c>
      <c r="D507">
        <v>56</v>
      </c>
      <c r="E507">
        <v>0</v>
      </c>
      <c r="F507">
        <v>0</v>
      </c>
      <c r="G507">
        <v>0</v>
      </c>
      <c r="H507">
        <v>56</v>
      </c>
      <c r="I507" s="4">
        <f t="shared" si="7"/>
        <v>1</v>
      </c>
      <c r="J507" t="s">
        <v>231</v>
      </c>
      <c r="K507">
        <v>12</v>
      </c>
      <c r="L507" t="s">
        <v>595</v>
      </c>
      <c r="M507">
        <v>7</v>
      </c>
    </row>
    <row r="508" spans="1:13">
      <c r="A508" t="s">
        <v>231</v>
      </c>
      <c r="B508">
        <v>12</v>
      </c>
      <c r="C508">
        <v>8</v>
      </c>
      <c r="D508">
        <v>56</v>
      </c>
      <c r="E508">
        <v>0</v>
      </c>
      <c r="F508">
        <v>0</v>
      </c>
      <c r="G508">
        <v>0</v>
      </c>
      <c r="H508">
        <v>56</v>
      </c>
      <c r="I508" s="4">
        <f t="shared" si="7"/>
        <v>1</v>
      </c>
      <c r="J508" t="s">
        <v>231</v>
      </c>
      <c r="K508">
        <v>12</v>
      </c>
      <c r="L508" t="s">
        <v>596</v>
      </c>
      <c r="M508">
        <v>8</v>
      </c>
    </row>
    <row r="509" spans="1:13">
      <c r="A509" t="s">
        <v>231</v>
      </c>
      <c r="B509">
        <v>12</v>
      </c>
      <c r="C509">
        <v>9</v>
      </c>
      <c r="D509">
        <v>56</v>
      </c>
      <c r="E509">
        <v>0</v>
      </c>
      <c r="F509">
        <v>0</v>
      </c>
      <c r="G509">
        <v>0</v>
      </c>
      <c r="H509">
        <v>56</v>
      </c>
      <c r="I509" s="4">
        <f t="shared" si="7"/>
        <v>1</v>
      </c>
      <c r="J509" t="s">
        <v>231</v>
      </c>
      <c r="K509">
        <v>12</v>
      </c>
      <c r="L509" t="s">
        <v>597</v>
      </c>
      <c r="M509">
        <v>9</v>
      </c>
    </row>
    <row r="510" spans="1:13">
      <c r="A510" t="s">
        <v>231</v>
      </c>
      <c r="B510">
        <v>13</v>
      </c>
      <c r="C510">
        <v>1</v>
      </c>
      <c r="D510">
        <v>3</v>
      </c>
      <c r="E510">
        <v>0</v>
      </c>
      <c r="F510">
        <v>1</v>
      </c>
      <c r="G510">
        <v>0</v>
      </c>
      <c r="H510">
        <v>7</v>
      </c>
      <c r="I510" s="4">
        <f t="shared" si="7"/>
        <v>0.42857142857142855</v>
      </c>
      <c r="J510" t="s">
        <v>231</v>
      </c>
      <c r="K510">
        <v>13</v>
      </c>
      <c r="L510" t="s">
        <v>203</v>
      </c>
      <c r="M510">
        <v>1</v>
      </c>
    </row>
    <row r="511" spans="1:13">
      <c r="A511" t="s">
        <v>231</v>
      </c>
      <c r="B511">
        <v>13</v>
      </c>
      <c r="C511">
        <v>2</v>
      </c>
      <c r="D511">
        <v>7</v>
      </c>
      <c r="E511">
        <v>0</v>
      </c>
      <c r="F511">
        <v>0</v>
      </c>
      <c r="G511">
        <v>0</v>
      </c>
      <c r="H511">
        <v>7</v>
      </c>
      <c r="I511" s="4">
        <f t="shared" si="7"/>
        <v>1</v>
      </c>
      <c r="J511" t="s">
        <v>231</v>
      </c>
      <c r="K511">
        <v>13</v>
      </c>
      <c r="L511" t="s">
        <v>2</v>
      </c>
      <c r="M511">
        <v>2</v>
      </c>
    </row>
    <row r="512" spans="1:13">
      <c r="A512" t="s">
        <v>598</v>
      </c>
      <c r="B512">
        <v>6</v>
      </c>
      <c r="C512">
        <v>1</v>
      </c>
      <c r="D512">
        <v>21</v>
      </c>
      <c r="E512">
        <v>0</v>
      </c>
      <c r="F512">
        <v>4</v>
      </c>
      <c r="G512">
        <v>0</v>
      </c>
      <c r="H512">
        <v>71</v>
      </c>
      <c r="I512" s="4">
        <f t="shared" si="7"/>
        <v>0.29577464788732394</v>
      </c>
      <c r="J512" t="s">
        <v>598</v>
      </c>
      <c r="K512">
        <v>2</v>
      </c>
      <c r="L512" t="s">
        <v>693</v>
      </c>
      <c r="M512">
        <v>1</v>
      </c>
    </row>
    <row r="513" spans="1:13">
      <c r="A513" t="s">
        <v>598</v>
      </c>
      <c r="B513">
        <v>6</v>
      </c>
      <c r="C513">
        <v>2</v>
      </c>
      <c r="D513">
        <v>23</v>
      </c>
      <c r="E513">
        <v>0</v>
      </c>
      <c r="F513">
        <v>2</v>
      </c>
      <c r="G513">
        <v>0</v>
      </c>
      <c r="H513">
        <v>71</v>
      </c>
      <c r="I513" s="4">
        <f t="shared" si="7"/>
        <v>0.323943661971831</v>
      </c>
      <c r="J513" t="s">
        <v>598</v>
      </c>
      <c r="K513">
        <v>2</v>
      </c>
      <c r="L513" t="s">
        <v>235</v>
      </c>
      <c r="M513">
        <v>2</v>
      </c>
    </row>
    <row r="514" spans="1:13">
      <c r="A514" t="s">
        <v>598</v>
      </c>
      <c r="B514">
        <v>6</v>
      </c>
      <c r="C514">
        <v>3</v>
      </c>
      <c r="D514">
        <v>30</v>
      </c>
      <c r="E514">
        <v>0</v>
      </c>
      <c r="F514">
        <v>1</v>
      </c>
      <c r="G514">
        <v>0</v>
      </c>
      <c r="H514">
        <v>71</v>
      </c>
      <c r="I514" s="4">
        <f t="shared" si="7"/>
        <v>0.42253521126760563</v>
      </c>
      <c r="J514" t="s">
        <v>598</v>
      </c>
      <c r="K514">
        <v>2</v>
      </c>
      <c r="L514" t="s">
        <v>694</v>
      </c>
      <c r="M514">
        <v>3</v>
      </c>
    </row>
    <row r="515" spans="1:13">
      <c r="A515" t="s">
        <v>598</v>
      </c>
      <c r="B515">
        <v>6</v>
      </c>
      <c r="C515">
        <v>4</v>
      </c>
      <c r="D515">
        <v>31</v>
      </c>
      <c r="E515">
        <v>0</v>
      </c>
      <c r="F515">
        <v>0</v>
      </c>
      <c r="G515">
        <v>0</v>
      </c>
      <c r="H515">
        <v>31</v>
      </c>
      <c r="I515" s="4">
        <f t="shared" ref="I515:I519" si="8">D515/H515</f>
        <v>1</v>
      </c>
      <c r="J515" t="s">
        <v>598</v>
      </c>
      <c r="K515">
        <v>6</v>
      </c>
      <c r="L515" t="s">
        <v>599</v>
      </c>
      <c r="M515">
        <v>1</v>
      </c>
    </row>
    <row r="516" spans="1:13">
      <c r="A516" t="s">
        <v>598</v>
      </c>
      <c r="B516">
        <v>6</v>
      </c>
      <c r="C516">
        <v>5</v>
      </c>
      <c r="D516">
        <v>31</v>
      </c>
      <c r="E516">
        <v>0</v>
      </c>
      <c r="F516">
        <v>0</v>
      </c>
      <c r="G516">
        <v>0</v>
      </c>
      <c r="H516">
        <v>31</v>
      </c>
      <c r="I516" s="4">
        <f t="shared" si="8"/>
        <v>1</v>
      </c>
      <c r="J516" t="s">
        <v>598</v>
      </c>
      <c r="K516">
        <v>6</v>
      </c>
      <c r="L516" t="s">
        <v>236</v>
      </c>
      <c r="M516">
        <v>2</v>
      </c>
    </row>
    <row r="517" spans="1:13">
      <c r="A517" t="s">
        <v>598</v>
      </c>
      <c r="B517">
        <v>6</v>
      </c>
      <c r="C517">
        <v>6</v>
      </c>
      <c r="D517">
        <v>31</v>
      </c>
      <c r="E517">
        <v>0</v>
      </c>
      <c r="F517">
        <v>0</v>
      </c>
      <c r="G517">
        <v>0</v>
      </c>
      <c r="H517">
        <v>31</v>
      </c>
      <c r="I517" s="4">
        <f t="shared" si="8"/>
        <v>1</v>
      </c>
      <c r="J517" t="s">
        <v>598</v>
      </c>
      <c r="K517">
        <v>6</v>
      </c>
      <c r="L517" t="s">
        <v>600</v>
      </c>
      <c r="M517">
        <v>3</v>
      </c>
    </row>
    <row r="518" spans="1:13">
      <c r="A518" t="s">
        <v>598</v>
      </c>
      <c r="B518">
        <v>8</v>
      </c>
      <c r="C518">
        <v>1</v>
      </c>
      <c r="D518">
        <v>26</v>
      </c>
      <c r="E518">
        <v>0</v>
      </c>
      <c r="F518">
        <v>2</v>
      </c>
      <c r="G518">
        <v>0</v>
      </c>
      <c r="H518">
        <v>29</v>
      </c>
      <c r="I518" s="4">
        <f t="shared" si="8"/>
        <v>0.89655172413793105</v>
      </c>
      <c r="J518" t="s">
        <v>598</v>
      </c>
      <c r="K518">
        <v>6</v>
      </c>
      <c r="L518" t="s">
        <v>601</v>
      </c>
      <c r="M518">
        <v>4</v>
      </c>
    </row>
    <row r="519" spans="1:13">
      <c r="A519" t="s">
        <v>598</v>
      </c>
      <c r="B519">
        <v>8</v>
      </c>
      <c r="C519">
        <v>2</v>
      </c>
      <c r="D519">
        <v>29</v>
      </c>
      <c r="E519">
        <v>0</v>
      </c>
      <c r="F519">
        <v>0</v>
      </c>
      <c r="G519">
        <v>0</v>
      </c>
      <c r="H519">
        <v>29</v>
      </c>
      <c r="I519" s="4">
        <f t="shared" si="8"/>
        <v>1</v>
      </c>
      <c r="J519" t="s">
        <v>598</v>
      </c>
      <c r="K519">
        <v>6</v>
      </c>
      <c r="L519" t="s">
        <v>446</v>
      </c>
      <c r="M519">
        <v>5</v>
      </c>
    </row>
    <row r="520" spans="1:13">
      <c r="I520" s="4"/>
      <c r="J520" t="s">
        <v>598</v>
      </c>
      <c r="K520">
        <v>6</v>
      </c>
      <c r="L520" t="s">
        <v>602</v>
      </c>
      <c r="M520">
        <v>6</v>
      </c>
    </row>
    <row r="521" spans="1:13">
      <c r="I521" s="4"/>
      <c r="J521" t="s">
        <v>598</v>
      </c>
      <c r="K521">
        <v>8</v>
      </c>
      <c r="L521" t="s">
        <v>203</v>
      </c>
      <c r="M521">
        <v>1</v>
      </c>
    </row>
    <row r="522" spans="1:13">
      <c r="I522" s="4"/>
      <c r="J522" t="s">
        <v>598</v>
      </c>
      <c r="K522">
        <v>8</v>
      </c>
      <c r="L522" t="s">
        <v>2</v>
      </c>
      <c r="M522">
        <v>2</v>
      </c>
    </row>
    <row r="523" spans="1:13">
      <c r="I523" s="4"/>
    </row>
    <row r="524" spans="1:13">
      <c r="I524" s="4"/>
    </row>
    <row r="525" spans="1:13">
      <c r="I525" s="4"/>
    </row>
    <row r="526" spans="1:13">
      <c r="I526" s="4"/>
    </row>
    <row r="527" spans="1:13">
      <c r="I527" s="4"/>
    </row>
    <row r="528" spans="1:13">
      <c r="I528" s="4"/>
    </row>
    <row r="529" spans="9:9">
      <c r="I529" s="4"/>
    </row>
    <row r="530" spans="9:9">
      <c r="I530" s="4"/>
    </row>
    <row r="531" spans="9:9">
      <c r="I531" s="4"/>
    </row>
    <row r="532" spans="9:9">
      <c r="I532" s="4"/>
    </row>
    <row r="533" spans="9:9">
      <c r="I533" s="4"/>
    </row>
    <row r="534" spans="9:9">
      <c r="I534" s="4"/>
    </row>
    <row r="535" spans="9:9">
      <c r="I535" s="4"/>
    </row>
    <row r="536" spans="9:9">
      <c r="I536" s="4"/>
    </row>
    <row r="537" spans="9:9">
      <c r="I537" s="4"/>
    </row>
    <row r="538" spans="9:9">
      <c r="I538" s="4"/>
    </row>
    <row r="539" spans="9:9">
      <c r="I539" s="4"/>
    </row>
    <row r="540" spans="9:9">
      <c r="I540" s="4"/>
    </row>
    <row r="541" spans="9:9">
      <c r="I541" s="4"/>
    </row>
    <row r="542" spans="9:9">
      <c r="I542" s="4"/>
    </row>
    <row r="543" spans="9:9">
      <c r="I543" s="4"/>
    </row>
    <row r="544" spans="9:9">
      <c r="I544" s="4"/>
    </row>
    <row r="545" spans="9:9">
      <c r="I545" s="4"/>
    </row>
    <row r="546" spans="9:9">
      <c r="I546" s="4"/>
    </row>
    <row r="547" spans="9:9">
      <c r="I547" s="4"/>
    </row>
    <row r="548" spans="9:9">
      <c r="I548" s="4"/>
    </row>
    <row r="549" spans="9:9">
      <c r="I549" s="4"/>
    </row>
    <row r="550" spans="9:9">
      <c r="I550" s="4"/>
    </row>
    <row r="551" spans="9:9">
      <c r="I551" s="4"/>
    </row>
    <row r="552" spans="9:9">
      <c r="I552" s="4"/>
    </row>
    <row r="553" spans="9:9">
      <c r="I553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0"/>
  <sheetViews>
    <sheetView topLeftCell="J1" workbookViewId="0">
      <selection activeCell="P2" sqref="P2:V8"/>
    </sheetView>
  </sheetViews>
  <sheetFormatPr baseColWidth="10" defaultRowHeight="15" x14ac:dyDescent="0"/>
  <cols>
    <col min="1" max="1" width="25.33203125" bestFit="1" customWidth="1"/>
    <col min="3" max="3" width="28.5" bestFit="1" customWidth="1"/>
    <col min="6" max="7" width="10.83203125" style="4"/>
    <col min="24" max="24" width="14" customWidth="1"/>
    <col min="35" max="35" width="13" bestFit="1" customWidth="1"/>
  </cols>
  <sheetData>
    <row r="1" spans="1:81">
      <c r="A1" t="s">
        <v>3</v>
      </c>
      <c r="B1" t="s">
        <v>5</v>
      </c>
      <c r="C1" t="s">
        <v>608</v>
      </c>
      <c r="D1" t="s">
        <v>186</v>
      </c>
      <c r="E1" t="s">
        <v>232</v>
      </c>
      <c r="F1" s="4" t="s">
        <v>185</v>
      </c>
      <c r="G1" s="4" t="s">
        <v>604</v>
      </c>
      <c r="H1" t="s">
        <v>605</v>
      </c>
      <c r="I1" t="s">
        <v>606</v>
      </c>
      <c r="J1" t="s">
        <v>681</v>
      </c>
      <c r="K1" s="7" t="s">
        <v>607</v>
      </c>
      <c r="L1" s="7" t="s">
        <v>682</v>
      </c>
      <c r="M1" s="7"/>
      <c r="N1" s="7"/>
      <c r="O1" s="7"/>
      <c r="P1" s="7"/>
      <c r="Q1" s="7" t="s">
        <v>680</v>
      </c>
      <c r="R1" s="7"/>
      <c r="S1" s="7"/>
      <c r="T1" s="7"/>
      <c r="U1" s="7"/>
      <c r="W1" t="s">
        <v>182</v>
      </c>
      <c r="X1" t="s">
        <v>608</v>
      </c>
      <c r="Y1" t="s">
        <v>608</v>
      </c>
      <c r="Z1" t="s">
        <v>608</v>
      </c>
      <c r="AA1" t="s">
        <v>608</v>
      </c>
      <c r="AB1" t="s">
        <v>608</v>
      </c>
      <c r="AC1" t="s">
        <v>608</v>
      </c>
      <c r="AD1" t="s">
        <v>608</v>
      </c>
      <c r="AE1" t="s">
        <v>608</v>
      </c>
      <c r="AF1" t="s">
        <v>608</v>
      </c>
      <c r="AG1" t="s">
        <v>608</v>
      </c>
      <c r="AH1" t="s">
        <v>608</v>
      </c>
      <c r="AI1" t="s">
        <v>608</v>
      </c>
      <c r="AJ1" t="s">
        <v>608</v>
      </c>
      <c r="AK1" t="s">
        <v>608</v>
      </c>
      <c r="AL1" t="s">
        <v>608</v>
      </c>
      <c r="AM1" t="s">
        <v>608</v>
      </c>
      <c r="AN1" t="s">
        <v>608</v>
      </c>
      <c r="AO1" t="s">
        <v>608</v>
      </c>
      <c r="AP1" t="s">
        <v>608</v>
      </c>
      <c r="AQ1" t="s">
        <v>608</v>
      </c>
      <c r="AR1" t="s">
        <v>608</v>
      </c>
      <c r="AS1" t="s">
        <v>608</v>
      </c>
      <c r="AT1" t="s">
        <v>608</v>
      </c>
      <c r="AU1" t="s">
        <v>608</v>
      </c>
      <c r="AV1" t="s">
        <v>608</v>
      </c>
      <c r="AW1" t="s">
        <v>608</v>
      </c>
      <c r="AX1" t="s">
        <v>608</v>
      </c>
      <c r="AY1" t="s">
        <v>608</v>
      </c>
      <c r="AZ1" t="s">
        <v>608</v>
      </c>
      <c r="BA1" t="s">
        <v>608</v>
      </c>
      <c r="BB1" t="s">
        <v>608</v>
      </c>
      <c r="BC1" t="s">
        <v>608</v>
      </c>
      <c r="BD1" t="s">
        <v>608</v>
      </c>
      <c r="BE1" t="s">
        <v>608</v>
      </c>
      <c r="BF1" t="s">
        <v>608</v>
      </c>
      <c r="BG1" t="s">
        <v>608</v>
      </c>
      <c r="BH1" t="s">
        <v>608</v>
      </c>
      <c r="BI1" t="s">
        <v>608</v>
      </c>
      <c r="BJ1" t="s">
        <v>608</v>
      </c>
      <c r="BK1" t="s">
        <v>608</v>
      </c>
      <c r="BL1" t="s">
        <v>608</v>
      </c>
      <c r="BM1" t="s">
        <v>608</v>
      </c>
      <c r="BN1" t="s">
        <v>608</v>
      </c>
      <c r="BO1" t="s">
        <v>608</v>
      </c>
      <c r="BP1" t="s">
        <v>608</v>
      </c>
      <c r="BQ1" t="s">
        <v>608</v>
      </c>
      <c r="BR1" t="s">
        <v>608</v>
      </c>
      <c r="BS1" t="s">
        <v>608</v>
      </c>
      <c r="BT1" t="s">
        <v>608</v>
      </c>
      <c r="BU1" t="s">
        <v>608</v>
      </c>
      <c r="BV1" t="s">
        <v>608</v>
      </c>
      <c r="BW1" t="s">
        <v>608</v>
      </c>
      <c r="BX1" t="s">
        <v>608</v>
      </c>
      <c r="BY1" t="s">
        <v>608</v>
      </c>
      <c r="BZ1" t="s">
        <v>608</v>
      </c>
      <c r="CA1" t="s">
        <v>608</v>
      </c>
      <c r="CB1" t="s">
        <v>608</v>
      </c>
      <c r="CC1" t="s">
        <v>608</v>
      </c>
    </row>
    <row r="2" spans="1:81">
      <c r="A2" t="s">
        <v>188</v>
      </c>
      <c r="B2">
        <v>1</v>
      </c>
      <c r="C2" t="str">
        <f>CONCATENATE(A2, "_",B2,"_")</f>
        <v>test.BallonFactory_1_</v>
      </c>
      <c r="D2">
        <v>1</v>
      </c>
      <c r="E2" s="4">
        <v>0.92156862745098034</v>
      </c>
      <c r="F2" s="4">
        <v>0.67548209366391188</v>
      </c>
      <c r="G2" s="4" t="str">
        <f>IF($F2 &lt;= 0.2,$E2,"")</f>
        <v/>
      </c>
      <c r="H2" s="4" t="str">
        <f>IF(AND($F2 &gt; 0.2,$F2 &lt;= 0.4),$E2,"")</f>
        <v/>
      </c>
      <c r="I2" s="4" t="str">
        <f>IF(AND($F2 &gt; 0.4,$F2 &lt;= 0.6),$E2,"")</f>
        <v/>
      </c>
      <c r="J2" s="4">
        <f>IF(AND($F2 &gt; 0.6,$F2 &lt;= 0.8),$E2,"")</f>
        <v>0.92156862745098034</v>
      </c>
      <c r="K2" s="4" t="str">
        <f>IF(AND($F2 &gt; 0.8, $F2 &lt;=1.1),$E2,"")</f>
        <v/>
      </c>
      <c r="L2" s="4" t="str">
        <f>IF(AND($F2 &gt; 1.1),$E2,"")</f>
        <v/>
      </c>
      <c r="M2" s="4"/>
      <c r="N2" s="4" t="s">
        <v>683</v>
      </c>
      <c r="O2" s="4" t="s">
        <v>614</v>
      </c>
      <c r="P2" s="4" t="s">
        <v>679</v>
      </c>
      <c r="Q2" s="4">
        <v>0</v>
      </c>
      <c r="R2" s="4" t="s">
        <v>613</v>
      </c>
      <c r="S2" s="4" t="s">
        <v>612</v>
      </c>
      <c r="T2" s="4" t="s">
        <v>611</v>
      </c>
      <c r="U2" s="4" t="s">
        <v>610</v>
      </c>
      <c r="V2" t="s">
        <v>609</v>
      </c>
      <c r="W2">
        <f>COUNTA(X2:CC2)</f>
        <v>58</v>
      </c>
      <c r="X2" t="s">
        <v>619</v>
      </c>
      <c r="Y2" t="s">
        <v>620</v>
      </c>
      <c r="Z2" t="s">
        <v>621</v>
      </c>
      <c r="AA2" t="s">
        <v>622</v>
      </c>
      <c r="AB2" t="s">
        <v>623</v>
      </c>
      <c r="AC2" t="s">
        <v>624</v>
      </c>
      <c r="AD2" t="s">
        <v>625</v>
      </c>
      <c r="AE2" t="s">
        <v>626</v>
      </c>
      <c r="AF2" t="s">
        <v>627</v>
      </c>
      <c r="AG2" t="s">
        <v>628</v>
      </c>
      <c r="AH2" t="s">
        <v>629</v>
      </c>
      <c r="AI2" t="s">
        <v>617</v>
      </c>
      <c r="AJ2" t="s">
        <v>616</v>
      </c>
      <c r="AK2" t="s">
        <v>684</v>
      </c>
      <c r="AL2" t="s">
        <v>618</v>
      </c>
      <c r="AM2" t="s">
        <v>630</v>
      </c>
      <c r="AN2" t="s">
        <v>631</v>
      </c>
      <c r="AO2" t="s">
        <v>632</v>
      </c>
      <c r="AP2" t="s">
        <v>633</v>
      </c>
      <c r="AQ2" t="s">
        <v>634</v>
      </c>
      <c r="AR2" t="s">
        <v>635</v>
      </c>
      <c r="AS2" t="s">
        <v>636</v>
      </c>
      <c r="AT2" t="s">
        <v>637</v>
      </c>
      <c r="AU2" t="s">
        <v>638</v>
      </c>
      <c r="AV2" t="s">
        <v>639</v>
      </c>
      <c r="AW2" t="s">
        <v>640</v>
      </c>
      <c r="AX2" t="s">
        <v>641</v>
      </c>
      <c r="AY2" t="s">
        <v>642</v>
      </c>
      <c r="AZ2" t="s">
        <v>643</v>
      </c>
      <c r="BA2" t="s">
        <v>644</v>
      </c>
      <c r="BB2" t="s">
        <v>645</v>
      </c>
      <c r="BC2" t="s">
        <v>646</v>
      </c>
      <c r="BD2" t="s">
        <v>647</v>
      </c>
      <c r="BE2" t="s">
        <v>648</v>
      </c>
      <c r="BF2" t="s">
        <v>649</v>
      </c>
      <c r="BG2" t="s">
        <v>650</v>
      </c>
      <c r="BH2" t="s">
        <v>651</v>
      </c>
      <c r="BI2" t="s">
        <v>653</v>
      </c>
      <c r="BJ2" t="s">
        <v>654</v>
      </c>
      <c r="BK2" t="s">
        <v>696</v>
      </c>
      <c r="BL2" t="s">
        <v>655</v>
      </c>
      <c r="BM2" t="s">
        <v>656</v>
      </c>
      <c r="BN2" t="s">
        <v>657</v>
      </c>
      <c r="BO2" t="s">
        <v>658</v>
      </c>
      <c r="BP2" t="s">
        <v>661</v>
      </c>
      <c r="BQ2" t="s">
        <v>662</v>
      </c>
      <c r="BR2" t="s">
        <v>663</v>
      </c>
      <c r="BS2" t="s">
        <v>665</v>
      </c>
      <c r="BT2" t="s">
        <v>667</v>
      </c>
      <c r="BU2" t="s">
        <v>668</v>
      </c>
      <c r="BV2" t="s">
        <v>670</v>
      </c>
      <c r="BW2" t="s">
        <v>671</v>
      </c>
      <c r="BX2" t="s">
        <v>672</v>
      </c>
      <c r="BY2" t="s">
        <v>673</v>
      </c>
      <c r="BZ2" t="s">
        <v>674</v>
      </c>
      <c r="CA2" t="s">
        <v>675</v>
      </c>
      <c r="CB2" t="s">
        <v>676</v>
      </c>
      <c r="CC2" t="s">
        <v>677</v>
      </c>
    </row>
    <row r="3" spans="1:81">
      <c r="A3" t="s">
        <v>188</v>
      </c>
      <c r="B3">
        <v>1</v>
      </c>
      <c r="C3" t="str">
        <f t="shared" ref="C3:C66" si="0">CONCATENATE(A3, "_",B3,"_")</f>
        <v>test.BallonFactory_1_</v>
      </c>
      <c r="D3">
        <v>2</v>
      </c>
      <c r="E3" s="4">
        <v>0.96078431372549022</v>
      </c>
      <c r="F3" s="4">
        <v>0.67750229568411391</v>
      </c>
      <c r="G3" s="4" t="str">
        <f t="shared" ref="G3:G66" si="1">IF($F3 &lt;= 0.2,$E3,"")</f>
        <v/>
      </c>
      <c r="H3" s="4" t="str">
        <f t="shared" ref="H3:H66" si="2">IF(AND($F3 &gt; 0.2,$F3 &lt;= 0.4),$E3,"")</f>
        <v/>
      </c>
      <c r="I3" s="4" t="str">
        <f t="shared" ref="I3:I66" si="3">IF(AND($F3 &gt; 0.4,$F3 &lt;= 0.6),$E3,"")</f>
        <v/>
      </c>
      <c r="J3" s="4">
        <f t="shared" ref="J3:J66" si="4">IF(AND($F3 &gt; 0.6,$F3 &lt;= 0.8),$E3,"")</f>
        <v>0.96078431372549022</v>
      </c>
      <c r="K3" s="4" t="str">
        <f t="shared" ref="K3:K66" si="5">IF(AND($F3 &gt; 0.8, $F3 &lt;=1.1),$E3,"")</f>
        <v/>
      </c>
      <c r="L3" s="4" t="str">
        <f t="shared" ref="L3:L66" si="6">IF(AND($F3 &gt; 1.1),$E3,"")</f>
        <v/>
      </c>
      <c r="M3" s="4"/>
      <c r="N3" s="4">
        <f>SUM(T3:V3)/64</f>
        <v>7.8125E-2</v>
      </c>
      <c r="O3" s="4">
        <f>SUM(Q3:V3)</f>
        <v>58</v>
      </c>
      <c r="P3" t="s">
        <v>604</v>
      </c>
      <c r="Q3" s="8">
        <f t="shared" ref="Q3:Q8" si="7">COUNTIF($X3:$CC3,"=0")</f>
        <v>26</v>
      </c>
      <c r="R3" s="8">
        <f t="shared" ref="R3:R8" si="8">COUNTIFS($X3:$CC3,"&gt;0",$X3:$CC3,"&lt;0.25")</f>
        <v>21</v>
      </c>
      <c r="S3" s="8">
        <f t="shared" ref="S3:S8" si="9">COUNTIFS($X3:$CC3,"&gt;=0.25",$X3:$CC3,"&lt;0.5")</f>
        <v>6</v>
      </c>
      <c r="T3" s="8">
        <f t="shared" ref="T3:T8" si="10">COUNTIFS($X3:$CC3,"&gt;=0.5",$X3:$CC3,"&lt;0.75")</f>
        <v>5</v>
      </c>
      <c r="U3" s="8">
        <f t="shared" ref="U3:U8" si="11">COUNTIFS($X3:$CC3,"&gt;=0.75",$X3:$CC3,"&lt;1")</f>
        <v>0</v>
      </c>
      <c r="V3" s="8">
        <f t="shared" ref="V3:V8" si="12">COUNTIF($X3:$CC3,"=1")</f>
        <v>0</v>
      </c>
      <c r="W3" t="s">
        <v>604</v>
      </c>
      <c r="X3">
        <f t="shared" ref="X3:CC3" si="13">DMAX($A$1:$L$540,$W3,X$1:X$2)</f>
        <v>0</v>
      </c>
      <c r="Y3">
        <f t="shared" si="13"/>
        <v>0</v>
      </c>
      <c r="Z3">
        <f t="shared" si="13"/>
        <v>0</v>
      </c>
      <c r="AA3">
        <f t="shared" si="13"/>
        <v>0.2391304347826087</v>
      </c>
      <c r="AB3">
        <f t="shared" si="13"/>
        <v>0</v>
      </c>
      <c r="AC3">
        <f t="shared" si="13"/>
        <v>0</v>
      </c>
      <c r="AD3">
        <f t="shared" si="13"/>
        <v>0</v>
      </c>
      <c r="AE3">
        <f t="shared" si="13"/>
        <v>3.2786885245901641E-2</v>
      </c>
      <c r="AF3">
        <f t="shared" si="13"/>
        <v>0.36170212765957449</v>
      </c>
      <c r="AG3">
        <f t="shared" si="13"/>
        <v>4.7244094488188976E-2</v>
      </c>
      <c r="AH3">
        <f t="shared" si="13"/>
        <v>0.52475247524752477</v>
      </c>
      <c r="AI3">
        <f t="shared" si="13"/>
        <v>4.4642857142857144E-2</v>
      </c>
      <c r="AJ3">
        <f t="shared" si="13"/>
        <v>0</v>
      </c>
      <c r="AK3">
        <f t="shared" si="13"/>
        <v>0</v>
      </c>
      <c r="AL3">
        <f t="shared" si="13"/>
        <v>0.35960591133004927</v>
      </c>
      <c r="AM3">
        <f t="shared" si="13"/>
        <v>5.208333333333333E-3</v>
      </c>
      <c r="AN3">
        <f t="shared" si="13"/>
        <v>8.4745762711864406E-3</v>
      </c>
      <c r="AO3">
        <f t="shared" si="13"/>
        <v>0</v>
      </c>
      <c r="AP3">
        <f t="shared" si="13"/>
        <v>0.25301204819277107</v>
      </c>
      <c r="AQ3">
        <f t="shared" si="13"/>
        <v>0</v>
      </c>
      <c r="AR3">
        <f t="shared" si="13"/>
        <v>0</v>
      </c>
      <c r="AS3">
        <f t="shared" si="13"/>
        <v>0</v>
      </c>
      <c r="AT3">
        <f t="shared" si="13"/>
        <v>0.11627906976744186</v>
      </c>
      <c r="AU3">
        <f t="shared" si="13"/>
        <v>9.6774193548387094E-2</v>
      </c>
      <c r="AV3">
        <f t="shared" si="13"/>
        <v>0.5178571428571429</v>
      </c>
      <c r="AW3">
        <f t="shared" si="13"/>
        <v>0.36046511627906974</v>
      </c>
      <c r="AX3">
        <f t="shared" si="13"/>
        <v>0.19565217391304349</v>
      </c>
      <c r="AY3">
        <f t="shared" si="13"/>
        <v>3.3333333333333333E-2</v>
      </c>
      <c r="AZ3">
        <f t="shared" si="13"/>
        <v>0</v>
      </c>
      <c r="BA3">
        <f t="shared" si="13"/>
        <v>0.23214285714285715</v>
      </c>
      <c r="BB3">
        <f t="shared" si="13"/>
        <v>0.10857142857142857</v>
      </c>
      <c r="BC3">
        <f t="shared" si="13"/>
        <v>0.64338235294117652</v>
      </c>
      <c r="BD3">
        <f t="shared" si="13"/>
        <v>0</v>
      </c>
      <c r="BE3">
        <f t="shared" si="13"/>
        <v>0.14285714285714285</v>
      </c>
      <c r="BF3">
        <f t="shared" si="13"/>
        <v>0</v>
      </c>
      <c r="BG3">
        <f t="shared" si="13"/>
        <v>0.16101694915254236</v>
      </c>
      <c r="BH3">
        <f t="shared" si="13"/>
        <v>0.5670103092783505</v>
      </c>
      <c r="BI3">
        <f t="shared" si="13"/>
        <v>0.33962264150943394</v>
      </c>
      <c r="BJ3">
        <f t="shared" si="13"/>
        <v>6.7842605156037995E-3</v>
      </c>
      <c r="BK3">
        <f t="shared" si="13"/>
        <v>5.2192066805845511E-3</v>
      </c>
      <c r="BL3">
        <f t="shared" si="13"/>
        <v>1.050420168067227E-2</v>
      </c>
      <c r="BM3">
        <f t="shared" si="13"/>
        <v>8.2372322899505763E-3</v>
      </c>
      <c r="BN3">
        <f t="shared" si="13"/>
        <v>0</v>
      </c>
      <c r="BO3">
        <f t="shared" si="13"/>
        <v>0</v>
      </c>
      <c r="BP3">
        <f t="shared" si="13"/>
        <v>0</v>
      </c>
      <c r="BQ3">
        <f t="shared" si="13"/>
        <v>0.51327433628318586</v>
      </c>
      <c r="BR3">
        <f t="shared" si="13"/>
        <v>0.18085106382978725</v>
      </c>
      <c r="BS3">
        <f t="shared" si="13"/>
        <v>0</v>
      </c>
      <c r="BT3">
        <f t="shared" si="13"/>
        <v>0.31707317073170732</v>
      </c>
      <c r="BU3">
        <f t="shared" si="13"/>
        <v>0</v>
      </c>
      <c r="BV3">
        <f t="shared" si="13"/>
        <v>0</v>
      </c>
      <c r="BW3">
        <f t="shared" si="13"/>
        <v>0</v>
      </c>
      <c r="BX3">
        <f t="shared" si="13"/>
        <v>7.9545454545454544E-2</v>
      </c>
      <c r="BY3">
        <f t="shared" si="13"/>
        <v>0.125</v>
      </c>
      <c r="BZ3">
        <f t="shared" si="13"/>
        <v>0</v>
      </c>
      <c r="CA3">
        <f t="shared" si="13"/>
        <v>0</v>
      </c>
      <c r="CB3">
        <f t="shared" si="13"/>
        <v>0</v>
      </c>
      <c r="CC3">
        <f t="shared" si="13"/>
        <v>0</v>
      </c>
    </row>
    <row r="4" spans="1:81">
      <c r="A4" t="s">
        <v>188</v>
      </c>
      <c r="B4">
        <v>1</v>
      </c>
      <c r="C4" t="str">
        <f t="shared" si="0"/>
        <v>test.BallonFactory_1_</v>
      </c>
      <c r="D4">
        <v>3</v>
      </c>
      <c r="E4" s="4">
        <v>1</v>
      </c>
      <c r="F4" s="4">
        <v>0.67823691460055091</v>
      </c>
      <c r="G4" s="4" t="str">
        <f t="shared" si="1"/>
        <v/>
      </c>
      <c r="H4" s="4" t="str">
        <f t="shared" si="2"/>
        <v/>
      </c>
      <c r="I4" s="4" t="str">
        <f t="shared" si="3"/>
        <v/>
      </c>
      <c r="J4" s="4">
        <f t="shared" si="4"/>
        <v>1</v>
      </c>
      <c r="K4" s="4" t="str">
        <f t="shared" si="5"/>
        <v/>
      </c>
      <c r="L4" s="4" t="str">
        <f t="shared" si="6"/>
        <v/>
      </c>
      <c r="M4" s="4"/>
      <c r="N4" s="4">
        <f t="shared" ref="N4:N7" si="14">SUM(T4:V4)/64</f>
        <v>0.25</v>
      </c>
      <c r="O4" s="4">
        <f>SUM(Q4:V4)</f>
        <v>58</v>
      </c>
      <c r="P4" t="s">
        <v>605</v>
      </c>
      <c r="Q4" s="8">
        <f t="shared" si="7"/>
        <v>17</v>
      </c>
      <c r="R4" s="8">
        <f t="shared" si="8"/>
        <v>15</v>
      </c>
      <c r="S4" s="8">
        <f t="shared" si="9"/>
        <v>10</v>
      </c>
      <c r="T4" s="8">
        <f t="shared" si="10"/>
        <v>4</v>
      </c>
      <c r="U4" s="8">
        <f t="shared" si="11"/>
        <v>6</v>
      </c>
      <c r="V4" s="8">
        <f t="shared" si="12"/>
        <v>6</v>
      </c>
      <c r="W4" t="s">
        <v>605</v>
      </c>
      <c r="X4">
        <f t="shared" ref="X4:CC8" si="15">IF(X3&lt;DMAX($A$1:$L$540,$W4,X$1:X$2),DMAX($A$1:$L$540,$W4,X$1:X$2),X3)</f>
        <v>0</v>
      </c>
      <c r="Y4">
        <f t="shared" si="15"/>
        <v>0</v>
      </c>
      <c r="Z4">
        <f t="shared" si="15"/>
        <v>0</v>
      </c>
      <c r="AA4">
        <f t="shared" si="15"/>
        <v>0.91304347826086951</v>
      </c>
      <c r="AB4">
        <f t="shared" si="15"/>
        <v>0.19354838709677419</v>
      </c>
      <c r="AC4">
        <f t="shared" si="15"/>
        <v>0.19354838709677419</v>
      </c>
      <c r="AD4">
        <f t="shared" si="15"/>
        <v>0.125</v>
      </c>
      <c r="AE4">
        <f t="shared" si="15"/>
        <v>3.2786885245901641E-2</v>
      </c>
      <c r="AF4">
        <f t="shared" si="15"/>
        <v>0.75886524822695034</v>
      </c>
      <c r="AG4">
        <f t="shared" si="15"/>
        <v>0.73228346456692917</v>
      </c>
      <c r="AH4">
        <f t="shared" si="15"/>
        <v>0.70297029702970293</v>
      </c>
      <c r="AI4">
        <f t="shared" si="15"/>
        <v>4.4642857142857144E-2</v>
      </c>
      <c r="AJ4">
        <f t="shared" si="15"/>
        <v>0</v>
      </c>
      <c r="AK4">
        <f t="shared" si="15"/>
        <v>0</v>
      </c>
      <c r="AL4">
        <f t="shared" si="15"/>
        <v>0.77093596059113301</v>
      </c>
      <c r="AM4">
        <f t="shared" si="15"/>
        <v>5.208333333333333E-3</v>
      </c>
      <c r="AN4">
        <f t="shared" si="15"/>
        <v>8.4745762711864406E-3</v>
      </c>
      <c r="AO4">
        <f t="shared" si="15"/>
        <v>0.38636363636363635</v>
      </c>
      <c r="AP4">
        <f t="shared" si="15"/>
        <v>0.25301204819277107</v>
      </c>
      <c r="AQ4">
        <f t="shared" si="15"/>
        <v>0</v>
      </c>
      <c r="AR4">
        <f t="shared" si="15"/>
        <v>0</v>
      </c>
      <c r="AS4">
        <f t="shared" si="15"/>
        <v>0</v>
      </c>
      <c r="AT4">
        <f t="shared" si="15"/>
        <v>0.2558139534883721</v>
      </c>
      <c r="AU4">
        <f t="shared" si="15"/>
        <v>9.6774193548387094E-2</v>
      </c>
      <c r="AV4">
        <f t="shared" si="15"/>
        <v>0.5178571428571429</v>
      </c>
      <c r="AW4">
        <f t="shared" si="15"/>
        <v>0.36046511627906974</v>
      </c>
      <c r="AX4">
        <f t="shared" si="15"/>
        <v>0.45652173913043476</v>
      </c>
      <c r="AY4">
        <f t="shared" si="15"/>
        <v>0.2</v>
      </c>
      <c r="AZ4">
        <f t="shared" si="15"/>
        <v>0</v>
      </c>
      <c r="BA4">
        <f t="shared" si="15"/>
        <v>1</v>
      </c>
      <c r="BB4">
        <f t="shared" si="15"/>
        <v>0.88571428571428568</v>
      </c>
      <c r="BC4">
        <f t="shared" si="15"/>
        <v>1</v>
      </c>
      <c r="BD4">
        <f t="shared" si="15"/>
        <v>0</v>
      </c>
      <c r="BE4">
        <f t="shared" si="15"/>
        <v>0.33333333333333331</v>
      </c>
      <c r="BF4">
        <f t="shared" si="15"/>
        <v>0.85</v>
      </c>
      <c r="BG4">
        <f t="shared" si="15"/>
        <v>0.81355932203389836</v>
      </c>
      <c r="BH4">
        <f t="shared" si="15"/>
        <v>1</v>
      </c>
      <c r="BI4">
        <f t="shared" si="15"/>
        <v>0.33962264150943394</v>
      </c>
      <c r="BJ4">
        <f t="shared" si="15"/>
        <v>6.7842605156037995E-3</v>
      </c>
      <c r="BK4">
        <f t="shared" si="15"/>
        <v>5.2192066805845511E-3</v>
      </c>
      <c r="BL4">
        <f t="shared" si="15"/>
        <v>1.050420168067227E-2</v>
      </c>
      <c r="BM4">
        <f t="shared" si="15"/>
        <v>8.2372322899505763E-3</v>
      </c>
      <c r="BN4">
        <f t="shared" si="15"/>
        <v>0</v>
      </c>
      <c r="BO4">
        <f t="shared" si="15"/>
        <v>0</v>
      </c>
      <c r="BP4">
        <f t="shared" si="15"/>
        <v>0</v>
      </c>
      <c r="BQ4">
        <f t="shared" si="15"/>
        <v>1</v>
      </c>
      <c r="BR4">
        <f t="shared" si="15"/>
        <v>1</v>
      </c>
      <c r="BS4">
        <f t="shared" si="15"/>
        <v>1</v>
      </c>
      <c r="BT4">
        <f t="shared" si="15"/>
        <v>0.44715447154471544</v>
      </c>
      <c r="BU4">
        <f t="shared" si="15"/>
        <v>0.30303030303030304</v>
      </c>
      <c r="BV4">
        <f t="shared" si="15"/>
        <v>0.66666666666666663</v>
      </c>
      <c r="BW4">
        <f t="shared" si="15"/>
        <v>0</v>
      </c>
      <c r="BX4">
        <f t="shared" si="15"/>
        <v>7.9545454545454544E-2</v>
      </c>
      <c r="BY4">
        <f t="shared" si="15"/>
        <v>0.125</v>
      </c>
      <c r="BZ4">
        <f t="shared" si="15"/>
        <v>0</v>
      </c>
      <c r="CA4">
        <f t="shared" si="15"/>
        <v>0.352112676056338</v>
      </c>
      <c r="CB4">
        <f t="shared" si="15"/>
        <v>0</v>
      </c>
      <c r="CC4">
        <f t="shared" si="15"/>
        <v>0</v>
      </c>
    </row>
    <row r="5" spans="1:81">
      <c r="A5" t="s">
        <v>188</v>
      </c>
      <c r="B5">
        <v>1</v>
      </c>
      <c r="C5" t="str">
        <f t="shared" si="0"/>
        <v>test.BallonFactory_1_</v>
      </c>
      <c r="D5">
        <v>4</v>
      </c>
      <c r="E5" s="4">
        <v>1</v>
      </c>
      <c r="F5" s="4">
        <v>0.67933884297520664</v>
      </c>
      <c r="G5" s="4" t="str">
        <f t="shared" si="1"/>
        <v/>
      </c>
      <c r="H5" s="4" t="str">
        <f t="shared" si="2"/>
        <v/>
      </c>
      <c r="I5" s="4" t="str">
        <f t="shared" si="3"/>
        <v/>
      </c>
      <c r="J5" s="4">
        <f t="shared" si="4"/>
        <v>1</v>
      </c>
      <c r="K5" s="4" t="str">
        <f t="shared" si="5"/>
        <v/>
      </c>
      <c r="L5" s="4" t="str">
        <f t="shared" si="6"/>
        <v/>
      </c>
      <c r="M5" s="4">
        <f>SUM(R5:V5)/64</f>
        <v>0.734375</v>
      </c>
      <c r="N5" s="4">
        <f t="shared" si="14"/>
        <v>0.4375</v>
      </c>
      <c r="O5" s="4">
        <f t="shared" ref="O5:O7" si="16">SUM(Q5:V5)</f>
        <v>58</v>
      </c>
      <c r="P5" t="s">
        <v>606</v>
      </c>
      <c r="Q5" s="8">
        <f t="shared" si="7"/>
        <v>11</v>
      </c>
      <c r="R5" s="8">
        <f t="shared" si="8"/>
        <v>9</v>
      </c>
      <c r="S5" s="8">
        <f t="shared" si="9"/>
        <v>10</v>
      </c>
      <c r="T5" s="8">
        <f t="shared" si="10"/>
        <v>10</v>
      </c>
      <c r="U5" s="8">
        <f t="shared" si="11"/>
        <v>4</v>
      </c>
      <c r="V5" s="8">
        <f t="shared" si="12"/>
        <v>14</v>
      </c>
      <c r="W5" t="s">
        <v>606</v>
      </c>
      <c r="X5">
        <f t="shared" si="15"/>
        <v>0</v>
      </c>
      <c r="Y5">
        <f t="shared" si="15"/>
        <v>0.33333333333333331</v>
      </c>
      <c r="Z5">
        <f t="shared" si="15"/>
        <v>0</v>
      </c>
      <c r="AA5">
        <f t="shared" si="15"/>
        <v>1</v>
      </c>
      <c r="AB5">
        <f t="shared" si="15"/>
        <v>0.19354838709677419</v>
      </c>
      <c r="AC5">
        <f t="shared" si="15"/>
        <v>0.19354838709677419</v>
      </c>
      <c r="AD5">
        <f t="shared" si="15"/>
        <v>0.375</v>
      </c>
      <c r="AE5">
        <f t="shared" si="15"/>
        <v>3.2786885245901641E-2</v>
      </c>
      <c r="AF5">
        <f t="shared" si="15"/>
        <v>0.75886524822695034</v>
      </c>
      <c r="AG5">
        <f t="shared" si="15"/>
        <v>0.73228346456692917</v>
      </c>
      <c r="AH5">
        <f t="shared" si="15"/>
        <v>0.70297029702970293</v>
      </c>
      <c r="AI5">
        <f t="shared" si="15"/>
        <v>0.5</v>
      </c>
      <c r="AJ5">
        <f t="shared" si="15"/>
        <v>0</v>
      </c>
      <c r="AK5">
        <f t="shared" si="15"/>
        <v>0</v>
      </c>
      <c r="AL5">
        <f t="shared" si="15"/>
        <v>1</v>
      </c>
      <c r="AM5">
        <f t="shared" si="15"/>
        <v>0.97916666666666663</v>
      </c>
      <c r="AN5">
        <f t="shared" si="15"/>
        <v>8.4745762711864406E-3</v>
      </c>
      <c r="AO5">
        <f t="shared" si="15"/>
        <v>0.38636363636363635</v>
      </c>
      <c r="AP5">
        <f t="shared" si="15"/>
        <v>0.25301204819277107</v>
      </c>
      <c r="AQ5">
        <f t="shared" si="15"/>
        <v>0</v>
      </c>
      <c r="AR5">
        <f t="shared" si="15"/>
        <v>0</v>
      </c>
      <c r="AS5">
        <f t="shared" si="15"/>
        <v>0.64462809917355368</v>
      </c>
      <c r="AT5">
        <f t="shared" si="15"/>
        <v>0.2558139534883721</v>
      </c>
      <c r="AU5">
        <f t="shared" si="15"/>
        <v>9.6774193548387094E-2</v>
      </c>
      <c r="AV5">
        <f t="shared" si="15"/>
        <v>0.5178571428571429</v>
      </c>
      <c r="AW5">
        <f t="shared" si="15"/>
        <v>0.36046511627906974</v>
      </c>
      <c r="AX5">
        <f t="shared" si="15"/>
        <v>0.45652173913043476</v>
      </c>
      <c r="AY5">
        <f t="shared" si="15"/>
        <v>0.43333333333333335</v>
      </c>
      <c r="AZ5">
        <f t="shared" si="15"/>
        <v>0</v>
      </c>
      <c r="BA5">
        <f t="shared" si="15"/>
        <v>1</v>
      </c>
      <c r="BB5">
        <f t="shared" si="15"/>
        <v>1</v>
      </c>
      <c r="BC5">
        <f t="shared" si="15"/>
        <v>1</v>
      </c>
      <c r="BD5">
        <f t="shared" si="15"/>
        <v>0.36363636363636365</v>
      </c>
      <c r="BE5">
        <f t="shared" si="15"/>
        <v>0.7142857142857143</v>
      </c>
      <c r="BF5">
        <f t="shared" si="15"/>
        <v>1</v>
      </c>
      <c r="BG5">
        <f t="shared" si="15"/>
        <v>1</v>
      </c>
      <c r="BH5">
        <f t="shared" si="15"/>
        <v>1</v>
      </c>
      <c r="BI5">
        <f t="shared" si="15"/>
        <v>0.33962264150943394</v>
      </c>
      <c r="BJ5">
        <f t="shared" si="15"/>
        <v>6.7842605156037995E-3</v>
      </c>
      <c r="BK5">
        <f t="shared" si="15"/>
        <v>0.58872651356993733</v>
      </c>
      <c r="BL5">
        <f t="shared" si="15"/>
        <v>1.050420168067227E-2</v>
      </c>
      <c r="BM5">
        <f t="shared" si="15"/>
        <v>8.2372322899505763E-3</v>
      </c>
      <c r="BN5">
        <f t="shared" si="15"/>
        <v>1</v>
      </c>
      <c r="BO5">
        <f t="shared" si="15"/>
        <v>1</v>
      </c>
      <c r="BP5">
        <f t="shared" si="15"/>
        <v>0.1</v>
      </c>
      <c r="BQ5">
        <f t="shared" si="15"/>
        <v>1</v>
      </c>
      <c r="BR5">
        <f t="shared" si="15"/>
        <v>1</v>
      </c>
      <c r="BS5">
        <f t="shared" si="15"/>
        <v>1</v>
      </c>
      <c r="BT5">
        <f t="shared" si="15"/>
        <v>0.57723577235772361</v>
      </c>
      <c r="BU5">
        <f t="shared" si="15"/>
        <v>0.66666666666666663</v>
      </c>
      <c r="BV5">
        <f t="shared" si="15"/>
        <v>0.77777777777777779</v>
      </c>
      <c r="BW5">
        <f t="shared" si="15"/>
        <v>0</v>
      </c>
      <c r="BX5">
        <f t="shared" si="15"/>
        <v>1</v>
      </c>
      <c r="BY5">
        <f t="shared" si="15"/>
        <v>0.7678571428571429</v>
      </c>
      <c r="BZ5">
        <f t="shared" si="15"/>
        <v>0</v>
      </c>
      <c r="CA5">
        <f t="shared" si="15"/>
        <v>0.70422535211267601</v>
      </c>
      <c r="CB5">
        <f t="shared" si="15"/>
        <v>0</v>
      </c>
      <c r="CC5">
        <f t="shared" si="15"/>
        <v>0</v>
      </c>
    </row>
    <row r="6" spans="1:81">
      <c r="A6" t="s">
        <v>188</v>
      </c>
      <c r="B6">
        <v>2</v>
      </c>
      <c r="C6" t="str">
        <f t="shared" si="0"/>
        <v>test.BallonFactory_2_</v>
      </c>
      <c r="D6">
        <v>1</v>
      </c>
      <c r="E6" s="4">
        <v>0.33333333333333331</v>
      </c>
      <c r="F6" s="4">
        <v>0.42726081258191351</v>
      </c>
      <c r="G6" s="4" t="str">
        <f t="shared" si="1"/>
        <v/>
      </c>
      <c r="H6" s="4" t="str">
        <f t="shared" si="2"/>
        <v/>
      </c>
      <c r="I6" s="4">
        <f t="shared" si="3"/>
        <v>0.33333333333333331</v>
      </c>
      <c r="J6" s="4" t="str">
        <f t="shared" si="4"/>
        <v/>
      </c>
      <c r="K6" s="4" t="str">
        <f t="shared" si="5"/>
        <v/>
      </c>
      <c r="L6" s="4" t="str">
        <f t="shared" si="6"/>
        <v/>
      </c>
      <c r="M6" s="4">
        <f>25/64</f>
        <v>0.390625</v>
      </c>
      <c r="N6" s="4">
        <f>SUM(T6:V6)/64</f>
        <v>0.625</v>
      </c>
      <c r="O6" s="4">
        <f t="shared" si="16"/>
        <v>58</v>
      </c>
      <c r="P6" t="s">
        <v>681</v>
      </c>
      <c r="Q6" s="8">
        <f t="shared" si="7"/>
        <v>8</v>
      </c>
      <c r="R6" s="8">
        <f t="shared" si="8"/>
        <v>4</v>
      </c>
      <c r="S6" s="8">
        <f t="shared" si="9"/>
        <v>6</v>
      </c>
      <c r="T6" s="8">
        <f t="shared" si="10"/>
        <v>8</v>
      </c>
      <c r="U6" s="8">
        <f t="shared" si="11"/>
        <v>7</v>
      </c>
      <c r="V6" s="8">
        <f t="shared" si="12"/>
        <v>25</v>
      </c>
      <c r="W6" t="s">
        <v>681</v>
      </c>
      <c r="X6">
        <f t="shared" si="15"/>
        <v>1</v>
      </c>
      <c r="Y6">
        <f t="shared" si="15"/>
        <v>0.96969696969696972</v>
      </c>
      <c r="Z6">
        <f t="shared" si="15"/>
        <v>0</v>
      </c>
      <c r="AA6">
        <f t="shared" si="15"/>
        <v>1</v>
      </c>
      <c r="AB6">
        <f t="shared" si="15"/>
        <v>0.93548387096774188</v>
      </c>
      <c r="AC6">
        <f t="shared" si="15"/>
        <v>0.93548387096774188</v>
      </c>
      <c r="AD6">
        <f t="shared" si="15"/>
        <v>0.625</v>
      </c>
      <c r="AE6">
        <f t="shared" si="15"/>
        <v>3.2786885245901641E-2</v>
      </c>
      <c r="AF6">
        <f t="shared" si="15"/>
        <v>0.75886524822695034</v>
      </c>
      <c r="AG6">
        <f t="shared" si="15"/>
        <v>0.73228346456692917</v>
      </c>
      <c r="AH6">
        <f t="shared" si="15"/>
        <v>0.70297029702970293</v>
      </c>
      <c r="AI6">
        <f t="shared" si="15"/>
        <v>0.5</v>
      </c>
      <c r="AJ6">
        <f t="shared" si="15"/>
        <v>0</v>
      </c>
      <c r="AK6">
        <f t="shared" si="15"/>
        <v>0</v>
      </c>
      <c r="AL6">
        <f t="shared" si="15"/>
        <v>1</v>
      </c>
      <c r="AM6">
        <f t="shared" si="15"/>
        <v>0.97916666666666663</v>
      </c>
      <c r="AN6">
        <f t="shared" si="15"/>
        <v>1</v>
      </c>
      <c r="AO6">
        <f t="shared" si="15"/>
        <v>1</v>
      </c>
      <c r="AP6">
        <f t="shared" si="15"/>
        <v>0.25301204819277107</v>
      </c>
      <c r="AQ6">
        <f t="shared" si="15"/>
        <v>0</v>
      </c>
      <c r="AR6">
        <f t="shared" si="15"/>
        <v>0</v>
      </c>
      <c r="AS6">
        <f t="shared" si="15"/>
        <v>1</v>
      </c>
      <c r="AT6">
        <f t="shared" si="15"/>
        <v>0.2558139534883721</v>
      </c>
      <c r="AU6">
        <f t="shared" si="15"/>
        <v>1</v>
      </c>
      <c r="AV6">
        <f t="shared" si="15"/>
        <v>0.5178571428571429</v>
      </c>
      <c r="AW6">
        <f t="shared" si="15"/>
        <v>0.81395348837209303</v>
      </c>
      <c r="AX6">
        <f t="shared" si="15"/>
        <v>0.45652173913043476</v>
      </c>
      <c r="AY6">
        <f t="shared" si="15"/>
        <v>0.93333333333333335</v>
      </c>
      <c r="AZ6">
        <f t="shared" si="15"/>
        <v>0</v>
      </c>
      <c r="BA6">
        <f t="shared" si="15"/>
        <v>1</v>
      </c>
      <c r="BB6">
        <f t="shared" si="15"/>
        <v>1</v>
      </c>
      <c r="BC6">
        <f t="shared" si="15"/>
        <v>1</v>
      </c>
      <c r="BD6">
        <f t="shared" si="15"/>
        <v>0.54545454545454541</v>
      </c>
      <c r="BE6">
        <f t="shared" si="15"/>
        <v>1</v>
      </c>
      <c r="BF6">
        <f t="shared" si="15"/>
        <v>1</v>
      </c>
      <c r="BG6">
        <f t="shared" si="15"/>
        <v>1</v>
      </c>
      <c r="BH6">
        <f t="shared" si="15"/>
        <v>1</v>
      </c>
      <c r="BI6">
        <f t="shared" si="15"/>
        <v>0.33962264150943394</v>
      </c>
      <c r="BJ6">
        <f t="shared" si="15"/>
        <v>6.7842605156037995E-3</v>
      </c>
      <c r="BK6">
        <f t="shared" si="15"/>
        <v>1</v>
      </c>
      <c r="BL6">
        <f t="shared" si="15"/>
        <v>1.050420168067227E-2</v>
      </c>
      <c r="BM6">
        <f t="shared" si="15"/>
        <v>8.2372322899505763E-3</v>
      </c>
      <c r="BN6">
        <f t="shared" si="15"/>
        <v>1</v>
      </c>
      <c r="BO6">
        <f t="shared" si="15"/>
        <v>1</v>
      </c>
      <c r="BP6">
        <f t="shared" si="15"/>
        <v>0.4</v>
      </c>
      <c r="BQ6">
        <f t="shared" si="15"/>
        <v>1</v>
      </c>
      <c r="BR6">
        <f t="shared" si="15"/>
        <v>1</v>
      </c>
      <c r="BS6">
        <f t="shared" si="15"/>
        <v>1</v>
      </c>
      <c r="BT6">
        <f t="shared" si="15"/>
        <v>1</v>
      </c>
      <c r="BU6">
        <f t="shared" si="15"/>
        <v>0.66666666666666663</v>
      </c>
      <c r="BV6">
        <f t="shared" si="15"/>
        <v>1</v>
      </c>
      <c r="BW6">
        <f t="shared" si="15"/>
        <v>0</v>
      </c>
      <c r="BX6">
        <f t="shared" si="15"/>
        <v>1</v>
      </c>
      <c r="BY6">
        <f t="shared" si="15"/>
        <v>1</v>
      </c>
      <c r="BZ6">
        <f t="shared" si="15"/>
        <v>0.42857142857142855</v>
      </c>
      <c r="CA6">
        <f t="shared" si="15"/>
        <v>1</v>
      </c>
      <c r="CB6">
        <f t="shared" si="15"/>
        <v>0.74193548387096775</v>
      </c>
      <c r="CC6">
        <f t="shared" si="15"/>
        <v>0</v>
      </c>
    </row>
    <row r="7" spans="1:81">
      <c r="A7" t="s">
        <v>188</v>
      </c>
      <c r="B7">
        <v>2</v>
      </c>
      <c r="C7" t="str">
        <f t="shared" si="0"/>
        <v>test.BallonFactory_2_</v>
      </c>
      <c r="D7">
        <v>2</v>
      </c>
      <c r="E7" s="4">
        <v>0.5757575757575758</v>
      </c>
      <c r="F7" s="4">
        <v>0.60026212319790306</v>
      </c>
      <c r="G7" s="4" t="str">
        <f t="shared" si="1"/>
        <v/>
      </c>
      <c r="H7" s="4" t="str">
        <f t="shared" si="2"/>
        <v/>
      </c>
      <c r="I7" s="4" t="str">
        <f t="shared" si="3"/>
        <v/>
      </c>
      <c r="J7" s="4">
        <f t="shared" si="4"/>
        <v>0.5757575757575758</v>
      </c>
      <c r="K7" s="4" t="str">
        <f t="shared" si="5"/>
        <v/>
      </c>
      <c r="L7" s="4" t="str">
        <f t="shared" si="6"/>
        <v/>
      </c>
      <c r="M7" s="4"/>
      <c r="N7" s="4">
        <f t="shared" si="14"/>
        <v>0.890625</v>
      </c>
      <c r="O7" s="4">
        <f t="shared" si="16"/>
        <v>58</v>
      </c>
      <c r="P7" s="7" t="s">
        <v>607</v>
      </c>
      <c r="Q7" s="8">
        <f t="shared" si="7"/>
        <v>0</v>
      </c>
      <c r="R7" s="8">
        <f t="shared" si="8"/>
        <v>0</v>
      </c>
      <c r="S7" s="8">
        <f t="shared" si="9"/>
        <v>1</v>
      </c>
      <c r="T7" s="8">
        <f t="shared" si="10"/>
        <v>1</v>
      </c>
      <c r="U7" s="8">
        <f t="shared" si="11"/>
        <v>3</v>
      </c>
      <c r="V7" s="8">
        <f t="shared" si="12"/>
        <v>53</v>
      </c>
      <c r="W7" s="7" t="s">
        <v>607</v>
      </c>
      <c r="X7">
        <f t="shared" si="15"/>
        <v>1</v>
      </c>
      <c r="Y7">
        <f t="shared" si="15"/>
        <v>1</v>
      </c>
      <c r="Z7">
        <f t="shared" si="15"/>
        <v>0.66666666666666663</v>
      </c>
      <c r="AA7">
        <f t="shared" si="15"/>
        <v>1</v>
      </c>
      <c r="AB7">
        <f t="shared" si="15"/>
        <v>1</v>
      </c>
      <c r="AC7">
        <f t="shared" si="15"/>
        <v>1</v>
      </c>
      <c r="AD7">
        <f t="shared" si="15"/>
        <v>1</v>
      </c>
      <c r="AE7">
        <f t="shared" si="15"/>
        <v>1</v>
      </c>
      <c r="AF7">
        <f t="shared" si="15"/>
        <v>1</v>
      </c>
      <c r="AG7">
        <f t="shared" si="15"/>
        <v>1</v>
      </c>
      <c r="AH7">
        <f t="shared" si="15"/>
        <v>1</v>
      </c>
      <c r="AI7">
        <f t="shared" si="15"/>
        <v>1</v>
      </c>
      <c r="AJ7">
        <f t="shared" si="15"/>
        <v>1</v>
      </c>
      <c r="AK7">
        <f t="shared" si="15"/>
        <v>1</v>
      </c>
      <c r="AL7">
        <f t="shared" si="15"/>
        <v>1</v>
      </c>
      <c r="AM7">
        <f t="shared" si="15"/>
        <v>1</v>
      </c>
      <c r="AN7">
        <f t="shared" si="15"/>
        <v>1</v>
      </c>
      <c r="AO7">
        <f t="shared" si="15"/>
        <v>1</v>
      </c>
      <c r="AP7">
        <f t="shared" si="15"/>
        <v>1</v>
      </c>
      <c r="AQ7">
        <f t="shared" si="15"/>
        <v>1</v>
      </c>
      <c r="AR7">
        <f t="shared" si="15"/>
        <v>1</v>
      </c>
      <c r="AS7">
        <f t="shared" si="15"/>
        <v>1</v>
      </c>
      <c r="AT7">
        <f t="shared" si="15"/>
        <v>0.97674418604651159</v>
      </c>
      <c r="AU7">
        <f t="shared" si="15"/>
        <v>1</v>
      </c>
      <c r="AV7">
        <f t="shared" si="15"/>
        <v>1</v>
      </c>
      <c r="AW7">
        <f t="shared" si="15"/>
        <v>1</v>
      </c>
      <c r="AX7">
        <f t="shared" si="15"/>
        <v>1</v>
      </c>
      <c r="AY7">
        <f t="shared" si="15"/>
        <v>1</v>
      </c>
      <c r="AZ7">
        <f t="shared" si="15"/>
        <v>1</v>
      </c>
      <c r="BA7">
        <f t="shared" si="15"/>
        <v>1</v>
      </c>
      <c r="BB7">
        <f t="shared" si="15"/>
        <v>1</v>
      </c>
      <c r="BC7">
        <f t="shared" si="15"/>
        <v>1</v>
      </c>
      <c r="BD7">
        <f t="shared" si="15"/>
        <v>1</v>
      </c>
      <c r="BE7">
        <f t="shared" si="15"/>
        <v>1</v>
      </c>
      <c r="BF7">
        <f t="shared" si="15"/>
        <v>1</v>
      </c>
      <c r="BG7">
        <f t="shared" si="15"/>
        <v>1</v>
      </c>
      <c r="BH7">
        <f t="shared" si="15"/>
        <v>1</v>
      </c>
      <c r="BI7">
        <f t="shared" si="15"/>
        <v>0.33962264150943394</v>
      </c>
      <c r="BJ7">
        <f t="shared" si="15"/>
        <v>1</v>
      </c>
      <c r="BK7">
        <f t="shared" si="15"/>
        <v>1</v>
      </c>
      <c r="BL7">
        <f t="shared" si="15"/>
        <v>1</v>
      </c>
      <c r="BM7">
        <f t="shared" si="15"/>
        <v>1</v>
      </c>
      <c r="BN7">
        <f t="shared" si="15"/>
        <v>1</v>
      </c>
      <c r="BO7">
        <f t="shared" si="15"/>
        <v>1</v>
      </c>
      <c r="BP7">
        <f t="shared" si="15"/>
        <v>0.8</v>
      </c>
      <c r="BQ7">
        <f t="shared" si="15"/>
        <v>1</v>
      </c>
      <c r="BR7">
        <f t="shared" si="15"/>
        <v>1</v>
      </c>
      <c r="BS7">
        <f t="shared" si="15"/>
        <v>1</v>
      </c>
      <c r="BT7">
        <f t="shared" si="15"/>
        <v>1</v>
      </c>
      <c r="BU7">
        <f t="shared" si="15"/>
        <v>1</v>
      </c>
      <c r="BV7">
        <f t="shared" si="15"/>
        <v>1</v>
      </c>
      <c r="BW7">
        <f t="shared" si="15"/>
        <v>0.9</v>
      </c>
      <c r="BX7">
        <f t="shared" si="15"/>
        <v>1</v>
      </c>
      <c r="BY7">
        <f t="shared" si="15"/>
        <v>1</v>
      </c>
      <c r="BZ7">
        <f t="shared" si="15"/>
        <v>1</v>
      </c>
      <c r="CA7">
        <f t="shared" si="15"/>
        <v>1</v>
      </c>
      <c r="CB7">
        <f t="shared" si="15"/>
        <v>1</v>
      </c>
      <c r="CC7">
        <f t="shared" si="15"/>
        <v>1</v>
      </c>
    </row>
    <row r="8" spans="1:81">
      <c r="A8" t="s">
        <v>188</v>
      </c>
      <c r="B8">
        <v>2</v>
      </c>
      <c r="C8" t="str">
        <f t="shared" si="0"/>
        <v>test.BallonFactory_2_</v>
      </c>
      <c r="D8">
        <v>3</v>
      </c>
      <c r="E8" s="4">
        <v>0.60606060606060608</v>
      </c>
      <c r="F8" s="4">
        <v>0.64875491480996073</v>
      </c>
      <c r="G8" s="4" t="str">
        <f t="shared" si="1"/>
        <v/>
      </c>
      <c r="H8" s="4" t="str">
        <f t="shared" si="2"/>
        <v/>
      </c>
      <c r="I8" s="4" t="str">
        <f t="shared" si="3"/>
        <v/>
      </c>
      <c r="J8" s="4">
        <f t="shared" si="4"/>
        <v>0.60606060606060608</v>
      </c>
      <c r="K8" s="4" t="str">
        <f t="shared" si="5"/>
        <v/>
      </c>
      <c r="L8" s="4" t="str">
        <f t="shared" si="6"/>
        <v/>
      </c>
      <c r="M8" s="4"/>
      <c r="N8" s="4">
        <f>SUM(T8:V8)/64</f>
        <v>0.90625</v>
      </c>
      <c r="O8" s="4"/>
      <c r="P8" s="4" t="s">
        <v>682</v>
      </c>
      <c r="Q8" s="8">
        <f t="shared" si="7"/>
        <v>0</v>
      </c>
      <c r="R8" s="8">
        <f t="shared" si="8"/>
        <v>0</v>
      </c>
      <c r="S8" s="8">
        <f t="shared" si="9"/>
        <v>0</v>
      </c>
      <c r="T8" s="8">
        <f t="shared" si="10"/>
        <v>0</v>
      </c>
      <c r="U8" s="8">
        <f t="shared" si="11"/>
        <v>0</v>
      </c>
      <c r="V8" s="8">
        <f t="shared" si="12"/>
        <v>58</v>
      </c>
      <c r="W8" s="7" t="s">
        <v>682</v>
      </c>
      <c r="X8">
        <f t="shared" si="15"/>
        <v>1</v>
      </c>
      <c r="Y8">
        <f t="shared" si="15"/>
        <v>1</v>
      </c>
      <c r="Z8">
        <f t="shared" si="15"/>
        <v>1</v>
      </c>
      <c r="AA8">
        <f t="shared" si="15"/>
        <v>1</v>
      </c>
      <c r="AB8">
        <f t="shared" si="15"/>
        <v>1</v>
      </c>
      <c r="AC8">
        <f t="shared" si="15"/>
        <v>1</v>
      </c>
      <c r="AD8">
        <f t="shared" si="15"/>
        <v>1</v>
      </c>
      <c r="AE8">
        <f t="shared" si="15"/>
        <v>1</v>
      </c>
      <c r="AF8">
        <f t="shared" si="15"/>
        <v>1</v>
      </c>
      <c r="AG8">
        <f t="shared" si="15"/>
        <v>1</v>
      </c>
      <c r="AH8">
        <f t="shared" si="15"/>
        <v>1</v>
      </c>
      <c r="AI8">
        <f t="shared" si="15"/>
        <v>1</v>
      </c>
      <c r="AJ8">
        <f t="shared" si="15"/>
        <v>1</v>
      </c>
      <c r="AK8">
        <f t="shared" si="15"/>
        <v>1</v>
      </c>
      <c r="AL8">
        <f t="shared" si="15"/>
        <v>1</v>
      </c>
      <c r="AM8">
        <f t="shared" si="15"/>
        <v>1</v>
      </c>
      <c r="AN8">
        <f t="shared" si="15"/>
        <v>1</v>
      </c>
      <c r="AO8">
        <f t="shared" si="15"/>
        <v>1</v>
      </c>
      <c r="AP8">
        <f t="shared" si="15"/>
        <v>1</v>
      </c>
      <c r="AQ8">
        <f t="shared" si="15"/>
        <v>1</v>
      </c>
      <c r="AR8">
        <f t="shared" si="15"/>
        <v>1</v>
      </c>
      <c r="AS8">
        <f t="shared" si="15"/>
        <v>1</v>
      </c>
      <c r="AT8">
        <f t="shared" si="15"/>
        <v>1</v>
      </c>
      <c r="AU8">
        <f t="shared" ref="AU8:CC8" si="17">IF(AU7&lt;DMAX($A$1:$L$540,$W8,AU$1:AU$2),DMAX($A$1:$L$540,$W8,AU$1:AU$2),AU7)</f>
        <v>1</v>
      </c>
      <c r="AV8">
        <f t="shared" si="17"/>
        <v>1</v>
      </c>
      <c r="AW8">
        <f t="shared" si="17"/>
        <v>1</v>
      </c>
      <c r="AX8">
        <f t="shared" si="17"/>
        <v>1</v>
      </c>
      <c r="AY8">
        <f t="shared" si="17"/>
        <v>1</v>
      </c>
      <c r="AZ8">
        <f t="shared" si="17"/>
        <v>1</v>
      </c>
      <c r="BA8">
        <f t="shared" si="17"/>
        <v>1</v>
      </c>
      <c r="BB8">
        <f t="shared" si="17"/>
        <v>1</v>
      </c>
      <c r="BC8">
        <f t="shared" si="17"/>
        <v>1</v>
      </c>
      <c r="BD8">
        <f t="shared" si="17"/>
        <v>1</v>
      </c>
      <c r="BE8">
        <f t="shared" si="17"/>
        <v>1</v>
      </c>
      <c r="BF8">
        <f t="shared" si="17"/>
        <v>1</v>
      </c>
      <c r="BG8">
        <f t="shared" si="17"/>
        <v>1</v>
      </c>
      <c r="BH8">
        <f t="shared" si="17"/>
        <v>1</v>
      </c>
      <c r="BI8">
        <f t="shared" si="17"/>
        <v>1</v>
      </c>
      <c r="BJ8">
        <f t="shared" si="17"/>
        <v>1</v>
      </c>
      <c r="BK8">
        <f t="shared" si="17"/>
        <v>1</v>
      </c>
      <c r="BL8">
        <f t="shared" si="17"/>
        <v>1</v>
      </c>
      <c r="BM8">
        <f t="shared" si="17"/>
        <v>1</v>
      </c>
      <c r="BN8">
        <f t="shared" si="17"/>
        <v>1</v>
      </c>
      <c r="BO8">
        <f t="shared" si="17"/>
        <v>1</v>
      </c>
      <c r="BP8">
        <f t="shared" si="17"/>
        <v>1</v>
      </c>
      <c r="BQ8">
        <f t="shared" si="17"/>
        <v>1</v>
      </c>
      <c r="BR8">
        <f t="shared" si="17"/>
        <v>1</v>
      </c>
      <c r="BS8">
        <f t="shared" si="17"/>
        <v>1</v>
      </c>
      <c r="BT8">
        <f t="shared" si="17"/>
        <v>1</v>
      </c>
      <c r="BU8">
        <f t="shared" si="17"/>
        <v>1</v>
      </c>
      <c r="BV8">
        <f t="shared" si="17"/>
        <v>1</v>
      </c>
      <c r="BW8">
        <f t="shared" si="17"/>
        <v>1</v>
      </c>
      <c r="BX8">
        <f t="shared" si="17"/>
        <v>1</v>
      </c>
      <c r="BY8">
        <f t="shared" si="17"/>
        <v>1</v>
      </c>
      <c r="BZ8">
        <f t="shared" si="17"/>
        <v>1</v>
      </c>
      <c r="CA8">
        <f t="shared" si="17"/>
        <v>1</v>
      </c>
      <c r="CB8">
        <f t="shared" si="17"/>
        <v>1</v>
      </c>
      <c r="CC8">
        <f t="shared" si="17"/>
        <v>1</v>
      </c>
    </row>
    <row r="9" spans="1:81">
      <c r="A9" t="s">
        <v>188</v>
      </c>
      <c r="B9">
        <v>2</v>
      </c>
      <c r="C9" t="str">
        <f t="shared" si="0"/>
        <v>test.BallonFactory_2_</v>
      </c>
      <c r="D9">
        <v>4</v>
      </c>
      <c r="E9" s="4">
        <v>0.78787878787878785</v>
      </c>
      <c r="F9" s="4">
        <v>0.69724770642201839</v>
      </c>
      <c r="G9" s="4" t="str">
        <f t="shared" si="1"/>
        <v/>
      </c>
      <c r="H9" s="4" t="str">
        <f t="shared" si="2"/>
        <v/>
      </c>
      <c r="I9" s="4" t="str">
        <f t="shared" si="3"/>
        <v/>
      </c>
      <c r="J9" s="4">
        <f t="shared" si="4"/>
        <v>0.78787878787878785</v>
      </c>
      <c r="K9" s="4" t="str">
        <f t="shared" si="5"/>
        <v/>
      </c>
      <c r="L9" s="4" t="str">
        <f t="shared" si="6"/>
        <v/>
      </c>
      <c r="M9" s="4"/>
      <c r="N9" s="4"/>
      <c r="O9" s="4"/>
      <c r="P9" s="4"/>
      <c r="Q9" s="4"/>
      <c r="R9" s="4"/>
      <c r="S9" s="4"/>
      <c r="T9" s="4"/>
      <c r="U9" s="4"/>
    </row>
    <row r="10" spans="1:81">
      <c r="A10" t="s">
        <v>188</v>
      </c>
      <c r="B10">
        <v>2</v>
      </c>
      <c r="C10" t="str">
        <f t="shared" si="0"/>
        <v>test.BallonFactory_2_</v>
      </c>
      <c r="D10">
        <v>5</v>
      </c>
      <c r="E10" s="4">
        <v>0.81818181818181823</v>
      </c>
      <c r="F10" s="4">
        <v>0.76277850589777196</v>
      </c>
      <c r="G10" s="4" t="str">
        <f t="shared" si="1"/>
        <v/>
      </c>
      <c r="H10" s="4" t="str">
        <f t="shared" si="2"/>
        <v/>
      </c>
      <c r="I10" s="4" t="str">
        <f t="shared" si="3"/>
        <v/>
      </c>
      <c r="J10" s="4">
        <f t="shared" si="4"/>
        <v>0.81818181818181823</v>
      </c>
      <c r="K10" s="4" t="str">
        <f t="shared" si="5"/>
        <v/>
      </c>
      <c r="L10" s="4" t="str">
        <f t="shared" si="6"/>
        <v/>
      </c>
      <c r="M10" s="4"/>
      <c r="N10" s="4"/>
      <c r="O10" s="4"/>
      <c r="P10" s="4"/>
      <c r="Q10" s="4"/>
      <c r="R10" s="4"/>
      <c r="S10" s="4"/>
      <c r="T10" s="4"/>
      <c r="U10" s="4"/>
    </row>
    <row r="11" spans="1:81">
      <c r="A11" t="s">
        <v>188</v>
      </c>
      <c r="B11">
        <v>2</v>
      </c>
      <c r="C11" t="str">
        <f t="shared" si="0"/>
        <v>test.BallonFactory_2_</v>
      </c>
      <c r="D11">
        <v>6</v>
      </c>
      <c r="E11" s="4">
        <v>0.81818181818181823</v>
      </c>
      <c r="F11" s="4">
        <v>0.77981651376146788</v>
      </c>
      <c r="G11" s="4" t="str">
        <f t="shared" si="1"/>
        <v/>
      </c>
      <c r="H11" s="4" t="str">
        <f t="shared" si="2"/>
        <v/>
      </c>
      <c r="I11" s="4" t="str">
        <f t="shared" si="3"/>
        <v/>
      </c>
      <c r="J11" s="4">
        <f t="shared" si="4"/>
        <v>0.81818181818181823</v>
      </c>
      <c r="K11" s="4" t="str">
        <f t="shared" si="5"/>
        <v/>
      </c>
      <c r="L11" s="4" t="str">
        <f t="shared" si="6"/>
        <v/>
      </c>
      <c r="M11" s="4"/>
      <c r="N11" s="4"/>
      <c r="O11" s="4"/>
      <c r="P11" s="4"/>
      <c r="Q11" s="4"/>
      <c r="R11" s="4"/>
      <c r="S11" s="4"/>
      <c r="T11" s="4"/>
      <c r="U11" s="4"/>
    </row>
    <row r="12" spans="1:81">
      <c r="A12" t="s">
        <v>188</v>
      </c>
      <c r="B12">
        <v>2</v>
      </c>
      <c r="C12" t="str">
        <f t="shared" si="0"/>
        <v>test.BallonFactory_2_</v>
      </c>
      <c r="D12">
        <v>7</v>
      </c>
      <c r="E12" s="4">
        <v>0.96969696969696972</v>
      </c>
      <c r="F12" s="4">
        <v>0.78768020969855834</v>
      </c>
      <c r="G12" s="4" t="str">
        <f t="shared" si="1"/>
        <v/>
      </c>
      <c r="H12" s="4" t="str">
        <f t="shared" si="2"/>
        <v/>
      </c>
      <c r="I12" s="4" t="str">
        <f t="shared" si="3"/>
        <v/>
      </c>
      <c r="J12" s="4">
        <f t="shared" si="4"/>
        <v>0.96969696969696972</v>
      </c>
      <c r="K12" s="4" t="str">
        <f t="shared" si="5"/>
        <v/>
      </c>
      <c r="L12" s="4" t="str">
        <f t="shared" si="6"/>
        <v/>
      </c>
      <c r="M12" s="4"/>
      <c r="N12" s="4"/>
      <c r="O12" s="4"/>
      <c r="P12" s="4"/>
      <c r="Q12" s="4"/>
      <c r="R12" s="4"/>
      <c r="S12" s="4"/>
      <c r="T12" s="4"/>
      <c r="U12" s="4"/>
    </row>
    <row r="13" spans="1:81">
      <c r="A13" t="s">
        <v>188</v>
      </c>
      <c r="B13">
        <v>2</v>
      </c>
      <c r="C13" t="str">
        <f t="shared" si="0"/>
        <v>test.BallonFactory_2_</v>
      </c>
      <c r="D13">
        <v>8</v>
      </c>
      <c r="E13" s="4">
        <v>0.96969696969696972</v>
      </c>
      <c r="F13" s="4">
        <v>0.84272608125819137</v>
      </c>
      <c r="G13" s="4" t="str">
        <f t="shared" si="1"/>
        <v/>
      </c>
      <c r="H13" s="4" t="str">
        <f t="shared" si="2"/>
        <v/>
      </c>
      <c r="I13" s="4" t="str">
        <f t="shared" si="3"/>
        <v/>
      </c>
      <c r="J13" s="4" t="str">
        <f t="shared" si="4"/>
        <v/>
      </c>
      <c r="K13" s="4">
        <f t="shared" si="5"/>
        <v>0.96969696969696972</v>
      </c>
      <c r="L13" s="4" t="str">
        <f t="shared" si="6"/>
        <v/>
      </c>
      <c r="M13" s="4"/>
      <c r="N13" s="4"/>
      <c r="O13" s="4"/>
      <c r="P13" s="4"/>
      <c r="Q13" s="4"/>
      <c r="R13" s="4"/>
      <c r="S13" s="4"/>
      <c r="T13" s="4"/>
      <c r="U13" s="4"/>
    </row>
    <row r="14" spans="1:81">
      <c r="A14" t="s">
        <v>188</v>
      </c>
      <c r="B14">
        <v>2</v>
      </c>
      <c r="C14" t="str">
        <f t="shared" si="0"/>
        <v>test.BallonFactory_2_</v>
      </c>
      <c r="D14">
        <v>9</v>
      </c>
      <c r="E14" s="4">
        <v>1</v>
      </c>
      <c r="F14" s="4">
        <v>0.8571428571428571</v>
      </c>
      <c r="G14" s="4" t="str">
        <f t="shared" si="1"/>
        <v/>
      </c>
      <c r="H14" s="4" t="str">
        <f t="shared" si="2"/>
        <v/>
      </c>
      <c r="I14" s="4" t="str">
        <f t="shared" si="3"/>
        <v/>
      </c>
      <c r="J14" s="4" t="str">
        <f t="shared" si="4"/>
        <v/>
      </c>
      <c r="K14" s="4">
        <f t="shared" si="5"/>
        <v>1</v>
      </c>
      <c r="L14" s="4" t="str">
        <f t="shared" si="6"/>
        <v/>
      </c>
      <c r="M14" s="4"/>
      <c r="N14" s="4"/>
      <c r="O14" s="4"/>
      <c r="P14" s="4"/>
      <c r="Q14" s="4"/>
      <c r="R14" s="4"/>
      <c r="S14" s="4"/>
      <c r="T14" s="4"/>
      <c r="U14" s="4"/>
    </row>
    <row r="15" spans="1:81">
      <c r="A15" t="s">
        <v>188</v>
      </c>
      <c r="B15">
        <v>2</v>
      </c>
      <c r="C15" t="str">
        <f t="shared" si="0"/>
        <v>test.BallonFactory_2_</v>
      </c>
      <c r="D15">
        <v>10</v>
      </c>
      <c r="E15" s="4">
        <v>1</v>
      </c>
      <c r="F15" s="4">
        <v>0.85976408912188729</v>
      </c>
      <c r="G15" s="4" t="str">
        <f t="shared" si="1"/>
        <v/>
      </c>
      <c r="H15" s="4" t="str">
        <f t="shared" si="2"/>
        <v/>
      </c>
      <c r="I15" s="4" t="str">
        <f t="shared" si="3"/>
        <v/>
      </c>
      <c r="J15" s="4" t="str">
        <f t="shared" si="4"/>
        <v/>
      </c>
      <c r="K15" s="4">
        <f t="shared" si="5"/>
        <v>1</v>
      </c>
      <c r="L15" s="4" t="str">
        <f t="shared" si="6"/>
        <v/>
      </c>
      <c r="M15" s="4"/>
      <c r="N15" s="4"/>
      <c r="O15" s="4"/>
      <c r="P15" s="4"/>
      <c r="Q15" s="4"/>
      <c r="R15" s="4"/>
      <c r="S15" s="4"/>
      <c r="T15" s="4"/>
      <c r="U15" s="4"/>
    </row>
    <row r="16" spans="1:81">
      <c r="A16" t="s">
        <v>188</v>
      </c>
      <c r="B16">
        <v>2</v>
      </c>
      <c r="C16" t="str">
        <f t="shared" si="0"/>
        <v>test.BallonFactory_2_</v>
      </c>
      <c r="D16">
        <v>11</v>
      </c>
      <c r="E16" s="4">
        <v>1</v>
      </c>
      <c r="F16" s="4">
        <v>0.87287024901703802</v>
      </c>
      <c r="G16" s="4" t="str">
        <f t="shared" si="1"/>
        <v/>
      </c>
      <c r="H16" s="4" t="str">
        <f t="shared" si="2"/>
        <v/>
      </c>
      <c r="I16" s="4" t="str">
        <f t="shared" si="3"/>
        <v/>
      </c>
      <c r="J16" s="4" t="str">
        <f t="shared" si="4"/>
        <v/>
      </c>
      <c r="K16" s="4">
        <f t="shared" si="5"/>
        <v>1</v>
      </c>
      <c r="L16" s="4" t="str">
        <f t="shared" si="6"/>
        <v/>
      </c>
      <c r="M16" s="4"/>
      <c r="N16" s="4"/>
      <c r="O16" s="4"/>
      <c r="P16" s="4"/>
      <c r="Q16" s="4"/>
      <c r="R16" s="4"/>
      <c r="S16" s="4"/>
      <c r="T16" s="4"/>
      <c r="U16" s="4"/>
    </row>
    <row r="17" spans="1:21">
      <c r="A17" t="s">
        <v>188</v>
      </c>
      <c r="B17">
        <v>2</v>
      </c>
      <c r="C17" t="str">
        <f t="shared" si="0"/>
        <v>test.BallonFactory_2_</v>
      </c>
      <c r="D17">
        <v>12</v>
      </c>
      <c r="E17" s="4">
        <v>1</v>
      </c>
      <c r="F17" s="4">
        <v>0.90825688073394495</v>
      </c>
      <c r="G17" s="4" t="str">
        <f t="shared" si="1"/>
        <v/>
      </c>
      <c r="H17" s="4" t="str">
        <f t="shared" si="2"/>
        <v/>
      </c>
      <c r="I17" s="4" t="str">
        <f t="shared" si="3"/>
        <v/>
      </c>
      <c r="J17" s="4" t="str">
        <f t="shared" si="4"/>
        <v/>
      </c>
      <c r="K17" s="4">
        <f t="shared" si="5"/>
        <v>1</v>
      </c>
      <c r="L17" s="4" t="str">
        <f t="shared" si="6"/>
        <v/>
      </c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t="s">
        <v>188</v>
      </c>
      <c r="B18">
        <v>2</v>
      </c>
      <c r="C18" t="str">
        <f t="shared" si="0"/>
        <v>test.BallonFactory_2_</v>
      </c>
      <c r="D18">
        <v>13</v>
      </c>
      <c r="E18" s="4">
        <v>1</v>
      </c>
      <c r="F18" s="4">
        <v>0.92005242463958059</v>
      </c>
      <c r="G18" s="4" t="str">
        <f t="shared" si="1"/>
        <v/>
      </c>
      <c r="H18" s="4" t="str">
        <f t="shared" si="2"/>
        <v/>
      </c>
      <c r="I18" s="4" t="str">
        <f t="shared" si="3"/>
        <v/>
      </c>
      <c r="J18" s="4" t="str">
        <f t="shared" si="4"/>
        <v/>
      </c>
      <c r="K18" s="4">
        <f t="shared" si="5"/>
        <v>1</v>
      </c>
      <c r="L18" s="4" t="str">
        <f t="shared" si="6"/>
        <v/>
      </c>
      <c r="M18" s="4"/>
      <c r="N18" s="4"/>
      <c r="O18" s="4"/>
      <c r="P18" s="4"/>
      <c r="Q18" s="4"/>
      <c r="R18" s="4"/>
      <c r="S18" s="4"/>
      <c r="T18" s="4"/>
      <c r="U18" s="4"/>
    </row>
    <row r="19" spans="1:21">
      <c r="A19" t="s">
        <v>188</v>
      </c>
      <c r="B19">
        <v>2</v>
      </c>
      <c r="C19" t="str">
        <f t="shared" si="0"/>
        <v>test.BallonFactory_2_</v>
      </c>
      <c r="D19">
        <v>14</v>
      </c>
      <c r="E19" s="4">
        <v>1</v>
      </c>
      <c r="F19" s="4">
        <v>0.93053735255570114</v>
      </c>
      <c r="G19" s="4" t="str">
        <f t="shared" si="1"/>
        <v/>
      </c>
      <c r="H19" s="4" t="str">
        <f t="shared" si="2"/>
        <v/>
      </c>
      <c r="I19" s="4" t="str">
        <f t="shared" si="3"/>
        <v/>
      </c>
      <c r="J19" s="4" t="str">
        <f t="shared" si="4"/>
        <v/>
      </c>
      <c r="K19" s="4">
        <f t="shared" si="5"/>
        <v>1</v>
      </c>
      <c r="L19" s="4" t="str">
        <f t="shared" si="6"/>
        <v/>
      </c>
      <c r="M19" s="4"/>
      <c r="N19" s="4"/>
      <c r="O19" s="4"/>
      <c r="P19" s="4"/>
      <c r="Q19" s="4"/>
      <c r="R19" s="4"/>
      <c r="S19" s="4"/>
      <c r="T19" s="4"/>
      <c r="U19" s="4"/>
    </row>
    <row r="20" spans="1:21">
      <c r="A20" t="s">
        <v>188</v>
      </c>
      <c r="B20">
        <v>2</v>
      </c>
      <c r="C20" t="str">
        <f t="shared" si="0"/>
        <v>test.BallonFactory_2_</v>
      </c>
      <c r="D20">
        <v>15</v>
      </c>
      <c r="E20" s="4">
        <v>1</v>
      </c>
      <c r="F20" s="4">
        <v>0.99344692005242463</v>
      </c>
      <c r="G20" s="4" t="str">
        <f t="shared" si="1"/>
        <v/>
      </c>
      <c r="H20" s="4" t="str">
        <f t="shared" si="2"/>
        <v/>
      </c>
      <c r="I20" s="4" t="str">
        <f t="shared" si="3"/>
        <v/>
      </c>
      <c r="J20" s="4" t="str">
        <f t="shared" si="4"/>
        <v/>
      </c>
      <c r="K20" s="4">
        <f t="shared" si="5"/>
        <v>1</v>
      </c>
      <c r="L20" s="4" t="str">
        <f t="shared" si="6"/>
        <v/>
      </c>
      <c r="M20" s="4"/>
      <c r="N20" s="4"/>
      <c r="O20" s="4"/>
      <c r="P20" s="4"/>
      <c r="Q20" s="4"/>
      <c r="R20" s="4"/>
      <c r="S20" s="4"/>
      <c r="T20" s="4"/>
      <c r="U20" s="4"/>
    </row>
    <row r="21" spans="1:21">
      <c r="A21" t="s">
        <v>188</v>
      </c>
      <c r="B21">
        <v>6</v>
      </c>
      <c r="C21" t="str">
        <f t="shared" si="0"/>
        <v>test.BallonFactory_6_</v>
      </c>
      <c r="D21">
        <v>1</v>
      </c>
      <c r="E21" s="4">
        <v>0.66666666666666663</v>
      </c>
      <c r="F21" s="4">
        <v>1.0283687943262412</v>
      </c>
      <c r="G21" s="4" t="str">
        <f t="shared" si="1"/>
        <v/>
      </c>
      <c r="H21" s="4" t="str">
        <f t="shared" si="2"/>
        <v/>
      </c>
      <c r="I21" s="4" t="str">
        <f t="shared" si="3"/>
        <v/>
      </c>
      <c r="J21" s="4" t="str">
        <f t="shared" si="4"/>
        <v/>
      </c>
      <c r="K21" s="4">
        <f t="shared" si="5"/>
        <v>0.66666666666666663</v>
      </c>
      <c r="L21" s="4" t="str">
        <f t="shared" si="6"/>
        <v/>
      </c>
      <c r="M21" s="4"/>
      <c r="N21" s="4"/>
      <c r="O21" s="4"/>
      <c r="P21" s="4"/>
      <c r="Q21" s="4"/>
      <c r="R21" s="4"/>
      <c r="S21" s="4"/>
      <c r="T21" s="4"/>
      <c r="U21" s="4"/>
    </row>
    <row r="22" spans="1:21">
      <c r="A22" t="s">
        <v>188</v>
      </c>
      <c r="B22">
        <v>6</v>
      </c>
      <c r="C22" t="str">
        <f t="shared" si="0"/>
        <v>test.BallonFactory_6_</v>
      </c>
      <c r="D22">
        <v>2</v>
      </c>
      <c r="E22" s="4">
        <v>0.72222222222222221</v>
      </c>
      <c r="F22" s="4">
        <v>1.7541371158392436</v>
      </c>
      <c r="G22" s="4" t="str">
        <f t="shared" si="1"/>
        <v/>
      </c>
      <c r="H22" s="4" t="str">
        <f t="shared" si="2"/>
        <v/>
      </c>
      <c r="I22" s="4" t="str">
        <f t="shared" si="3"/>
        <v/>
      </c>
      <c r="J22" s="4" t="str">
        <f t="shared" si="4"/>
        <v/>
      </c>
      <c r="K22" s="4" t="str">
        <f t="shared" si="5"/>
        <v/>
      </c>
      <c r="L22" s="4">
        <f t="shared" si="6"/>
        <v>0.72222222222222221</v>
      </c>
      <c r="M22" s="4"/>
      <c r="N22" s="4"/>
      <c r="O22" s="4"/>
      <c r="P22" s="4"/>
      <c r="Q22" s="4"/>
      <c r="R22" s="4"/>
      <c r="S22" s="4"/>
      <c r="T22" s="4"/>
      <c r="U22" s="4"/>
    </row>
    <row r="23" spans="1:21">
      <c r="A23" t="s">
        <v>188</v>
      </c>
      <c r="B23">
        <v>6</v>
      </c>
      <c r="C23" t="str">
        <f t="shared" si="0"/>
        <v>test.BallonFactory_6_</v>
      </c>
      <c r="D23">
        <v>3</v>
      </c>
      <c r="E23" s="4">
        <v>0.77777777777777779</v>
      </c>
      <c r="F23" s="4">
        <v>1.8747044917257683</v>
      </c>
      <c r="G23" s="4" t="str">
        <f t="shared" si="1"/>
        <v/>
      </c>
      <c r="H23" s="4" t="str">
        <f t="shared" si="2"/>
        <v/>
      </c>
      <c r="I23" s="4" t="str">
        <f t="shared" si="3"/>
        <v/>
      </c>
      <c r="J23" s="4" t="str">
        <f t="shared" si="4"/>
        <v/>
      </c>
      <c r="K23" s="4" t="str">
        <f t="shared" si="5"/>
        <v/>
      </c>
      <c r="L23" s="4">
        <f t="shared" si="6"/>
        <v>0.77777777777777779</v>
      </c>
      <c r="M23" s="4"/>
      <c r="N23" s="4"/>
      <c r="O23" s="4"/>
      <c r="P23" s="4"/>
      <c r="Q23" s="4"/>
      <c r="R23" s="4"/>
      <c r="S23" s="4"/>
      <c r="T23" s="4"/>
      <c r="U23" s="4"/>
    </row>
    <row r="24" spans="1:21">
      <c r="A24" t="s">
        <v>188</v>
      </c>
      <c r="B24">
        <v>6</v>
      </c>
      <c r="C24" t="str">
        <f t="shared" si="0"/>
        <v>test.BallonFactory_6_</v>
      </c>
      <c r="D24">
        <v>4</v>
      </c>
      <c r="E24" s="4">
        <v>0.88888888888888884</v>
      </c>
      <c r="F24" s="4">
        <v>2.5744680851063828</v>
      </c>
      <c r="G24" s="4" t="str">
        <f t="shared" si="1"/>
        <v/>
      </c>
      <c r="H24" s="4" t="str">
        <f t="shared" si="2"/>
        <v/>
      </c>
      <c r="I24" s="4" t="str">
        <f t="shared" si="3"/>
        <v/>
      </c>
      <c r="J24" s="4" t="str">
        <f t="shared" si="4"/>
        <v/>
      </c>
      <c r="K24" s="4" t="str">
        <f t="shared" si="5"/>
        <v/>
      </c>
      <c r="L24" s="4">
        <f t="shared" si="6"/>
        <v>0.88888888888888884</v>
      </c>
      <c r="M24" s="4"/>
      <c r="N24" s="4"/>
      <c r="O24" s="4"/>
      <c r="P24" s="4"/>
      <c r="Q24" s="4"/>
      <c r="R24" s="4"/>
      <c r="S24" s="4"/>
      <c r="T24" s="4"/>
      <c r="U24" s="4"/>
    </row>
    <row r="25" spans="1:21">
      <c r="A25" t="s">
        <v>188</v>
      </c>
      <c r="B25">
        <v>6</v>
      </c>
      <c r="C25" t="str">
        <f t="shared" si="0"/>
        <v>test.BallonFactory_6_</v>
      </c>
      <c r="D25">
        <v>5</v>
      </c>
      <c r="E25" s="4">
        <v>1</v>
      </c>
      <c r="F25" s="4">
        <v>3.8368794326241136</v>
      </c>
      <c r="G25" s="4" t="str">
        <f t="shared" si="1"/>
        <v/>
      </c>
      <c r="H25" s="4" t="str">
        <f t="shared" si="2"/>
        <v/>
      </c>
      <c r="I25" s="4" t="str">
        <f t="shared" si="3"/>
        <v/>
      </c>
      <c r="J25" s="4" t="str">
        <f t="shared" si="4"/>
        <v/>
      </c>
      <c r="K25" s="4" t="str">
        <f t="shared" si="5"/>
        <v/>
      </c>
      <c r="L25" s="4">
        <f t="shared" si="6"/>
        <v>1</v>
      </c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t="s">
        <v>188</v>
      </c>
      <c r="B26">
        <v>9</v>
      </c>
      <c r="C26" t="str">
        <f t="shared" si="0"/>
        <v>test.BallonFactory_9_</v>
      </c>
      <c r="D26">
        <v>1</v>
      </c>
      <c r="E26" s="4">
        <v>6.5217391304347824E-2</v>
      </c>
      <c r="F26" s="4">
        <v>8.5714285714285715E-2</v>
      </c>
      <c r="G26" s="4">
        <f t="shared" si="1"/>
        <v>6.5217391304347824E-2</v>
      </c>
      <c r="H26" s="4" t="str">
        <f t="shared" si="2"/>
        <v/>
      </c>
      <c r="I26" s="4" t="str">
        <f t="shared" si="3"/>
        <v/>
      </c>
      <c r="J26" s="4" t="str">
        <f t="shared" si="4"/>
        <v/>
      </c>
      <c r="K26" s="4" t="str">
        <f t="shared" si="5"/>
        <v/>
      </c>
      <c r="L26" s="4" t="str">
        <f t="shared" si="6"/>
        <v/>
      </c>
      <c r="M26" s="4"/>
      <c r="N26" s="4"/>
      <c r="O26" s="4"/>
      <c r="P26" s="4"/>
      <c r="Q26" s="4"/>
      <c r="R26" s="4"/>
      <c r="S26" s="4"/>
      <c r="T26" s="4"/>
      <c r="U26" s="4"/>
    </row>
    <row r="27" spans="1:21">
      <c r="A27" t="s">
        <v>188</v>
      </c>
      <c r="B27">
        <v>9</v>
      </c>
      <c r="C27" t="str">
        <f t="shared" si="0"/>
        <v>test.BallonFactory_9_</v>
      </c>
      <c r="D27">
        <v>2</v>
      </c>
      <c r="E27" s="4">
        <v>6.5217391304347824E-2</v>
      </c>
      <c r="F27" s="4">
        <v>8.6428571428571424E-2</v>
      </c>
      <c r="G27" s="4">
        <f t="shared" si="1"/>
        <v>6.5217391304347824E-2</v>
      </c>
      <c r="H27" s="4" t="str">
        <f t="shared" si="2"/>
        <v/>
      </c>
      <c r="I27" s="4" t="str">
        <f t="shared" si="3"/>
        <v/>
      </c>
      <c r="J27" s="4" t="str">
        <f t="shared" si="4"/>
        <v/>
      </c>
      <c r="K27" s="4" t="str">
        <f t="shared" si="5"/>
        <v/>
      </c>
      <c r="L27" s="4" t="str">
        <f t="shared" si="6"/>
        <v/>
      </c>
      <c r="M27" s="4"/>
      <c r="N27" s="4"/>
      <c r="O27" s="4"/>
      <c r="P27" s="4"/>
      <c r="Q27" s="4"/>
      <c r="R27" s="4"/>
      <c r="S27" s="4"/>
      <c r="T27" s="4"/>
      <c r="U27" s="4"/>
    </row>
    <row r="28" spans="1:21">
      <c r="A28" t="s">
        <v>188</v>
      </c>
      <c r="B28">
        <v>9</v>
      </c>
      <c r="C28" t="str">
        <f t="shared" si="0"/>
        <v>test.BallonFactory_9_</v>
      </c>
      <c r="D28">
        <v>3</v>
      </c>
      <c r="E28" s="4">
        <v>6.5217391304347824E-2</v>
      </c>
      <c r="F28" s="4">
        <v>8.9285714285714288E-2</v>
      </c>
      <c r="G28" s="4">
        <f t="shared" si="1"/>
        <v>6.5217391304347824E-2</v>
      </c>
      <c r="H28" s="4" t="str">
        <f t="shared" si="2"/>
        <v/>
      </c>
      <c r="I28" s="4" t="str">
        <f t="shared" si="3"/>
        <v/>
      </c>
      <c r="J28" s="4" t="str">
        <f t="shared" si="4"/>
        <v/>
      </c>
      <c r="K28" s="4" t="str">
        <f t="shared" si="5"/>
        <v/>
      </c>
      <c r="L28" s="4" t="str">
        <f t="shared" si="6"/>
        <v/>
      </c>
      <c r="M28" s="4"/>
      <c r="N28" s="4"/>
      <c r="O28" s="4"/>
      <c r="P28" s="4"/>
      <c r="Q28" s="4"/>
      <c r="R28" s="4"/>
      <c r="S28" s="4"/>
      <c r="T28" s="4"/>
      <c r="U28" s="4"/>
    </row>
    <row r="29" spans="1:21">
      <c r="A29" t="s">
        <v>188</v>
      </c>
      <c r="B29">
        <v>9</v>
      </c>
      <c r="C29" t="str">
        <f t="shared" si="0"/>
        <v>test.BallonFactory_9_</v>
      </c>
      <c r="D29">
        <v>4</v>
      </c>
      <c r="E29" s="4">
        <v>0.15217391304347827</v>
      </c>
      <c r="F29" s="4">
        <v>0.17214285714285715</v>
      </c>
      <c r="G29" s="4">
        <f t="shared" si="1"/>
        <v>0.15217391304347827</v>
      </c>
      <c r="H29" s="4" t="str">
        <f t="shared" si="2"/>
        <v/>
      </c>
      <c r="I29" s="4" t="str">
        <f t="shared" si="3"/>
        <v/>
      </c>
      <c r="J29" s="4" t="str">
        <f t="shared" si="4"/>
        <v/>
      </c>
      <c r="K29" s="4" t="str">
        <f t="shared" si="5"/>
        <v/>
      </c>
      <c r="L29" s="4" t="str">
        <f t="shared" si="6"/>
        <v/>
      </c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t="s">
        <v>188</v>
      </c>
      <c r="B30">
        <v>9</v>
      </c>
      <c r="C30" t="str">
        <f t="shared" si="0"/>
        <v>test.BallonFactory_9_</v>
      </c>
      <c r="D30">
        <v>5</v>
      </c>
      <c r="E30" s="4">
        <v>0.2391304347826087</v>
      </c>
      <c r="F30" s="4">
        <v>0.17285714285714285</v>
      </c>
      <c r="G30" s="4">
        <f t="shared" si="1"/>
        <v>0.2391304347826087</v>
      </c>
      <c r="H30" s="4" t="str">
        <f t="shared" si="2"/>
        <v/>
      </c>
      <c r="I30" s="4" t="str">
        <f t="shared" si="3"/>
        <v/>
      </c>
      <c r="J30" s="4" t="str">
        <f t="shared" si="4"/>
        <v/>
      </c>
      <c r="K30" s="4" t="str">
        <f t="shared" si="5"/>
        <v/>
      </c>
      <c r="L30" s="4" t="str">
        <f t="shared" si="6"/>
        <v/>
      </c>
      <c r="M30" s="4"/>
      <c r="N30" s="4"/>
      <c r="O30" s="4"/>
      <c r="P30" s="4"/>
      <c r="Q30" s="4"/>
      <c r="R30" s="4"/>
      <c r="S30" s="4"/>
      <c r="T30" s="4"/>
      <c r="U30" s="4"/>
    </row>
    <row r="31" spans="1:21">
      <c r="A31" t="s">
        <v>188</v>
      </c>
      <c r="B31">
        <v>9</v>
      </c>
      <c r="C31" t="str">
        <f t="shared" si="0"/>
        <v>test.BallonFactory_9_</v>
      </c>
      <c r="D31">
        <v>6</v>
      </c>
      <c r="E31" s="4">
        <v>0.5</v>
      </c>
      <c r="F31" s="4">
        <v>0.34714285714285714</v>
      </c>
      <c r="G31" s="4" t="str">
        <f t="shared" si="1"/>
        <v/>
      </c>
      <c r="H31" s="4">
        <f t="shared" si="2"/>
        <v>0.5</v>
      </c>
      <c r="I31" s="4" t="str">
        <f t="shared" si="3"/>
        <v/>
      </c>
      <c r="J31" s="4" t="str">
        <f t="shared" si="4"/>
        <v/>
      </c>
      <c r="K31" s="4" t="str">
        <f t="shared" si="5"/>
        <v/>
      </c>
      <c r="L31" s="4" t="str">
        <f t="shared" si="6"/>
        <v/>
      </c>
      <c r="M31" s="4"/>
      <c r="N31" s="4"/>
      <c r="O31" s="4"/>
      <c r="P31" s="4"/>
      <c r="Q31" s="4"/>
      <c r="R31" s="4"/>
      <c r="S31" s="4"/>
      <c r="T31" s="4"/>
      <c r="U31" s="4"/>
    </row>
    <row r="32" spans="1:21">
      <c r="A32" t="s">
        <v>188</v>
      </c>
      <c r="B32">
        <v>9</v>
      </c>
      <c r="C32" t="str">
        <f t="shared" si="0"/>
        <v>test.BallonFactory_9_</v>
      </c>
      <c r="D32">
        <v>7</v>
      </c>
      <c r="E32" s="4">
        <v>0.65217391304347827</v>
      </c>
      <c r="F32" s="4">
        <v>0.35571428571428571</v>
      </c>
      <c r="G32" s="4" t="str">
        <f t="shared" si="1"/>
        <v/>
      </c>
      <c r="H32" s="4">
        <f t="shared" si="2"/>
        <v>0.65217391304347827</v>
      </c>
      <c r="I32" s="4" t="str">
        <f t="shared" si="3"/>
        <v/>
      </c>
      <c r="J32" s="4" t="str">
        <f t="shared" si="4"/>
        <v/>
      </c>
      <c r="K32" s="4" t="str">
        <f t="shared" si="5"/>
        <v/>
      </c>
      <c r="L32" s="4" t="str">
        <f t="shared" si="6"/>
        <v/>
      </c>
      <c r="M32" s="4"/>
      <c r="N32" s="4"/>
      <c r="O32" s="4"/>
      <c r="P32" s="4"/>
      <c r="Q32" s="4"/>
      <c r="R32" s="4"/>
      <c r="S32" s="4"/>
      <c r="T32" s="4"/>
      <c r="U32" s="4"/>
    </row>
    <row r="33" spans="1:21">
      <c r="A33" t="s">
        <v>188</v>
      </c>
      <c r="B33">
        <v>9</v>
      </c>
      <c r="C33" t="str">
        <f t="shared" si="0"/>
        <v>test.BallonFactory_9_</v>
      </c>
      <c r="D33">
        <v>8</v>
      </c>
      <c r="E33" s="4">
        <v>0.91304347826086951</v>
      </c>
      <c r="F33" s="4">
        <v>0.35785714285714287</v>
      </c>
      <c r="G33" s="4" t="str">
        <f t="shared" si="1"/>
        <v/>
      </c>
      <c r="H33" s="4">
        <f t="shared" si="2"/>
        <v>0.91304347826086951</v>
      </c>
      <c r="I33" s="4" t="str">
        <f t="shared" si="3"/>
        <v/>
      </c>
      <c r="J33" s="4" t="str">
        <f t="shared" si="4"/>
        <v/>
      </c>
      <c r="K33" s="4" t="str">
        <f t="shared" si="5"/>
        <v/>
      </c>
      <c r="L33" s="4" t="str">
        <f t="shared" si="6"/>
        <v/>
      </c>
      <c r="M33" s="4"/>
      <c r="N33" s="4"/>
      <c r="O33" s="4"/>
      <c r="P33" s="4"/>
      <c r="Q33" s="4"/>
      <c r="R33" s="4"/>
      <c r="S33" s="4"/>
      <c r="T33" s="4"/>
      <c r="U33" s="4"/>
    </row>
    <row r="34" spans="1:21">
      <c r="A34" t="s">
        <v>188</v>
      </c>
      <c r="B34">
        <v>9</v>
      </c>
      <c r="C34" t="str">
        <f t="shared" si="0"/>
        <v>test.BallonFactory_9_</v>
      </c>
      <c r="D34">
        <v>9</v>
      </c>
      <c r="E34" s="4">
        <v>1</v>
      </c>
      <c r="F34" s="4">
        <v>0.40142857142857141</v>
      </c>
      <c r="G34" s="4" t="str">
        <f t="shared" si="1"/>
        <v/>
      </c>
      <c r="H34" s="4" t="str">
        <f t="shared" si="2"/>
        <v/>
      </c>
      <c r="I34" s="4">
        <f t="shared" si="3"/>
        <v>1</v>
      </c>
      <c r="J34" s="4" t="str">
        <f t="shared" si="4"/>
        <v/>
      </c>
      <c r="K34" s="4" t="str">
        <f t="shared" si="5"/>
        <v/>
      </c>
      <c r="L34" s="4" t="str">
        <f t="shared" si="6"/>
        <v/>
      </c>
      <c r="M34" s="4"/>
      <c r="N34" s="4"/>
      <c r="O34" s="4"/>
      <c r="P34" s="4"/>
      <c r="Q34" s="4"/>
      <c r="R34" s="4"/>
      <c r="S34" s="4"/>
      <c r="T34" s="4"/>
      <c r="U34" s="4"/>
    </row>
    <row r="35" spans="1:21">
      <c r="A35" t="s">
        <v>188</v>
      </c>
      <c r="B35">
        <v>9</v>
      </c>
      <c r="C35" t="str">
        <f t="shared" si="0"/>
        <v>test.BallonFactory_9_</v>
      </c>
      <c r="D35">
        <v>10</v>
      </c>
      <c r="E35" s="4">
        <v>1</v>
      </c>
      <c r="F35" s="4">
        <v>0.4042857142857143</v>
      </c>
      <c r="G35" s="4" t="str">
        <f t="shared" si="1"/>
        <v/>
      </c>
      <c r="H35" s="4" t="str">
        <f t="shared" si="2"/>
        <v/>
      </c>
      <c r="I35" s="4">
        <f t="shared" si="3"/>
        <v>1</v>
      </c>
      <c r="J35" s="4" t="str">
        <f t="shared" si="4"/>
        <v/>
      </c>
      <c r="K35" s="4" t="str">
        <f t="shared" si="5"/>
        <v/>
      </c>
      <c r="L35" s="4" t="str">
        <f t="shared" si="6"/>
        <v/>
      </c>
      <c r="M35" s="4"/>
      <c r="N35" s="4"/>
      <c r="O35" s="4"/>
      <c r="P35" s="4"/>
      <c r="Q35" s="4"/>
      <c r="R35" s="4"/>
      <c r="S35" s="4"/>
      <c r="T35" s="4"/>
      <c r="U35" s="4"/>
    </row>
    <row r="36" spans="1:21">
      <c r="A36" t="s">
        <v>219</v>
      </c>
      <c r="B36">
        <v>2</v>
      </c>
      <c r="C36" t="str">
        <f t="shared" si="0"/>
        <v>test.Base64_2_</v>
      </c>
      <c r="D36">
        <v>1</v>
      </c>
      <c r="E36" s="4">
        <v>0.19354838709677419</v>
      </c>
      <c r="F36" s="4">
        <v>0.32795698924731181</v>
      </c>
      <c r="G36" s="4" t="str">
        <f t="shared" si="1"/>
        <v/>
      </c>
      <c r="H36" s="4">
        <f t="shared" si="2"/>
        <v>0.19354838709677419</v>
      </c>
      <c r="I36" s="4" t="str">
        <f t="shared" si="3"/>
        <v/>
      </c>
      <c r="J36" s="4" t="str">
        <f t="shared" si="4"/>
        <v/>
      </c>
      <c r="K36" s="4" t="str">
        <f t="shared" si="5"/>
        <v/>
      </c>
      <c r="L36" s="4" t="str">
        <f t="shared" si="6"/>
        <v/>
      </c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t="s">
        <v>219</v>
      </c>
      <c r="B37">
        <v>2</v>
      </c>
      <c r="C37" t="str">
        <f t="shared" si="0"/>
        <v>test.Base64_2_</v>
      </c>
      <c r="D37">
        <v>2</v>
      </c>
      <c r="E37" s="4">
        <v>0.54838709677419351</v>
      </c>
      <c r="F37" s="4">
        <v>0.69086021505376349</v>
      </c>
      <c r="G37" s="4" t="str">
        <f t="shared" si="1"/>
        <v/>
      </c>
      <c r="H37" s="4" t="str">
        <f t="shared" si="2"/>
        <v/>
      </c>
      <c r="I37" s="4" t="str">
        <f t="shared" si="3"/>
        <v/>
      </c>
      <c r="J37" s="4">
        <f t="shared" si="4"/>
        <v>0.54838709677419351</v>
      </c>
      <c r="K37" s="4" t="str">
        <f t="shared" si="5"/>
        <v/>
      </c>
      <c r="L37" s="4" t="str">
        <f t="shared" si="6"/>
        <v/>
      </c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t="s">
        <v>219</v>
      </c>
      <c r="B38">
        <v>2</v>
      </c>
      <c r="C38" t="str">
        <f t="shared" si="0"/>
        <v>test.Base64_2_</v>
      </c>
      <c r="D38">
        <v>3</v>
      </c>
      <c r="E38" s="4">
        <v>0.93548387096774188</v>
      </c>
      <c r="F38" s="4">
        <v>0.70430107526881724</v>
      </c>
      <c r="G38" s="4" t="str">
        <f t="shared" si="1"/>
        <v/>
      </c>
      <c r="H38" s="4" t="str">
        <f t="shared" si="2"/>
        <v/>
      </c>
      <c r="I38" s="4" t="str">
        <f t="shared" si="3"/>
        <v/>
      </c>
      <c r="J38" s="4">
        <f t="shared" si="4"/>
        <v>0.93548387096774188</v>
      </c>
      <c r="K38" s="4" t="str">
        <f t="shared" si="5"/>
        <v/>
      </c>
      <c r="L38" s="4" t="str">
        <f t="shared" si="6"/>
        <v/>
      </c>
      <c r="M38" s="4"/>
      <c r="N38" s="4"/>
      <c r="O38" s="4"/>
      <c r="P38" s="4"/>
      <c r="Q38" s="4"/>
      <c r="R38" s="4"/>
      <c r="S38" s="4"/>
      <c r="T38" s="4"/>
      <c r="U38" s="4"/>
    </row>
    <row r="39" spans="1:21">
      <c r="A39" t="s">
        <v>219</v>
      </c>
      <c r="B39">
        <v>2</v>
      </c>
      <c r="C39" t="str">
        <f t="shared" si="0"/>
        <v>test.Base64_2_</v>
      </c>
      <c r="D39">
        <v>4</v>
      </c>
      <c r="E39" s="4">
        <v>1</v>
      </c>
      <c r="F39" s="4">
        <v>0.99327956989247312</v>
      </c>
      <c r="G39" s="4" t="str">
        <f t="shared" si="1"/>
        <v/>
      </c>
      <c r="H39" s="4" t="str">
        <f t="shared" si="2"/>
        <v/>
      </c>
      <c r="I39" s="4" t="str">
        <f t="shared" si="3"/>
        <v/>
      </c>
      <c r="J39" s="4" t="str">
        <f t="shared" si="4"/>
        <v/>
      </c>
      <c r="K39" s="4">
        <f t="shared" si="5"/>
        <v>1</v>
      </c>
      <c r="L39" s="4" t="str">
        <f t="shared" si="6"/>
        <v/>
      </c>
      <c r="M39" s="4"/>
      <c r="N39" s="4"/>
      <c r="O39" s="4"/>
      <c r="P39" s="4"/>
      <c r="Q39" s="4"/>
      <c r="R39" s="4"/>
      <c r="S39" s="4"/>
      <c r="T39" s="4"/>
      <c r="U39" s="4"/>
    </row>
    <row r="40" spans="1:21">
      <c r="A40" t="s">
        <v>219</v>
      </c>
      <c r="B40">
        <v>4</v>
      </c>
      <c r="C40" t="str">
        <f t="shared" si="0"/>
        <v>test.Base64_4_</v>
      </c>
      <c r="D40">
        <v>1</v>
      </c>
      <c r="E40" s="4">
        <v>0.19354838709677419</v>
      </c>
      <c r="F40" s="4">
        <v>0.33688415446071907</v>
      </c>
      <c r="G40" s="4" t="str">
        <f t="shared" si="1"/>
        <v/>
      </c>
      <c r="H40" s="4">
        <f t="shared" si="2"/>
        <v>0.19354838709677419</v>
      </c>
      <c r="I40" s="4" t="str">
        <f t="shared" si="3"/>
        <v/>
      </c>
      <c r="J40" s="4" t="str">
        <f t="shared" si="4"/>
        <v/>
      </c>
      <c r="K40" s="4" t="str">
        <f t="shared" si="5"/>
        <v/>
      </c>
      <c r="L40" s="4" t="str">
        <f t="shared" si="6"/>
        <v/>
      </c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t="s">
        <v>219</v>
      </c>
      <c r="B41">
        <v>4</v>
      </c>
      <c r="C41" t="str">
        <f t="shared" si="0"/>
        <v>test.Base64_4_</v>
      </c>
      <c r="D41">
        <v>2</v>
      </c>
      <c r="E41" s="4">
        <v>0.54838709677419351</v>
      </c>
      <c r="F41" s="4">
        <v>0.67643142476697737</v>
      </c>
      <c r="G41" s="4" t="str">
        <f t="shared" si="1"/>
        <v/>
      </c>
      <c r="H41" s="4" t="str">
        <f t="shared" si="2"/>
        <v/>
      </c>
      <c r="I41" s="4" t="str">
        <f t="shared" si="3"/>
        <v/>
      </c>
      <c r="J41" s="4">
        <f t="shared" si="4"/>
        <v>0.54838709677419351</v>
      </c>
      <c r="K41" s="4" t="str">
        <f t="shared" si="5"/>
        <v/>
      </c>
      <c r="L41" s="4" t="str">
        <f t="shared" si="6"/>
        <v/>
      </c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t="s">
        <v>219</v>
      </c>
      <c r="B42">
        <v>4</v>
      </c>
      <c r="C42" t="str">
        <f t="shared" si="0"/>
        <v>test.Base64_4_</v>
      </c>
      <c r="D42">
        <v>3</v>
      </c>
      <c r="E42" s="4">
        <v>0.93548387096774188</v>
      </c>
      <c r="F42" s="4">
        <v>0.7057256990679095</v>
      </c>
      <c r="G42" s="4" t="str">
        <f t="shared" si="1"/>
        <v/>
      </c>
      <c r="H42" s="4" t="str">
        <f t="shared" si="2"/>
        <v/>
      </c>
      <c r="I42" s="4" t="str">
        <f t="shared" si="3"/>
        <v/>
      </c>
      <c r="J42" s="4">
        <f t="shared" si="4"/>
        <v>0.93548387096774188</v>
      </c>
      <c r="K42" s="4" t="str">
        <f t="shared" si="5"/>
        <v/>
      </c>
      <c r="L42" s="4" t="str">
        <f t="shared" si="6"/>
        <v/>
      </c>
      <c r="M42" s="4"/>
      <c r="N42" s="4"/>
      <c r="O42" s="4"/>
      <c r="P42" s="4"/>
      <c r="Q42" s="4"/>
      <c r="R42" s="4"/>
      <c r="S42" s="4"/>
      <c r="T42" s="4"/>
      <c r="U42" s="4"/>
    </row>
    <row r="43" spans="1:21">
      <c r="A43" t="s">
        <v>219</v>
      </c>
      <c r="B43">
        <v>4</v>
      </c>
      <c r="C43" t="str">
        <f t="shared" si="0"/>
        <v>test.Base64_4_</v>
      </c>
      <c r="D43">
        <v>4</v>
      </c>
      <c r="E43" s="4">
        <v>1</v>
      </c>
      <c r="F43" s="4">
        <v>0.98402130492676432</v>
      </c>
      <c r="G43" s="4" t="str">
        <f t="shared" si="1"/>
        <v/>
      </c>
      <c r="H43" s="4" t="str">
        <f t="shared" si="2"/>
        <v/>
      </c>
      <c r="I43" s="4" t="str">
        <f t="shared" si="3"/>
        <v/>
      </c>
      <c r="J43" s="4" t="str">
        <f t="shared" si="4"/>
        <v/>
      </c>
      <c r="K43" s="4">
        <f t="shared" si="5"/>
        <v>1</v>
      </c>
      <c r="L43" s="4" t="str">
        <f t="shared" si="6"/>
        <v/>
      </c>
      <c r="M43" s="4"/>
      <c r="N43" s="4"/>
      <c r="O43" s="4"/>
      <c r="P43" s="4"/>
      <c r="Q43" s="4"/>
      <c r="R43" s="4"/>
      <c r="S43" s="4"/>
      <c r="T43" s="4"/>
      <c r="U43" s="4"/>
    </row>
    <row r="44" spans="1:21">
      <c r="A44" t="s">
        <v>219</v>
      </c>
      <c r="B44">
        <v>13</v>
      </c>
      <c r="C44" t="str">
        <f t="shared" si="0"/>
        <v>test.Base64_13_</v>
      </c>
      <c r="D44">
        <v>1</v>
      </c>
      <c r="E44" s="4">
        <v>0.125</v>
      </c>
      <c r="F44" s="4">
        <v>0.27160493827160492</v>
      </c>
      <c r="G44" s="4" t="str">
        <f t="shared" si="1"/>
        <v/>
      </c>
      <c r="H44" s="4">
        <f t="shared" si="2"/>
        <v>0.125</v>
      </c>
      <c r="I44" s="4" t="str">
        <f t="shared" si="3"/>
        <v/>
      </c>
      <c r="J44" s="4" t="str">
        <f t="shared" si="4"/>
        <v/>
      </c>
      <c r="K44" s="4" t="str">
        <f t="shared" si="5"/>
        <v/>
      </c>
      <c r="L44" s="4" t="str">
        <f t="shared" si="6"/>
        <v/>
      </c>
      <c r="M44" s="4"/>
      <c r="N44" s="4"/>
      <c r="O44" s="4"/>
      <c r="P44" s="4"/>
      <c r="Q44" s="4"/>
      <c r="R44" s="4"/>
      <c r="S44" s="4"/>
      <c r="T44" s="4"/>
      <c r="U44" s="4"/>
    </row>
    <row r="45" spans="1:21">
      <c r="A45" t="s">
        <v>219</v>
      </c>
      <c r="B45">
        <v>13</v>
      </c>
      <c r="C45" t="str">
        <f t="shared" si="0"/>
        <v>test.Base64_13_</v>
      </c>
      <c r="D45">
        <v>2</v>
      </c>
      <c r="E45" s="4">
        <v>0.375</v>
      </c>
      <c r="F45" s="4">
        <v>0.51028806584362141</v>
      </c>
      <c r="G45" s="4" t="str">
        <f t="shared" si="1"/>
        <v/>
      </c>
      <c r="H45" s="4" t="str">
        <f t="shared" si="2"/>
        <v/>
      </c>
      <c r="I45" s="4">
        <f t="shared" si="3"/>
        <v>0.375</v>
      </c>
      <c r="J45" s="4" t="str">
        <f t="shared" si="4"/>
        <v/>
      </c>
      <c r="K45" s="4" t="str">
        <f t="shared" si="5"/>
        <v/>
      </c>
      <c r="L45" s="4" t="str">
        <f t="shared" si="6"/>
        <v/>
      </c>
      <c r="M45" s="4"/>
      <c r="N45" s="4"/>
      <c r="O45" s="4"/>
      <c r="P45" s="4"/>
      <c r="Q45" s="4"/>
      <c r="R45" s="4"/>
      <c r="S45" s="4"/>
      <c r="T45" s="4"/>
      <c r="U45" s="4"/>
    </row>
    <row r="46" spans="1:21">
      <c r="A46" t="s">
        <v>219</v>
      </c>
      <c r="B46">
        <v>13</v>
      </c>
      <c r="C46" t="str">
        <f t="shared" si="0"/>
        <v>test.Base64_13_</v>
      </c>
      <c r="D46">
        <v>3</v>
      </c>
      <c r="E46" s="4">
        <v>0.625</v>
      </c>
      <c r="F46" s="4">
        <v>0.75720164609053497</v>
      </c>
      <c r="G46" s="4" t="str">
        <f t="shared" si="1"/>
        <v/>
      </c>
      <c r="H46" s="4" t="str">
        <f t="shared" si="2"/>
        <v/>
      </c>
      <c r="I46" s="4" t="str">
        <f t="shared" si="3"/>
        <v/>
      </c>
      <c r="J46" s="4">
        <f t="shared" si="4"/>
        <v>0.625</v>
      </c>
      <c r="K46" s="4" t="str">
        <f t="shared" si="5"/>
        <v/>
      </c>
      <c r="L46" s="4" t="str">
        <f t="shared" si="6"/>
        <v/>
      </c>
      <c r="M46" s="4"/>
      <c r="N46" s="4"/>
      <c r="O46" s="4"/>
      <c r="P46" s="4"/>
      <c r="Q46" s="4"/>
      <c r="R46" s="4"/>
      <c r="S46" s="4"/>
      <c r="T46" s="4"/>
      <c r="U46" s="4"/>
    </row>
    <row r="47" spans="1:21">
      <c r="A47" t="s">
        <v>219</v>
      </c>
      <c r="B47">
        <v>13</v>
      </c>
      <c r="C47" t="str">
        <f t="shared" si="0"/>
        <v>test.Base64_13_</v>
      </c>
      <c r="D47">
        <v>4</v>
      </c>
      <c r="E47" s="4">
        <v>0.875</v>
      </c>
      <c r="F47" s="4">
        <v>0.98353909465020573</v>
      </c>
      <c r="G47" s="4" t="str">
        <f t="shared" si="1"/>
        <v/>
      </c>
      <c r="H47" s="4" t="str">
        <f t="shared" si="2"/>
        <v/>
      </c>
      <c r="I47" s="4" t="str">
        <f t="shared" si="3"/>
        <v/>
      </c>
      <c r="J47" s="4" t="str">
        <f t="shared" si="4"/>
        <v/>
      </c>
      <c r="K47" s="4">
        <f t="shared" si="5"/>
        <v>0.875</v>
      </c>
      <c r="L47" s="4" t="str">
        <f t="shared" si="6"/>
        <v/>
      </c>
      <c r="M47" s="4"/>
      <c r="N47" s="4"/>
      <c r="O47" s="4"/>
      <c r="P47" s="4"/>
      <c r="Q47" s="4"/>
      <c r="R47" s="4"/>
      <c r="S47" s="4"/>
      <c r="T47" s="4"/>
      <c r="U47" s="4"/>
    </row>
    <row r="48" spans="1:21">
      <c r="A48" t="s">
        <v>219</v>
      </c>
      <c r="B48">
        <v>13</v>
      </c>
      <c r="C48" t="str">
        <f t="shared" si="0"/>
        <v>test.Base64_13_</v>
      </c>
      <c r="D48">
        <v>5</v>
      </c>
      <c r="E48" s="4">
        <v>1</v>
      </c>
      <c r="F48" s="4">
        <v>0.99176954732510292</v>
      </c>
      <c r="G48" s="4" t="str">
        <f t="shared" si="1"/>
        <v/>
      </c>
      <c r="H48" s="4" t="str">
        <f t="shared" si="2"/>
        <v/>
      </c>
      <c r="I48" s="4" t="str">
        <f t="shared" si="3"/>
        <v/>
      </c>
      <c r="J48" s="4" t="str">
        <f t="shared" si="4"/>
        <v/>
      </c>
      <c r="K48" s="4">
        <f t="shared" si="5"/>
        <v>1</v>
      </c>
      <c r="L48" s="4" t="str">
        <f t="shared" si="6"/>
        <v/>
      </c>
      <c r="M48" s="4"/>
      <c r="N48" s="4"/>
      <c r="O48" s="4"/>
      <c r="P48" s="4"/>
      <c r="Q48" s="4"/>
      <c r="R48" s="4"/>
      <c r="S48" s="4"/>
      <c r="T48" s="4"/>
      <c r="U48" s="4"/>
    </row>
    <row r="49" spans="1:21">
      <c r="A49" t="s">
        <v>219</v>
      </c>
      <c r="B49">
        <v>16</v>
      </c>
      <c r="C49" t="str">
        <f t="shared" si="0"/>
        <v>test.Base64_16_</v>
      </c>
      <c r="D49">
        <v>1</v>
      </c>
      <c r="E49" s="4">
        <v>1.6393442622950821E-2</v>
      </c>
      <c r="F49" s="4">
        <v>1.827875095201828E-2</v>
      </c>
      <c r="G49" s="4">
        <f t="shared" si="1"/>
        <v>1.6393442622950821E-2</v>
      </c>
      <c r="H49" s="4" t="str">
        <f t="shared" si="2"/>
        <v/>
      </c>
      <c r="I49" s="4" t="str">
        <f t="shared" si="3"/>
        <v/>
      </c>
      <c r="J49" s="4" t="str">
        <f t="shared" si="4"/>
        <v/>
      </c>
      <c r="K49" s="4" t="str">
        <f t="shared" si="5"/>
        <v/>
      </c>
      <c r="L49" s="4" t="str">
        <f t="shared" si="6"/>
        <v/>
      </c>
      <c r="M49" s="4"/>
      <c r="N49" s="4"/>
      <c r="O49" s="4"/>
      <c r="P49" s="4"/>
      <c r="Q49" s="4"/>
      <c r="R49" s="4"/>
      <c r="S49" s="4"/>
      <c r="T49" s="4"/>
      <c r="U49" s="4"/>
    </row>
    <row r="50" spans="1:21">
      <c r="A50" t="s">
        <v>219</v>
      </c>
      <c r="B50">
        <v>16</v>
      </c>
      <c r="C50" t="str">
        <f t="shared" si="0"/>
        <v>test.Base64_16_</v>
      </c>
      <c r="D50">
        <v>2</v>
      </c>
      <c r="E50" s="4">
        <v>3.2786885245901641E-2</v>
      </c>
      <c r="F50" s="4">
        <v>2.4086062452399085E-2</v>
      </c>
      <c r="G50" s="4">
        <f t="shared" si="1"/>
        <v>3.2786885245901641E-2</v>
      </c>
      <c r="H50" s="4" t="str">
        <f t="shared" si="2"/>
        <v/>
      </c>
      <c r="I50" s="4" t="str">
        <f t="shared" si="3"/>
        <v/>
      </c>
      <c r="J50" s="4" t="str">
        <f t="shared" si="4"/>
        <v/>
      </c>
      <c r="K50" s="4" t="str">
        <f t="shared" si="5"/>
        <v/>
      </c>
      <c r="L50" s="4" t="str">
        <f t="shared" si="6"/>
        <v/>
      </c>
      <c r="M50" s="4"/>
      <c r="N50" s="4"/>
      <c r="O50" s="4"/>
      <c r="P50" s="4"/>
      <c r="Q50" s="4"/>
      <c r="R50" s="4"/>
      <c r="S50" s="4"/>
      <c r="T50" s="4"/>
      <c r="U50" s="4"/>
    </row>
    <row r="51" spans="1:21">
      <c r="A51" t="s">
        <v>219</v>
      </c>
      <c r="B51">
        <v>16</v>
      </c>
      <c r="C51" t="str">
        <f t="shared" si="0"/>
        <v>test.Base64_16_</v>
      </c>
      <c r="D51">
        <v>3</v>
      </c>
      <c r="E51" s="4">
        <v>0.81420765027322406</v>
      </c>
      <c r="F51" s="4">
        <v>0.94211728865194211</v>
      </c>
      <c r="G51" s="4" t="str">
        <f t="shared" si="1"/>
        <v/>
      </c>
      <c r="H51" s="4" t="str">
        <f t="shared" si="2"/>
        <v/>
      </c>
      <c r="I51" s="4" t="str">
        <f t="shared" si="3"/>
        <v/>
      </c>
      <c r="J51" s="4" t="str">
        <f t="shared" si="4"/>
        <v/>
      </c>
      <c r="K51" s="4">
        <f t="shared" si="5"/>
        <v>0.81420765027322406</v>
      </c>
      <c r="L51" s="4" t="str">
        <f t="shared" si="6"/>
        <v/>
      </c>
      <c r="M51" s="4"/>
      <c r="N51" s="4"/>
      <c r="O51" s="4"/>
      <c r="P51" s="4"/>
      <c r="Q51" s="4"/>
      <c r="R51" s="4"/>
      <c r="S51" s="4"/>
      <c r="T51" s="4"/>
      <c r="U51" s="4"/>
    </row>
    <row r="52" spans="1:21">
      <c r="A52" t="s">
        <v>219</v>
      </c>
      <c r="B52">
        <v>16</v>
      </c>
      <c r="C52" t="str">
        <f t="shared" si="0"/>
        <v>test.Base64_16_</v>
      </c>
      <c r="D52">
        <v>4</v>
      </c>
      <c r="E52" s="4">
        <v>1</v>
      </c>
      <c r="F52" s="4">
        <v>0.95953922315308449</v>
      </c>
      <c r="G52" s="4" t="str">
        <f t="shared" si="1"/>
        <v/>
      </c>
      <c r="H52" s="4" t="str">
        <f t="shared" si="2"/>
        <v/>
      </c>
      <c r="I52" s="4" t="str">
        <f t="shared" si="3"/>
        <v/>
      </c>
      <c r="J52" s="4" t="str">
        <f t="shared" si="4"/>
        <v/>
      </c>
      <c r="K52" s="4">
        <f t="shared" si="5"/>
        <v>1</v>
      </c>
      <c r="L52" s="4" t="str">
        <f t="shared" si="6"/>
        <v/>
      </c>
      <c r="M52" s="4"/>
      <c r="N52" s="4"/>
      <c r="O52" s="4"/>
      <c r="P52" s="4"/>
      <c r="Q52" s="4"/>
      <c r="R52" s="4"/>
      <c r="S52" s="4"/>
      <c r="T52" s="4"/>
      <c r="U52" s="4"/>
    </row>
    <row r="53" spans="1:21">
      <c r="A53" t="s">
        <v>219</v>
      </c>
      <c r="B53">
        <v>18</v>
      </c>
      <c r="C53" t="str">
        <f t="shared" si="0"/>
        <v>test.Base64_18_</v>
      </c>
      <c r="D53">
        <v>1</v>
      </c>
      <c r="E53" s="4">
        <v>2.1276595744680851E-2</v>
      </c>
      <c r="F53" s="4">
        <v>2.5089605734767026E-2</v>
      </c>
      <c r="G53" s="4">
        <f t="shared" si="1"/>
        <v>2.1276595744680851E-2</v>
      </c>
      <c r="H53" s="4" t="str">
        <f t="shared" si="2"/>
        <v/>
      </c>
      <c r="I53" s="4" t="str">
        <f t="shared" si="3"/>
        <v/>
      </c>
      <c r="J53" s="4" t="str">
        <f t="shared" si="4"/>
        <v/>
      </c>
      <c r="K53" s="4" t="str">
        <f t="shared" si="5"/>
        <v/>
      </c>
      <c r="L53" s="4" t="str">
        <f t="shared" si="6"/>
        <v/>
      </c>
      <c r="M53" s="4"/>
      <c r="N53" s="4"/>
      <c r="O53" s="4"/>
      <c r="P53" s="4"/>
      <c r="Q53" s="4"/>
      <c r="R53" s="4"/>
      <c r="S53" s="4"/>
      <c r="T53" s="4"/>
      <c r="U53" s="4"/>
    </row>
    <row r="54" spans="1:21">
      <c r="A54" t="s">
        <v>219</v>
      </c>
      <c r="B54">
        <v>18</v>
      </c>
      <c r="C54" t="str">
        <f t="shared" si="0"/>
        <v>test.Base64_18_</v>
      </c>
      <c r="D54">
        <v>2</v>
      </c>
      <c r="E54" s="4">
        <v>4.2553191489361701E-2</v>
      </c>
      <c r="F54" s="4">
        <v>4.0501792114695338E-2</v>
      </c>
      <c r="G54" s="4">
        <f t="shared" si="1"/>
        <v>4.2553191489361701E-2</v>
      </c>
      <c r="H54" s="4" t="str">
        <f t="shared" si="2"/>
        <v/>
      </c>
      <c r="I54" s="4" t="str">
        <f t="shared" si="3"/>
        <v/>
      </c>
      <c r="J54" s="4" t="str">
        <f t="shared" si="4"/>
        <v/>
      </c>
      <c r="K54" s="4" t="str">
        <f t="shared" si="5"/>
        <v/>
      </c>
      <c r="L54" s="4" t="str">
        <f t="shared" si="6"/>
        <v/>
      </c>
      <c r="M54" s="4"/>
      <c r="N54" s="4"/>
      <c r="O54" s="4"/>
      <c r="P54" s="4"/>
      <c r="Q54" s="4"/>
      <c r="R54" s="4"/>
      <c r="S54" s="4"/>
      <c r="T54" s="4"/>
      <c r="U54" s="4"/>
    </row>
    <row r="55" spans="1:21">
      <c r="A55" t="s">
        <v>219</v>
      </c>
      <c r="B55">
        <v>18</v>
      </c>
      <c r="C55" t="str">
        <f t="shared" si="0"/>
        <v>test.Base64_18_</v>
      </c>
      <c r="D55">
        <v>3</v>
      </c>
      <c r="E55" s="4">
        <v>0.12056737588652482</v>
      </c>
      <c r="F55" s="4">
        <v>8.6917562724014338E-2</v>
      </c>
      <c r="G55" s="4">
        <f t="shared" si="1"/>
        <v>0.12056737588652482</v>
      </c>
      <c r="H55" s="4" t="str">
        <f t="shared" si="2"/>
        <v/>
      </c>
      <c r="I55" s="4" t="str">
        <f t="shared" si="3"/>
        <v/>
      </c>
      <c r="J55" s="4" t="str">
        <f t="shared" si="4"/>
        <v/>
      </c>
      <c r="K55" s="4" t="str">
        <f t="shared" si="5"/>
        <v/>
      </c>
      <c r="L55" s="4" t="str">
        <f t="shared" si="6"/>
        <v/>
      </c>
      <c r="M55" s="4"/>
      <c r="N55" s="4"/>
      <c r="O55" s="4"/>
      <c r="P55" s="4"/>
      <c r="Q55" s="4"/>
      <c r="R55" s="4"/>
      <c r="S55" s="4"/>
      <c r="T55" s="4"/>
      <c r="U55" s="4"/>
    </row>
    <row r="56" spans="1:21">
      <c r="A56" t="s">
        <v>219</v>
      </c>
      <c r="B56">
        <v>18</v>
      </c>
      <c r="C56" t="str">
        <f t="shared" si="0"/>
        <v>test.Base64_18_</v>
      </c>
      <c r="D56">
        <v>4</v>
      </c>
      <c r="E56" s="4">
        <v>0.16312056737588654</v>
      </c>
      <c r="F56" s="4">
        <v>0.103584229390681</v>
      </c>
      <c r="G56" s="4">
        <f t="shared" si="1"/>
        <v>0.16312056737588654</v>
      </c>
      <c r="H56" s="4" t="str">
        <f t="shared" si="2"/>
        <v/>
      </c>
      <c r="I56" s="4" t="str">
        <f t="shared" si="3"/>
        <v/>
      </c>
      <c r="J56" s="4" t="str">
        <f t="shared" si="4"/>
        <v/>
      </c>
      <c r="K56" s="4" t="str">
        <f t="shared" si="5"/>
        <v/>
      </c>
      <c r="L56" s="4" t="str">
        <f t="shared" si="6"/>
        <v/>
      </c>
      <c r="M56" s="4"/>
      <c r="N56" s="4"/>
      <c r="O56" s="4"/>
      <c r="P56" s="4"/>
      <c r="Q56" s="4"/>
      <c r="R56" s="4"/>
      <c r="S56" s="4"/>
      <c r="T56" s="4"/>
      <c r="U56" s="4"/>
    </row>
    <row r="57" spans="1:21">
      <c r="A57" t="s">
        <v>219</v>
      </c>
      <c r="B57">
        <v>18</v>
      </c>
      <c r="C57" t="str">
        <f t="shared" si="0"/>
        <v>test.Base64_18_</v>
      </c>
      <c r="D57">
        <v>5</v>
      </c>
      <c r="E57" s="4">
        <v>0.24822695035460993</v>
      </c>
      <c r="F57" s="4">
        <v>0.14175627240143368</v>
      </c>
      <c r="G57" s="4">
        <f t="shared" si="1"/>
        <v>0.24822695035460993</v>
      </c>
      <c r="H57" s="4" t="str">
        <f t="shared" si="2"/>
        <v/>
      </c>
      <c r="I57" s="4" t="str">
        <f t="shared" si="3"/>
        <v/>
      </c>
      <c r="J57" s="4" t="str">
        <f t="shared" si="4"/>
        <v/>
      </c>
      <c r="K57" s="4" t="str">
        <f t="shared" si="5"/>
        <v/>
      </c>
      <c r="L57" s="4" t="str">
        <f t="shared" si="6"/>
        <v/>
      </c>
      <c r="M57" s="4"/>
      <c r="N57" s="4"/>
      <c r="O57" s="4"/>
      <c r="P57" s="4"/>
      <c r="Q57" s="4"/>
      <c r="R57" s="4"/>
      <c r="S57" s="4"/>
      <c r="T57" s="4"/>
      <c r="U57" s="4"/>
    </row>
    <row r="58" spans="1:21">
      <c r="A58" t="s">
        <v>219</v>
      </c>
      <c r="B58">
        <v>18</v>
      </c>
      <c r="C58" t="str">
        <f t="shared" si="0"/>
        <v>test.Base64_18_</v>
      </c>
      <c r="D58">
        <v>6</v>
      </c>
      <c r="E58" s="4">
        <v>0.26950354609929078</v>
      </c>
      <c r="F58" s="4">
        <v>0.1496415770609319</v>
      </c>
      <c r="G58" s="4">
        <f t="shared" si="1"/>
        <v>0.26950354609929078</v>
      </c>
      <c r="H58" s="4" t="str">
        <f t="shared" si="2"/>
        <v/>
      </c>
      <c r="I58" s="4" t="str">
        <f t="shared" si="3"/>
        <v/>
      </c>
      <c r="J58" s="4" t="str">
        <f t="shared" si="4"/>
        <v/>
      </c>
      <c r="K58" s="4" t="str">
        <f t="shared" si="5"/>
        <v/>
      </c>
      <c r="L58" s="4" t="str">
        <f t="shared" si="6"/>
        <v/>
      </c>
      <c r="M58" s="4"/>
      <c r="N58" s="4"/>
      <c r="O58" s="4"/>
      <c r="P58" s="4"/>
      <c r="Q58" s="4"/>
      <c r="R58" s="4"/>
      <c r="S58" s="4"/>
      <c r="T58" s="4"/>
      <c r="U58" s="4"/>
    </row>
    <row r="59" spans="1:21">
      <c r="A59" t="s">
        <v>219</v>
      </c>
      <c r="B59">
        <v>18</v>
      </c>
      <c r="C59" t="str">
        <f t="shared" si="0"/>
        <v>test.Base64_18_</v>
      </c>
      <c r="D59">
        <v>7</v>
      </c>
      <c r="E59" s="4">
        <v>0.30496453900709219</v>
      </c>
      <c r="F59" s="4">
        <v>0.15017921146953406</v>
      </c>
      <c r="G59" s="4">
        <f t="shared" si="1"/>
        <v>0.30496453900709219</v>
      </c>
      <c r="H59" s="4" t="str">
        <f t="shared" si="2"/>
        <v/>
      </c>
      <c r="I59" s="4" t="str">
        <f t="shared" si="3"/>
        <v/>
      </c>
      <c r="J59" s="4" t="str">
        <f t="shared" si="4"/>
        <v/>
      </c>
      <c r="K59" s="4" t="str">
        <f t="shared" si="5"/>
        <v/>
      </c>
      <c r="L59" s="4" t="str">
        <f t="shared" si="6"/>
        <v/>
      </c>
      <c r="M59" s="4"/>
      <c r="N59" s="4"/>
      <c r="O59" s="4"/>
      <c r="P59" s="4"/>
      <c r="Q59" s="4"/>
      <c r="R59" s="4"/>
      <c r="S59" s="4"/>
      <c r="T59" s="4"/>
      <c r="U59" s="4"/>
    </row>
    <row r="60" spans="1:21">
      <c r="A60" t="s">
        <v>219</v>
      </c>
      <c r="B60">
        <v>18</v>
      </c>
      <c r="C60" t="str">
        <f t="shared" si="0"/>
        <v>test.Base64_18_</v>
      </c>
      <c r="D60">
        <v>8</v>
      </c>
      <c r="E60" s="4">
        <v>0.32624113475177308</v>
      </c>
      <c r="F60" s="4">
        <v>0.15125448028673835</v>
      </c>
      <c r="G60" s="4">
        <f t="shared" si="1"/>
        <v>0.32624113475177308</v>
      </c>
      <c r="H60" s="4" t="str">
        <f t="shared" si="2"/>
        <v/>
      </c>
      <c r="I60" s="4" t="str">
        <f t="shared" si="3"/>
        <v/>
      </c>
      <c r="J60" s="4" t="str">
        <f t="shared" si="4"/>
        <v/>
      </c>
      <c r="K60" s="4" t="str">
        <f t="shared" si="5"/>
        <v/>
      </c>
      <c r="L60" s="4" t="str">
        <f t="shared" si="6"/>
        <v/>
      </c>
      <c r="M60" s="4"/>
      <c r="N60" s="4"/>
      <c r="O60" s="4"/>
      <c r="P60" s="4"/>
      <c r="Q60" s="4"/>
      <c r="R60" s="4"/>
      <c r="S60" s="4"/>
      <c r="T60" s="4"/>
      <c r="U60" s="4"/>
    </row>
    <row r="61" spans="1:21">
      <c r="A61" t="s">
        <v>219</v>
      </c>
      <c r="B61">
        <v>18</v>
      </c>
      <c r="C61" t="str">
        <f t="shared" si="0"/>
        <v>test.Base64_18_</v>
      </c>
      <c r="D61">
        <v>9</v>
      </c>
      <c r="E61" s="4">
        <v>0.33333333333333331</v>
      </c>
      <c r="F61" s="4">
        <v>0.15448028673835126</v>
      </c>
      <c r="G61" s="4">
        <f t="shared" si="1"/>
        <v>0.33333333333333331</v>
      </c>
      <c r="H61" s="4" t="str">
        <f t="shared" si="2"/>
        <v/>
      </c>
      <c r="I61" s="4" t="str">
        <f t="shared" si="3"/>
        <v/>
      </c>
      <c r="J61" s="4" t="str">
        <f t="shared" si="4"/>
        <v/>
      </c>
      <c r="K61" s="4" t="str">
        <f t="shared" si="5"/>
        <v/>
      </c>
      <c r="L61" s="4" t="str">
        <f t="shared" si="6"/>
        <v/>
      </c>
      <c r="M61" s="4"/>
      <c r="N61" s="4"/>
      <c r="O61" s="4"/>
      <c r="P61" s="4"/>
      <c r="Q61" s="4"/>
      <c r="R61" s="4"/>
      <c r="S61" s="4"/>
      <c r="T61" s="4"/>
      <c r="U61" s="4"/>
    </row>
    <row r="62" spans="1:21">
      <c r="A62" t="s">
        <v>219</v>
      </c>
      <c r="B62">
        <v>18</v>
      </c>
      <c r="C62" t="str">
        <f t="shared" si="0"/>
        <v>test.Base64_18_</v>
      </c>
      <c r="D62">
        <v>10</v>
      </c>
      <c r="E62" s="4">
        <v>0.33333333333333331</v>
      </c>
      <c r="F62" s="4">
        <v>0.15627240143369175</v>
      </c>
      <c r="G62" s="4">
        <f t="shared" si="1"/>
        <v>0.33333333333333331</v>
      </c>
      <c r="H62" s="4" t="str">
        <f t="shared" si="2"/>
        <v/>
      </c>
      <c r="I62" s="4" t="str">
        <f t="shared" si="3"/>
        <v/>
      </c>
      <c r="J62" s="4" t="str">
        <f t="shared" si="4"/>
        <v/>
      </c>
      <c r="K62" s="4" t="str">
        <f t="shared" si="5"/>
        <v/>
      </c>
      <c r="L62" s="4" t="str">
        <f t="shared" si="6"/>
        <v/>
      </c>
      <c r="M62" s="4"/>
      <c r="N62" s="4"/>
      <c r="O62" s="4"/>
      <c r="P62" s="4"/>
      <c r="Q62" s="4"/>
      <c r="R62" s="4"/>
      <c r="S62" s="4"/>
      <c r="T62" s="4"/>
      <c r="U62" s="4"/>
    </row>
    <row r="63" spans="1:21">
      <c r="A63" t="s">
        <v>219</v>
      </c>
      <c r="B63">
        <v>18</v>
      </c>
      <c r="C63" t="str">
        <f t="shared" si="0"/>
        <v>test.Base64_18_</v>
      </c>
      <c r="D63">
        <v>11</v>
      </c>
      <c r="E63" s="4">
        <v>0.36170212765957449</v>
      </c>
      <c r="F63" s="4">
        <v>0.15824372759856631</v>
      </c>
      <c r="G63" s="4">
        <f t="shared" si="1"/>
        <v>0.36170212765957449</v>
      </c>
      <c r="H63" s="4" t="str">
        <f t="shared" si="2"/>
        <v/>
      </c>
      <c r="I63" s="4" t="str">
        <f t="shared" si="3"/>
        <v/>
      </c>
      <c r="J63" s="4" t="str">
        <f t="shared" si="4"/>
        <v/>
      </c>
      <c r="K63" s="4" t="str">
        <f t="shared" si="5"/>
        <v/>
      </c>
      <c r="L63" s="4" t="str">
        <f t="shared" si="6"/>
        <v/>
      </c>
      <c r="M63" s="4"/>
      <c r="N63" s="4"/>
      <c r="O63" s="4"/>
      <c r="P63" s="4"/>
      <c r="Q63" s="4"/>
      <c r="R63" s="4"/>
      <c r="S63" s="4"/>
      <c r="T63" s="4"/>
      <c r="U63" s="4"/>
    </row>
    <row r="64" spans="1:21">
      <c r="A64" t="s">
        <v>219</v>
      </c>
      <c r="B64">
        <v>18</v>
      </c>
      <c r="C64" t="str">
        <f t="shared" si="0"/>
        <v>test.Base64_18_</v>
      </c>
      <c r="D64">
        <v>12</v>
      </c>
      <c r="E64" s="4">
        <v>0.36170212765957449</v>
      </c>
      <c r="F64" s="4">
        <v>0.15842293906810037</v>
      </c>
      <c r="G64" s="4">
        <f t="shared" si="1"/>
        <v>0.36170212765957449</v>
      </c>
      <c r="H64" s="4" t="str">
        <f t="shared" si="2"/>
        <v/>
      </c>
      <c r="I64" s="4" t="str">
        <f t="shared" si="3"/>
        <v/>
      </c>
      <c r="J64" s="4" t="str">
        <f t="shared" si="4"/>
        <v/>
      </c>
      <c r="K64" s="4" t="str">
        <f t="shared" si="5"/>
        <v/>
      </c>
      <c r="L64" s="4" t="str">
        <f t="shared" si="6"/>
        <v/>
      </c>
      <c r="M64" s="4"/>
      <c r="N64" s="4"/>
      <c r="O64" s="4"/>
      <c r="P64" s="4"/>
      <c r="Q64" s="4"/>
      <c r="R64" s="4"/>
      <c r="S64" s="4"/>
      <c r="T64" s="4"/>
      <c r="U64" s="4"/>
    </row>
    <row r="65" spans="1:21">
      <c r="A65" t="s">
        <v>219</v>
      </c>
      <c r="B65">
        <v>18</v>
      </c>
      <c r="C65" t="str">
        <f t="shared" si="0"/>
        <v>test.Base64_18_</v>
      </c>
      <c r="D65">
        <v>13</v>
      </c>
      <c r="E65" s="4">
        <v>0.36170212765957449</v>
      </c>
      <c r="F65" s="4">
        <v>0.1603942652329749</v>
      </c>
      <c r="G65" s="4">
        <f t="shared" si="1"/>
        <v>0.36170212765957449</v>
      </c>
      <c r="H65" s="4" t="str">
        <f t="shared" si="2"/>
        <v/>
      </c>
      <c r="I65" s="4" t="str">
        <f t="shared" si="3"/>
        <v/>
      </c>
      <c r="J65" s="4" t="str">
        <f t="shared" si="4"/>
        <v/>
      </c>
      <c r="K65" s="4" t="str">
        <f t="shared" si="5"/>
        <v/>
      </c>
      <c r="L65" s="4" t="str">
        <f t="shared" si="6"/>
        <v/>
      </c>
      <c r="M65" s="4"/>
      <c r="N65" s="4"/>
      <c r="O65" s="4"/>
      <c r="P65" s="4"/>
      <c r="Q65" s="4"/>
      <c r="R65" s="4"/>
      <c r="S65" s="4"/>
      <c r="T65" s="4"/>
      <c r="U65" s="4"/>
    </row>
    <row r="66" spans="1:21">
      <c r="A66" t="s">
        <v>219</v>
      </c>
      <c r="B66">
        <v>18</v>
      </c>
      <c r="C66" t="str">
        <f t="shared" si="0"/>
        <v>test.Base64_18_</v>
      </c>
      <c r="D66">
        <v>14</v>
      </c>
      <c r="E66" s="4">
        <v>0.36170212765957449</v>
      </c>
      <c r="F66" s="4">
        <v>0.16164874551971326</v>
      </c>
      <c r="G66" s="4">
        <f t="shared" si="1"/>
        <v>0.36170212765957449</v>
      </c>
      <c r="H66" s="4" t="str">
        <f t="shared" si="2"/>
        <v/>
      </c>
      <c r="I66" s="4" t="str">
        <f t="shared" si="3"/>
        <v/>
      </c>
      <c r="J66" s="4" t="str">
        <f t="shared" si="4"/>
        <v/>
      </c>
      <c r="K66" s="4" t="str">
        <f t="shared" si="5"/>
        <v/>
      </c>
      <c r="L66" s="4" t="str">
        <f t="shared" si="6"/>
        <v/>
      </c>
      <c r="M66" s="4"/>
      <c r="N66" s="4"/>
      <c r="O66" s="4"/>
      <c r="P66" s="4"/>
      <c r="Q66" s="4"/>
      <c r="R66" s="4"/>
      <c r="S66" s="4"/>
      <c r="T66" s="4"/>
      <c r="U66" s="4"/>
    </row>
    <row r="67" spans="1:21">
      <c r="A67" t="s">
        <v>219</v>
      </c>
      <c r="B67">
        <v>18</v>
      </c>
      <c r="C67" t="str">
        <f t="shared" ref="C67:C130" si="18">CONCATENATE(A67, "_",B67,"_")</f>
        <v>test.Base64_18_</v>
      </c>
      <c r="D67">
        <v>15</v>
      </c>
      <c r="E67" s="4">
        <v>0.36170212765957449</v>
      </c>
      <c r="F67" s="4">
        <v>0.16684587813620072</v>
      </c>
      <c r="G67" s="4">
        <f t="shared" ref="G67:G130" si="19">IF($F67 &lt;= 0.2,$E67,"")</f>
        <v>0.36170212765957449</v>
      </c>
      <c r="H67" s="4" t="str">
        <f t="shared" ref="H67:H130" si="20">IF(AND($F67 &gt; 0.2,$F67 &lt;= 0.4),$E67,"")</f>
        <v/>
      </c>
      <c r="I67" s="4" t="str">
        <f t="shared" ref="I67:I130" si="21">IF(AND($F67 &gt; 0.4,$F67 &lt;= 0.6),$E67,"")</f>
        <v/>
      </c>
      <c r="J67" s="4" t="str">
        <f t="shared" ref="J67:J130" si="22">IF(AND($F67 &gt; 0.6,$F67 &lt;= 0.8),$E67,"")</f>
        <v/>
      </c>
      <c r="K67" s="4" t="str">
        <f t="shared" ref="K67:K130" si="23">IF(AND($F67 &gt; 0.8, $F67 &lt;=1.1),$E67,"")</f>
        <v/>
      </c>
      <c r="L67" s="4" t="str">
        <f t="shared" ref="L67:L130" si="24">IF(AND($F67 &gt; 1.1),$E67,"")</f>
        <v/>
      </c>
      <c r="M67" s="4"/>
      <c r="N67" s="4"/>
      <c r="O67" s="4"/>
      <c r="P67" s="4"/>
      <c r="Q67" s="4"/>
      <c r="R67" s="4"/>
      <c r="S67" s="4"/>
      <c r="T67" s="4"/>
      <c r="U67" s="4"/>
    </row>
    <row r="68" spans="1:21">
      <c r="A68" t="s">
        <v>219</v>
      </c>
      <c r="B68">
        <v>18</v>
      </c>
      <c r="C68" t="str">
        <f t="shared" si="18"/>
        <v>test.Base64_18_</v>
      </c>
      <c r="D68">
        <v>16</v>
      </c>
      <c r="E68" s="4">
        <v>0.36170212765957449</v>
      </c>
      <c r="F68" s="4">
        <v>0.16845878136200718</v>
      </c>
      <c r="G68" s="4">
        <f t="shared" si="19"/>
        <v>0.36170212765957449</v>
      </c>
      <c r="H68" s="4" t="str">
        <f t="shared" si="20"/>
        <v/>
      </c>
      <c r="I68" s="4" t="str">
        <f t="shared" si="21"/>
        <v/>
      </c>
      <c r="J68" s="4" t="str">
        <f t="shared" si="22"/>
        <v/>
      </c>
      <c r="K68" s="4" t="str">
        <f t="shared" si="23"/>
        <v/>
      </c>
      <c r="L68" s="4" t="str">
        <f t="shared" si="24"/>
        <v/>
      </c>
      <c r="M68" s="4"/>
      <c r="N68" s="4"/>
      <c r="O68" s="4"/>
      <c r="P68" s="4"/>
      <c r="Q68" s="4"/>
      <c r="R68" s="4"/>
      <c r="S68" s="4"/>
      <c r="T68" s="4"/>
      <c r="U68" s="4"/>
    </row>
    <row r="69" spans="1:21">
      <c r="A69" t="s">
        <v>219</v>
      </c>
      <c r="B69">
        <v>18</v>
      </c>
      <c r="C69" t="str">
        <f t="shared" si="18"/>
        <v>test.Base64_18_</v>
      </c>
      <c r="D69">
        <v>17</v>
      </c>
      <c r="E69" s="4">
        <v>0.36170212765957449</v>
      </c>
      <c r="F69" s="4">
        <v>0.16863799283154121</v>
      </c>
      <c r="G69" s="4">
        <f t="shared" si="19"/>
        <v>0.36170212765957449</v>
      </c>
      <c r="H69" s="4" t="str">
        <f t="shared" si="20"/>
        <v/>
      </c>
      <c r="I69" s="4" t="str">
        <f t="shared" si="21"/>
        <v/>
      </c>
      <c r="J69" s="4" t="str">
        <f t="shared" si="22"/>
        <v/>
      </c>
      <c r="K69" s="4" t="str">
        <f t="shared" si="23"/>
        <v/>
      </c>
      <c r="L69" s="4" t="str">
        <f t="shared" si="24"/>
        <v/>
      </c>
      <c r="M69" s="4"/>
      <c r="N69" s="4"/>
      <c r="O69" s="4"/>
      <c r="P69" s="4"/>
      <c r="Q69" s="4"/>
      <c r="R69" s="4"/>
      <c r="S69" s="4"/>
      <c r="T69" s="4"/>
      <c r="U69" s="4"/>
    </row>
    <row r="70" spans="1:21">
      <c r="A70" t="s">
        <v>219</v>
      </c>
      <c r="B70">
        <v>18</v>
      </c>
      <c r="C70" t="str">
        <f t="shared" si="18"/>
        <v>test.Base64_18_</v>
      </c>
      <c r="D70">
        <v>18</v>
      </c>
      <c r="E70" s="4">
        <v>0.36170212765957449</v>
      </c>
      <c r="F70" s="4">
        <v>0.17921146953405018</v>
      </c>
      <c r="G70" s="4">
        <f t="shared" si="19"/>
        <v>0.36170212765957449</v>
      </c>
      <c r="H70" s="4" t="str">
        <f t="shared" si="20"/>
        <v/>
      </c>
      <c r="I70" s="4" t="str">
        <f t="shared" si="21"/>
        <v/>
      </c>
      <c r="J70" s="4" t="str">
        <f t="shared" si="22"/>
        <v/>
      </c>
      <c r="K70" s="4" t="str">
        <f t="shared" si="23"/>
        <v/>
      </c>
      <c r="L70" s="4" t="str">
        <f t="shared" si="24"/>
        <v/>
      </c>
      <c r="M70" s="4"/>
      <c r="N70" s="4"/>
      <c r="O70" s="4"/>
      <c r="P70" s="4"/>
      <c r="Q70" s="4"/>
      <c r="R70" s="4"/>
      <c r="S70" s="4"/>
      <c r="T70" s="4"/>
      <c r="U70" s="4"/>
    </row>
    <row r="71" spans="1:21">
      <c r="A71" t="s">
        <v>219</v>
      </c>
      <c r="B71">
        <v>18</v>
      </c>
      <c r="C71" t="str">
        <f t="shared" si="18"/>
        <v>test.Base64_18_</v>
      </c>
      <c r="D71">
        <v>19</v>
      </c>
      <c r="E71" s="4">
        <v>0.46099290780141844</v>
      </c>
      <c r="F71" s="4">
        <v>0.21827956989247313</v>
      </c>
      <c r="G71" s="4" t="str">
        <f t="shared" si="19"/>
        <v/>
      </c>
      <c r="H71" s="4">
        <f t="shared" si="20"/>
        <v>0.46099290780141844</v>
      </c>
      <c r="I71" s="4" t="str">
        <f t="shared" si="21"/>
        <v/>
      </c>
      <c r="J71" s="4" t="str">
        <f t="shared" si="22"/>
        <v/>
      </c>
      <c r="K71" s="4" t="str">
        <f t="shared" si="23"/>
        <v/>
      </c>
      <c r="L71" s="4" t="str">
        <f t="shared" si="24"/>
        <v/>
      </c>
      <c r="M71" s="4"/>
      <c r="N71" s="4"/>
      <c r="O71" s="4"/>
      <c r="P71" s="4"/>
      <c r="Q71" s="4"/>
      <c r="R71" s="4"/>
      <c r="S71" s="4"/>
      <c r="T71" s="4"/>
      <c r="U71" s="4"/>
    </row>
    <row r="72" spans="1:21">
      <c r="A72" t="s">
        <v>219</v>
      </c>
      <c r="B72">
        <v>18</v>
      </c>
      <c r="C72" t="str">
        <f t="shared" si="18"/>
        <v>test.Base64_18_</v>
      </c>
      <c r="D72">
        <v>20</v>
      </c>
      <c r="E72" s="4">
        <v>0.5957446808510638</v>
      </c>
      <c r="F72" s="4">
        <v>0.22455197132616486</v>
      </c>
      <c r="G72" s="4" t="str">
        <f t="shared" si="19"/>
        <v/>
      </c>
      <c r="H72" s="4">
        <f t="shared" si="20"/>
        <v>0.5957446808510638</v>
      </c>
      <c r="I72" s="4" t="str">
        <f t="shared" si="21"/>
        <v/>
      </c>
      <c r="J72" s="4" t="str">
        <f t="shared" si="22"/>
        <v/>
      </c>
      <c r="K72" s="4" t="str">
        <f t="shared" si="23"/>
        <v/>
      </c>
      <c r="L72" s="4" t="str">
        <f t="shared" si="24"/>
        <v/>
      </c>
      <c r="M72" s="4"/>
      <c r="N72" s="4"/>
      <c r="O72" s="4"/>
      <c r="P72" s="4"/>
      <c r="Q72" s="4"/>
      <c r="R72" s="4"/>
      <c r="S72" s="4"/>
      <c r="T72" s="4"/>
      <c r="U72" s="4"/>
    </row>
    <row r="73" spans="1:21">
      <c r="A73" t="s">
        <v>219</v>
      </c>
      <c r="B73">
        <v>18</v>
      </c>
      <c r="C73" t="str">
        <f t="shared" si="18"/>
        <v>test.Base64_18_</v>
      </c>
      <c r="D73">
        <v>21</v>
      </c>
      <c r="E73" s="4">
        <v>0.5957446808510638</v>
      </c>
      <c r="F73" s="4">
        <v>0.23154121863799282</v>
      </c>
      <c r="G73" s="4" t="str">
        <f t="shared" si="19"/>
        <v/>
      </c>
      <c r="H73" s="4">
        <f t="shared" si="20"/>
        <v>0.5957446808510638</v>
      </c>
      <c r="I73" s="4" t="str">
        <f t="shared" si="21"/>
        <v/>
      </c>
      <c r="J73" s="4" t="str">
        <f t="shared" si="22"/>
        <v/>
      </c>
      <c r="K73" s="4" t="str">
        <f t="shared" si="23"/>
        <v/>
      </c>
      <c r="L73" s="4" t="str">
        <f t="shared" si="24"/>
        <v/>
      </c>
      <c r="M73" s="4"/>
      <c r="N73" s="4"/>
      <c r="O73" s="4"/>
      <c r="P73" s="4"/>
      <c r="Q73" s="4"/>
      <c r="R73" s="4"/>
      <c r="S73" s="4"/>
      <c r="T73" s="4"/>
      <c r="U73" s="4"/>
    </row>
    <row r="74" spans="1:21">
      <c r="A74" t="s">
        <v>219</v>
      </c>
      <c r="B74">
        <v>18</v>
      </c>
      <c r="C74" t="str">
        <f t="shared" si="18"/>
        <v>test.Base64_18_</v>
      </c>
      <c r="D74">
        <v>22</v>
      </c>
      <c r="E74" s="4">
        <v>0.63120567375886527</v>
      </c>
      <c r="F74" s="4">
        <v>0.23512544802867383</v>
      </c>
      <c r="G74" s="4" t="str">
        <f t="shared" si="19"/>
        <v/>
      </c>
      <c r="H74" s="4">
        <f t="shared" si="20"/>
        <v>0.63120567375886527</v>
      </c>
      <c r="I74" s="4" t="str">
        <f t="shared" si="21"/>
        <v/>
      </c>
      <c r="J74" s="4" t="str">
        <f t="shared" si="22"/>
        <v/>
      </c>
      <c r="K74" s="4" t="str">
        <f t="shared" si="23"/>
        <v/>
      </c>
      <c r="L74" s="4" t="str">
        <f t="shared" si="24"/>
        <v/>
      </c>
      <c r="M74" s="4"/>
      <c r="N74" s="4"/>
      <c r="O74" s="4"/>
      <c r="P74" s="4"/>
      <c r="Q74" s="4"/>
      <c r="R74" s="4"/>
      <c r="S74" s="4"/>
      <c r="T74" s="4"/>
      <c r="U74" s="4"/>
    </row>
    <row r="75" spans="1:21">
      <c r="A75" t="s">
        <v>219</v>
      </c>
      <c r="B75">
        <v>18</v>
      </c>
      <c r="C75" t="str">
        <f t="shared" si="18"/>
        <v>test.Base64_18_</v>
      </c>
      <c r="D75">
        <v>23</v>
      </c>
      <c r="E75" s="4">
        <v>0.72340425531914898</v>
      </c>
      <c r="F75" s="4">
        <v>0.24265232974910395</v>
      </c>
      <c r="G75" s="4" t="str">
        <f t="shared" si="19"/>
        <v/>
      </c>
      <c r="H75" s="4">
        <f t="shared" si="20"/>
        <v>0.72340425531914898</v>
      </c>
      <c r="I75" s="4" t="str">
        <f t="shared" si="21"/>
        <v/>
      </c>
      <c r="J75" s="4" t="str">
        <f t="shared" si="22"/>
        <v/>
      </c>
      <c r="K75" s="4" t="str">
        <f t="shared" si="23"/>
        <v/>
      </c>
      <c r="L75" s="4" t="str">
        <f t="shared" si="24"/>
        <v/>
      </c>
      <c r="M75" s="4"/>
      <c r="N75" s="4"/>
      <c r="O75" s="4"/>
      <c r="P75" s="4"/>
      <c r="Q75" s="4"/>
      <c r="R75" s="4"/>
      <c r="S75" s="4"/>
      <c r="T75" s="4"/>
      <c r="U75" s="4"/>
    </row>
    <row r="76" spans="1:21">
      <c r="A76" t="s">
        <v>219</v>
      </c>
      <c r="B76">
        <v>18</v>
      </c>
      <c r="C76" t="str">
        <f t="shared" si="18"/>
        <v>test.Base64_18_</v>
      </c>
      <c r="D76">
        <v>24</v>
      </c>
      <c r="E76" s="4">
        <v>0.72340425531914898</v>
      </c>
      <c r="F76" s="4">
        <v>0.24283154121863798</v>
      </c>
      <c r="G76" s="4" t="str">
        <f t="shared" si="19"/>
        <v/>
      </c>
      <c r="H76" s="4">
        <f t="shared" si="20"/>
        <v>0.72340425531914898</v>
      </c>
      <c r="I76" s="4" t="str">
        <f t="shared" si="21"/>
        <v/>
      </c>
      <c r="J76" s="4" t="str">
        <f t="shared" si="22"/>
        <v/>
      </c>
      <c r="K76" s="4" t="str">
        <f t="shared" si="23"/>
        <v/>
      </c>
      <c r="L76" s="4" t="str">
        <f t="shared" si="24"/>
        <v/>
      </c>
      <c r="M76" s="4"/>
      <c r="N76" s="4"/>
      <c r="O76" s="4"/>
      <c r="P76" s="4"/>
      <c r="Q76" s="4"/>
      <c r="R76" s="4"/>
      <c r="S76" s="4"/>
      <c r="T76" s="4"/>
      <c r="U76" s="4"/>
    </row>
    <row r="77" spans="1:21">
      <c r="A77" t="s">
        <v>219</v>
      </c>
      <c r="B77">
        <v>18</v>
      </c>
      <c r="C77" t="str">
        <f t="shared" si="18"/>
        <v>test.Base64_18_</v>
      </c>
      <c r="D77">
        <v>25</v>
      </c>
      <c r="E77" s="4">
        <v>0.72340425531914898</v>
      </c>
      <c r="F77" s="4">
        <v>0.24605734767025089</v>
      </c>
      <c r="G77" s="4" t="str">
        <f t="shared" si="19"/>
        <v/>
      </c>
      <c r="H77" s="4">
        <f t="shared" si="20"/>
        <v>0.72340425531914898</v>
      </c>
      <c r="I77" s="4" t="str">
        <f t="shared" si="21"/>
        <v/>
      </c>
      <c r="J77" s="4" t="str">
        <f t="shared" si="22"/>
        <v/>
      </c>
      <c r="K77" s="4" t="str">
        <f t="shared" si="23"/>
        <v/>
      </c>
      <c r="L77" s="4" t="str">
        <f t="shared" si="24"/>
        <v/>
      </c>
      <c r="M77" s="4"/>
      <c r="N77" s="4"/>
      <c r="O77" s="4"/>
      <c r="P77" s="4"/>
      <c r="Q77" s="4"/>
      <c r="R77" s="4"/>
      <c r="S77" s="4"/>
      <c r="T77" s="4"/>
      <c r="U77" s="4"/>
    </row>
    <row r="78" spans="1:21">
      <c r="A78" t="s">
        <v>219</v>
      </c>
      <c r="B78">
        <v>18</v>
      </c>
      <c r="C78" t="str">
        <f t="shared" si="18"/>
        <v>test.Base64_18_</v>
      </c>
      <c r="D78">
        <v>26</v>
      </c>
      <c r="E78" s="4">
        <v>0.72340425531914898</v>
      </c>
      <c r="F78" s="4">
        <v>0.25143369175627239</v>
      </c>
      <c r="G78" s="4" t="str">
        <f t="shared" si="19"/>
        <v/>
      </c>
      <c r="H78" s="4">
        <f t="shared" si="20"/>
        <v>0.72340425531914898</v>
      </c>
      <c r="I78" s="4" t="str">
        <f t="shared" si="21"/>
        <v/>
      </c>
      <c r="J78" s="4" t="str">
        <f t="shared" si="22"/>
        <v/>
      </c>
      <c r="K78" s="4" t="str">
        <f t="shared" si="23"/>
        <v/>
      </c>
      <c r="L78" s="4" t="str">
        <f t="shared" si="24"/>
        <v/>
      </c>
      <c r="M78" s="4"/>
      <c r="N78" s="4"/>
      <c r="O78" s="4"/>
      <c r="P78" s="4"/>
      <c r="Q78" s="4"/>
      <c r="R78" s="4"/>
      <c r="S78" s="4"/>
      <c r="T78" s="4"/>
      <c r="U78" s="4"/>
    </row>
    <row r="79" spans="1:21">
      <c r="A79" t="s">
        <v>219</v>
      </c>
      <c r="B79">
        <v>18</v>
      </c>
      <c r="C79" t="str">
        <f t="shared" si="18"/>
        <v>test.Base64_18_</v>
      </c>
      <c r="D79">
        <v>27</v>
      </c>
      <c r="E79" s="4">
        <v>0.72340425531914898</v>
      </c>
      <c r="F79" s="4">
        <v>0.25394265232974911</v>
      </c>
      <c r="G79" s="4" t="str">
        <f t="shared" si="19"/>
        <v/>
      </c>
      <c r="H79" s="4">
        <f t="shared" si="20"/>
        <v>0.72340425531914898</v>
      </c>
      <c r="I79" s="4" t="str">
        <f t="shared" si="21"/>
        <v/>
      </c>
      <c r="J79" s="4" t="str">
        <f t="shared" si="22"/>
        <v/>
      </c>
      <c r="K79" s="4" t="str">
        <f t="shared" si="23"/>
        <v/>
      </c>
      <c r="L79" s="4" t="str">
        <f t="shared" si="24"/>
        <v/>
      </c>
      <c r="M79" s="4"/>
      <c r="N79" s="4"/>
      <c r="O79" s="4"/>
      <c r="P79" s="4"/>
      <c r="Q79" s="4"/>
      <c r="R79" s="4"/>
      <c r="S79" s="4"/>
      <c r="T79" s="4"/>
      <c r="U79" s="4"/>
    </row>
    <row r="80" spans="1:21">
      <c r="A80" t="s">
        <v>219</v>
      </c>
      <c r="B80">
        <v>18</v>
      </c>
      <c r="C80" t="str">
        <f t="shared" si="18"/>
        <v>test.Base64_18_</v>
      </c>
      <c r="D80">
        <v>28</v>
      </c>
      <c r="E80" s="4">
        <v>0.75886524822695034</v>
      </c>
      <c r="F80" s="4">
        <v>0.25448028673835127</v>
      </c>
      <c r="G80" s="4" t="str">
        <f t="shared" si="19"/>
        <v/>
      </c>
      <c r="H80" s="4">
        <f t="shared" si="20"/>
        <v>0.75886524822695034</v>
      </c>
      <c r="I80" s="4" t="str">
        <f t="shared" si="21"/>
        <v/>
      </c>
      <c r="J80" s="4" t="str">
        <f t="shared" si="22"/>
        <v/>
      </c>
      <c r="K80" s="4" t="str">
        <f t="shared" si="23"/>
        <v/>
      </c>
      <c r="L80" s="4" t="str">
        <f t="shared" si="24"/>
        <v/>
      </c>
      <c r="M80" s="4"/>
      <c r="N80" s="4"/>
      <c r="O80" s="4"/>
      <c r="P80" s="4"/>
      <c r="Q80" s="4"/>
      <c r="R80" s="4"/>
      <c r="S80" s="4"/>
      <c r="T80" s="4"/>
      <c r="U80" s="4"/>
    </row>
    <row r="81" spans="1:21">
      <c r="A81" t="s">
        <v>219</v>
      </c>
      <c r="B81">
        <v>18</v>
      </c>
      <c r="C81" t="str">
        <f t="shared" si="18"/>
        <v>test.Base64_18_</v>
      </c>
      <c r="D81">
        <v>29</v>
      </c>
      <c r="E81" s="4">
        <v>0.75886524822695034</v>
      </c>
      <c r="F81" s="4">
        <v>0.26218637992831539</v>
      </c>
      <c r="G81" s="4" t="str">
        <f t="shared" si="19"/>
        <v/>
      </c>
      <c r="H81" s="4">
        <f t="shared" si="20"/>
        <v>0.75886524822695034</v>
      </c>
      <c r="I81" s="4" t="str">
        <f t="shared" si="21"/>
        <v/>
      </c>
      <c r="J81" s="4" t="str">
        <f t="shared" si="22"/>
        <v/>
      </c>
      <c r="K81" s="4" t="str">
        <f t="shared" si="23"/>
        <v/>
      </c>
      <c r="L81" s="4" t="str">
        <f t="shared" si="24"/>
        <v/>
      </c>
      <c r="M81" s="4"/>
      <c r="N81" s="4"/>
      <c r="O81" s="4"/>
      <c r="P81" s="4"/>
      <c r="Q81" s="4"/>
      <c r="R81" s="4"/>
      <c r="S81" s="4"/>
      <c r="T81" s="4"/>
      <c r="U81" s="4"/>
    </row>
    <row r="82" spans="1:21">
      <c r="A82" t="s">
        <v>219</v>
      </c>
      <c r="B82">
        <v>18</v>
      </c>
      <c r="C82" t="str">
        <f t="shared" si="18"/>
        <v>test.Base64_18_</v>
      </c>
      <c r="D82">
        <v>30</v>
      </c>
      <c r="E82" s="4">
        <v>0.75886524822695034</v>
      </c>
      <c r="F82" s="4">
        <v>0.26272401433691756</v>
      </c>
      <c r="G82" s="4" t="str">
        <f t="shared" si="19"/>
        <v/>
      </c>
      <c r="H82" s="4">
        <f t="shared" si="20"/>
        <v>0.75886524822695034</v>
      </c>
      <c r="I82" s="4" t="str">
        <f t="shared" si="21"/>
        <v/>
      </c>
      <c r="J82" s="4" t="str">
        <f t="shared" si="22"/>
        <v/>
      </c>
      <c r="K82" s="4" t="str">
        <f t="shared" si="23"/>
        <v/>
      </c>
      <c r="L82" s="4" t="str">
        <f t="shared" si="24"/>
        <v/>
      </c>
      <c r="M82" s="4"/>
      <c r="N82" s="4"/>
      <c r="O82" s="4"/>
      <c r="P82" s="4"/>
      <c r="Q82" s="4"/>
      <c r="R82" s="4"/>
      <c r="S82" s="4"/>
      <c r="T82" s="4"/>
      <c r="U82" s="4"/>
    </row>
    <row r="83" spans="1:21">
      <c r="A83" t="s">
        <v>219</v>
      </c>
      <c r="B83">
        <v>18</v>
      </c>
      <c r="C83" t="str">
        <f t="shared" si="18"/>
        <v>test.Base64_18_</v>
      </c>
      <c r="D83">
        <v>31</v>
      </c>
      <c r="E83" s="4">
        <v>0.75886524822695034</v>
      </c>
      <c r="F83" s="4">
        <v>0.26290322580645159</v>
      </c>
      <c r="G83" s="4" t="str">
        <f t="shared" si="19"/>
        <v/>
      </c>
      <c r="H83" s="4">
        <f t="shared" si="20"/>
        <v>0.75886524822695034</v>
      </c>
      <c r="I83" s="4" t="str">
        <f t="shared" si="21"/>
        <v/>
      </c>
      <c r="J83" s="4" t="str">
        <f t="shared" si="22"/>
        <v/>
      </c>
      <c r="K83" s="4" t="str">
        <f t="shared" si="23"/>
        <v/>
      </c>
      <c r="L83" s="4" t="str">
        <f t="shared" si="24"/>
        <v/>
      </c>
      <c r="M83" s="4"/>
      <c r="N83" s="4"/>
      <c r="O83" s="4"/>
      <c r="P83" s="4"/>
      <c r="Q83" s="4"/>
      <c r="R83" s="4"/>
      <c r="S83" s="4"/>
      <c r="T83" s="4"/>
      <c r="U83" s="4"/>
    </row>
    <row r="84" spans="1:21">
      <c r="A84" t="s">
        <v>219</v>
      </c>
      <c r="B84">
        <v>18</v>
      </c>
      <c r="C84" t="str">
        <f t="shared" si="18"/>
        <v>test.Base64_18_</v>
      </c>
      <c r="D84">
        <v>32</v>
      </c>
      <c r="E84" s="4">
        <v>0.75886524822695034</v>
      </c>
      <c r="F84" s="4">
        <v>0.26308243727598568</v>
      </c>
      <c r="G84" s="4" t="str">
        <f t="shared" si="19"/>
        <v/>
      </c>
      <c r="H84" s="4">
        <f t="shared" si="20"/>
        <v>0.75886524822695034</v>
      </c>
      <c r="I84" s="4" t="str">
        <f t="shared" si="21"/>
        <v/>
      </c>
      <c r="J84" s="4" t="str">
        <f t="shared" si="22"/>
        <v/>
      </c>
      <c r="K84" s="4" t="str">
        <f t="shared" si="23"/>
        <v/>
      </c>
      <c r="L84" s="4" t="str">
        <f t="shared" si="24"/>
        <v/>
      </c>
      <c r="M84" s="4"/>
      <c r="N84" s="4"/>
      <c r="O84" s="4"/>
      <c r="P84" s="4"/>
      <c r="Q84" s="4"/>
      <c r="R84" s="4"/>
      <c r="S84" s="4"/>
      <c r="T84" s="4"/>
      <c r="U84" s="4"/>
    </row>
    <row r="85" spans="1:21">
      <c r="A85" t="s">
        <v>219</v>
      </c>
      <c r="B85">
        <v>18</v>
      </c>
      <c r="C85" t="str">
        <f t="shared" si="18"/>
        <v>test.Base64_18_</v>
      </c>
      <c r="D85">
        <v>33</v>
      </c>
      <c r="E85" s="4">
        <v>0.75886524822695034</v>
      </c>
      <c r="F85" s="4">
        <v>0.26630824372759859</v>
      </c>
      <c r="G85" s="4" t="str">
        <f t="shared" si="19"/>
        <v/>
      </c>
      <c r="H85" s="4">
        <f t="shared" si="20"/>
        <v>0.75886524822695034</v>
      </c>
      <c r="I85" s="4" t="str">
        <f t="shared" si="21"/>
        <v/>
      </c>
      <c r="J85" s="4" t="str">
        <f t="shared" si="22"/>
        <v/>
      </c>
      <c r="K85" s="4" t="str">
        <f t="shared" si="23"/>
        <v/>
      </c>
      <c r="L85" s="4" t="str">
        <f t="shared" si="24"/>
        <v/>
      </c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t="s">
        <v>219</v>
      </c>
      <c r="B86">
        <v>18</v>
      </c>
      <c r="C86" t="str">
        <f t="shared" si="18"/>
        <v>test.Base64_18_</v>
      </c>
      <c r="D86">
        <v>34</v>
      </c>
      <c r="E86" s="4">
        <v>0.75886524822695034</v>
      </c>
      <c r="F86" s="4">
        <v>0.26827956989247309</v>
      </c>
      <c r="G86" s="4" t="str">
        <f t="shared" si="19"/>
        <v/>
      </c>
      <c r="H86" s="4">
        <f t="shared" si="20"/>
        <v>0.75886524822695034</v>
      </c>
      <c r="I86" s="4" t="str">
        <f t="shared" si="21"/>
        <v/>
      </c>
      <c r="J86" s="4" t="str">
        <f t="shared" si="22"/>
        <v/>
      </c>
      <c r="K86" s="4" t="str">
        <f t="shared" si="23"/>
        <v/>
      </c>
      <c r="L86" s="4" t="str">
        <f t="shared" si="24"/>
        <v/>
      </c>
      <c r="M86" s="4"/>
      <c r="N86" s="4"/>
      <c r="O86" s="4"/>
      <c r="P86" s="4"/>
      <c r="Q86" s="4"/>
      <c r="R86" s="4"/>
      <c r="S86" s="4"/>
      <c r="T86" s="4"/>
      <c r="U86" s="4"/>
    </row>
    <row r="87" spans="1:21">
      <c r="A87" t="s">
        <v>219</v>
      </c>
      <c r="B87">
        <v>18</v>
      </c>
      <c r="C87" t="str">
        <f t="shared" si="18"/>
        <v>test.Base64_18_</v>
      </c>
      <c r="D87">
        <v>35</v>
      </c>
      <c r="E87" s="4">
        <v>0.75886524822695034</v>
      </c>
      <c r="F87" s="4">
        <v>0.27652329749103943</v>
      </c>
      <c r="G87" s="4" t="str">
        <f t="shared" si="19"/>
        <v/>
      </c>
      <c r="H87" s="4">
        <f t="shared" si="20"/>
        <v>0.75886524822695034</v>
      </c>
      <c r="I87" s="4" t="str">
        <f t="shared" si="21"/>
        <v/>
      </c>
      <c r="J87" s="4" t="str">
        <f t="shared" si="22"/>
        <v/>
      </c>
      <c r="K87" s="4" t="str">
        <f t="shared" si="23"/>
        <v/>
      </c>
      <c r="L87" s="4" t="str">
        <f t="shared" si="24"/>
        <v/>
      </c>
      <c r="M87" s="4"/>
      <c r="N87" s="4"/>
      <c r="O87" s="4"/>
      <c r="P87" s="4"/>
      <c r="Q87" s="4"/>
      <c r="R87" s="4"/>
      <c r="S87" s="4"/>
      <c r="T87" s="4"/>
      <c r="U87" s="4"/>
    </row>
    <row r="88" spans="1:21">
      <c r="A88" t="s">
        <v>219</v>
      </c>
      <c r="B88">
        <v>18</v>
      </c>
      <c r="C88" t="str">
        <f t="shared" si="18"/>
        <v>test.Base64_18_</v>
      </c>
      <c r="D88">
        <v>36</v>
      </c>
      <c r="E88" s="4">
        <v>0.75886524822695034</v>
      </c>
      <c r="F88" s="4">
        <v>0.27849462365591399</v>
      </c>
      <c r="G88" s="4" t="str">
        <f t="shared" si="19"/>
        <v/>
      </c>
      <c r="H88" s="4">
        <f t="shared" si="20"/>
        <v>0.75886524822695034</v>
      </c>
      <c r="I88" s="4" t="str">
        <f t="shared" si="21"/>
        <v/>
      </c>
      <c r="J88" s="4" t="str">
        <f t="shared" si="22"/>
        <v/>
      </c>
      <c r="K88" s="4" t="str">
        <f t="shared" si="23"/>
        <v/>
      </c>
      <c r="L88" s="4" t="str">
        <f t="shared" si="24"/>
        <v/>
      </c>
      <c r="M88" s="4"/>
      <c r="N88" s="4"/>
      <c r="O88" s="4"/>
      <c r="P88" s="4"/>
      <c r="Q88" s="4"/>
      <c r="R88" s="4"/>
      <c r="S88" s="4"/>
      <c r="T88" s="4"/>
      <c r="U88" s="4"/>
    </row>
    <row r="89" spans="1:21">
      <c r="A89" t="s">
        <v>219</v>
      </c>
      <c r="B89">
        <v>18</v>
      </c>
      <c r="C89" t="str">
        <f t="shared" si="18"/>
        <v>test.Base64_18_</v>
      </c>
      <c r="D89">
        <v>37</v>
      </c>
      <c r="E89" s="4">
        <v>0.75886524822695034</v>
      </c>
      <c r="F89" s="4">
        <v>0.29139784946236558</v>
      </c>
      <c r="G89" s="4" t="str">
        <f t="shared" si="19"/>
        <v/>
      </c>
      <c r="H89" s="4">
        <f t="shared" si="20"/>
        <v>0.75886524822695034</v>
      </c>
      <c r="I89" s="4" t="str">
        <f t="shared" si="21"/>
        <v/>
      </c>
      <c r="J89" s="4" t="str">
        <f t="shared" si="22"/>
        <v/>
      </c>
      <c r="K89" s="4" t="str">
        <f t="shared" si="23"/>
        <v/>
      </c>
      <c r="L89" s="4" t="str">
        <f t="shared" si="24"/>
        <v/>
      </c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t="s">
        <v>219</v>
      </c>
      <c r="B90">
        <v>18</v>
      </c>
      <c r="C90" t="str">
        <f t="shared" si="18"/>
        <v>test.Base64_18_</v>
      </c>
      <c r="D90">
        <v>38</v>
      </c>
      <c r="E90" s="4">
        <v>0.75886524822695034</v>
      </c>
      <c r="F90" s="4">
        <v>0.29336917562724013</v>
      </c>
      <c r="G90" s="4" t="str">
        <f t="shared" si="19"/>
        <v/>
      </c>
      <c r="H90" s="4">
        <f t="shared" si="20"/>
        <v>0.75886524822695034</v>
      </c>
      <c r="I90" s="4" t="str">
        <f t="shared" si="21"/>
        <v/>
      </c>
      <c r="J90" s="4" t="str">
        <f t="shared" si="22"/>
        <v/>
      </c>
      <c r="K90" s="4" t="str">
        <f t="shared" si="23"/>
        <v/>
      </c>
      <c r="L90" s="4" t="str">
        <f t="shared" si="24"/>
        <v/>
      </c>
      <c r="M90" s="4"/>
      <c r="N90" s="4"/>
      <c r="O90" s="4"/>
      <c r="P90" s="4"/>
      <c r="Q90" s="4"/>
      <c r="R90" s="4"/>
      <c r="S90" s="4"/>
      <c r="T90" s="4"/>
      <c r="U90" s="4"/>
    </row>
    <row r="91" spans="1:21">
      <c r="A91" t="s">
        <v>219</v>
      </c>
      <c r="B91">
        <v>18</v>
      </c>
      <c r="C91" t="str">
        <f t="shared" si="18"/>
        <v>test.Base64_18_</v>
      </c>
      <c r="D91">
        <v>39</v>
      </c>
      <c r="E91" s="4">
        <v>0.75886524822695034</v>
      </c>
      <c r="F91" s="4">
        <v>0.30573476702508962</v>
      </c>
      <c r="G91" s="4" t="str">
        <f t="shared" si="19"/>
        <v/>
      </c>
      <c r="H91" s="4">
        <f t="shared" si="20"/>
        <v>0.75886524822695034</v>
      </c>
      <c r="I91" s="4" t="str">
        <f t="shared" si="21"/>
        <v/>
      </c>
      <c r="J91" s="4" t="str">
        <f t="shared" si="22"/>
        <v/>
      </c>
      <c r="K91" s="4" t="str">
        <f t="shared" si="23"/>
        <v/>
      </c>
      <c r="L91" s="4" t="str">
        <f t="shared" si="24"/>
        <v/>
      </c>
      <c r="M91" s="4"/>
      <c r="N91" s="4"/>
      <c r="O91" s="4"/>
      <c r="P91" s="4"/>
      <c r="Q91" s="4"/>
      <c r="R91" s="4"/>
      <c r="S91" s="4"/>
      <c r="T91" s="4"/>
      <c r="U91" s="4"/>
    </row>
    <row r="92" spans="1:21">
      <c r="A92" t="s">
        <v>219</v>
      </c>
      <c r="B92">
        <v>18</v>
      </c>
      <c r="C92" t="str">
        <f t="shared" si="18"/>
        <v>test.Base64_18_</v>
      </c>
      <c r="D92">
        <v>40</v>
      </c>
      <c r="E92" s="4">
        <v>1</v>
      </c>
      <c r="F92" s="4">
        <v>0.89121863799283152</v>
      </c>
      <c r="G92" s="4" t="str">
        <f t="shared" si="19"/>
        <v/>
      </c>
      <c r="H92" s="4" t="str">
        <f t="shared" si="20"/>
        <v/>
      </c>
      <c r="I92" s="4" t="str">
        <f t="shared" si="21"/>
        <v/>
      </c>
      <c r="J92" s="4" t="str">
        <f t="shared" si="22"/>
        <v/>
      </c>
      <c r="K92" s="4">
        <f t="shared" si="23"/>
        <v>1</v>
      </c>
      <c r="L92" s="4" t="str">
        <f t="shared" si="24"/>
        <v/>
      </c>
      <c r="M92" s="4"/>
      <c r="N92" s="4"/>
      <c r="O92" s="4"/>
      <c r="P92" s="4"/>
      <c r="Q92" s="4"/>
      <c r="R92" s="4"/>
      <c r="S92" s="4"/>
      <c r="T92" s="4"/>
      <c r="U92" s="4"/>
    </row>
    <row r="93" spans="1:21">
      <c r="A93" t="s">
        <v>219</v>
      </c>
      <c r="B93">
        <v>18</v>
      </c>
      <c r="C93" t="str">
        <f t="shared" si="18"/>
        <v>test.Base64_18_</v>
      </c>
      <c r="D93">
        <v>41</v>
      </c>
      <c r="E93" s="4">
        <v>1</v>
      </c>
      <c r="F93" s="4">
        <v>0.89480286738351256</v>
      </c>
      <c r="G93" s="4" t="str">
        <f t="shared" si="19"/>
        <v/>
      </c>
      <c r="H93" s="4" t="str">
        <f t="shared" si="20"/>
        <v/>
      </c>
      <c r="I93" s="4" t="str">
        <f t="shared" si="21"/>
        <v/>
      </c>
      <c r="J93" s="4" t="str">
        <f t="shared" si="22"/>
        <v/>
      </c>
      <c r="K93" s="4">
        <f t="shared" si="23"/>
        <v>1</v>
      </c>
      <c r="L93" s="4" t="str">
        <f t="shared" si="24"/>
        <v/>
      </c>
      <c r="M93" s="4"/>
      <c r="N93" s="4"/>
      <c r="O93" s="4"/>
      <c r="P93" s="4"/>
      <c r="Q93" s="4"/>
      <c r="R93" s="4"/>
      <c r="S93" s="4"/>
      <c r="T93" s="4"/>
      <c r="U93" s="4"/>
    </row>
    <row r="94" spans="1:21">
      <c r="A94" t="s">
        <v>219</v>
      </c>
      <c r="B94">
        <v>18</v>
      </c>
      <c r="C94" t="str">
        <f t="shared" si="18"/>
        <v>test.Base64_18_</v>
      </c>
      <c r="D94">
        <v>42</v>
      </c>
      <c r="E94" s="4">
        <v>1</v>
      </c>
      <c r="F94" s="4">
        <v>0.90125448028673838</v>
      </c>
      <c r="G94" s="4" t="str">
        <f t="shared" si="19"/>
        <v/>
      </c>
      <c r="H94" s="4" t="str">
        <f t="shared" si="20"/>
        <v/>
      </c>
      <c r="I94" s="4" t="str">
        <f t="shared" si="21"/>
        <v/>
      </c>
      <c r="J94" s="4" t="str">
        <f t="shared" si="22"/>
        <v/>
      </c>
      <c r="K94" s="4">
        <f t="shared" si="23"/>
        <v>1</v>
      </c>
      <c r="L94" s="4" t="str">
        <f t="shared" si="24"/>
        <v/>
      </c>
      <c r="M94" s="4"/>
      <c r="N94" s="4"/>
      <c r="O94" s="4"/>
      <c r="P94" s="4"/>
      <c r="Q94" s="4"/>
      <c r="R94" s="4"/>
      <c r="S94" s="4"/>
      <c r="T94" s="4"/>
      <c r="U94" s="4"/>
    </row>
    <row r="95" spans="1:21">
      <c r="A95" t="s">
        <v>219</v>
      </c>
      <c r="B95">
        <v>18</v>
      </c>
      <c r="C95" t="str">
        <f t="shared" si="18"/>
        <v>test.Base64_18_</v>
      </c>
      <c r="D95">
        <v>43</v>
      </c>
      <c r="E95" s="4">
        <v>1</v>
      </c>
      <c r="F95" s="4">
        <v>0.91254480286738349</v>
      </c>
      <c r="G95" s="4" t="str">
        <f t="shared" si="19"/>
        <v/>
      </c>
      <c r="H95" s="4" t="str">
        <f t="shared" si="20"/>
        <v/>
      </c>
      <c r="I95" s="4" t="str">
        <f t="shared" si="21"/>
        <v/>
      </c>
      <c r="J95" s="4" t="str">
        <f t="shared" si="22"/>
        <v/>
      </c>
      <c r="K95" s="4">
        <f t="shared" si="23"/>
        <v>1</v>
      </c>
      <c r="L95" s="4" t="str">
        <f t="shared" si="24"/>
        <v/>
      </c>
      <c r="M95" s="4"/>
      <c r="N95" s="4"/>
      <c r="O95" s="4"/>
      <c r="P95" s="4"/>
      <c r="Q95" s="4"/>
      <c r="R95" s="4"/>
      <c r="S95" s="4"/>
      <c r="T95" s="4"/>
      <c r="U95" s="4"/>
    </row>
    <row r="96" spans="1:21">
      <c r="A96" t="s">
        <v>219</v>
      </c>
      <c r="B96">
        <v>18</v>
      </c>
      <c r="C96" t="str">
        <f t="shared" si="18"/>
        <v>test.Base64_18_</v>
      </c>
      <c r="D96">
        <v>44</v>
      </c>
      <c r="E96" s="4">
        <v>1</v>
      </c>
      <c r="F96" s="4">
        <v>0.9238351254480287</v>
      </c>
      <c r="G96" s="4" t="str">
        <f t="shared" si="19"/>
        <v/>
      </c>
      <c r="H96" s="4" t="str">
        <f t="shared" si="20"/>
        <v/>
      </c>
      <c r="I96" s="4" t="str">
        <f t="shared" si="21"/>
        <v/>
      </c>
      <c r="J96" s="4" t="str">
        <f t="shared" si="22"/>
        <v/>
      </c>
      <c r="K96" s="4">
        <f t="shared" si="23"/>
        <v>1</v>
      </c>
      <c r="L96" s="4" t="str">
        <f t="shared" si="24"/>
        <v/>
      </c>
      <c r="M96" s="4"/>
      <c r="N96" s="4"/>
      <c r="O96" s="4"/>
      <c r="P96" s="4"/>
      <c r="Q96" s="4"/>
      <c r="R96" s="4"/>
      <c r="S96" s="4"/>
      <c r="T96" s="4"/>
      <c r="U96" s="4"/>
    </row>
    <row r="97" spans="1:21">
      <c r="A97" t="s">
        <v>219</v>
      </c>
      <c r="B97">
        <v>18</v>
      </c>
      <c r="C97" t="str">
        <f t="shared" si="18"/>
        <v>test.Base64_18_</v>
      </c>
      <c r="D97">
        <v>45</v>
      </c>
      <c r="E97" s="4">
        <v>1</v>
      </c>
      <c r="F97" s="4">
        <v>0.93494623655913978</v>
      </c>
      <c r="G97" s="4" t="str">
        <f t="shared" si="19"/>
        <v/>
      </c>
      <c r="H97" s="4" t="str">
        <f t="shared" si="20"/>
        <v/>
      </c>
      <c r="I97" s="4" t="str">
        <f t="shared" si="21"/>
        <v/>
      </c>
      <c r="J97" s="4" t="str">
        <f t="shared" si="22"/>
        <v/>
      </c>
      <c r="K97" s="4">
        <f t="shared" si="23"/>
        <v>1</v>
      </c>
      <c r="L97" s="4" t="str">
        <f t="shared" si="24"/>
        <v/>
      </c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t="s">
        <v>219</v>
      </c>
      <c r="B98">
        <v>18</v>
      </c>
      <c r="C98" t="str">
        <f t="shared" si="18"/>
        <v>test.Base64_18_</v>
      </c>
      <c r="D98">
        <v>46</v>
      </c>
      <c r="E98" s="4">
        <v>1</v>
      </c>
      <c r="F98" s="4">
        <v>0.93620071684587813</v>
      </c>
      <c r="G98" s="4" t="str">
        <f t="shared" si="19"/>
        <v/>
      </c>
      <c r="H98" s="4" t="str">
        <f t="shared" si="20"/>
        <v/>
      </c>
      <c r="I98" s="4" t="str">
        <f t="shared" si="21"/>
        <v/>
      </c>
      <c r="J98" s="4" t="str">
        <f t="shared" si="22"/>
        <v/>
      </c>
      <c r="K98" s="4">
        <f t="shared" si="23"/>
        <v>1</v>
      </c>
      <c r="L98" s="4" t="str">
        <f t="shared" si="24"/>
        <v/>
      </c>
      <c r="M98" s="4"/>
      <c r="N98" s="4"/>
      <c r="O98" s="4"/>
      <c r="P98" s="4"/>
      <c r="Q98" s="4"/>
      <c r="R98" s="4"/>
      <c r="S98" s="4"/>
      <c r="T98" s="4"/>
      <c r="U98" s="4"/>
    </row>
    <row r="99" spans="1:21">
      <c r="A99" t="s">
        <v>219</v>
      </c>
      <c r="B99">
        <v>19</v>
      </c>
      <c r="C99" t="str">
        <f t="shared" si="18"/>
        <v>test.Base64_19_</v>
      </c>
      <c r="D99">
        <v>1</v>
      </c>
      <c r="E99" s="4">
        <v>2.3622047244094488E-2</v>
      </c>
      <c r="F99" s="4">
        <v>2.8064382996285598E-2</v>
      </c>
      <c r="G99" s="4">
        <f t="shared" si="19"/>
        <v>2.3622047244094488E-2</v>
      </c>
      <c r="H99" s="4" t="str">
        <f t="shared" si="20"/>
        <v/>
      </c>
      <c r="I99" s="4" t="str">
        <f t="shared" si="21"/>
        <v/>
      </c>
      <c r="J99" s="4" t="str">
        <f t="shared" si="22"/>
        <v/>
      </c>
      <c r="K99" s="4" t="str">
        <f t="shared" si="23"/>
        <v/>
      </c>
      <c r="L99" s="4" t="str">
        <f t="shared" si="24"/>
        <v/>
      </c>
      <c r="M99" s="4"/>
      <c r="N99" s="4"/>
      <c r="O99" s="4"/>
      <c r="P99" s="4"/>
      <c r="Q99" s="4"/>
      <c r="R99" s="4"/>
      <c r="S99" s="4"/>
      <c r="T99" s="4"/>
      <c r="U99" s="4"/>
    </row>
    <row r="100" spans="1:21">
      <c r="A100" t="s">
        <v>219</v>
      </c>
      <c r="B100">
        <v>19</v>
      </c>
      <c r="C100" t="str">
        <f t="shared" si="18"/>
        <v>test.Base64_19_</v>
      </c>
      <c r="D100">
        <v>2</v>
      </c>
      <c r="E100" s="4">
        <v>4.7244094488188976E-2</v>
      </c>
      <c r="F100" s="4">
        <v>4.5604622368964093E-2</v>
      </c>
      <c r="G100" s="4">
        <f t="shared" si="19"/>
        <v>4.7244094488188976E-2</v>
      </c>
      <c r="H100" s="4" t="str">
        <f t="shared" si="20"/>
        <v/>
      </c>
      <c r="I100" s="4" t="str">
        <f t="shared" si="21"/>
        <v/>
      </c>
      <c r="J100" s="4" t="str">
        <f t="shared" si="22"/>
        <v/>
      </c>
      <c r="K100" s="4" t="str">
        <f t="shared" si="23"/>
        <v/>
      </c>
      <c r="L100" s="4" t="str">
        <f t="shared" si="24"/>
        <v/>
      </c>
      <c r="M100" s="4"/>
      <c r="N100" s="4"/>
      <c r="O100" s="4"/>
      <c r="P100" s="4"/>
      <c r="Q100" s="4"/>
      <c r="R100" s="4"/>
      <c r="S100" s="4"/>
      <c r="T100" s="4"/>
      <c r="U100" s="4"/>
    </row>
    <row r="101" spans="1:21">
      <c r="A101" t="s">
        <v>219</v>
      </c>
      <c r="B101">
        <v>19</v>
      </c>
      <c r="C101" t="str">
        <f t="shared" si="18"/>
        <v>test.Base64_19_</v>
      </c>
      <c r="D101">
        <v>3</v>
      </c>
      <c r="E101" s="4">
        <v>0.65354330708661412</v>
      </c>
      <c r="F101" s="4">
        <v>0.3124226165910029</v>
      </c>
      <c r="G101" s="4" t="str">
        <f t="shared" si="19"/>
        <v/>
      </c>
      <c r="H101" s="4">
        <f t="shared" si="20"/>
        <v>0.65354330708661412</v>
      </c>
      <c r="I101" s="4" t="str">
        <f t="shared" si="21"/>
        <v/>
      </c>
      <c r="J101" s="4" t="str">
        <f t="shared" si="22"/>
        <v/>
      </c>
      <c r="K101" s="4" t="str">
        <f t="shared" si="23"/>
        <v/>
      </c>
      <c r="L101" s="4" t="str">
        <f t="shared" si="24"/>
        <v/>
      </c>
      <c r="M101" s="4"/>
      <c r="N101" s="4"/>
      <c r="O101" s="4"/>
      <c r="P101" s="4"/>
      <c r="Q101" s="4"/>
      <c r="R101" s="4"/>
      <c r="S101" s="4"/>
      <c r="T101" s="4"/>
      <c r="U101" s="4"/>
    </row>
    <row r="102" spans="1:21">
      <c r="A102" t="s">
        <v>219</v>
      </c>
      <c r="B102">
        <v>19</v>
      </c>
      <c r="C102" t="str">
        <f t="shared" si="18"/>
        <v>test.Base64_19_</v>
      </c>
      <c r="D102">
        <v>4</v>
      </c>
      <c r="E102" s="4">
        <v>0.69291338582677164</v>
      </c>
      <c r="F102" s="4">
        <v>0.33140734626496077</v>
      </c>
      <c r="G102" s="4" t="str">
        <f t="shared" si="19"/>
        <v/>
      </c>
      <c r="H102" s="4">
        <f t="shared" si="20"/>
        <v>0.69291338582677164</v>
      </c>
      <c r="I102" s="4" t="str">
        <f t="shared" si="21"/>
        <v/>
      </c>
      <c r="J102" s="4" t="str">
        <f t="shared" si="22"/>
        <v/>
      </c>
      <c r="K102" s="4" t="str">
        <f t="shared" si="23"/>
        <v/>
      </c>
      <c r="L102" s="4" t="str">
        <f t="shared" si="24"/>
        <v/>
      </c>
      <c r="M102" s="4"/>
      <c r="N102" s="4"/>
      <c r="O102" s="4"/>
      <c r="P102" s="4"/>
      <c r="Q102" s="4"/>
      <c r="R102" s="4"/>
      <c r="S102" s="4"/>
      <c r="T102" s="4"/>
      <c r="U102" s="4"/>
    </row>
    <row r="103" spans="1:21">
      <c r="A103" t="s">
        <v>219</v>
      </c>
      <c r="B103">
        <v>19</v>
      </c>
      <c r="C103" t="str">
        <f t="shared" si="18"/>
        <v>test.Base64_19_</v>
      </c>
      <c r="D103">
        <v>5</v>
      </c>
      <c r="E103" s="4">
        <v>0.73228346456692917</v>
      </c>
      <c r="F103" s="4">
        <v>0.34770945109368551</v>
      </c>
      <c r="G103" s="4" t="str">
        <f t="shared" si="19"/>
        <v/>
      </c>
      <c r="H103" s="4">
        <f t="shared" si="20"/>
        <v>0.73228346456692917</v>
      </c>
      <c r="I103" s="4" t="str">
        <f t="shared" si="21"/>
        <v/>
      </c>
      <c r="J103" s="4" t="str">
        <f t="shared" si="22"/>
        <v/>
      </c>
      <c r="K103" s="4" t="str">
        <f t="shared" si="23"/>
        <v/>
      </c>
      <c r="L103" s="4" t="str">
        <f t="shared" si="24"/>
        <v/>
      </c>
      <c r="M103" s="4"/>
      <c r="N103" s="4"/>
      <c r="O103" s="4"/>
      <c r="P103" s="4"/>
      <c r="Q103" s="4"/>
      <c r="R103" s="4"/>
      <c r="S103" s="4"/>
      <c r="T103" s="4"/>
      <c r="U103" s="4"/>
    </row>
    <row r="104" spans="1:21">
      <c r="A104" t="s">
        <v>219</v>
      </c>
      <c r="B104">
        <v>19</v>
      </c>
      <c r="C104" t="str">
        <f t="shared" si="18"/>
        <v>test.Base64_19_</v>
      </c>
      <c r="D104">
        <v>6</v>
      </c>
      <c r="E104" s="4">
        <v>0.98425196850393704</v>
      </c>
      <c r="F104" s="4">
        <v>0.81448617416425917</v>
      </c>
      <c r="G104" s="4" t="str">
        <f t="shared" si="19"/>
        <v/>
      </c>
      <c r="H104" s="4" t="str">
        <f t="shared" si="20"/>
        <v/>
      </c>
      <c r="I104" s="4" t="str">
        <f t="shared" si="21"/>
        <v/>
      </c>
      <c r="J104" s="4" t="str">
        <f t="shared" si="22"/>
        <v/>
      </c>
      <c r="K104" s="4">
        <f t="shared" si="23"/>
        <v>0.98425196850393704</v>
      </c>
      <c r="L104" s="4" t="str">
        <f t="shared" si="24"/>
        <v/>
      </c>
      <c r="M104" s="4"/>
      <c r="N104" s="4"/>
      <c r="O104" s="4"/>
      <c r="P104" s="4"/>
      <c r="Q104" s="4"/>
      <c r="R104" s="4"/>
      <c r="S104" s="4"/>
      <c r="T104" s="4"/>
      <c r="U104" s="4"/>
    </row>
    <row r="105" spans="1:21">
      <c r="A105" t="s">
        <v>219</v>
      </c>
      <c r="B105">
        <v>19</v>
      </c>
      <c r="C105" t="str">
        <f t="shared" si="18"/>
        <v>test.Base64_19_</v>
      </c>
      <c r="D105">
        <v>7</v>
      </c>
      <c r="E105" s="4">
        <v>0.99212598425196852</v>
      </c>
      <c r="F105" s="4">
        <v>0.84709038382170865</v>
      </c>
      <c r="G105" s="4" t="str">
        <f t="shared" si="19"/>
        <v/>
      </c>
      <c r="H105" s="4" t="str">
        <f t="shared" si="20"/>
        <v/>
      </c>
      <c r="I105" s="4" t="str">
        <f t="shared" si="21"/>
        <v/>
      </c>
      <c r="J105" s="4" t="str">
        <f t="shared" si="22"/>
        <v/>
      </c>
      <c r="K105" s="4">
        <f t="shared" si="23"/>
        <v>0.99212598425196852</v>
      </c>
      <c r="L105" s="4" t="str">
        <f t="shared" si="24"/>
        <v/>
      </c>
      <c r="M105" s="4"/>
      <c r="N105" s="4"/>
      <c r="O105" s="4"/>
      <c r="P105" s="4"/>
      <c r="Q105" s="4"/>
      <c r="R105" s="4"/>
      <c r="S105" s="4"/>
      <c r="T105" s="4"/>
      <c r="U105" s="4"/>
    </row>
    <row r="106" spans="1:21">
      <c r="A106" t="s">
        <v>219</v>
      </c>
      <c r="B106">
        <v>19</v>
      </c>
      <c r="C106" t="str">
        <f t="shared" si="18"/>
        <v>test.Base64_19_</v>
      </c>
      <c r="D106">
        <v>8</v>
      </c>
      <c r="E106" s="4">
        <v>1</v>
      </c>
      <c r="F106" s="4">
        <v>0.8751547668179942</v>
      </c>
      <c r="G106" s="4" t="str">
        <f t="shared" si="19"/>
        <v/>
      </c>
      <c r="H106" s="4" t="str">
        <f t="shared" si="20"/>
        <v/>
      </c>
      <c r="I106" s="4" t="str">
        <f t="shared" si="21"/>
        <v/>
      </c>
      <c r="J106" s="4" t="str">
        <f t="shared" si="22"/>
        <v/>
      </c>
      <c r="K106" s="4">
        <f t="shared" si="23"/>
        <v>1</v>
      </c>
      <c r="L106" s="4" t="str">
        <f t="shared" si="24"/>
        <v/>
      </c>
      <c r="M106" s="4"/>
      <c r="N106" s="4"/>
      <c r="O106" s="4"/>
      <c r="P106" s="4"/>
      <c r="Q106" s="4"/>
      <c r="R106" s="4"/>
      <c r="S106" s="4"/>
      <c r="T106" s="4"/>
      <c r="U106" s="4"/>
    </row>
    <row r="107" spans="1:21">
      <c r="A107" t="s">
        <v>219</v>
      </c>
      <c r="B107">
        <v>19</v>
      </c>
      <c r="C107" t="str">
        <f t="shared" si="18"/>
        <v>test.Base64_19_</v>
      </c>
      <c r="D107">
        <v>9</v>
      </c>
      <c r="E107" s="4">
        <v>1</v>
      </c>
      <c r="F107" s="4">
        <v>0.88959966983078831</v>
      </c>
      <c r="G107" s="4" t="str">
        <f t="shared" si="19"/>
        <v/>
      </c>
      <c r="H107" s="4" t="str">
        <f t="shared" si="20"/>
        <v/>
      </c>
      <c r="I107" s="4" t="str">
        <f t="shared" si="21"/>
        <v/>
      </c>
      <c r="J107" s="4" t="str">
        <f t="shared" si="22"/>
        <v/>
      </c>
      <c r="K107" s="4">
        <f t="shared" si="23"/>
        <v>1</v>
      </c>
      <c r="L107" s="4" t="str">
        <f t="shared" si="24"/>
        <v/>
      </c>
      <c r="M107" s="4"/>
      <c r="N107" s="4"/>
      <c r="O107" s="4"/>
      <c r="P107" s="4"/>
      <c r="Q107" s="4"/>
      <c r="R107" s="4"/>
      <c r="S107" s="4"/>
      <c r="T107" s="4"/>
      <c r="U107" s="4"/>
    </row>
    <row r="108" spans="1:21">
      <c r="A108" t="s">
        <v>219</v>
      </c>
      <c r="B108">
        <v>19</v>
      </c>
      <c r="C108" t="str">
        <f t="shared" si="18"/>
        <v>test.Base64_19_</v>
      </c>
      <c r="D108">
        <v>10</v>
      </c>
      <c r="E108" s="4">
        <v>1</v>
      </c>
      <c r="F108" s="4">
        <v>0.89331407346264957</v>
      </c>
      <c r="G108" s="4" t="str">
        <f t="shared" si="19"/>
        <v/>
      </c>
      <c r="H108" s="4" t="str">
        <f t="shared" si="20"/>
        <v/>
      </c>
      <c r="I108" s="4" t="str">
        <f t="shared" si="21"/>
        <v/>
      </c>
      <c r="J108" s="4" t="str">
        <f t="shared" si="22"/>
        <v/>
      </c>
      <c r="K108" s="4">
        <f t="shared" si="23"/>
        <v>1</v>
      </c>
      <c r="L108" s="4" t="str">
        <f t="shared" si="24"/>
        <v/>
      </c>
      <c r="M108" s="4"/>
      <c r="N108" s="4"/>
      <c r="O108" s="4"/>
      <c r="P108" s="4"/>
      <c r="Q108" s="4"/>
      <c r="R108" s="4"/>
      <c r="S108" s="4"/>
      <c r="T108" s="4"/>
      <c r="U108" s="4"/>
    </row>
    <row r="109" spans="1:21">
      <c r="A109" t="s">
        <v>219</v>
      </c>
      <c r="B109">
        <v>19</v>
      </c>
      <c r="C109" t="str">
        <f t="shared" si="18"/>
        <v>test.Base64_19_</v>
      </c>
      <c r="D109">
        <v>11</v>
      </c>
      <c r="E109" s="4">
        <v>1</v>
      </c>
      <c r="F109" s="4">
        <v>0.89496491952125468</v>
      </c>
      <c r="G109" s="4" t="str">
        <f t="shared" si="19"/>
        <v/>
      </c>
      <c r="H109" s="4" t="str">
        <f t="shared" si="20"/>
        <v/>
      </c>
      <c r="I109" s="4" t="str">
        <f t="shared" si="21"/>
        <v/>
      </c>
      <c r="J109" s="4" t="str">
        <f t="shared" si="22"/>
        <v/>
      </c>
      <c r="K109" s="4">
        <f t="shared" si="23"/>
        <v>1</v>
      </c>
      <c r="L109" s="4" t="str">
        <f t="shared" si="24"/>
        <v/>
      </c>
      <c r="M109" s="4"/>
      <c r="N109" s="4"/>
      <c r="O109" s="4"/>
      <c r="P109" s="4"/>
      <c r="Q109" s="4"/>
      <c r="R109" s="4"/>
      <c r="S109" s="4"/>
      <c r="T109" s="4"/>
      <c r="U109" s="4"/>
    </row>
    <row r="110" spans="1:21">
      <c r="A110" t="s">
        <v>219</v>
      </c>
      <c r="B110">
        <v>19</v>
      </c>
      <c r="C110" t="str">
        <f t="shared" si="18"/>
        <v>test.Base64_19_</v>
      </c>
      <c r="D110">
        <v>12</v>
      </c>
      <c r="E110" s="4">
        <v>1</v>
      </c>
      <c r="F110" s="4">
        <v>0.89723483285183658</v>
      </c>
      <c r="G110" s="4" t="str">
        <f t="shared" si="19"/>
        <v/>
      </c>
      <c r="H110" s="4" t="str">
        <f t="shared" si="20"/>
        <v/>
      </c>
      <c r="I110" s="4" t="str">
        <f t="shared" si="21"/>
        <v/>
      </c>
      <c r="J110" s="4" t="str">
        <f t="shared" si="22"/>
        <v/>
      </c>
      <c r="K110" s="4">
        <f t="shared" si="23"/>
        <v>1</v>
      </c>
      <c r="L110" s="4" t="str">
        <f t="shared" si="24"/>
        <v/>
      </c>
      <c r="M110" s="4"/>
      <c r="N110" s="4"/>
      <c r="O110" s="4"/>
      <c r="P110" s="4"/>
      <c r="Q110" s="4"/>
      <c r="R110" s="4"/>
      <c r="S110" s="4"/>
      <c r="T110" s="4"/>
      <c r="U110" s="4"/>
    </row>
    <row r="111" spans="1:21">
      <c r="A111" t="s">
        <v>219</v>
      </c>
      <c r="B111">
        <v>19</v>
      </c>
      <c r="C111" t="str">
        <f t="shared" si="18"/>
        <v>test.Base64_19_</v>
      </c>
      <c r="D111">
        <v>13</v>
      </c>
      <c r="E111" s="4">
        <v>1</v>
      </c>
      <c r="F111" s="4">
        <v>0.90301279405695423</v>
      </c>
      <c r="G111" s="4" t="str">
        <f t="shared" si="19"/>
        <v/>
      </c>
      <c r="H111" s="4" t="str">
        <f t="shared" si="20"/>
        <v/>
      </c>
      <c r="I111" s="4" t="str">
        <f t="shared" si="21"/>
        <v/>
      </c>
      <c r="J111" s="4" t="str">
        <f t="shared" si="22"/>
        <v/>
      </c>
      <c r="K111" s="4">
        <f t="shared" si="23"/>
        <v>1</v>
      </c>
      <c r="L111" s="4" t="str">
        <f t="shared" si="24"/>
        <v/>
      </c>
      <c r="M111" s="4"/>
      <c r="N111" s="4"/>
      <c r="O111" s="4"/>
      <c r="P111" s="4"/>
      <c r="Q111" s="4"/>
      <c r="R111" s="4"/>
      <c r="S111" s="4"/>
      <c r="T111" s="4"/>
      <c r="U111" s="4"/>
    </row>
    <row r="112" spans="1:21">
      <c r="A112" t="s">
        <v>219</v>
      </c>
      <c r="B112">
        <v>19</v>
      </c>
      <c r="C112" t="str">
        <f t="shared" si="18"/>
        <v>test.Base64_19_</v>
      </c>
      <c r="D112">
        <v>14</v>
      </c>
      <c r="E112" s="4">
        <v>1</v>
      </c>
      <c r="F112" s="4">
        <v>0.90383821708625667</v>
      </c>
      <c r="G112" s="4" t="str">
        <f t="shared" si="19"/>
        <v/>
      </c>
      <c r="H112" s="4" t="str">
        <f t="shared" si="20"/>
        <v/>
      </c>
      <c r="I112" s="4" t="str">
        <f t="shared" si="21"/>
        <v/>
      </c>
      <c r="J112" s="4" t="str">
        <f t="shared" si="22"/>
        <v/>
      </c>
      <c r="K112" s="4">
        <f t="shared" si="23"/>
        <v>1</v>
      </c>
      <c r="L112" s="4" t="str">
        <f t="shared" si="24"/>
        <v/>
      </c>
      <c r="M112" s="4"/>
      <c r="N112" s="4"/>
      <c r="O112" s="4"/>
      <c r="P112" s="4"/>
      <c r="Q112" s="4"/>
      <c r="R112" s="4"/>
      <c r="S112" s="4"/>
      <c r="T112" s="4"/>
      <c r="U112" s="4"/>
    </row>
    <row r="113" spans="1:21">
      <c r="A113" t="s">
        <v>219</v>
      </c>
      <c r="B113">
        <v>19</v>
      </c>
      <c r="C113" t="str">
        <f t="shared" si="18"/>
        <v>test.Base64_19_</v>
      </c>
      <c r="D113">
        <v>15</v>
      </c>
      <c r="E113" s="4">
        <v>1</v>
      </c>
      <c r="F113" s="4">
        <v>0.90796533223276932</v>
      </c>
      <c r="G113" s="4" t="str">
        <f t="shared" si="19"/>
        <v/>
      </c>
      <c r="H113" s="4" t="str">
        <f t="shared" si="20"/>
        <v/>
      </c>
      <c r="I113" s="4" t="str">
        <f t="shared" si="21"/>
        <v/>
      </c>
      <c r="J113" s="4" t="str">
        <f t="shared" si="22"/>
        <v/>
      </c>
      <c r="K113" s="4">
        <f t="shared" si="23"/>
        <v>1</v>
      </c>
      <c r="L113" s="4" t="str">
        <f t="shared" si="24"/>
        <v/>
      </c>
      <c r="M113" s="4"/>
      <c r="N113" s="4"/>
      <c r="O113" s="4"/>
      <c r="P113" s="4"/>
      <c r="Q113" s="4"/>
      <c r="R113" s="4"/>
      <c r="S113" s="4"/>
      <c r="T113" s="4"/>
      <c r="U113" s="4"/>
    </row>
    <row r="114" spans="1:21">
      <c r="A114" t="s">
        <v>219</v>
      </c>
      <c r="B114">
        <v>19</v>
      </c>
      <c r="C114" t="str">
        <f t="shared" si="18"/>
        <v>test.Base64_19_</v>
      </c>
      <c r="D114">
        <v>16</v>
      </c>
      <c r="E114" s="4">
        <v>1</v>
      </c>
      <c r="F114" s="4">
        <v>0.9089971110193974</v>
      </c>
      <c r="G114" s="4" t="str">
        <f t="shared" si="19"/>
        <v/>
      </c>
      <c r="H114" s="4" t="str">
        <f t="shared" si="20"/>
        <v/>
      </c>
      <c r="I114" s="4" t="str">
        <f t="shared" si="21"/>
        <v/>
      </c>
      <c r="J114" s="4" t="str">
        <f t="shared" si="22"/>
        <v/>
      </c>
      <c r="K114" s="4">
        <f t="shared" si="23"/>
        <v>1</v>
      </c>
      <c r="L114" s="4" t="str">
        <f t="shared" si="24"/>
        <v/>
      </c>
      <c r="M114" s="4"/>
      <c r="N114" s="4"/>
      <c r="O114" s="4"/>
      <c r="P114" s="4"/>
      <c r="Q114" s="4"/>
      <c r="R114" s="4"/>
      <c r="S114" s="4"/>
      <c r="T114" s="4"/>
      <c r="U114" s="4"/>
    </row>
    <row r="115" spans="1:21">
      <c r="A115" t="s">
        <v>219</v>
      </c>
      <c r="B115">
        <v>19</v>
      </c>
      <c r="C115" t="str">
        <f t="shared" si="18"/>
        <v>test.Base64_19_</v>
      </c>
      <c r="D115">
        <v>17</v>
      </c>
      <c r="E115" s="4">
        <v>1</v>
      </c>
      <c r="F115" s="4">
        <v>0.91002888980602559</v>
      </c>
      <c r="G115" s="4" t="str">
        <f t="shared" si="19"/>
        <v/>
      </c>
      <c r="H115" s="4" t="str">
        <f t="shared" si="20"/>
        <v/>
      </c>
      <c r="I115" s="4" t="str">
        <f t="shared" si="21"/>
        <v/>
      </c>
      <c r="J115" s="4" t="str">
        <f t="shared" si="22"/>
        <v/>
      </c>
      <c r="K115" s="4">
        <f t="shared" si="23"/>
        <v>1</v>
      </c>
      <c r="L115" s="4" t="str">
        <f t="shared" si="24"/>
        <v/>
      </c>
      <c r="M115" s="4"/>
      <c r="N115" s="4"/>
      <c r="O115" s="4"/>
      <c r="P115" s="4"/>
      <c r="Q115" s="4"/>
      <c r="R115" s="4"/>
      <c r="S115" s="4"/>
      <c r="T115" s="4"/>
      <c r="U115" s="4"/>
    </row>
    <row r="116" spans="1:21">
      <c r="A116" t="s">
        <v>219</v>
      </c>
      <c r="B116">
        <v>19</v>
      </c>
      <c r="C116" t="str">
        <f t="shared" si="18"/>
        <v>test.Base64_19_</v>
      </c>
      <c r="D116">
        <v>18</v>
      </c>
      <c r="E116" s="4">
        <v>1</v>
      </c>
      <c r="F116" s="4">
        <v>0.91023524556335123</v>
      </c>
      <c r="G116" s="4" t="str">
        <f t="shared" si="19"/>
        <v/>
      </c>
      <c r="H116" s="4" t="str">
        <f t="shared" si="20"/>
        <v/>
      </c>
      <c r="I116" s="4" t="str">
        <f t="shared" si="21"/>
        <v/>
      </c>
      <c r="J116" s="4" t="str">
        <f t="shared" si="22"/>
        <v/>
      </c>
      <c r="K116" s="4">
        <f t="shared" si="23"/>
        <v>1</v>
      </c>
      <c r="L116" s="4" t="str">
        <f t="shared" si="24"/>
        <v/>
      </c>
      <c r="M116" s="4"/>
      <c r="N116" s="4"/>
      <c r="O116" s="4"/>
      <c r="P116" s="4"/>
      <c r="Q116" s="4"/>
      <c r="R116" s="4"/>
      <c r="S116" s="4"/>
      <c r="T116" s="4"/>
      <c r="U116" s="4"/>
    </row>
    <row r="117" spans="1:21">
      <c r="A117" t="s">
        <v>219</v>
      </c>
      <c r="B117">
        <v>19</v>
      </c>
      <c r="C117" t="str">
        <f t="shared" si="18"/>
        <v>test.Base64_19_</v>
      </c>
      <c r="D117">
        <v>19</v>
      </c>
      <c r="E117" s="4">
        <v>1</v>
      </c>
      <c r="F117" s="4">
        <v>0.91250515889393313</v>
      </c>
      <c r="G117" s="4" t="str">
        <f t="shared" si="19"/>
        <v/>
      </c>
      <c r="H117" s="4" t="str">
        <f t="shared" si="20"/>
        <v/>
      </c>
      <c r="I117" s="4" t="str">
        <f t="shared" si="21"/>
        <v/>
      </c>
      <c r="J117" s="4" t="str">
        <f t="shared" si="22"/>
        <v/>
      </c>
      <c r="K117" s="4">
        <f t="shared" si="23"/>
        <v>1</v>
      </c>
      <c r="L117" s="4" t="str">
        <f t="shared" si="24"/>
        <v/>
      </c>
      <c r="M117" s="4"/>
      <c r="N117" s="4"/>
      <c r="O117" s="4"/>
      <c r="P117" s="4"/>
      <c r="Q117" s="4"/>
      <c r="R117" s="4"/>
      <c r="S117" s="4"/>
      <c r="T117" s="4"/>
      <c r="U117" s="4"/>
    </row>
    <row r="118" spans="1:21">
      <c r="A118" t="s">
        <v>219</v>
      </c>
      <c r="B118">
        <v>19</v>
      </c>
      <c r="C118" t="str">
        <f t="shared" si="18"/>
        <v>test.Base64_19_</v>
      </c>
      <c r="D118">
        <v>20</v>
      </c>
      <c r="E118" s="4">
        <v>1</v>
      </c>
      <c r="F118" s="4">
        <v>0.91271151465125877</v>
      </c>
      <c r="G118" s="4" t="str">
        <f t="shared" si="19"/>
        <v/>
      </c>
      <c r="H118" s="4" t="str">
        <f t="shared" si="20"/>
        <v/>
      </c>
      <c r="I118" s="4" t="str">
        <f t="shared" si="21"/>
        <v/>
      </c>
      <c r="J118" s="4" t="str">
        <f t="shared" si="22"/>
        <v/>
      </c>
      <c r="K118" s="4">
        <f t="shared" si="23"/>
        <v>1</v>
      </c>
      <c r="L118" s="4" t="str">
        <f t="shared" si="24"/>
        <v/>
      </c>
      <c r="M118" s="4"/>
      <c r="N118" s="4"/>
      <c r="O118" s="4"/>
      <c r="P118" s="4"/>
      <c r="Q118" s="4"/>
      <c r="R118" s="4"/>
      <c r="S118" s="4"/>
      <c r="T118" s="4"/>
      <c r="U118" s="4"/>
    </row>
    <row r="119" spans="1:21">
      <c r="A119" t="s">
        <v>219</v>
      </c>
      <c r="B119">
        <v>19</v>
      </c>
      <c r="C119" t="str">
        <f t="shared" si="18"/>
        <v>test.Base64_19_</v>
      </c>
      <c r="D119">
        <v>21</v>
      </c>
      <c r="E119" s="4">
        <v>1</v>
      </c>
      <c r="F119" s="4">
        <v>0.91601320676846887</v>
      </c>
      <c r="G119" s="4" t="str">
        <f t="shared" si="19"/>
        <v/>
      </c>
      <c r="H119" s="4" t="str">
        <f t="shared" si="20"/>
        <v/>
      </c>
      <c r="I119" s="4" t="str">
        <f t="shared" si="21"/>
        <v/>
      </c>
      <c r="J119" s="4" t="str">
        <f t="shared" si="22"/>
        <v/>
      </c>
      <c r="K119" s="4">
        <f t="shared" si="23"/>
        <v>1</v>
      </c>
      <c r="L119" s="4" t="str">
        <f t="shared" si="24"/>
        <v/>
      </c>
      <c r="M119" s="4"/>
      <c r="N119" s="4"/>
      <c r="O119" s="4"/>
      <c r="P119" s="4"/>
      <c r="Q119" s="4"/>
      <c r="R119" s="4"/>
      <c r="S119" s="4"/>
      <c r="T119" s="4"/>
      <c r="U119" s="4"/>
    </row>
    <row r="120" spans="1:21">
      <c r="A120" t="s">
        <v>219</v>
      </c>
      <c r="B120">
        <v>19</v>
      </c>
      <c r="C120" t="str">
        <f t="shared" si="18"/>
        <v>test.Base64_19_</v>
      </c>
      <c r="D120">
        <v>22</v>
      </c>
      <c r="E120" s="4">
        <v>1</v>
      </c>
      <c r="F120" s="4">
        <v>0.91725134131242259</v>
      </c>
      <c r="G120" s="4" t="str">
        <f t="shared" si="19"/>
        <v/>
      </c>
      <c r="H120" s="4" t="str">
        <f t="shared" si="20"/>
        <v/>
      </c>
      <c r="I120" s="4" t="str">
        <f t="shared" si="21"/>
        <v/>
      </c>
      <c r="J120" s="4" t="str">
        <f t="shared" si="22"/>
        <v/>
      </c>
      <c r="K120" s="4">
        <f t="shared" si="23"/>
        <v>1</v>
      </c>
      <c r="L120" s="4" t="str">
        <f t="shared" si="24"/>
        <v/>
      </c>
      <c r="M120" s="4"/>
      <c r="N120" s="4"/>
      <c r="O120" s="4"/>
      <c r="P120" s="4"/>
      <c r="Q120" s="4"/>
      <c r="R120" s="4"/>
      <c r="S120" s="4"/>
      <c r="T120" s="4"/>
      <c r="U120" s="4"/>
    </row>
    <row r="121" spans="1:21">
      <c r="A121" t="s">
        <v>219</v>
      </c>
      <c r="B121">
        <v>19</v>
      </c>
      <c r="C121" t="str">
        <f t="shared" si="18"/>
        <v>test.Base64_19_</v>
      </c>
      <c r="D121">
        <v>23</v>
      </c>
      <c r="E121" s="4">
        <v>1</v>
      </c>
      <c r="F121" s="4">
        <v>0.91848947585637641</v>
      </c>
      <c r="G121" s="4" t="str">
        <f t="shared" si="19"/>
        <v/>
      </c>
      <c r="H121" s="4" t="str">
        <f t="shared" si="20"/>
        <v/>
      </c>
      <c r="I121" s="4" t="str">
        <f t="shared" si="21"/>
        <v/>
      </c>
      <c r="J121" s="4" t="str">
        <f t="shared" si="22"/>
        <v/>
      </c>
      <c r="K121" s="4">
        <f t="shared" si="23"/>
        <v>1</v>
      </c>
      <c r="L121" s="4" t="str">
        <f t="shared" si="24"/>
        <v/>
      </c>
      <c r="M121" s="4"/>
      <c r="N121" s="4"/>
      <c r="O121" s="4"/>
      <c r="P121" s="4"/>
      <c r="Q121" s="4"/>
      <c r="R121" s="4"/>
      <c r="S121" s="4"/>
      <c r="T121" s="4"/>
      <c r="U121" s="4"/>
    </row>
    <row r="122" spans="1:21">
      <c r="A122" t="s">
        <v>219</v>
      </c>
      <c r="B122">
        <v>19</v>
      </c>
      <c r="C122" t="str">
        <f t="shared" si="18"/>
        <v>test.Base64_19_</v>
      </c>
      <c r="D122">
        <v>24</v>
      </c>
      <c r="E122" s="4">
        <v>1</v>
      </c>
      <c r="F122" s="4">
        <v>0.92468014857614522</v>
      </c>
      <c r="G122" s="4" t="str">
        <f t="shared" si="19"/>
        <v/>
      </c>
      <c r="H122" s="4" t="str">
        <f t="shared" si="20"/>
        <v/>
      </c>
      <c r="I122" s="4" t="str">
        <f t="shared" si="21"/>
        <v/>
      </c>
      <c r="J122" s="4" t="str">
        <f t="shared" si="22"/>
        <v/>
      </c>
      <c r="K122" s="4">
        <f t="shared" si="23"/>
        <v>1</v>
      </c>
      <c r="L122" s="4" t="str">
        <f t="shared" si="24"/>
        <v/>
      </c>
      <c r="M122" s="4"/>
      <c r="N122" s="4"/>
      <c r="O122" s="4"/>
      <c r="P122" s="4"/>
      <c r="Q122" s="4"/>
      <c r="R122" s="4"/>
      <c r="S122" s="4"/>
      <c r="T122" s="4"/>
      <c r="U122" s="4"/>
    </row>
    <row r="123" spans="1:21">
      <c r="A123" t="s">
        <v>219</v>
      </c>
      <c r="B123">
        <v>19</v>
      </c>
      <c r="C123" t="str">
        <f t="shared" si="18"/>
        <v>test.Base64_19_</v>
      </c>
      <c r="D123">
        <v>25</v>
      </c>
      <c r="E123" s="4">
        <v>1</v>
      </c>
      <c r="F123" s="4">
        <v>0.93602971522905487</v>
      </c>
      <c r="G123" s="4" t="str">
        <f t="shared" si="19"/>
        <v/>
      </c>
      <c r="H123" s="4" t="str">
        <f t="shared" si="20"/>
        <v/>
      </c>
      <c r="I123" s="4" t="str">
        <f t="shared" si="21"/>
        <v/>
      </c>
      <c r="J123" s="4" t="str">
        <f t="shared" si="22"/>
        <v/>
      </c>
      <c r="K123" s="4">
        <f t="shared" si="23"/>
        <v>1</v>
      </c>
      <c r="L123" s="4" t="str">
        <f t="shared" si="24"/>
        <v/>
      </c>
      <c r="M123" s="4"/>
      <c r="N123" s="4"/>
      <c r="O123" s="4"/>
      <c r="P123" s="4"/>
      <c r="Q123" s="4"/>
      <c r="R123" s="4"/>
      <c r="S123" s="4"/>
      <c r="T123" s="4"/>
      <c r="U123" s="4"/>
    </row>
    <row r="124" spans="1:21">
      <c r="A124" t="s">
        <v>219</v>
      </c>
      <c r="B124">
        <v>19</v>
      </c>
      <c r="C124" t="str">
        <f t="shared" si="18"/>
        <v>test.Base64_19_</v>
      </c>
      <c r="D124">
        <v>26</v>
      </c>
      <c r="E124" s="4">
        <v>1</v>
      </c>
      <c r="F124" s="4">
        <v>0.9444903012794057</v>
      </c>
      <c r="G124" s="4" t="str">
        <f t="shared" si="19"/>
        <v/>
      </c>
      <c r="H124" s="4" t="str">
        <f t="shared" si="20"/>
        <v/>
      </c>
      <c r="I124" s="4" t="str">
        <f t="shared" si="21"/>
        <v/>
      </c>
      <c r="J124" s="4" t="str">
        <f t="shared" si="22"/>
        <v/>
      </c>
      <c r="K124" s="4">
        <f t="shared" si="23"/>
        <v>1</v>
      </c>
      <c r="L124" s="4" t="str">
        <f t="shared" si="24"/>
        <v/>
      </c>
      <c r="M124" s="4"/>
      <c r="N124" s="4"/>
      <c r="O124" s="4"/>
      <c r="P124" s="4"/>
      <c r="Q124" s="4"/>
      <c r="R124" s="4"/>
      <c r="S124" s="4"/>
      <c r="T124" s="4"/>
      <c r="U124" s="4"/>
    </row>
    <row r="125" spans="1:21">
      <c r="A125" t="s">
        <v>219</v>
      </c>
      <c r="B125">
        <v>19</v>
      </c>
      <c r="C125" t="str">
        <f t="shared" si="18"/>
        <v>test.Base64_19_</v>
      </c>
      <c r="D125">
        <v>27</v>
      </c>
      <c r="E125" s="4">
        <v>1</v>
      </c>
      <c r="F125" s="4">
        <v>0.94696657036731324</v>
      </c>
      <c r="G125" s="4" t="str">
        <f t="shared" si="19"/>
        <v/>
      </c>
      <c r="H125" s="4" t="str">
        <f t="shared" si="20"/>
        <v/>
      </c>
      <c r="I125" s="4" t="str">
        <f t="shared" si="21"/>
        <v/>
      </c>
      <c r="J125" s="4" t="str">
        <f t="shared" si="22"/>
        <v/>
      </c>
      <c r="K125" s="4">
        <f t="shared" si="23"/>
        <v>1</v>
      </c>
      <c r="L125" s="4" t="str">
        <f t="shared" si="24"/>
        <v/>
      </c>
      <c r="M125" s="4"/>
      <c r="N125" s="4"/>
      <c r="O125" s="4"/>
      <c r="P125" s="4"/>
      <c r="Q125" s="4"/>
      <c r="R125" s="4"/>
      <c r="S125" s="4"/>
      <c r="T125" s="4"/>
      <c r="U125" s="4"/>
    </row>
    <row r="126" spans="1:21">
      <c r="A126" t="s">
        <v>219</v>
      </c>
      <c r="B126">
        <v>19</v>
      </c>
      <c r="C126" t="str">
        <f t="shared" si="18"/>
        <v>test.Base64_19_</v>
      </c>
      <c r="D126">
        <v>28</v>
      </c>
      <c r="E126" s="4">
        <v>1</v>
      </c>
      <c r="F126" s="4">
        <v>0.95914156004952533</v>
      </c>
      <c r="G126" s="4" t="str">
        <f t="shared" si="19"/>
        <v/>
      </c>
      <c r="H126" s="4" t="str">
        <f t="shared" si="20"/>
        <v/>
      </c>
      <c r="I126" s="4" t="str">
        <f t="shared" si="21"/>
        <v/>
      </c>
      <c r="J126" s="4" t="str">
        <f t="shared" si="22"/>
        <v/>
      </c>
      <c r="K126" s="4">
        <f t="shared" si="23"/>
        <v>1</v>
      </c>
      <c r="L126" s="4" t="str">
        <f t="shared" si="24"/>
        <v/>
      </c>
      <c r="M126" s="4"/>
      <c r="N126" s="4"/>
      <c r="O126" s="4"/>
      <c r="P126" s="4"/>
      <c r="Q126" s="4"/>
      <c r="R126" s="4"/>
      <c r="S126" s="4"/>
      <c r="T126" s="4"/>
      <c r="U126" s="4"/>
    </row>
    <row r="127" spans="1:21">
      <c r="A127" t="s">
        <v>219</v>
      </c>
      <c r="B127">
        <v>20</v>
      </c>
      <c r="C127" t="str">
        <f t="shared" si="18"/>
        <v>test.Base64_20_</v>
      </c>
      <c r="D127">
        <v>1</v>
      </c>
      <c r="E127" s="4">
        <v>0.19801980198019803</v>
      </c>
      <c r="F127" s="4">
        <v>0.12073324905183312</v>
      </c>
      <c r="G127" s="4">
        <f t="shared" si="19"/>
        <v>0.19801980198019803</v>
      </c>
      <c r="H127" s="4" t="str">
        <f t="shared" si="20"/>
        <v/>
      </c>
      <c r="I127" s="4" t="str">
        <f t="shared" si="21"/>
        <v/>
      </c>
      <c r="J127" s="4" t="str">
        <f t="shared" si="22"/>
        <v/>
      </c>
      <c r="K127" s="4" t="str">
        <f t="shared" si="23"/>
        <v/>
      </c>
      <c r="L127" s="4" t="str">
        <f t="shared" si="24"/>
        <v/>
      </c>
      <c r="M127" s="4"/>
      <c r="N127" s="4"/>
      <c r="O127" s="4"/>
      <c r="P127" s="4"/>
      <c r="Q127" s="4"/>
      <c r="R127" s="4"/>
      <c r="S127" s="4"/>
      <c r="T127" s="4"/>
      <c r="U127" s="4"/>
    </row>
    <row r="128" spans="1:21">
      <c r="A128" t="s">
        <v>219</v>
      </c>
      <c r="B128">
        <v>20</v>
      </c>
      <c r="C128" t="str">
        <f t="shared" si="18"/>
        <v>test.Base64_20_</v>
      </c>
      <c r="D128">
        <v>2</v>
      </c>
      <c r="E128" s="4">
        <v>0.22772277227722773</v>
      </c>
      <c r="F128" s="4">
        <v>0.13621997471554995</v>
      </c>
      <c r="G128" s="4">
        <f t="shared" si="19"/>
        <v>0.22772277227722773</v>
      </c>
      <c r="H128" s="4" t="str">
        <f t="shared" si="20"/>
        <v/>
      </c>
      <c r="I128" s="4" t="str">
        <f t="shared" si="21"/>
        <v/>
      </c>
      <c r="J128" s="4" t="str">
        <f t="shared" si="22"/>
        <v/>
      </c>
      <c r="K128" s="4" t="str">
        <f t="shared" si="23"/>
        <v/>
      </c>
      <c r="L128" s="4" t="str">
        <f t="shared" si="24"/>
        <v/>
      </c>
      <c r="M128" s="4"/>
      <c r="N128" s="4"/>
      <c r="O128" s="4"/>
      <c r="P128" s="4"/>
      <c r="Q128" s="4"/>
      <c r="R128" s="4"/>
      <c r="S128" s="4"/>
      <c r="T128" s="4"/>
      <c r="U128" s="4"/>
    </row>
    <row r="129" spans="1:21">
      <c r="A129" t="s">
        <v>219</v>
      </c>
      <c r="B129">
        <v>20</v>
      </c>
      <c r="C129" t="str">
        <f t="shared" si="18"/>
        <v>test.Base64_20_</v>
      </c>
      <c r="D129">
        <v>3</v>
      </c>
      <c r="E129" s="4">
        <v>0.25742574257425743</v>
      </c>
      <c r="F129" s="4">
        <v>0.13874841972187105</v>
      </c>
      <c r="G129" s="4">
        <f t="shared" si="19"/>
        <v>0.25742574257425743</v>
      </c>
      <c r="H129" s="4" t="str">
        <f t="shared" si="20"/>
        <v/>
      </c>
      <c r="I129" s="4" t="str">
        <f t="shared" si="21"/>
        <v/>
      </c>
      <c r="J129" s="4" t="str">
        <f t="shared" si="22"/>
        <v/>
      </c>
      <c r="K129" s="4" t="str">
        <f t="shared" si="23"/>
        <v/>
      </c>
      <c r="L129" s="4" t="str">
        <f t="shared" si="24"/>
        <v/>
      </c>
      <c r="M129" s="4"/>
      <c r="N129" s="4"/>
      <c r="O129" s="4"/>
      <c r="P129" s="4"/>
      <c r="Q129" s="4"/>
      <c r="R129" s="4"/>
      <c r="S129" s="4"/>
      <c r="T129" s="4"/>
      <c r="U129" s="4"/>
    </row>
    <row r="130" spans="1:21">
      <c r="A130" t="s">
        <v>219</v>
      </c>
      <c r="B130">
        <v>20</v>
      </c>
      <c r="C130" t="str">
        <f t="shared" si="18"/>
        <v>test.Base64_20_</v>
      </c>
      <c r="D130">
        <v>4</v>
      </c>
      <c r="E130" s="4">
        <v>0.28712871287128711</v>
      </c>
      <c r="F130" s="4">
        <v>0.14348925410872312</v>
      </c>
      <c r="G130" s="4">
        <f t="shared" si="19"/>
        <v>0.28712871287128711</v>
      </c>
      <c r="H130" s="4" t="str">
        <f t="shared" si="20"/>
        <v/>
      </c>
      <c r="I130" s="4" t="str">
        <f t="shared" si="21"/>
        <v/>
      </c>
      <c r="J130" s="4" t="str">
        <f t="shared" si="22"/>
        <v/>
      </c>
      <c r="K130" s="4" t="str">
        <f t="shared" si="23"/>
        <v/>
      </c>
      <c r="L130" s="4" t="str">
        <f t="shared" si="24"/>
        <v/>
      </c>
      <c r="M130" s="4"/>
      <c r="N130" s="4"/>
      <c r="O130" s="4"/>
      <c r="P130" s="4"/>
      <c r="Q130" s="4"/>
      <c r="R130" s="4"/>
      <c r="S130" s="4"/>
      <c r="T130" s="4"/>
      <c r="U130" s="4"/>
    </row>
    <row r="131" spans="1:21">
      <c r="A131" t="s">
        <v>219</v>
      </c>
      <c r="B131">
        <v>20</v>
      </c>
      <c r="C131" t="str">
        <f t="shared" ref="C131:C194" si="25">CONCATENATE(A131, "_",B131,"_")</f>
        <v>test.Base64_20_</v>
      </c>
      <c r="D131">
        <v>5</v>
      </c>
      <c r="E131" s="4">
        <v>0.44554455445544555</v>
      </c>
      <c r="F131" s="4">
        <v>0.15265486725663716</v>
      </c>
      <c r="G131" s="4">
        <f t="shared" ref="G131:G194" si="26">IF($F131 &lt;= 0.2,$E131,"")</f>
        <v>0.44554455445544555</v>
      </c>
      <c r="H131" s="4" t="str">
        <f t="shared" ref="H131:H194" si="27">IF(AND($F131 &gt; 0.2,$F131 &lt;= 0.4),$E131,"")</f>
        <v/>
      </c>
      <c r="I131" s="4" t="str">
        <f t="shared" ref="I131:I194" si="28">IF(AND($F131 &gt; 0.4,$F131 &lt;= 0.6),$E131,"")</f>
        <v/>
      </c>
      <c r="J131" s="4" t="str">
        <f t="shared" ref="J131:J194" si="29">IF(AND($F131 &gt; 0.6,$F131 &lt;= 0.8),$E131,"")</f>
        <v/>
      </c>
      <c r="K131" s="4" t="str">
        <f t="shared" ref="K131:K194" si="30">IF(AND($F131 &gt; 0.8, $F131 &lt;=1.1),$E131,"")</f>
        <v/>
      </c>
      <c r="L131" s="4" t="str">
        <f t="shared" ref="L131:L194" si="31">IF(AND($F131 &gt; 1.1),$E131,"")</f>
        <v/>
      </c>
      <c r="M131" s="4"/>
      <c r="N131" s="4"/>
      <c r="O131" s="4"/>
      <c r="P131" s="4"/>
      <c r="Q131" s="4"/>
      <c r="R131" s="4"/>
      <c r="S131" s="4"/>
      <c r="T131" s="4"/>
      <c r="U131" s="4"/>
    </row>
    <row r="132" spans="1:21">
      <c r="A132" t="s">
        <v>219</v>
      </c>
      <c r="B132">
        <v>20</v>
      </c>
      <c r="C132" t="str">
        <f t="shared" si="25"/>
        <v>test.Base64_20_</v>
      </c>
      <c r="D132">
        <v>6</v>
      </c>
      <c r="E132" s="4">
        <v>0.44554455445544555</v>
      </c>
      <c r="F132" s="4">
        <v>0.15518331226295828</v>
      </c>
      <c r="G132" s="4">
        <f t="shared" si="26"/>
        <v>0.44554455445544555</v>
      </c>
      <c r="H132" s="4" t="str">
        <f t="shared" si="27"/>
        <v/>
      </c>
      <c r="I132" s="4" t="str">
        <f t="shared" si="28"/>
        <v/>
      </c>
      <c r="J132" s="4" t="str">
        <f t="shared" si="29"/>
        <v/>
      </c>
      <c r="K132" s="4" t="str">
        <f t="shared" si="30"/>
        <v/>
      </c>
      <c r="L132" s="4" t="str">
        <f t="shared" si="31"/>
        <v/>
      </c>
      <c r="M132" s="4"/>
      <c r="N132" s="4"/>
      <c r="O132" s="4"/>
      <c r="P132" s="4"/>
      <c r="Q132" s="4"/>
      <c r="R132" s="4"/>
      <c r="S132" s="4"/>
      <c r="T132" s="4"/>
      <c r="U132" s="4"/>
    </row>
    <row r="133" spans="1:21">
      <c r="A133" t="s">
        <v>219</v>
      </c>
      <c r="B133">
        <v>20</v>
      </c>
      <c r="C133" t="str">
        <f t="shared" si="25"/>
        <v>test.Base64_20_</v>
      </c>
      <c r="D133">
        <v>7</v>
      </c>
      <c r="E133" s="4">
        <v>0.52475247524752477</v>
      </c>
      <c r="F133" s="4">
        <v>0.15771175726927938</v>
      </c>
      <c r="G133" s="4">
        <f t="shared" si="26"/>
        <v>0.52475247524752477</v>
      </c>
      <c r="H133" s="4" t="str">
        <f t="shared" si="27"/>
        <v/>
      </c>
      <c r="I133" s="4" t="str">
        <f t="shared" si="28"/>
        <v/>
      </c>
      <c r="J133" s="4" t="str">
        <f t="shared" si="29"/>
        <v/>
      </c>
      <c r="K133" s="4" t="str">
        <f t="shared" si="30"/>
        <v/>
      </c>
      <c r="L133" s="4" t="str">
        <f t="shared" si="31"/>
        <v/>
      </c>
      <c r="M133" s="4"/>
      <c r="N133" s="4"/>
      <c r="O133" s="4"/>
      <c r="P133" s="4"/>
      <c r="Q133" s="4"/>
      <c r="R133" s="4"/>
      <c r="S133" s="4"/>
      <c r="T133" s="4"/>
      <c r="U133" s="4"/>
    </row>
    <row r="134" spans="1:21">
      <c r="A134" t="s">
        <v>219</v>
      </c>
      <c r="B134">
        <v>20</v>
      </c>
      <c r="C134" t="str">
        <f t="shared" si="25"/>
        <v>test.Base64_20_</v>
      </c>
      <c r="D134">
        <v>8</v>
      </c>
      <c r="E134" s="4">
        <v>0.52475247524752477</v>
      </c>
      <c r="F134" s="4">
        <v>0.16371681415929204</v>
      </c>
      <c r="G134" s="4">
        <f t="shared" si="26"/>
        <v>0.52475247524752477</v>
      </c>
      <c r="H134" s="4" t="str">
        <f t="shared" si="27"/>
        <v/>
      </c>
      <c r="I134" s="4" t="str">
        <f t="shared" si="28"/>
        <v/>
      </c>
      <c r="J134" s="4" t="str">
        <f t="shared" si="29"/>
        <v/>
      </c>
      <c r="K134" s="4" t="str">
        <f t="shared" si="30"/>
        <v/>
      </c>
      <c r="L134" s="4" t="str">
        <f t="shared" si="31"/>
        <v/>
      </c>
      <c r="M134" s="4"/>
      <c r="N134" s="4"/>
      <c r="O134" s="4"/>
      <c r="P134" s="4"/>
      <c r="Q134" s="4"/>
      <c r="R134" s="4"/>
      <c r="S134" s="4"/>
      <c r="T134" s="4"/>
      <c r="U134" s="4"/>
    </row>
    <row r="135" spans="1:21">
      <c r="A135" t="s">
        <v>219</v>
      </c>
      <c r="B135">
        <v>20</v>
      </c>
      <c r="C135" t="str">
        <f t="shared" si="25"/>
        <v>test.Base64_20_</v>
      </c>
      <c r="D135">
        <v>9</v>
      </c>
      <c r="E135" s="4">
        <v>0.52475247524752477</v>
      </c>
      <c r="F135" s="4">
        <v>0.16687737041719342</v>
      </c>
      <c r="G135" s="4">
        <f t="shared" si="26"/>
        <v>0.52475247524752477</v>
      </c>
      <c r="H135" s="4" t="str">
        <f t="shared" si="27"/>
        <v/>
      </c>
      <c r="I135" s="4" t="str">
        <f t="shared" si="28"/>
        <v/>
      </c>
      <c r="J135" s="4" t="str">
        <f t="shared" si="29"/>
        <v/>
      </c>
      <c r="K135" s="4" t="str">
        <f t="shared" si="30"/>
        <v/>
      </c>
      <c r="L135" s="4" t="str">
        <f t="shared" si="31"/>
        <v/>
      </c>
      <c r="M135" s="4"/>
      <c r="N135" s="4"/>
      <c r="O135" s="4"/>
      <c r="P135" s="4"/>
      <c r="Q135" s="4"/>
      <c r="R135" s="4"/>
      <c r="S135" s="4"/>
      <c r="T135" s="4"/>
      <c r="U135" s="4"/>
    </row>
    <row r="136" spans="1:21">
      <c r="A136" t="s">
        <v>219</v>
      </c>
      <c r="B136">
        <v>20</v>
      </c>
      <c r="C136" t="str">
        <f t="shared" si="25"/>
        <v>test.Base64_20_</v>
      </c>
      <c r="D136">
        <v>10</v>
      </c>
      <c r="E136" s="4">
        <v>0.52475247524752477</v>
      </c>
      <c r="F136" s="4">
        <v>0.17983565107458913</v>
      </c>
      <c r="G136" s="4">
        <f t="shared" si="26"/>
        <v>0.52475247524752477</v>
      </c>
      <c r="H136" s="4" t="str">
        <f t="shared" si="27"/>
        <v/>
      </c>
      <c r="I136" s="4" t="str">
        <f t="shared" si="28"/>
        <v/>
      </c>
      <c r="J136" s="4" t="str">
        <f t="shared" si="29"/>
        <v/>
      </c>
      <c r="K136" s="4" t="str">
        <f t="shared" si="30"/>
        <v/>
      </c>
      <c r="L136" s="4" t="str">
        <f t="shared" si="31"/>
        <v/>
      </c>
      <c r="M136" s="4"/>
      <c r="N136" s="4"/>
      <c r="O136" s="4"/>
      <c r="P136" s="4"/>
      <c r="Q136" s="4"/>
      <c r="R136" s="4"/>
      <c r="S136" s="4"/>
      <c r="T136" s="4"/>
      <c r="U136" s="4"/>
    </row>
    <row r="137" spans="1:21">
      <c r="A137" t="s">
        <v>219</v>
      </c>
      <c r="B137">
        <v>20</v>
      </c>
      <c r="C137" t="str">
        <f t="shared" si="25"/>
        <v>test.Base64_20_</v>
      </c>
      <c r="D137">
        <v>11</v>
      </c>
      <c r="E137" s="4">
        <v>0.52475247524752477</v>
      </c>
      <c r="F137" s="4">
        <v>0.18015170670037928</v>
      </c>
      <c r="G137" s="4">
        <f t="shared" si="26"/>
        <v>0.52475247524752477</v>
      </c>
      <c r="H137" s="4" t="str">
        <f t="shared" si="27"/>
        <v/>
      </c>
      <c r="I137" s="4" t="str">
        <f t="shared" si="28"/>
        <v/>
      </c>
      <c r="J137" s="4" t="str">
        <f t="shared" si="29"/>
        <v/>
      </c>
      <c r="K137" s="4" t="str">
        <f t="shared" si="30"/>
        <v/>
      </c>
      <c r="L137" s="4" t="str">
        <f t="shared" si="31"/>
        <v/>
      </c>
      <c r="M137" s="4"/>
      <c r="N137" s="4"/>
      <c r="O137" s="4"/>
      <c r="P137" s="4"/>
      <c r="Q137" s="4"/>
      <c r="R137" s="4"/>
      <c r="S137" s="4"/>
      <c r="T137" s="4"/>
      <c r="U137" s="4"/>
    </row>
    <row r="138" spans="1:21">
      <c r="A138" t="s">
        <v>219</v>
      </c>
      <c r="B138">
        <v>20</v>
      </c>
      <c r="C138" t="str">
        <f t="shared" si="25"/>
        <v>test.Base64_20_</v>
      </c>
      <c r="D138">
        <v>12</v>
      </c>
      <c r="E138" s="4">
        <v>0.52475247524752477</v>
      </c>
      <c r="F138" s="4">
        <v>0.18078381795195955</v>
      </c>
      <c r="G138" s="4">
        <f t="shared" si="26"/>
        <v>0.52475247524752477</v>
      </c>
      <c r="H138" s="4" t="str">
        <f t="shared" si="27"/>
        <v/>
      </c>
      <c r="I138" s="4" t="str">
        <f t="shared" si="28"/>
        <v/>
      </c>
      <c r="J138" s="4" t="str">
        <f t="shared" si="29"/>
        <v/>
      </c>
      <c r="K138" s="4" t="str">
        <f t="shared" si="30"/>
        <v/>
      </c>
      <c r="L138" s="4" t="str">
        <f t="shared" si="31"/>
        <v/>
      </c>
      <c r="M138" s="4"/>
      <c r="N138" s="4"/>
      <c r="O138" s="4"/>
      <c r="P138" s="4"/>
      <c r="Q138" s="4"/>
      <c r="R138" s="4"/>
      <c r="S138" s="4"/>
      <c r="T138" s="4"/>
      <c r="U138" s="4"/>
    </row>
    <row r="139" spans="1:21">
      <c r="A139" t="s">
        <v>219</v>
      </c>
      <c r="B139">
        <v>20</v>
      </c>
      <c r="C139" t="str">
        <f t="shared" si="25"/>
        <v>test.Base64_20_</v>
      </c>
      <c r="D139">
        <v>13</v>
      </c>
      <c r="E139" s="4">
        <v>0.70297029702970293</v>
      </c>
      <c r="F139" s="4">
        <v>0.20227560050568899</v>
      </c>
      <c r="G139" s="4" t="str">
        <f t="shared" si="26"/>
        <v/>
      </c>
      <c r="H139" s="4">
        <f t="shared" si="27"/>
        <v>0.70297029702970293</v>
      </c>
      <c r="I139" s="4" t="str">
        <f t="shared" si="28"/>
        <v/>
      </c>
      <c r="J139" s="4" t="str">
        <f t="shared" si="29"/>
        <v/>
      </c>
      <c r="K139" s="4" t="str">
        <f t="shared" si="30"/>
        <v/>
      </c>
      <c r="L139" s="4" t="str">
        <f t="shared" si="31"/>
        <v/>
      </c>
      <c r="M139" s="4"/>
      <c r="N139" s="4"/>
      <c r="O139" s="4"/>
      <c r="P139" s="4"/>
      <c r="Q139" s="4"/>
      <c r="R139" s="4"/>
      <c r="S139" s="4"/>
      <c r="T139" s="4"/>
      <c r="U139" s="4"/>
    </row>
    <row r="140" spans="1:21">
      <c r="A140" t="s">
        <v>219</v>
      </c>
      <c r="B140">
        <v>20</v>
      </c>
      <c r="C140" t="str">
        <f t="shared" si="25"/>
        <v>test.Base64_20_</v>
      </c>
      <c r="D140">
        <v>14</v>
      </c>
      <c r="E140" s="4">
        <v>0.70297029702970293</v>
      </c>
      <c r="F140" s="4">
        <v>0.20417193426042984</v>
      </c>
      <c r="G140" s="4" t="str">
        <f t="shared" si="26"/>
        <v/>
      </c>
      <c r="H140" s="4">
        <f t="shared" si="27"/>
        <v>0.70297029702970293</v>
      </c>
      <c r="I140" s="4" t="str">
        <f t="shared" si="28"/>
        <v/>
      </c>
      <c r="J140" s="4" t="str">
        <f t="shared" si="29"/>
        <v/>
      </c>
      <c r="K140" s="4" t="str">
        <f t="shared" si="30"/>
        <v/>
      </c>
      <c r="L140" s="4" t="str">
        <f t="shared" si="31"/>
        <v/>
      </c>
      <c r="M140" s="4"/>
      <c r="N140" s="4"/>
      <c r="O140" s="4"/>
      <c r="P140" s="4"/>
      <c r="Q140" s="4"/>
      <c r="R140" s="4"/>
      <c r="S140" s="4"/>
      <c r="T140" s="4"/>
      <c r="U140" s="4"/>
    </row>
    <row r="141" spans="1:21">
      <c r="A141" t="s">
        <v>219</v>
      </c>
      <c r="B141">
        <v>20</v>
      </c>
      <c r="C141" t="str">
        <f t="shared" si="25"/>
        <v>test.Base64_20_</v>
      </c>
      <c r="D141">
        <v>15</v>
      </c>
      <c r="E141" s="4">
        <v>0.70297029702970293</v>
      </c>
      <c r="F141" s="4">
        <v>0.20922882427307207</v>
      </c>
      <c r="G141" s="4" t="str">
        <f t="shared" si="26"/>
        <v/>
      </c>
      <c r="H141" s="4">
        <f t="shared" si="27"/>
        <v>0.70297029702970293</v>
      </c>
      <c r="I141" s="4" t="str">
        <f t="shared" si="28"/>
        <v/>
      </c>
      <c r="J141" s="4" t="str">
        <f t="shared" si="29"/>
        <v/>
      </c>
      <c r="K141" s="4" t="str">
        <f t="shared" si="30"/>
        <v/>
      </c>
      <c r="L141" s="4" t="str">
        <f t="shared" si="31"/>
        <v/>
      </c>
      <c r="M141" s="4"/>
      <c r="N141" s="4"/>
      <c r="O141" s="4"/>
      <c r="P141" s="4"/>
      <c r="Q141" s="4"/>
      <c r="R141" s="4"/>
      <c r="S141" s="4"/>
      <c r="T141" s="4"/>
      <c r="U141" s="4"/>
    </row>
    <row r="142" spans="1:21">
      <c r="A142" t="s">
        <v>219</v>
      </c>
      <c r="B142">
        <v>20</v>
      </c>
      <c r="C142" t="str">
        <f t="shared" si="25"/>
        <v>test.Base64_20_</v>
      </c>
      <c r="D142">
        <v>16</v>
      </c>
      <c r="E142" s="4">
        <v>0.70297029702970293</v>
      </c>
      <c r="F142" s="4">
        <v>0.21586599241466498</v>
      </c>
      <c r="G142" s="4" t="str">
        <f t="shared" si="26"/>
        <v/>
      </c>
      <c r="H142" s="4">
        <f t="shared" si="27"/>
        <v>0.70297029702970293</v>
      </c>
      <c r="I142" s="4" t="str">
        <f t="shared" si="28"/>
        <v/>
      </c>
      <c r="J142" s="4" t="str">
        <f t="shared" si="29"/>
        <v/>
      </c>
      <c r="K142" s="4" t="str">
        <f t="shared" si="30"/>
        <v/>
      </c>
      <c r="L142" s="4" t="str">
        <f t="shared" si="31"/>
        <v/>
      </c>
      <c r="M142" s="4"/>
      <c r="N142" s="4"/>
      <c r="O142" s="4"/>
      <c r="P142" s="4"/>
      <c r="Q142" s="4"/>
      <c r="R142" s="4"/>
      <c r="S142" s="4"/>
      <c r="T142" s="4"/>
      <c r="U142" s="4"/>
    </row>
    <row r="143" spans="1:21">
      <c r="A143" t="s">
        <v>219</v>
      </c>
      <c r="B143">
        <v>20</v>
      </c>
      <c r="C143" t="str">
        <f t="shared" si="25"/>
        <v>test.Base64_20_</v>
      </c>
      <c r="D143">
        <v>17</v>
      </c>
      <c r="E143" s="4">
        <v>0.70297029702970293</v>
      </c>
      <c r="F143" s="4">
        <v>0.21776232616940583</v>
      </c>
      <c r="G143" s="4" t="str">
        <f t="shared" si="26"/>
        <v/>
      </c>
      <c r="H143" s="4">
        <f t="shared" si="27"/>
        <v>0.70297029702970293</v>
      </c>
      <c r="I143" s="4" t="str">
        <f t="shared" si="28"/>
        <v/>
      </c>
      <c r="J143" s="4" t="str">
        <f t="shared" si="29"/>
        <v/>
      </c>
      <c r="K143" s="4" t="str">
        <f t="shared" si="30"/>
        <v/>
      </c>
      <c r="L143" s="4" t="str">
        <f t="shared" si="31"/>
        <v/>
      </c>
      <c r="M143" s="4"/>
      <c r="N143" s="4"/>
      <c r="O143" s="4"/>
      <c r="P143" s="4"/>
      <c r="Q143" s="4"/>
      <c r="R143" s="4"/>
      <c r="S143" s="4"/>
      <c r="T143" s="4"/>
      <c r="U143" s="4"/>
    </row>
    <row r="144" spans="1:21">
      <c r="A144" t="s">
        <v>219</v>
      </c>
      <c r="B144">
        <v>20</v>
      </c>
      <c r="C144" t="str">
        <f t="shared" si="25"/>
        <v>test.Base64_20_</v>
      </c>
      <c r="D144">
        <v>18</v>
      </c>
      <c r="E144" s="4">
        <v>0.70297029702970293</v>
      </c>
      <c r="F144" s="4">
        <v>0.22756005056890014</v>
      </c>
      <c r="G144" s="4" t="str">
        <f t="shared" si="26"/>
        <v/>
      </c>
      <c r="H144" s="4">
        <f t="shared" si="27"/>
        <v>0.70297029702970293</v>
      </c>
      <c r="I144" s="4" t="str">
        <f t="shared" si="28"/>
        <v/>
      </c>
      <c r="J144" s="4" t="str">
        <f t="shared" si="29"/>
        <v/>
      </c>
      <c r="K144" s="4" t="str">
        <f t="shared" si="30"/>
        <v/>
      </c>
      <c r="L144" s="4" t="str">
        <f t="shared" si="31"/>
        <v/>
      </c>
      <c r="M144" s="4"/>
      <c r="N144" s="4"/>
      <c r="O144" s="4"/>
      <c r="P144" s="4"/>
      <c r="Q144" s="4"/>
      <c r="R144" s="4"/>
      <c r="S144" s="4"/>
      <c r="T144" s="4"/>
      <c r="U144" s="4"/>
    </row>
    <row r="145" spans="1:21">
      <c r="A145" t="s">
        <v>219</v>
      </c>
      <c r="B145">
        <v>20</v>
      </c>
      <c r="C145" t="str">
        <f t="shared" si="25"/>
        <v>test.Base64_20_</v>
      </c>
      <c r="D145">
        <v>19</v>
      </c>
      <c r="E145" s="4">
        <v>0.70297029702970293</v>
      </c>
      <c r="F145" s="4">
        <v>0.23830594184576487</v>
      </c>
      <c r="G145" s="4" t="str">
        <f t="shared" si="26"/>
        <v/>
      </c>
      <c r="H145" s="4">
        <f t="shared" si="27"/>
        <v>0.70297029702970293</v>
      </c>
      <c r="I145" s="4" t="str">
        <f t="shared" si="28"/>
        <v/>
      </c>
      <c r="J145" s="4" t="str">
        <f t="shared" si="29"/>
        <v/>
      </c>
      <c r="K145" s="4" t="str">
        <f t="shared" si="30"/>
        <v/>
      </c>
      <c r="L145" s="4" t="str">
        <f t="shared" si="31"/>
        <v/>
      </c>
      <c r="M145" s="4"/>
      <c r="N145" s="4"/>
      <c r="O145" s="4"/>
      <c r="P145" s="4"/>
      <c r="Q145" s="4"/>
      <c r="R145" s="4"/>
      <c r="S145" s="4"/>
      <c r="T145" s="4"/>
      <c r="U145" s="4"/>
    </row>
    <row r="146" spans="1:21">
      <c r="A146" t="s">
        <v>219</v>
      </c>
      <c r="B146">
        <v>20</v>
      </c>
      <c r="C146" t="str">
        <f t="shared" si="25"/>
        <v>test.Base64_20_</v>
      </c>
      <c r="D146">
        <v>20</v>
      </c>
      <c r="E146" s="4">
        <v>0.70297029702970293</v>
      </c>
      <c r="F146" s="4">
        <v>0.23925410872313527</v>
      </c>
      <c r="G146" s="4" t="str">
        <f t="shared" si="26"/>
        <v/>
      </c>
      <c r="H146" s="4">
        <f t="shared" si="27"/>
        <v>0.70297029702970293</v>
      </c>
      <c r="I146" s="4" t="str">
        <f t="shared" si="28"/>
        <v/>
      </c>
      <c r="J146" s="4" t="str">
        <f t="shared" si="29"/>
        <v/>
      </c>
      <c r="K146" s="4" t="str">
        <f t="shared" si="30"/>
        <v/>
      </c>
      <c r="L146" s="4" t="str">
        <f t="shared" si="31"/>
        <v/>
      </c>
      <c r="M146" s="4"/>
      <c r="N146" s="4"/>
      <c r="O146" s="4"/>
      <c r="P146" s="4"/>
      <c r="Q146" s="4"/>
      <c r="R146" s="4"/>
      <c r="S146" s="4"/>
      <c r="T146" s="4"/>
      <c r="U146" s="4"/>
    </row>
    <row r="147" spans="1:21">
      <c r="A147" t="s">
        <v>219</v>
      </c>
      <c r="B147">
        <v>20</v>
      </c>
      <c r="C147" t="str">
        <f t="shared" si="25"/>
        <v>test.Base64_20_</v>
      </c>
      <c r="D147">
        <v>21</v>
      </c>
      <c r="E147" s="4">
        <v>0.70297029702970293</v>
      </c>
      <c r="F147" s="4">
        <v>0.25379266750948165</v>
      </c>
      <c r="G147" s="4" t="str">
        <f t="shared" si="26"/>
        <v/>
      </c>
      <c r="H147" s="4">
        <f t="shared" si="27"/>
        <v>0.70297029702970293</v>
      </c>
      <c r="I147" s="4" t="str">
        <f t="shared" si="28"/>
        <v/>
      </c>
      <c r="J147" s="4" t="str">
        <f t="shared" si="29"/>
        <v/>
      </c>
      <c r="K147" s="4" t="str">
        <f t="shared" si="30"/>
        <v/>
      </c>
      <c r="L147" s="4" t="str">
        <f t="shared" si="31"/>
        <v/>
      </c>
      <c r="M147" s="4"/>
      <c r="N147" s="4"/>
      <c r="O147" s="4"/>
      <c r="P147" s="4"/>
      <c r="Q147" s="4"/>
      <c r="R147" s="4"/>
      <c r="S147" s="4"/>
      <c r="T147" s="4"/>
      <c r="U147" s="4"/>
    </row>
    <row r="148" spans="1:21">
      <c r="A148" t="s">
        <v>219</v>
      </c>
      <c r="B148">
        <v>20</v>
      </c>
      <c r="C148" t="str">
        <f t="shared" si="25"/>
        <v>test.Base64_20_</v>
      </c>
      <c r="D148">
        <v>22</v>
      </c>
      <c r="E148" s="4">
        <v>0.70297029702970293</v>
      </c>
      <c r="F148" s="4">
        <v>0.3966498103666245</v>
      </c>
      <c r="G148" s="4" t="str">
        <f t="shared" si="26"/>
        <v/>
      </c>
      <c r="H148" s="4">
        <f t="shared" si="27"/>
        <v>0.70297029702970293</v>
      </c>
      <c r="I148" s="4" t="str">
        <f t="shared" si="28"/>
        <v/>
      </c>
      <c r="J148" s="4" t="str">
        <f t="shared" si="29"/>
        <v/>
      </c>
      <c r="K148" s="4" t="str">
        <f t="shared" si="30"/>
        <v/>
      </c>
      <c r="L148" s="4" t="str">
        <f t="shared" si="31"/>
        <v/>
      </c>
      <c r="M148" s="4"/>
      <c r="N148" s="4"/>
      <c r="O148" s="4"/>
      <c r="P148" s="4"/>
      <c r="Q148" s="4"/>
      <c r="R148" s="4"/>
      <c r="S148" s="4"/>
      <c r="T148" s="4"/>
      <c r="U148" s="4"/>
    </row>
    <row r="149" spans="1:21">
      <c r="A149" t="s">
        <v>219</v>
      </c>
      <c r="B149">
        <v>20</v>
      </c>
      <c r="C149" t="str">
        <f t="shared" si="25"/>
        <v>test.Base64_20_</v>
      </c>
      <c r="D149">
        <v>23</v>
      </c>
      <c r="E149" s="4">
        <v>1</v>
      </c>
      <c r="F149" s="4">
        <v>0.81352718078381792</v>
      </c>
      <c r="G149" s="4" t="str">
        <f t="shared" si="26"/>
        <v/>
      </c>
      <c r="H149" s="4" t="str">
        <f t="shared" si="27"/>
        <v/>
      </c>
      <c r="I149" s="4" t="str">
        <f t="shared" si="28"/>
        <v/>
      </c>
      <c r="J149" s="4" t="str">
        <f t="shared" si="29"/>
        <v/>
      </c>
      <c r="K149" s="4">
        <f t="shared" si="30"/>
        <v>1</v>
      </c>
      <c r="L149" s="4" t="str">
        <f t="shared" si="31"/>
        <v/>
      </c>
      <c r="M149" s="4"/>
      <c r="N149" s="4"/>
      <c r="O149" s="4"/>
      <c r="P149" s="4"/>
      <c r="Q149" s="4"/>
      <c r="R149" s="4"/>
      <c r="S149" s="4"/>
      <c r="T149" s="4"/>
      <c r="U149" s="4"/>
    </row>
    <row r="150" spans="1:21">
      <c r="A150" t="s">
        <v>219</v>
      </c>
      <c r="B150">
        <v>20</v>
      </c>
      <c r="C150" t="str">
        <f t="shared" si="25"/>
        <v>test.Base64_20_</v>
      </c>
      <c r="D150">
        <v>24</v>
      </c>
      <c r="E150" s="4">
        <v>1</v>
      </c>
      <c r="F150" s="4">
        <v>0.81479140328697852</v>
      </c>
      <c r="G150" s="4" t="str">
        <f t="shared" si="26"/>
        <v/>
      </c>
      <c r="H150" s="4" t="str">
        <f t="shared" si="27"/>
        <v/>
      </c>
      <c r="I150" s="4" t="str">
        <f t="shared" si="28"/>
        <v/>
      </c>
      <c r="J150" s="4" t="str">
        <f t="shared" si="29"/>
        <v/>
      </c>
      <c r="K150" s="4">
        <f t="shared" si="30"/>
        <v>1</v>
      </c>
      <c r="L150" s="4" t="str">
        <f t="shared" si="31"/>
        <v/>
      </c>
      <c r="M150" s="4"/>
      <c r="N150" s="4"/>
      <c r="O150" s="4"/>
      <c r="P150" s="4"/>
      <c r="Q150" s="4"/>
      <c r="R150" s="4"/>
      <c r="S150" s="4"/>
      <c r="T150" s="4"/>
      <c r="U150" s="4"/>
    </row>
    <row r="151" spans="1:21">
      <c r="A151" t="s">
        <v>219</v>
      </c>
      <c r="B151">
        <v>20</v>
      </c>
      <c r="C151" t="str">
        <f t="shared" si="25"/>
        <v>test.Base64_20_</v>
      </c>
      <c r="D151">
        <v>25</v>
      </c>
      <c r="E151" s="4">
        <v>1</v>
      </c>
      <c r="F151" s="4">
        <v>0.81984829329962072</v>
      </c>
      <c r="G151" s="4" t="str">
        <f t="shared" si="26"/>
        <v/>
      </c>
      <c r="H151" s="4" t="str">
        <f t="shared" si="27"/>
        <v/>
      </c>
      <c r="I151" s="4" t="str">
        <f t="shared" si="28"/>
        <v/>
      </c>
      <c r="J151" s="4" t="str">
        <f t="shared" si="29"/>
        <v/>
      </c>
      <c r="K151" s="4">
        <f t="shared" si="30"/>
        <v>1</v>
      </c>
      <c r="L151" s="4" t="str">
        <f t="shared" si="31"/>
        <v/>
      </c>
      <c r="M151" s="4"/>
      <c r="N151" s="4"/>
      <c r="O151" s="4"/>
      <c r="P151" s="4"/>
      <c r="Q151" s="4"/>
      <c r="R151" s="4"/>
      <c r="S151" s="4"/>
      <c r="T151" s="4"/>
      <c r="U151" s="4"/>
    </row>
    <row r="152" spans="1:21">
      <c r="A152" t="s">
        <v>219</v>
      </c>
      <c r="B152">
        <v>20</v>
      </c>
      <c r="C152" t="str">
        <f t="shared" si="25"/>
        <v>test.Base64_20_</v>
      </c>
      <c r="D152">
        <v>26</v>
      </c>
      <c r="E152" s="4">
        <v>1</v>
      </c>
      <c r="F152" s="4">
        <v>0.83059418457648548</v>
      </c>
      <c r="G152" s="4" t="str">
        <f t="shared" si="26"/>
        <v/>
      </c>
      <c r="H152" s="4" t="str">
        <f t="shared" si="27"/>
        <v/>
      </c>
      <c r="I152" s="4" t="str">
        <f t="shared" si="28"/>
        <v/>
      </c>
      <c r="J152" s="4" t="str">
        <f t="shared" si="29"/>
        <v/>
      </c>
      <c r="K152" s="4">
        <f t="shared" si="30"/>
        <v>1</v>
      </c>
      <c r="L152" s="4" t="str">
        <f t="shared" si="31"/>
        <v/>
      </c>
      <c r="M152" s="4"/>
      <c r="N152" s="4"/>
      <c r="O152" s="4"/>
      <c r="P152" s="4"/>
      <c r="Q152" s="4"/>
      <c r="R152" s="4"/>
      <c r="S152" s="4"/>
      <c r="T152" s="4"/>
      <c r="U152" s="4"/>
    </row>
    <row r="153" spans="1:21">
      <c r="A153" t="s">
        <v>219</v>
      </c>
      <c r="B153">
        <v>20</v>
      </c>
      <c r="C153" t="str">
        <f t="shared" si="25"/>
        <v>test.Base64_20_</v>
      </c>
      <c r="D153">
        <v>27</v>
      </c>
      <c r="E153" s="4">
        <v>1</v>
      </c>
      <c r="F153" s="4">
        <v>0.83407079646017701</v>
      </c>
      <c r="G153" s="4" t="str">
        <f t="shared" si="26"/>
        <v/>
      </c>
      <c r="H153" s="4" t="str">
        <f t="shared" si="27"/>
        <v/>
      </c>
      <c r="I153" s="4" t="str">
        <f t="shared" si="28"/>
        <v/>
      </c>
      <c r="J153" s="4" t="str">
        <f t="shared" si="29"/>
        <v/>
      </c>
      <c r="K153" s="4">
        <f t="shared" si="30"/>
        <v>1</v>
      </c>
      <c r="L153" s="4" t="str">
        <f t="shared" si="31"/>
        <v/>
      </c>
      <c r="M153" s="4"/>
      <c r="N153" s="4"/>
      <c r="O153" s="4"/>
      <c r="P153" s="4"/>
      <c r="Q153" s="4"/>
      <c r="R153" s="4"/>
      <c r="S153" s="4"/>
      <c r="T153" s="4"/>
      <c r="U153" s="4"/>
    </row>
    <row r="154" spans="1:21">
      <c r="A154" t="s">
        <v>219</v>
      </c>
      <c r="B154">
        <v>20</v>
      </c>
      <c r="C154" t="str">
        <f t="shared" si="25"/>
        <v>test.Base64_20_</v>
      </c>
      <c r="D154">
        <v>28</v>
      </c>
      <c r="E154" s="4">
        <v>1</v>
      </c>
      <c r="F154" s="4">
        <v>0.83881163084702903</v>
      </c>
      <c r="G154" s="4" t="str">
        <f t="shared" si="26"/>
        <v/>
      </c>
      <c r="H154" s="4" t="str">
        <f t="shared" si="27"/>
        <v/>
      </c>
      <c r="I154" s="4" t="str">
        <f t="shared" si="28"/>
        <v/>
      </c>
      <c r="J154" s="4" t="str">
        <f t="shared" si="29"/>
        <v/>
      </c>
      <c r="K154" s="4">
        <f t="shared" si="30"/>
        <v>1</v>
      </c>
      <c r="L154" s="4" t="str">
        <f t="shared" si="31"/>
        <v/>
      </c>
      <c r="M154" s="4"/>
      <c r="N154" s="4"/>
      <c r="O154" s="4"/>
      <c r="P154" s="4"/>
      <c r="Q154" s="4"/>
      <c r="R154" s="4"/>
      <c r="S154" s="4"/>
      <c r="T154" s="4"/>
      <c r="U154" s="4"/>
    </row>
    <row r="155" spans="1:21">
      <c r="A155" t="s">
        <v>219</v>
      </c>
      <c r="B155">
        <v>20</v>
      </c>
      <c r="C155" t="str">
        <f t="shared" si="25"/>
        <v>test.Base64_20_</v>
      </c>
      <c r="D155">
        <v>29</v>
      </c>
      <c r="E155" s="4">
        <v>1</v>
      </c>
      <c r="F155" s="4">
        <v>0.86757269279393168</v>
      </c>
      <c r="G155" s="4" t="str">
        <f t="shared" si="26"/>
        <v/>
      </c>
      <c r="H155" s="4" t="str">
        <f t="shared" si="27"/>
        <v/>
      </c>
      <c r="I155" s="4" t="str">
        <f t="shared" si="28"/>
        <v/>
      </c>
      <c r="J155" s="4" t="str">
        <f t="shared" si="29"/>
        <v/>
      </c>
      <c r="K155" s="4">
        <f t="shared" si="30"/>
        <v>1</v>
      </c>
      <c r="L155" s="4" t="str">
        <f t="shared" si="31"/>
        <v/>
      </c>
      <c r="M155" s="4"/>
      <c r="N155" s="4"/>
      <c r="O155" s="4"/>
      <c r="P155" s="4"/>
      <c r="Q155" s="4"/>
      <c r="R155" s="4"/>
      <c r="S155" s="4"/>
      <c r="T155" s="4"/>
      <c r="U155" s="4"/>
    </row>
    <row r="156" spans="1:21">
      <c r="A156" t="s">
        <v>219</v>
      </c>
      <c r="B156">
        <v>20</v>
      </c>
      <c r="C156" t="str">
        <f t="shared" si="25"/>
        <v>test.Base64_20_</v>
      </c>
      <c r="D156">
        <v>30</v>
      </c>
      <c r="E156" s="4">
        <v>1</v>
      </c>
      <c r="F156" s="4">
        <v>0.88211125158027814</v>
      </c>
      <c r="G156" s="4" t="str">
        <f t="shared" si="26"/>
        <v/>
      </c>
      <c r="H156" s="4" t="str">
        <f t="shared" si="27"/>
        <v/>
      </c>
      <c r="I156" s="4" t="str">
        <f t="shared" si="28"/>
        <v/>
      </c>
      <c r="J156" s="4" t="str">
        <f t="shared" si="29"/>
        <v/>
      </c>
      <c r="K156" s="4">
        <f t="shared" si="30"/>
        <v>1</v>
      </c>
      <c r="L156" s="4" t="str">
        <f t="shared" si="31"/>
        <v/>
      </c>
      <c r="M156" s="4"/>
      <c r="N156" s="4"/>
      <c r="O156" s="4"/>
      <c r="P156" s="4"/>
      <c r="Q156" s="4"/>
      <c r="R156" s="4"/>
      <c r="S156" s="4"/>
      <c r="T156" s="4"/>
      <c r="U156" s="4"/>
    </row>
    <row r="157" spans="1:21">
      <c r="A157" t="s">
        <v>219</v>
      </c>
      <c r="B157">
        <v>20</v>
      </c>
      <c r="C157" t="str">
        <f t="shared" si="25"/>
        <v>test.Base64_20_</v>
      </c>
      <c r="D157">
        <v>31</v>
      </c>
      <c r="E157" s="4">
        <v>1</v>
      </c>
      <c r="F157" s="4">
        <v>0.88369152970922882</v>
      </c>
      <c r="G157" s="4" t="str">
        <f t="shared" si="26"/>
        <v/>
      </c>
      <c r="H157" s="4" t="str">
        <f t="shared" si="27"/>
        <v/>
      </c>
      <c r="I157" s="4" t="str">
        <f t="shared" si="28"/>
        <v/>
      </c>
      <c r="J157" s="4" t="str">
        <f t="shared" si="29"/>
        <v/>
      </c>
      <c r="K157" s="4">
        <f t="shared" si="30"/>
        <v>1</v>
      </c>
      <c r="L157" s="4" t="str">
        <f t="shared" si="31"/>
        <v/>
      </c>
      <c r="M157" s="4"/>
      <c r="N157" s="4"/>
      <c r="O157" s="4"/>
      <c r="P157" s="4"/>
      <c r="Q157" s="4"/>
      <c r="R157" s="4"/>
      <c r="S157" s="4"/>
      <c r="T157" s="4"/>
      <c r="U157" s="4"/>
    </row>
    <row r="158" spans="1:21">
      <c r="A158" t="s">
        <v>219</v>
      </c>
      <c r="B158">
        <v>20</v>
      </c>
      <c r="C158" t="str">
        <f t="shared" si="25"/>
        <v>test.Base64_20_</v>
      </c>
      <c r="D158">
        <v>32</v>
      </c>
      <c r="E158" s="4">
        <v>1</v>
      </c>
      <c r="F158" s="4">
        <v>0.91466498103666249</v>
      </c>
      <c r="G158" s="4" t="str">
        <f t="shared" si="26"/>
        <v/>
      </c>
      <c r="H158" s="4" t="str">
        <f t="shared" si="27"/>
        <v/>
      </c>
      <c r="I158" s="4" t="str">
        <f t="shared" si="28"/>
        <v/>
      </c>
      <c r="J158" s="4" t="str">
        <f t="shared" si="29"/>
        <v/>
      </c>
      <c r="K158" s="4">
        <f t="shared" si="30"/>
        <v>1</v>
      </c>
      <c r="L158" s="4" t="str">
        <f t="shared" si="31"/>
        <v/>
      </c>
      <c r="M158" s="4"/>
      <c r="N158" s="4"/>
      <c r="O158" s="4"/>
      <c r="P158" s="4"/>
      <c r="Q158" s="4"/>
      <c r="R158" s="4"/>
      <c r="S158" s="4"/>
      <c r="T158" s="4"/>
      <c r="U158" s="4"/>
    </row>
    <row r="159" spans="1:21">
      <c r="A159" t="s">
        <v>219</v>
      </c>
      <c r="B159">
        <v>20</v>
      </c>
      <c r="C159" t="str">
        <f t="shared" si="25"/>
        <v>test.Base64_20_</v>
      </c>
      <c r="D159">
        <v>33</v>
      </c>
      <c r="E159" s="4">
        <v>1</v>
      </c>
      <c r="F159" s="4">
        <v>1.0828065739570165</v>
      </c>
      <c r="G159" s="4" t="str">
        <f t="shared" si="26"/>
        <v/>
      </c>
      <c r="H159" s="4" t="str">
        <f t="shared" si="27"/>
        <v/>
      </c>
      <c r="I159" s="4" t="str">
        <f t="shared" si="28"/>
        <v/>
      </c>
      <c r="J159" s="4" t="str">
        <f t="shared" si="29"/>
        <v/>
      </c>
      <c r="K159" s="4">
        <f t="shared" si="30"/>
        <v>1</v>
      </c>
      <c r="L159" s="4" t="str">
        <f t="shared" si="31"/>
        <v/>
      </c>
      <c r="M159" s="4"/>
      <c r="N159" s="4"/>
      <c r="O159" s="4"/>
      <c r="P159" s="4"/>
      <c r="Q159" s="4"/>
      <c r="R159" s="4"/>
      <c r="S159" s="4"/>
      <c r="T159" s="4"/>
      <c r="U159" s="4"/>
    </row>
    <row r="160" spans="1:21">
      <c r="A160" t="s">
        <v>220</v>
      </c>
      <c r="B160">
        <v>2</v>
      </c>
      <c r="C160" t="str">
        <f t="shared" si="25"/>
        <v>test.Class11_2_</v>
      </c>
      <c r="D160">
        <v>1</v>
      </c>
      <c r="E160" s="4">
        <v>4.4642857142857144E-2</v>
      </c>
      <c r="F160" s="4">
        <v>5.5161290322580644E-2</v>
      </c>
      <c r="G160" s="4">
        <f t="shared" si="26"/>
        <v>4.4642857142857144E-2</v>
      </c>
      <c r="H160" s="4" t="str">
        <f t="shared" si="27"/>
        <v/>
      </c>
      <c r="I160" s="4" t="str">
        <f t="shared" si="28"/>
        <v/>
      </c>
      <c r="J160" s="4" t="str">
        <f t="shared" si="29"/>
        <v/>
      </c>
      <c r="K160" s="4" t="str">
        <f t="shared" si="30"/>
        <v/>
      </c>
      <c r="L160" s="4" t="str">
        <f t="shared" si="31"/>
        <v/>
      </c>
      <c r="M160" s="4"/>
      <c r="N160" s="4"/>
      <c r="O160" s="4"/>
      <c r="P160" s="4"/>
      <c r="Q160" s="4"/>
      <c r="R160" s="4"/>
      <c r="S160" s="4"/>
      <c r="T160" s="4"/>
      <c r="U160" s="4"/>
    </row>
    <row r="161" spans="1:21">
      <c r="A161" t="s">
        <v>220</v>
      </c>
      <c r="B161">
        <v>2</v>
      </c>
      <c r="C161" t="str">
        <f t="shared" si="25"/>
        <v>test.Class11_2_</v>
      </c>
      <c r="D161">
        <v>2</v>
      </c>
      <c r="E161" s="4">
        <v>0.5</v>
      </c>
      <c r="F161" s="4">
        <v>0.51870967741935481</v>
      </c>
      <c r="G161" s="4" t="str">
        <f t="shared" si="26"/>
        <v/>
      </c>
      <c r="H161" s="4" t="str">
        <f t="shared" si="27"/>
        <v/>
      </c>
      <c r="I161" s="4">
        <f t="shared" si="28"/>
        <v>0.5</v>
      </c>
      <c r="J161" s="4" t="str">
        <f t="shared" si="29"/>
        <v/>
      </c>
      <c r="K161" s="4" t="str">
        <f t="shared" si="30"/>
        <v/>
      </c>
      <c r="L161" s="4" t="str">
        <f t="shared" si="31"/>
        <v/>
      </c>
      <c r="M161" s="4"/>
      <c r="N161" s="4"/>
      <c r="O161" s="4"/>
      <c r="P161" s="4"/>
      <c r="Q161" s="4"/>
      <c r="R161" s="4"/>
      <c r="S161" s="4"/>
      <c r="T161" s="4"/>
      <c r="U161" s="4"/>
    </row>
    <row r="162" spans="1:21">
      <c r="A162" t="s">
        <v>220</v>
      </c>
      <c r="B162">
        <v>2</v>
      </c>
      <c r="C162" t="str">
        <f t="shared" si="25"/>
        <v>test.Class11_2_</v>
      </c>
      <c r="D162">
        <v>3</v>
      </c>
      <c r="E162" s="4">
        <v>1</v>
      </c>
      <c r="F162" s="4">
        <v>0.99516129032258061</v>
      </c>
      <c r="G162" s="4" t="str">
        <f t="shared" si="26"/>
        <v/>
      </c>
      <c r="H162" s="4" t="str">
        <f t="shared" si="27"/>
        <v/>
      </c>
      <c r="I162" s="4" t="str">
        <f t="shared" si="28"/>
        <v/>
      </c>
      <c r="J162" s="4" t="str">
        <f t="shared" si="29"/>
        <v/>
      </c>
      <c r="K162" s="4">
        <f t="shared" si="30"/>
        <v>1</v>
      </c>
      <c r="L162" s="4" t="str">
        <f t="shared" si="31"/>
        <v/>
      </c>
      <c r="M162" s="4"/>
      <c r="N162" s="4"/>
      <c r="O162" s="4"/>
      <c r="P162" s="4"/>
      <c r="Q162" s="4"/>
      <c r="R162" s="4"/>
      <c r="S162" s="4"/>
      <c r="T162" s="4"/>
      <c r="U162" s="4"/>
    </row>
    <row r="163" spans="1:21">
      <c r="A163" t="s">
        <v>220</v>
      </c>
      <c r="B163">
        <v>3</v>
      </c>
      <c r="C163" t="str">
        <f t="shared" si="25"/>
        <v>test.Class11_3_</v>
      </c>
      <c r="D163">
        <v>1</v>
      </c>
      <c r="E163" s="4">
        <v>0.93181818181818177</v>
      </c>
      <c r="F163" s="4">
        <v>0.96086261980830667</v>
      </c>
      <c r="G163" s="4" t="str">
        <f t="shared" si="26"/>
        <v/>
      </c>
      <c r="H163" s="4" t="str">
        <f t="shared" si="27"/>
        <v/>
      </c>
      <c r="I163" s="4" t="str">
        <f t="shared" si="28"/>
        <v/>
      </c>
      <c r="J163" s="4" t="str">
        <f t="shared" si="29"/>
        <v/>
      </c>
      <c r="K163" s="4">
        <f t="shared" si="30"/>
        <v>0.93181818181818177</v>
      </c>
      <c r="L163" s="4" t="str">
        <f t="shared" si="31"/>
        <v/>
      </c>
      <c r="M163" s="4"/>
      <c r="N163" s="4"/>
      <c r="O163" s="4"/>
      <c r="P163" s="4"/>
      <c r="Q163" s="4"/>
      <c r="R163" s="4"/>
      <c r="S163" s="4"/>
      <c r="T163" s="4"/>
      <c r="U163" s="4"/>
    </row>
    <row r="164" spans="1:21">
      <c r="A164" t="s">
        <v>220</v>
      </c>
      <c r="B164">
        <v>3</v>
      </c>
      <c r="C164" t="str">
        <f t="shared" si="25"/>
        <v>test.Class11_3_</v>
      </c>
      <c r="D164">
        <v>2</v>
      </c>
      <c r="E164" s="4">
        <v>1</v>
      </c>
      <c r="F164" s="4">
        <v>0.98003194888178913</v>
      </c>
      <c r="G164" s="4" t="str">
        <f t="shared" si="26"/>
        <v/>
      </c>
      <c r="H164" s="4" t="str">
        <f t="shared" si="27"/>
        <v/>
      </c>
      <c r="I164" s="4" t="str">
        <f t="shared" si="28"/>
        <v/>
      </c>
      <c r="J164" s="4" t="str">
        <f t="shared" si="29"/>
        <v/>
      </c>
      <c r="K164" s="4">
        <f t="shared" si="30"/>
        <v>1</v>
      </c>
      <c r="L164" s="4" t="str">
        <f t="shared" si="31"/>
        <v/>
      </c>
      <c r="M164" s="4"/>
      <c r="N164" s="4"/>
      <c r="O164" s="4"/>
      <c r="P164" s="4"/>
      <c r="Q164" s="4"/>
      <c r="R164" s="4"/>
      <c r="S164" s="4"/>
      <c r="T164" s="4"/>
      <c r="U164" s="4"/>
    </row>
    <row r="165" spans="1:21">
      <c r="A165" t="s">
        <v>220</v>
      </c>
      <c r="B165">
        <v>7</v>
      </c>
      <c r="C165" t="str">
        <f t="shared" si="25"/>
        <v>test.Class11_7_</v>
      </c>
      <c r="D165">
        <v>1</v>
      </c>
      <c r="E165" s="4">
        <v>0.93023255813953487</v>
      </c>
      <c r="F165" s="4">
        <v>0.99073294018534119</v>
      </c>
      <c r="G165" s="4" t="str">
        <f t="shared" si="26"/>
        <v/>
      </c>
      <c r="H165" s="4" t="str">
        <f t="shared" si="27"/>
        <v/>
      </c>
      <c r="I165" s="4" t="str">
        <f t="shared" si="28"/>
        <v/>
      </c>
      <c r="J165" s="4" t="str">
        <f t="shared" si="29"/>
        <v/>
      </c>
      <c r="K165" s="4">
        <f t="shared" si="30"/>
        <v>0.93023255813953487</v>
      </c>
      <c r="L165" s="4" t="str">
        <f t="shared" si="31"/>
        <v/>
      </c>
      <c r="M165" s="4"/>
      <c r="N165" s="4"/>
      <c r="O165" s="4"/>
      <c r="P165" s="4"/>
      <c r="Q165" s="4"/>
      <c r="R165" s="4"/>
      <c r="S165" s="4"/>
      <c r="T165" s="4"/>
      <c r="U165" s="4"/>
    </row>
    <row r="166" spans="1:21">
      <c r="A166" t="s">
        <v>220</v>
      </c>
      <c r="B166">
        <v>7</v>
      </c>
      <c r="C166" t="str">
        <f t="shared" si="25"/>
        <v>test.Class11_7_</v>
      </c>
      <c r="D166">
        <v>2</v>
      </c>
      <c r="E166" s="4">
        <v>1</v>
      </c>
      <c r="F166" s="4">
        <v>1.0067396798652064</v>
      </c>
      <c r="G166" s="4" t="str">
        <f t="shared" si="26"/>
        <v/>
      </c>
      <c r="H166" s="4" t="str">
        <f t="shared" si="27"/>
        <v/>
      </c>
      <c r="I166" s="4" t="str">
        <f t="shared" si="28"/>
        <v/>
      </c>
      <c r="J166" s="4" t="str">
        <f t="shared" si="29"/>
        <v/>
      </c>
      <c r="K166" s="4">
        <f t="shared" si="30"/>
        <v>1</v>
      </c>
      <c r="L166" s="4" t="str">
        <f t="shared" si="31"/>
        <v/>
      </c>
      <c r="M166" s="4"/>
      <c r="N166" s="4"/>
      <c r="O166" s="4"/>
      <c r="P166" s="4"/>
      <c r="Q166" s="4"/>
      <c r="R166" s="4"/>
      <c r="S166" s="4"/>
      <c r="T166" s="4"/>
      <c r="U166" s="4"/>
    </row>
    <row r="167" spans="1:21">
      <c r="A167" t="s">
        <v>220</v>
      </c>
      <c r="B167">
        <v>10</v>
      </c>
      <c r="C167" t="str">
        <f t="shared" si="25"/>
        <v>test.Class11_10_</v>
      </c>
      <c r="D167">
        <v>1</v>
      </c>
      <c r="E167" s="4">
        <v>0.11576354679802955</v>
      </c>
      <c r="F167" s="4">
        <v>0.13196814562002276</v>
      </c>
      <c r="G167" s="4">
        <f t="shared" si="26"/>
        <v>0.11576354679802955</v>
      </c>
      <c r="H167" s="4" t="str">
        <f t="shared" si="27"/>
        <v/>
      </c>
      <c r="I167" s="4" t="str">
        <f t="shared" si="28"/>
        <v/>
      </c>
      <c r="J167" s="4" t="str">
        <f t="shared" si="29"/>
        <v/>
      </c>
      <c r="K167" s="4" t="str">
        <f t="shared" si="30"/>
        <v/>
      </c>
      <c r="L167" s="4" t="str">
        <f t="shared" si="31"/>
        <v/>
      </c>
      <c r="M167" s="4"/>
      <c r="N167" s="4"/>
      <c r="O167" s="4"/>
      <c r="P167" s="4"/>
      <c r="Q167" s="4"/>
      <c r="R167" s="4"/>
      <c r="S167" s="4"/>
      <c r="T167" s="4"/>
      <c r="U167" s="4"/>
    </row>
    <row r="168" spans="1:21">
      <c r="A168" t="s">
        <v>220</v>
      </c>
      <c r="B168">
        <v>10</v>
      </c>
      <c r="C168" t="str">
        <f t="shared" si="25"/>
        <v>test.Class11_10_</v>
      </c>
      <c r="D168">
        <v>2</v>
      </c>
      <c r="E168" s="4">
        <v>0.11576354679802955</v>
      </c>
      <c r="F168" s="4">
        <v>0.13339021615472127</v>
      </c>
      <c r="G168" s="4">
        <f t="shared" si="26"/>
        <v>0.11576354679802955</v>
      </c>
      <c r="H168" s="4" t="str">
        <f t="shared" si="27"/>
        <v/>
      </c>
      <c r="I168" s="4" t="str">
        <f t="shared" si="28"/>
        <v/>
      </c>
      <c r="J168" s="4" t="str">
        <f t="shared" si="29"/>
        <v/>
      </c>
      <c r="K168" s="4" t="str">
        <f t="shared" si="30"/>
        <v/>
      </c>
      <c r="L168" s="4" t="str">
        <f t="shared" si="31"/>
        <v/>
      </c>
      <c r="M168" s="4"/>
      <c r="N168" s="4"/>
      <c r="O168" s="4"/>
      <c r="P168" s="4"/>
      <c r="Q168" s="4"/>
      <c r="R168" s="4"/>
      <c r="S168" s="4"/>
      <c r="T168" s="4"/>
      <c r="U168" s="4"/>
    </row>
    <row r="169" spans="1:21">
      <c r="A169" t="s">
        <v>220</v>
      </c>
      <c r="B169">
        <v>10</v>
      </c>
      <c r="C169" t="str">
        <f t="shared" si="25"/>
        <v>test.Class11_10_</v>
      </c>
      <c r="D169">
        <v>3</v>
      </c>
      <c r="E169" s="4">
        <v>0.11576354679802955</v>
      </c>
      <c r="F169" s="4">
        <v>0.13462267728479332</v>
      </c>
      <c r="G169" s="4">
        <f t="shared" si="26"/>
        <v>0.11576354679802955</v>
      </c>
      <c r="H169" s="4" t="str">
        <f t="shared" si="27"/>
        <v/>
      </c>
      <c r="I169" s="4" t="str">
        <f t="shared" si="28"/>
        <v/>
      </c>
      <c r="J169" s="4" t="str">
        <f t="shared" si="29"/>
        <v/>
      </c>
      <c r="K169" s="4" t="str">
        <f t="shared" si="30"/>
        <v/>
      </c>
      <c r="L169" s="4" t="str">
        <f t="shared" si="31"/>
        <v/>
      </c>
      <c r="M169" s="4"/>
      <c r="N169" s="4"/>
      <c r="O169" s="4"/>
      <c r="P169" s="4"/>
      <c r="Q169" s="4"/>
      <c r="R169" s="4"/>
      <c r="S169" s="4"/>
      <c r="T169" s="4"/>
      <c r="U169" s="4"/>
    </row>
    <row r="170" spans="1:21">
      <c r="A170" t="s">
        <v>220</v>
      </c>
      <c r="B170">
        <v>10</v>
      </c>
      <c r="C170" t="str">
        <f t="shared" si="25"/>
        <v>test.Class11_10_</v>
      </c>
      <c r="D170">
        <v>4</v>
      </c>
      <c r="E170" s="4">
        <v>0.20689655172413793</v>
      </c>
      <c r="F170" s="4">
        <v>0.13509670079635949</v>
      </c>
      <c r="G170" s="4">
        <f t="shared" si="26"/>
        <v>0.20689655172413793</v>
      </c>
      <c r="H170" s="4" t="str">
        <f t="shared" si="27"/>
        <v/>
      </c>
      <c r="I170" s="4" t="str">
        <f t="shared" si="28"/>
        <v/>
      </c>
      <c r="J170" s="4" t="str">
        <f t="shared" si="29"/>
        <v/>
      </c>
      <c r="K170" s="4" t="str">
        <f t="shared" si="30"/>
        <v/>
      </c>
      <c r="L170" s="4" t="str">
        <f t="shared" si="31"/>
        <v/>
      </c>
      <c r="M170" s="4"/>
      <c r="N170" s="4"/>
      <c r="O170" s="4"/>
      <c r="P170" s="4"/>
      <c r="Q170" s="4"/>
      <c r="R170" s="4"/>
      <c r="S170" s="4"/>
      <c r="T170" s="4"/>
      <c r="U170" s="4"/>
    </row>
    <row r="171" spans="1:21">
      <c r="A171" t="s">
        <v>220</v>
      </c>
      <c r="B171">
        <v>10</v>
      </c>
      <c r="C171" t="str">
        <f t="shared" si="25"/>
        <v>test.Class11_10_</v>
      </c>
      <c r="D171">
        <v>5</v>
      </c>
      <c r="E171" s="4">
        <v>0.20689655172413793</v>
      </c>
      <c r="F171" s="4">
        <v>0.13585513841486538</v>
      </c>
      <c r="G171" s="4">
        <f t="shared" si="26"/>
        <v>0.20689655172413793</v>
      </c>
      <c r="H171" s="4" t="str">
        <f t="shared" si="27"/>
        <v/>
      </c>
      <c r="I171" s="4" t="str">
        <f t="shared" si="28"/>
        <v/>
      </c>
      <c r="J171" s="4" t="str">
        <f t="shared" si="29"/>
        <v/>
      </c>
      <c r="K171" s="4" t="str">
        <f t="shared" si="30"/>
        <v/>
      </c>
      <c r="L171" s="4" t="str">
        <f t="shared" si="31"/>
        <v/>
      </c>
      <c r="M171" s="4"/>
      <c r="N171" s="4"/>
      <c r="O171" s="4"/>
      <c r="P171" s="4"/>
      <c r="Q171" s="4"/>
      <c r="R171" s="4"/>
      <c r="S171" s="4"/>
      <c r="T171" s="4"/>
      <c r="U171" s="4"/>
    </row>
    <row r="172" spans="1:21">
      <c r="A172" t="s">
        <v>220</v>
      </c>
      <c r="B172">
        <v>10</v>
      </c>
      <c r="C172" t="str">
        <f t="shared" si="25"/>
        <v>test.Class11_10_</v>
      </c>
      <c r="D172">
        <v>6</v>
      </c>
      <c r="E172" s="4">
        <v>0.20689655172413793</v>
      </c>
      <c r="F172" s="4">
        <v>0.13642396662874479</v>
      </c>
      <c r="G172" s="4">
        <f t="shared" si="26"/>
        <v>0.20689655172413793</v>
      </c>
      <c r="H172" s="4" t="str">
        <f t="shared" si="27"/>
        <v/>
      </c>
      <c r="I172" s="4" t="str">
        <f t="shared" si="28"/>
        <v/>
      </c>
      <c r="J172" s="4" t="str">
        <f t="shared" si="29"/>
        <v/>
      </c>
      <c r="K172" s="4" t="str">
        <f t="shared" si="30"/>
        <v/>
      </c>
      <c r="L172" s="4" t="str">
        <f t="shared" si="31"/>
        <v/>
      </c>
      <c r="M172" s="4"/>
      <c r="N172" s="4"/>
      <c r="O172" s="4"/>
      <c r="P172" s="4"/>
      <c r="Q172" s="4"/>
      <c r="R172" s="4"/>
      <c r="S172" s="4"/>
      <c r="T172" s="4"/>
      <c r="U172" s="4"/>
    </row>
    <row r="173" spans="1:21">
      <c r="A173" t="s">
        <v>220</v>
      </c>
      <c r="B173">
        <v>10</v>
      </c>
      <c r="C173" t="str">
        <f t="shared" si="25"/>
        <v>test.Class11_10_</v>
      </c>
      <c r="D173">
        <v>7</v>
      </c>
      <c r="E173" s="4">
        <v>0.20689655172413793</v>
      </c>
      <c r="F173" s="4">
        <v>0.13737201365187712</v>
      </c>
      <c r="G173" s="4">
        <f t="shared" si="26"/>
        <v>0.20689655172413793</v>
      </c>
      <c r="H173" s="4" t="str">
        <f t="shared" si="27"/>
        <v/>
      </c>
      <c r="I173" s="4" t="str">
        <f t="shared" si="28"/>
        <v/>
      </c>
      <c r="J173" s="4" t="str">
        <f t="shared" si="29"/>
        <v/>
      </c>
      <c r="K173" s="4" t="str">
        <f t="shared" si="30"/>
        <v/>
      </c>
      <c r="L173" s="4" t="str">
        <f t="shared" si="31"/>
        <v/>
      </c>
      <c r="M173" s="4"/>
      <c r="N173" s="4"/>
      <c r="O173" s="4"/>
      <c r="P173" s="4"/>
      <c r="Q173" s="4"/>
      <c r="R173" s="4"/>
      <c r="S173" s="4"/>
      <c r="T173" s="4"/>
      <c r="U173" s="4"/>
    </row>
    <row r="174" spans="1:21">
      <c r="A174" t="s">
        <v>220</v>
      </c>
      <c r="B174">
        <v>10</v>
      </c>
      <c r="C174" t="str">
        <f t="shared" si="25"/>
        <v>test.Class11_10_</v>
      </c>
      <c r="D174">
        <v>8</v>
      </c>
      <c r="E174" s="4">
        <v>0.20689655172413793</v>
      </c>
      <c r="F174" s="4">
        <v>0.1394577171027683</v>
      </c>
      <c r="G174" s="4">
        <f t="shared" si="26"/>
        <v>0.20689655172413793</v>
      </c>
      <c r="H174" s="4" t="str">
        <f t="shared" si="27"/>
        <v/>
      </c>
      <c r="I174" s="4" t="str">
        <f t="shared" si="28"/>
        <v/>
      </c>
      <c r="J174" s="4" t="str">
        <f t="shared" si="29"/>
        <v/>
      </c>
      <c r="K174" s="4" t="str">
        <f t="shared" si="30"/>
        <v/>
      </c>
      <c r="L174" s="4" t="str">
        <f t="shared" si="31"/>
        <v/>
      </c>
      <c r="M174" s="4"/>
      <c r="N174" s="4"/>
      <c r="O174" s="4"/>
      <c r="P174" s="4"/>
      <c r="Q174" s="4"/>
      <c r="R174" s="4"/>
      <c r="S174" s="4"/>
      <c r="T174" s="4"/>
      <c r="U174" s="4"/>
    </row>
    <row r="175" spans="1:21">
      <c r="A175" t="s">
        <v>220</v>
      </c>
      <c r="B175">
        <v>10</v>
      </c>
      <c r="C175" t="str">
        <f t="shared" si="25"/>
        <v>test.Class11_10_</v>
      </c>
      <c r="D175">
        <v>9</v>
      </c>
      <c r="E175" s="4">
        <v>0.22167487684729065</v>
      </c>
      <c r="F175" s="4">
        <v>0.14381873340917709</v>
      </c>
      <c r="G175" s="4">
        <f t="shared" si="26"/>
        <v>0.22167487684729065</v>
      </c>
      <c r="H175" s="4" t="str">
        <f t="shared" si="27"/>
        <v/>
      </c>
      <c r="I175" s="4" t="str">
        <f t="shared" si="28"/>
        <v/>
      </c>
      <c r="J175" s="4" t="str">
        <f t="shared" si="29"/>
        <v/>
      </c>
      <c r="K175" s="4" t="str">
        <f t="shared" si="30"/>
        <v/>
      </c>
      <c r="L175" s="4" t="str">
        <f t="shared" si="31"/>
        <v/>
      </c>
      <c r="M175" s="4"/>
      <c r="N175" s="4"/>
      <c r="O175" s="4"/>
      <c r="P175" s="4"/>
      <c r="Q175" s="4"/>
      <c r="R175" s="4"/>
      <c r="S175" s="4"/>
      <c r="T175" s="4"/>
      <c r="U175" s="4"/>
    </row>
    <row r="176" spans="1:21">
      <c r="A176" t="s">
        <v>220</v>
      </c>
      <c r="B176">
        <v>10</v>
      </c>
      <c r="C176" t="str">
        <f t="shared" si="25"/>
        <v>test.Class11_10_</v>
      </c>
      <c r="D176">
        <v>10</v>
      </c>
      <c r="E176" s="4">
        <v>0.22167487684729065</v>
      </c>
      <c r="F176" s="4">
        <v>0.1449563898369359</v>
      </c>
      <c r="G176" s="4">
        <f t="shared" si="26"/>
        <v>0.22167487684729065</v>
      </c>
      <c r="H176" s="4" t="str">
        <f t="shared" si="27"/>
        <v/>
      </c>
      <c r="I176" s="4" t="str">
        <f t="shared" si="28"/>
        <v/>
      </c>
      <c r="J176" s="4" t="str">
        <f t="shared" si="29"/>
        <v/>
      </c>
      <c r="K176" s="4" t="str">
        <f t="shared" si="30"/>
        <v/>
      </c>
      <c r="L176" s="4" t="str">
        <f t="shared" si="31"/>
        <v/>
      </c>
      <c r="M176" s="4"/>
      <c r="N176" s="4"/>
      <c r="O176" s="4"/>
      <c r="P176" s="4"/>
      <c r="Q176" s="4"/>
      <c r="R176" s="4"/>
      <c r="S176" s="4"/>
      <c r="T176" s="4"/>
      <c r="U176" s="4"/>
    </row>
    <row r="177" spans="1:21">
      <c r="A177" t="s">
        <v>220</v>
      </c>
      <c r="B177">
        <v>10</v>
      </c>
      <c r="C177" t="str">
        <f t="shared" si="25"/>
        <v>test.Class11_10_</v>
      </c>
      <c r="D177">
        <v>11</v>
      </c>
      <c r="E177" s="4">
        <v>0.22167487684729065</v>
      </c>
      <c r="F177" s="4">
        <v>0.14742131209708001</v>
      </c>
      <c r="G177" s="4">
        <f t="shared" si="26"/>
        <v>0.22167487684729065</v>
      </c>
      <c r="H177" s="4" t="str">
        <f t="shared" si="27"/>
        <v/>
      </c>
      <c r="I177" s="4" t="str">
        <f t="shared" si="28"/>
        <v/>
      </c>
      <c r="J177" s="4" t="str">
        <f t="shared" si="29"/>
        <v/>
      </c>
      <c r="K177" s="4" t="str">
        <f t="shared" si="30"/>
        <v/>
      </c>
      <c r="L177" s="4" t="str">
        <f t="shared" si="31"/>
        <v/>
      </c>
      <c r="M177" s="4"/>
      <c r="N177" s="4"/>
      <c r="O177" s="4"/>
      <c r="P177" s="4"/>
      <c r="Q177" s="4"/>
      <c r="R177" s="4"/>
      <c r="S177" s="4"/>
      <c r="T177" s="4"/>
      <c r="U177" s="4"/>
    </row>
    <row r="178" spans="1:21">
      <c r="A178" t="s">
        <v>220</v>
      </c>
      <c r="B178">
        <v>10</v>
      </c>
      <c r="C178" t="str">
        <f t="shared" si="25"/>
        <v>test.Class11_10_</v>
      </c>
      <c r="D178">
        <v>12</v>
      </c>
      <c r="E178" s="4">
        <v>0.22167487684729065</v>
      </c>
      <c r="F178" s="4">
        <v>0.14789533560864618</v>
      </c>
      <c r="G178" s="4">
        <f t="shared" si="26"/>
        <v>0.22167487684729065</v>
      </c>
      <c r="H178" s="4" t="str">
        <f t="shared" si="27"/>
        <v/>
      </c>
      <c r="I178" s="4" t="str">
        <f t="shared" si="28"/>
        <v/>
      </c>
      <c r="J178" s="4" t="str">
        <f t="shared" si="29"/>
        <v/>
      </c>
      <c r="K178" s="4" t="str">
        <f t="shared" si="30"/>
        <v/>
      </c>
      <c r="L178" s="4" t="str">
        <f t="shared" si="31"/>
        <v/>
      </c>
      <c r="M178" s="4"/>
      <c r="N178" s="4"/>
      <c r="O178" s="4"/>
      <c r="P178" s="4"/>
      <c r="Q178" s="4"/>
      <c r="R178" s="4"/>
      <c r="S178" s="4"/>
      <c r="T178" s="4"/>
      <c r="U178" s="4"/>
    </row>
    <row r="179" spans="1:21">
      <c r="A179" t="s">
        <v>220</v>
      </c>
      <c r="B179">
        <v>10</v>
      </c>
      <c r="C179" t="str">
        <f t="shared" si="25"/>
        <v>test.Class11_10_</v>
      </c>
      <c r="D179">
        <v>13</v>
      </c>
      <c r="E179" s="4">
        <v>0.22167487684729065</v>
      </c>
      <c r="F179" s="4">
        <v>0.14836935912021237</v>
      </c>
      <c r="G179" s="4">
        <f t="shared" si="26"/>
        <v>0.22167487684729065</v>
      </c>
      <c r="H179" s="4" t="str">
        <f t="shared" si="27"/>
        <v/>
      </c>
      <c r="I179" s="4" t="str">
        <f t="shared" si="28"/>
        <v/>
      </c>
      <c r="J179" s="4" t="str">
        <f t="shared" si="29"/>
        <v/>
      </c>
      <c r="K179" s="4" t="str">
        <f t="shared" si="30"/>
        <v/>
      </c>
      <c r="L179" s="4" t="str">
        <f t="shared" si="31"/>
        <v/>
      </c>
      <c r="M179" s="4"/>
      <c r="N179" s="4"/>
      <c r="O179" s="4"/>
      <c r="P179" s="4"/>
      <c r="Q179" s="4"/>
      <c r="R179" s="4"/>
      <c r="S179" s="4"/>
      <c r="T179" s="4"/>
      <c r="U179" s="4"/>
    </row>
    <row r="180" spans="1:21">
      <c r="A180" t="s">
        <v>220</v>
      </c>
      <c r="B180">
        <v>10</v>
      </c>
      <c r="C180" t="str">
        <f t="shared" si="25"/>
        <v>test.Class11_10_</v>
      </c>
      <c r="D180">
        <v>14</v>
      </c>
      <c r="E180" s="4">
        <v>0.22167487684729065</v>
      </c>
      <c r="F180" s="4">
        <v>0.14855896852483882</v>
      </c>
      <c r="G180" s="4">
        <f t="shared" si="26"/>
        <v>0.22167487684729065</v>
      </c>
      <c r="H180" s="4" t="str">
        <f t="shared" si="27"/>
        <v/>
      </c>
      <c r="I180" s="4" t="str">
        <f t="shared" si="28"/>
        <v/>
      </c>
      <c r="J180" s="4" t="str">
        <f t="shared" si="29"/>
        <v/>
      </c>
      <c r="K180" s="4" t="str">
        <f t="shared" si="30"/>
        <v/>
      </c>
      <c r="L180" s="4" t="str">
        <f t="shared" si="31"/>
        <v/>
      </c>
      <c r="M180" s="4"/>
      <c r="N180" s="4"/>
      <c r="O180" s="4"/>
      <c r="P180" s="4"/>
      <c r="Q180" s="4"/>
      <c r="R180" s="4"/>
      <c r="S180" s="4"/>
      <c r="T180" s="4"/>
      <c r="U180" s="4"/>
    </row>
    <row r="181" spans="1:21">
      <c r="A181" t="s">
        <v>220</v>
      </c>
      <c r="B181">
        <v>10</v>
      </c>
      <c r="C181" t="str">
        <f t="shared" si="25"/>
        <v>test.Class11_10_</v>
      </c>
      <c r="D181">
        <v>15</v>
      </c>
      <c r="E181" s="4">
        <v>0.22167487684729065</v>
      </c>
      <c r="F181" s="4">
        <v>0.14998103905953736</v>
      </c>
      <c r="G181" s="4">
        <f t="shared" si="26"/>
        <v>0.22167487684729065</v>
      </c>
      <c r="H181" s="4" t="str">
        <f t="shared" si="27"/>
        <v/>
      </c>
      <c r="I181" s="4" t="str">
        <f t="shared" si="28"/>
        <v/>
      </c>
      <c r="J181" s="4" t="str">
        <f t="shared" si="29"/>
        <v/>
      </c>
      <c r="K181" s="4" t="str">
        <f t="shared" si="30"/>
        <v/>
      </c>
      <c r="L181" s="4" t="str">
        <f t="shared" si="31"/>
        <v/>
      </c>
      <c r="M181" s="4"/>
      <c r="N181" s="4"/>
      <c r="O181" s="4"/>
      <c r="P181" s="4"/>
      <c r="Q181" s="4"/>
      <c r="R181" s="4"/>
      <c r="S181" s="4"/>
      <c r="T181" s="4"/>
      <c r="U181" s="4"/>
    </row>
    <row r="182" spans="1:21">
      <c r="A182" t="s">
        <v>220</v>
      </c>
      <c r="B182">
        <v>10</v>
      </c>
      <c r="C182" t="str">
        <f t="shared" si="25"/>
        <v>test.Class11_10_</v>
      </c>
      <c r="D182">
        <v>16</v>
      </c>
      <c r="E182" s="4">
        <v>0.22167487684729065</v>
      </c>
      <c r="F182" s="4">
        <v>0.15036025786879029</v>
      </c>
      <c r="G182" s="4">
        <f t="shared" si="26"/>
        <v>0.22167487684729065</v>
      </c>
      <c r="H182" s="4" t="str">
        <f t="shared" si="27"/>
        <v/>
      </c>
      <c r="I182" s="4" t="str">
        <f t="shared" si="28"/>
        <v/>
      </c>
      <c r="J182" s="4" t="str">
        <f t="shared" si="29"/>
        <v/>
      </c>
      <c r="K182" s="4" t="str">
        <f t="shared" si="30"/>
        <v/>
      </c>
      <c r="L182" s="4" t="str">
        <f t="shared" si="31"/>
        <v/>
      </c>
      <c r="M182" s="4"/>
      <c r="N182" s="4"/>
      <c r="O182" s="4"/>
      <c r="P182" s="4"/>
      <c r="Q182" s="4"/>
      <c r="R182" s="4"/>
      <c r="S182" s="4"/>
      <c r="T182" s="4"/>
      <c r="U182" s="4"/>
    </row>
    <row r="183" spans="1:21">
      <c r="A183" t="s">
        <v>220</v>
      </c>
      <c r="B183">
        <v>10</v>
      </c>
      <c r="C183" t="str">
        <f t="shared" si="25"/>
        <v>test.Class11_10_</v>
      </c>
      <c r="D183">
        <v>17</v>
      </c>
      <c r="E183" s="4">
        <v>0.35960591133004927</v>
      </c>
      <c r="F183" s="4">
        <v>0.17178612059158135</v>
      </c>
      <c r="G183" s="4">
        <f t="shared" si="26"/>
        <v>0.35960591133004927</v>
      </c>
      <c r="H183" s="4" t="str">
        <f t="shared" si="27"/>
        <v/>
      </c>
      <c r="I183" s="4" t="str">
        <f t="shared" si="28"/>
        <v/>
      </c>
      <c r="J183" s="4" t="str">
        <f t="shared" si="29"/>
        <v/>
      </c>
      <c r="K183" s="4" t="str">
        <f t="shared" si="30"/>
        <v/>
      </c>
      <c r="L183" s="4" t="str">
        <f t="shared" si="31"/>
        <v/>
      </c>
      <c r="M183" s="4"/>
      <c r="N183" s="4"/>
      <c r="O183" s="4"/>
      <c r="P183" s="4"/>
      <c r="Q183" s="4"/>
      <c r="R183" s="4"/>
      <c r="S183" s="4"/>
      <c r="T183" s="4"/>
      <c r="U183" s="4"/>
    </row>
    <row r="184" spans="1:21">
      <c r="A184" t="s">
        <v>220</v>
      </c>
      <c r="B184">
        <v>10</v>
      </c>
      <c r="C184" t="str">
        <f t="shared" si="25"/>
        <v>test.Class11_10_</v>
      </c>
      <c r="D184">
        <v>18</v>
      </c>
      <c r="E184" s="4">
        <v>0.35960591133004927</v>
      </c>
      <c r="F184" s="4">
        <v>0.18420553659461508</v>
      </c>
      <c r="G184" s="4">
        <f t="shared" si="26"/>
        <v>0.35960591133004927</v>
      </c>
      <c r="H184" s="4" t="str">
        <f t="shared" si="27"/>
        <v/>
      </c>
      <c r="I184" s="4" t="str">
        <f t="shared" si="28"/>
        <v/>
      </c>
      <c r="J184" s="4" t="str">
        <f t="shared" si="29"/>
        <v/>
      </c>
      <c r="K184" s="4" t="str">
        <f t="shared" si="30"/>
        <v/>
      </c>
      <c r="L184" s="4" t="str">
        <f t="shared" si="31"/>
        <v/>
      </c>
      <c r="M184" s="4"/>
      <c r="N184" s="4"/>
      <c r="O184" s="4"/>
      <c r="P184" s="4"/>
      <c r="Q184" s="4"/>
      <c r="R184" s="4"/>
      <c r="S184" s="4"/>
      <c r="T184" s="4"/>
      <c r="U184" s="4"/>
    </row>
    <row r="185" spans="1:21">
      <c r="A185" t="s">
        <v>220</v>
      </c>
      <c r="B185">
        <v>10</v>
      </c>
      <c r="C185" t="str">
        <f t="shared" si="25"/>
        <v>test.Class11_10_</v>
      </c>
      <c r="D185">
        <v>19</v>
      </c>
      <c r="E185" s="4">
        <v>0.54433497536945807</v>
      </c>
      <c r="F185" s="4">
        <v>0.22876374668183541</v>
      </c>
      <c r="G185" s="4" t="str">
        <f t="shared" si="26"/>
        <v/>
      </c>
      <c r="H185" s="4">
        <f t="shared" si="27"/>
        <v>0.54433497536945807</v>
      </c>
      <c r="I185" s="4" t="str">
        <f t="shared" si="28"/>
        <v/>
      </c>
      <c r="J185" s="4" t="str">
        <f t="shared" si="29"/>
        <v/>
      </c>
      <c r="K185" s="4" t="str">
        <f t="shared" si="30"/>
        <v/>
      </c>
      <c r="L185" s="4" t="str">
        <f t="shared" si="31"/>
        <v/>
      </c>
      <c r="M185" s="4"/>
      <c r="N185" s="4"/>
      <c r="O185" s="4"/>
      <c r="P185" s="4"/>
      <c r="Q185" s="4"/>
      <c r="R185" s="4"/>
      <c r="S185" s="4"/>
      <c r="T185" s="4"/>
      <c r="U185" s="4"/>
    </row>
    <row r="186" spans="1:21">
      <c r="A186" t="s">
        <v>220</v>
      </c>
      <c r="B186">
        <v>10</v>
      </c>
      <c r="C186" t="str">
        <f t="shared" si="25"/>
        <v>test.Class11_10_</v>
      </c>
      <c r="D186">
        <v>20</v>
      </c>
      <c r="E186" s="4">
        <v>0.54433497536945807</v>
      </c>
      <c r="F186" s="4">
        <v>0.23179749715585893</v>
      </c>
      <c r="G186" s="4" t="str">
        <f t="shared" si="26"/>
        <v/>
      </c>
      <c r="H186" s="4">
        <f t="shared" si="27"/>
        <v>0.54433497536945807</v>
      </c>
      <c r="I186" s="4" t="str">
        <f t="shared" si="28"/>
        <v/>
      </c>
      <c r="J186" s="4" t="str">
        <f t="shared" si="29"/>
        <v/>
      </c>
      <c r="K186" s="4" t="str">
        <f t="shared" si="30"/>
        <v/>
      </c>
      <c r="L186" s="4" t="str">
        <f t="shared" si="31"/>
        <v/>
      </c>
      <c r="M186" s="4"/>
      <c r="N186" s="4"/>
      <c r="O186" s="4"/>
      <c r="P186" s="4"/>
      <c r="Q186" s="4"/>
      <c r="R186" s="4"/>
      <c r="S186" s="4"/>
      <c r="T186" s="4"/>
      <c r="U186" s="4"/>
    </row>
    <row r="187" spans="1:21">
      <c r="A187" t="s">
        <v>220</v>
      </c>
      <c r="B187">
        <v>10</v>
      </c>
      <c r="C187" t="str">
        <f t="shared" si="25"/>
        <v>test.Class11_10_</v>
      </c>
      <c r="D187">
        <v>21</v>
      </c>
      <c r="E187" s="4">
        <v>0.54433497536945807</v>
      </c>
      <c r="F187" s="4">
        <v>0.23359878649981039</v>
      </c>
      <c r="G187" s="4" t="str">
        <f t="shared" si="26"/>
        <v/>
      </c>
      <c r="H187" s="4">
        <f t="shared" si="27"/>
        <v>0.54433497536945807</v>
      </c>
      <c r="I187" s="4" t="str">
        <f t="shared" si="28"/>
        <v/>
      </c>
      <c r="J187" s="4" t="str">
        <f t="shared" si="29"/>
        <v/>
      </c>
      <c r="K187" s="4" t="str">
        <f t="shared" si="30"/>
        <v/>
      </c>
      <c r="L187" s="4" t="str">
        <f t="shared" si="31"/>
        <v/>
      </c>
      <c r="M187" s="4"/>
      <c r="N187" s="4"/>
      <c r="O187" s="4"/>
      <c r="P187" s="4"/>
      <c r="Q187" s="4"/>
      <c r="R187" s="4"/>
      <c r="S187" s="4"/>
      <c r="T187" s="4"/>
      <c r="U187" s="4"/>
    </row>
    <row r="188" spans="1:21">
      <c r="A188" t="s">
        <v>220</v>
      </c>
      <c r="B188">
        <v>10</v>
      </c>
      <c r="C188" t="str">
        <f t="shared" si="25"/>
        <v>test.Class11_10_</v>
      </c>
      <c r="D188">
        <v>22</v>
      </c>
      <c r="E188" s="4">
        <v>0.54433497536945807</v>
      </c>
      <c r="F188" s="4">
        <v>0.23577929465301478</v>
      </c>
      <c r="G188" s="4" t="str">
        <f t="shared" si="26"/>
        <v/>
      </c>
      <c r="H188" s="4">
        <f t="shared" si="27"/>
        <v>0.54433497536945807</v>
      </c>
      <c r="I188" s="4" t="str">
        <f t="shared" si="28"/>
        <v/>
      </c>
      <c r="J188" s="4" t="str">
        <f t="shared" si="29"/>
        <v/>
      </c>
      <c r="K188" s="4" t="str">
        <f t="shared" si="30"/>
        <v/>
      </c>
      <c r="L188" s="4" t="str">
        <f t="shared" si="31"/>
        <v/>
      </c>
      <c r="M188" s="4"/>
      <c r="N188" s="4"/>
      <c r="O188" s="4"/>
      <c r="P188" s="4"/>
      <c r="Q188" s="4"/>
      <c r="R188" s="4"/>
      <c r="S188" s="4"/>
      <c r="T188" s="4"/>
      <c r="U188" s="4"/>
    </row>
    <row r="189" spans="1:21">
      <c r="A189" t="s">
        <v>220</v>
      </c>
      <c r="B189">
        <v>10</v>
      </c>
      <c r="C189" t="str">
        <f t="shared" si="25"/>
        <v>test.Class11_10_</v>
      </c>
      <c r="D189">
        <v>23</v>
      </c>
      <c r="E189" s="4">
        <v>0.54433497536945807</v>
      </c>
      <c r="F189" s="4">
        <v>0.24032992036405007</v>
      </c>
      <c r="G189" s="4" t="str">
        <f t="shared" si="26"/>
        <v/>
      </c>
      <c r="H189" s="4">
        <f t="shared" si="27"/>
        <v>0.54433497536945807</v>
      </c>
      <c r="I189" s="4" t="str">
        <f t="shared" si="28"/>
        <v/>
      </c>
      <c r="J189" s="4" t="str">
        <f t="shared" si="29"/>
        <v/>
      </c>
      <c r="K189" s="4" t="str">
        <f t="shared" si="30"/>
        <v/>
      </c>
      <c r="L189" s="4" t="str">
        <f t="shared" si="31"/>
        <v/>
      </c>
      <c r="M189" s="4"/>
      <c r="N189" s="4"/>
      <c r="O189" s="4"/>
      <c r="P189" s="4"/>
      <c r="Q189" s="4"/>
      <c r="R189" s="4"/>
      <c r="S189" s="4"/>
      <c r="T189" s="4"/>
      <c r="U189" s="4"/>
    </row>
    <row r="190" spans="1:21">
      <c r="A190" t="s">
        <v>220</v>
      </c>
      <c r="B190">
        <v>10</v>
      </c>
      <c r="C190" t="str">
        <f t="shared" si="25"/>
        <v>test.Class11_10_</v>
      </c>
      <c r="D190">
        <v>24</v>
      </c>
      <c r="E190" s="4">
        <v>0.54433497536945807</v>
      </c>
      <c r="F190" s="4">
        <v>0.24222601441031474</v>
      </c>
      <c r="G190" s="4" t="str">
        <f t="shared" si="26"/>
        <v/>
      </c>
      <c r="H190" s="4">
        <f t="shared" si="27"/>
        <v>0.54433497536945807</v>
      </c>
      <c r="I190" s="4" t="str">
        <f t="shared" si="28"/>
        <v/>
      </c>
      <c r="J190" s="4" t="str">
        <f t="shared" si="29"/>
        <v/>
      </c>
      <c r="K190" s="4" t="str">
        <f t="shared" si="30"/>
        <v/>
      </c>
      <c r="L190" s="4" t="str">
        <f t="shared" si="31"/>
        <v/>
      </c>
      <c r="M190" s="4"/>
      <c r="N190" s="4"/>
      <c r="O190" s="4"/>
      <c r="P190" s="4"/>
      <c r="Q190" s="4"/>
      <c r="R190" s="4"/>
      <c r="S190" s="4"/>
      <c r="T190" s="4"/>
      <c r="U190" s="4"/>
    </row>
    <row r="191" spans="1:21">
      <c r="A191" t="s">
        <v>220</v>
      </c>
      <c r="B191">
        <v>10</v>
      </c>
      <c r="C191" t="str">
        <f t="shared" si="25"/>
        <v>test.Class11_10_</v>
      </c>
      <c r="D191">
        <v>25</v>
      </c>
      <c r="E191" s="4">
        <v>0.54433497536945807</v>
      </c>
      <c r="F191" s="4">
        <v>0.24317406143344711</v>
      </c>
      <c r="G191" s="4" t="str">
        <f t="shared" si="26"/>
        <v/>
      </c>
      <c r="H191" s="4">
        <f t="shared" si="27"/>
        <v>0.54433497536945807</v>
      </c>
      <c r="I191" s="4" t="str">
        <f t="shared" si="28"/>
        <v/>
      </c>
      <c r="J191" s="4" t="str">
        <f t="shared" si="29"/>
        <v/>
      </c>
      <c r="K191" s="4" t="str">
        <f t="shared" si="30"/>
        <v/>
      </c>
      <c r="L191" s="4" t="str">
        <f t="shared" si="31"/>
        <v/>
      </c>
      <c r="M191" s="4"/>
      <c r="N191" s="4"/>
      <c r="O191" s="4"/>
      <c r="P191" s="4"/>
      <c r="Q191" s="4"/>
      <c r="R191" s="4"/>
      <c r="S191" s="4"/>
      <c r="T191" s="4"/>
      <c r="U191" s="4"/>
    </row>
    <row r="192" spans="1:21">
      <c r="A192" t="s">
        <v>220</v>
      </c>
      <c r="B192">
        <v>10</v>
      </c>
      <c r="C192" t="str">
        <f t="shared" si="25"/>
        <v>test.Class11_10_</v>
      </c>
      <c r="D192">
        <v>26</v>
      </c>
      <c r="E192" s="4">
        <v>0.54433497536945807</v>
      </c>
      <c r="F192" s="4">
        <v>0.24469093667045885</v>
      </c>
      <c r="G192" s="4" t="str">
        <f t="shared" si="26"/>
        <v/>
      </c>
      <c r="H192" s="4">
        <f t="shared" si="27"/>
        <v>0.54433497536945807</v>
      </c>
      <c r="I192" s="4" t="str">
        <f t="shared" si="28"/>
        <v/>
      </c>
      <c r="J192" s="4" t="str">
        <f t="shared" si="29"/>
        <v/>
      </c>
      <c r="K192" s="4" t="str">
        <f t="shared" si="30"/>
        <v/>
      </c>
      <c r="L192" s="4" t="str">
        <f t="shared" si="31"/>
        <v/>
      </c>
      <c r="M192" s="4"/>
      <c r="N192" s="4"/>
      <c r="O192" s="4"/>
      <c r="P192" s="4"/>
      <c r="Q192" s="4"/>
      <c r="R192" s="4"/>
      <c r="S192" s="4"/>
      <c r="T192" s="4"/>
      <c r="U192" s="4"/>
    </row>
    <row r="193" spans="1:21">
      <c r="A193" t="s">
        <v>220</v>
      </c>
      <c r="B193">
        <v>10</v>
      </c>
      <c r="C193" t="str">
        <f t="shared" si="25"/>
        <v>test.Class11_10_</v>
      </c>
      <c r="D193">
        <v>27</v>
      </c>
      <c r="E193" s="4">
        <v>0.6576354679802956</v>
      </c>
      <c r="F193" s="4">
        <v>0.28631020098596888</v>
      </c>
      <c r="G193" s="4" t="str">
        <f t="shared" si="26"/>
        <v/>
      </c>
      <c r="H193" s="4">
        <f t="shared" si="27"/>
        <v>0.6576354679802956</v>
      </c>
      <c r="I193" s="4" t="str">
        <f t="shared" si="28"/>
        <v/>
      </c>
      <c r="J193" s="4" t="str">
        <f t="shared" si="29"/>
        <v/>
      </c>
      <c r="K193" s="4" t="str">
        <f t="shared" si="30"/>
        <v/>
      </c>
      <c r="L193" s="4" t="str">
        <f t="shared" si="31"/>
        <v/>
      </c>
      <c r="M193" s="4"/>
      <c r="N193" s="4"/>
      <c r="O193" s="4"/>
      <c r="P193" s="4"/>
      <c r="Q193" s="4"/>
      <c r="R193" s="4"/>
      <c r="S193" s="4"/>
      <c r="T193" s="4"/>
      <c r="U193" s="4"/>
    </row>
    <row r="194" spans="1:21">
      <c r="A194" t="s">
        <v>220</v>
      </c>
      <c r="B194">
        <v>10</v>
      </c>
      <c r="C194" t="str">
        <f t="shared" si="25"/>
        <v>test.Class11_10_</v>
      </c>
      <c r="D194">
        <v>28</v>
      </c>
      <c r="E194" s="4">
        <v>0.77093596059113301</v>
      </c>
      <c r="F194" s="4">
        <v>0.28659461509290862</v>
      </c>
      <c r="G194" s="4" t="str">
        <f t="shared" si="26"/>
        <v/>
      </c>
      <c r="H194" s="4">
        <f t="shared" si="27"/>
        <v>0.77093596059113301</v>
      </c>
      <c r="I194" s="4" t="str">
        <f t="shared" si="28"/>
        <v/>
      </c>
      <c r="J194" s="4" t="str">
        <f t="shared" si="29"/>
        <v/>
      </c>
      <c r="K194" s="4" t="str">
        <f t="shared" si="30"/>
        <v/>
      </c>
      <c r="L194" s="4" t="str">
        <f t="shared" si="31"/>
        <v/>
      </c>
      <c r="M194" s="4"/>
      <c r="N194" s="4"/>
      <c r="O194" s="4"/>
      <c r="P194" s="4"/>
      <c r="Q194" s="4"/>
      <c r="R194" s="4"/>
      <c r="S194" s="4"/>
      <c r="T194" s="4"/>
      <c r="U194" s="4"/>
    </row>
    <row r="195" spans="1:21">
      <c r="A195" t="s">
        <v>220</v>
      </c>
      <c r="B195">
        <v>10</v>
      </c>
      <c r="C195" t="str">
        <f t="shared" ref="C195:C258" si="32">CONCATENATE(A195, "_",B195,"_")</f>
        <v>test.Class11_10_</v>
      </c>
      <c r="D195">
        <v>29</v>
      </c>
      <c r="E195" s="4">
        <v>0.77093596059113301</v>
      </c>
      <c r="F195" s="4">
        <v>0.29673871824042475</v>
      </c>
      <c r="G195" s="4" t="str">
        <f t="shared" ref="G195:G258" si="33">IF($F195 &lt;= 0.2,$E195,"")</f>
        <v/>
      </c>
      <c r="H195" s="4">
        <f t="shared" ref="H195:H258" si="34">IF(AND($F195 &gt; 0.2,$F195 &lt;= 0.4),$E195,"")</f>
        <v>0.77093596059113301</v>
      </c>
      <c r="I195" s="4" t="str">
        <f t="shared" ref="I195:I258" si="35">IF(AND($F195 &gt; 0.4,$F195 &lt;= 0.6),$E195,"")</f>
        <v/>
      </c>
      <c r="J195" s="4" t="str">
        <f t="shared" ref="J195:J258" si="36">IF(AND($F195 &gt; 0.6,$F195 &lt;= 0.8),$E195,"")</f>
        <v/>
      </c>
      <c r="K195" s="4" t="str">
        <f t="shared" ref="K195:K258" si="37">IF(AND($F195 &gt; 0.8, $F195 &lt;=1.1),$E195,"")</f>
        <v/>
      </c>
      <c r="L195" s="4" t="str">
        <f t="shared" ref="L195:L258" si="38">IF(AND($F195 &gt; 1.1),$E195,"")</f>
        <v/>
      </c>
      <c r="M195" s="4"/>
      <c r="N195" s="4"/>
      <c r="O195" s="4"/>
      <c r="P195" s="4"/>
      <c r="Q195" s="4"/>
      <c r="R195" s="4"/>
      <c r="S195" s="4"/>
      <c r="T195" s="4"/>
      <c r="U195" s="4"/>
    </row>
    <row r="196" spans="1:21">
      <c r="A196" t="s">
        <v>220</v>
      </c>
      <c r="B196">
        <v>10</v>
      </c>
      <c r="C196" t="str">
        <f t="shared" si="32"/>
        <v>test.Class11_10_</v>
      </c>
      <c r="D196">
        <v>30</v>
      </c>
      <c r="E196" s="4">
        <v>0.77093596059113301</v>
      </c>
      <c r="F196" s="4">
        <v>0.30024649222601441</v>
      </c>
      <c r="G196" s="4" t="str">
        <f t="shared" si="33"/>
        <v/>
      </c>
      <c r="H196" s="4">
        <f t="shared" si="34"/>
        <v>0.77093596059113301</v>
      </c>
      <c r="I196" s="4" t="str">
        <f t="shared" si="35"/>
        <v/>
      </c>
      <c r="J196" s="4" t="str">
        <f t="shared" si="36"/>
        <v/>
      </c>
      <c r="K196" s="4" t="str">
        <f t="shared" si="37"/>
        <v/>
      </c>
      <c r="L196" s="4" t="str">
        <f t="shared" si="38"/>
        <v/>
      </c>
      <c r="M196" s="4"/>
      <c r="N196" s="4"/>
      <c r="O196" s="4"/>
      <c r="P196" s="4"/>
      <c r="Q196" s="4"/>
      <c r="R196" s="4"/>
      <c r="S196" s="4"/>
      <c r="T196" s="4"/>
      <c r="U196" s="4"/>
    </row>
    <row r="197" spans="1:21">
      <c r="A197" t="s">
        <v>220</v>
      </c>
      <c r="B197">
        <v>10</v>
      </c>
      <c r="C197" t="str">
        <f t="shared" si="32"/>
        <v>test.Class11_10_</v>
      </c>
      <c r="D197">
        <v>31</v>
      </c>
      <c r="E197" s="4">
        <v>1</v>
      </c>
      <c r="F197" s="4">
        <v>0.40604854000758439</v>
      </c>
      <c r="G197" s="4" t="str">
        <f t="shared" si="33"/>
        <v/>
      </c>
      <c r="H197" s="4" t="str">
        <f t="shared" si="34"/>
        <v/>
      </c>
      <c r="I197" s="4">
        <f t="shared" si="35"/>
        <v>1</v>
      </c>
      <c r="J197" s="4" t="str">
        <f t="shared" si="36"/>
        <v/>
      </c>
      <c r="K197" s="4" t="str">
        <f t="shared" si="37"/>
        <v/>
      </c>
      <c r="L197" s="4" t="str">
        <f t="shared" si="38"/>
        <v/>
      </c>
      <c r="M197" s="4"/>
      <c r="N197" s="4"/>
      <c r="O197" s="4"/>
      <c r="P197" s="4"/>
      <c r="Q197" s="4"/>
      <c r="R197" s="4"/>
      <c r="S197" s="4"/>
      <c r="T197" s="4"/>
      <c r="U197" s="4"/>
    </row>
    <row r="198" spans="1:21">
      <c r="A198" t="s">
        <v>220</v>
      </c>
      <c r="B198">
        <v>10</v>
      </c>
      <c r="C198" t="str">
        <f t="shared" si="32"/>
        <v>test.Class11_10_</v>
      </c>
      <c r="D198">
        <v>32</v>
      </c>
      <c r="E198" s="4">
        <v>1</v>
      </c>
      <c r="F198" s="4">
        <v>0.42178612059158133</v>
      </c>
      <c r="G198" s="4" t="str">
        <f t="shared" si="33"/>
        <v/>
      </c>
      <c r="H198" s="4" t="str">
        <f t="shared" si="34"/>
        <v/>
      </c>
      <c r="I198" s="4">
        <f t="shared" si="35"/>
        <v>1</v>
      </c>
      <c r="J198" s="4" t="str">
        <f t="shared" si="36"/>
        <v/>
      </c>
      <c r="K198" s="4" t="str">
        <f t="shared" si="37"/>
        <v/>
      </c>
      <c r="L198" s="4" t="str">
        <f t="shared" si="38"/>
        <v/>
      </c>
      <c r="M198" s="4"/>
      <c r="N198" s="4"/>
      <c r="O198" s="4"/>
      <c r="P198" s="4"/>
      <c r="Q198" s="4"/>
      <c r="R198" s="4"/>
      <c r="S198" s="4"/>
      <c r="T198" s="4"/>
      <c r="U198" s="4"/>
    </row>
    <row r="199" spans="1:21">
      <c r="A199" t="s">
        <v>220</v>
      </c>
      <c r="B199">
        <v>11</v>
      </c>
      <c r="C199" t="str">
        <f t="shared" si="32"/>
        <v>test.Class11_11_</v>
      </c>
      <c r="D199">
        <v>1</v>
      </c>
      <c r="E199" s="4">
        <v>5.208333333333333E-3</v>
      </c>
      <c r="F199" s="4">
        <v>2.0793950850661626E-2</v>
      </c>
      <c r="G199" s="4">
        <f t="shared" si="33"/>
        <v>5.208333333333333E-3</v>
      </c>
      <c r="H199" s="4" t="str">
        <f t="shared" si="34"/>
        <v/>
      </c>
      <c r="I199" s="4" t="str">
        <f t="shared" si="35"/>
        <v/>
      </c>
      <c r="J199" s="4" t="str">
        <f t="shared" si="36"/>
        <v/>
      </c>
      <c r="K199" s="4" t="str">
        <f t="shared" si="37"/>
        <v/>
      </c>
      <c r="L199" s="4" t="str">
        <f t="shared" si="38"/>
        <v/>
      </c>
      <c r="M199" s="4"/>
      <c r="N199" s="4"/>
      <c r="O199" s="4"/>
      <c r="P199" s="4"/>
      <c r="Q199" s="4"/>
      <c r="R199" s="4"/>
      <c r="S199" s="4"/>
      <c r="T199" s="4"/>
      <c r="U199" s="4"/>
    </row>
    <row r="200" spans="1:21">
      <c r="A200" t="s">
        <v>220</v>
      </c>
      <c r="B200">
        <v>11</v>
      </c>
      <c r="C200" t="str">
        <f t="shared" si="32"/>
        <v>test.Class11_11_</v>
      </c>
      <c r="D200">
        <v>2</v>
      </c>
      <c r="E200" s="4">
        <v>0.38541666666666669</v>
      </c>
      <c r="F200" s="4">
        <v>0.4091577399705944</v>
      </c>
      <c r="G200" s="4" t="str">
        <f t="shared" si="33"/>
        <v/>
      </c>
      <c r="H200" s="4" t="str">
        <f t="shared" si="34"/>
        <v/>
      </c>
      <c r="I200" s="4">
        <f t="shared" si="35"/>
        <v>0.38541666666666669</v>
      </c>
      <c r="J200" s="4" t="str">
        <f t="shared" si="36"/>
        <v/>
      </c>
      <c r="K200" s="4" t="str">
        <f t="shared" si="37"/>
        <v/>
      </c>
      <c r="L200" s="4" t="str">
        <f t="shared" si="38"/>
        <v/>
      </c>
      <c r="M200" s="4"/>
      <c r="N200" s="4"/>
      <c r="O200" s="4"/>
      <c r="P200" s="4"/>
      <c r="Q200" s="4"/>
      <c r="R200" s="4"/>
      <c r="S200" s="4"/>
      <c r="T200" s="4"/>
      <c r="U200" s="4"/>
    </row>
    <row r="201" spans="1:21">
      <c r="A201" t="s">
        <v>220</v>
      </c>
      <c r="B201">
        <v>11</v>
      </c>
      <c r="C201" t="str">
        <f t="shared" si="32"/>
        <v>test.Class11_11_</v>
      </c>
      <c r="D201">
        <v>3</v>
      </c>
      <c r="E201" s="4">
        <v>0.41666666666666669</v>
      </c>
      <c r="F201" s="4">
        <v>0.43478260869565216</v>
      </c>
      <c r="G201" s="4" t="str">
        <f t="shared" si="33"/>
        <v/>
      </c>
      <c r="H201" s="4" t="str">
        <f t="shared" si="34"/>
        <v/>
      </c>
      <c r="I201" s="4">
        <f t="shared" si="35"/>
        <v>0.41666666666666669</v>
      </c>
      <c r="J201" s="4" t="str">
        <f t="shared" si="36"/>
        <v/>
      </c>
      <c r="K201" s="4" t="str">
        <f t="shared" si="37"/>
        <v/>
      </c>
      <c r="L201" s="4" t="str">
        <f t="shared" si="38"/>
        <v/>
      </c>
      <c r="M201" s="4"/>
      <c r="N201" s="4"/>
      <c r="O201" s="4"/>
      <c r="P201" s="4"/>
      <c r="Q201" s="4"/>
      <c r="R201" s="4"/>
      <c r="S201" s="4"/>
      <c r="T201" s="4"/>
      <c r="U201" s="4"/>
    </row>
    <row r="202" spans="1:21">
      <c r="A202" t="s">
        <v>220</v>
      </c>
      <c r="B202">
        <v>11</v>
      </c>
      <c r="C202" t="str">
        <f t="shared" si="32"/>
        <v>test.Class11_11_</v>
      </c>
      <c r="D202">
        <v>4</v>
      </c>
      <c r="E202" s="4">
        <v>0.55729166666666663</v>
      </c>
      <c r="F202" s="4">
        <v>0.51711825246796894</v>
      </c>
      <c r="G202" s="4" t="str">
        <f t="shared" si="33"/>
        <v/>
      </c>
      <c r="H202" s="4" t="str">
        <f t="shared" si="34"/>
        <v/>
      </c>
      <c r="I202" s="4">
        <f t="shared" si="35"/>
        <v>0.55729166666666663</v>
      </c>
      <c r="J202" s="4" t="str">
        <f t="shared" si="36"/>
        <v/>
      </c>
      <c r="K202" s="4" t="str">
        <f t="shared" si="37"/>
        <v/>
      </c>
      <c r="L202" s="4" t="str">
        <f t="shared" si="38"/>
        <v/>
      </c>
      <c r="M202" s="4"/>
      <c r="N202" s="4"/>
      <c r="O202" s="4"/>
      <c r="P202" s="4"/>
      <c r="Q202" s="4"/>
      <c r="R202" s="4"/>
      <c r="S202" s="4"/>
      <c r="T202" s="4"/>
      <c r="U202" s="4"/>
    </row>
    <row r="203" spans="1:21">
      <c r="A203" t="s">
        <v>220</v>
      </c>
      <c r="B203">
        <v>11</v>
      </c>
      <c r="C203" t="str">
        <f t="shared" si="32"/>
        <v>test.Class11_11_</v>
      </c>
      <c r="D203">
        <v>5</v>
      </c>
      <c r="E203" s="4">
        <v>0.69791666666666663</v>
      </c>
      <c r="F203" s="4">
        <v>0.52215921024994749</v>
      </c>
      <c r="G203" s="4" t="str">
        <f t="shared" si="33"/>
        <v/>
      </c>
      <c r="H203" s="4" t="str">
        <f t="shared" si="34"/>
        <v/>
      </c>
      <c r="I203" s="4">
        <f t="shared" si="35"/>
        <v>0.69791666666666663</v>
      </c>
      <c r="J203" s="4" t="str">
        <f t="shared" si="36"/>
        <v/>
      </c>
      <c r="K203" s="4" t="str">
        <f t="shared" si="37"/>
        <v/>
      </c>
      <c r="L203" s="4" t="str">
        <f t="shared" si="38"/>
        <v/>
      </c>
      <c r="M203" s="4"/>
      <c r="N203" s="4"/>
      <c r="O203" s="4"/>
      <c r="P203" s="4"/>
      <c r="Q203" s="4"/>
      <c r="R203" s="4"/>
      <c r="S203" s="4"/>
      <c r="T203" s="4"/>
      <c r="U203" s="4"/>
    </row>
    <row r="204" spans="1:21">
      <c r="A204" t="s">
        <v>220</v>
      </c>
      <c r="B204">
        <v>11</v>
      </c>
      <c r="C204" t="str">
        <f t="shared" si="32"/>
        <v>test.Class11_11_</v>
      </c>
      <c r="D204">
        <v>6</v>
      </c>
      <c r="E204" s="4">
        <v>0.83854166666666663</v>
      </c>
      <c r="F204" s="4">
        <v>0.52993068683049782</v>
      </c>
      <c r="G204" s="4" t="str">
        <f t="shared" si="33"/>
        <v/>
      </c>
      <c r="H204" s="4" t="str">
        <f t="shared" si="34"/>
        <v/>
      </c>
      <c r="I204" s="4">
        <f t="shared" si="35"/>
        <v>0.83854166666666663</v>
      </c>
      <c r="J204" s="4" t="str">
        <f t="shared" si="36"/>
        <v/>
      </c>
      <c r="K204" s="4" t="str">
        <f t="shared" si="37"/>
        <v/>
      </c>
      <c r="L204" s="4" t="str">
        <f t="shared" si="38"/>
        <v/>
      </c>
      <c r="M204" s="4"/>
      <c r="N204" s="4"/>
      <c r="O204" s="4"/>
      <c r="P204" s="4"/>
      <c r="Q204" s="4"/>
      <c r="R204" s="4"/>
      <c r="S204" s="4"/>
      <c r="T204" s="4"/>
      <c r="U204" s="4"/>
    </row>
    <row r="205" spans="1:21">
      <c r="A205" t="s">
        <v>220</v>
      </c>
      <c r="B205">
        <v>11</v>
      </c>
      <c r="C205" t="str">
        <f t="shared" si="32"/>
        <v>test.Class11_11_</v>
      </c>
      <c r="D205">
        <v>7</v>
      </c>
      <c r="E205" s="4">
        <v>0.83854166666666663</v>
      </c>
      <c r="F205" s="4">
        <v>0.54148288174753201</v>
      </c>
      <c r="G205" s="4" t="str">
        <f t="shared" si="33"/>
        <v/>
      </c>
      <c r="H205" s="4" t="str">
        <f t="shared" si="34"/>
        <v/>
      </c>
      <c r="I205" s="4">
        <f t="shared" si="35"/>
        <v>0.83854166666666663</v>
      </c>
      <c r="J205" s="4" t="str">
        <f t="shared" si="36"/>
        <v/>
      </c>
      <c r="K205" s="4" t="str">
        <f t="shared" si="37"/>
        <v/>
      </c>
      <c r="L205" s="4" t="str">
        <f t="shared" si="38"/>
        <v/>
      </c>
      <c r="M205" s="4"/>
      <c r="N205" s="4"/>
      <c r="O205" s="4"/>
      <c r="P205" s="4"/>
      <c r="Q205" s="4"/>
      <c r="R205" s="4"/>
      <c r="S205" s="4"/>
      <c r="T205" s="4"/>
      <c r="U205" s="4"/>
    </row>
    <row r="206" spans="1:21">
      <c r="A206" t="s">
        <v>220</v>
      </c>
      <c r="B206">
        <v>11</v>
      </c>
      <c r="C206" t="str">
        <f t="shared" si="32"/>
        <v>test.Class11_11_</v>
      </c>
      <c r="D206">
        <v>8</v>
      </c>
      <c r="E206" s="4">
        <v>0.97916666666666663</v>
      </c>
      <c r="F206" s="4">
        <v>0.5431632010081916</v>
      </c>
      <c r="G206" s="4" t="str">
        <f t="shared" si="33"/>
        <v/>
      </c>
      <c r="H206" s="4" t="str">
        <f t="shared" si="34"/>
        <v/>
      </c>
      <c r="I206" s="4">
        <f t="shared" si="35"/>
        <v>0.97916666666666663</v>
      </c>
      <c r="J206" s="4" t="str">
        <f t="shared" si="36"/>
        <v/>
      </c>
      <c r="K206" s="4" t="str">
        <f t="shared" si="37"/>
        <v/>
      </c>
      <c r="L206" s="4" t="str">
        <f t="shared" si="38"/>
        <v/>
      </c>
      <c r="M206" s="4"/>
      <c r="N206" s="4"/>
      <c r="O206" s="4"/>
      <c r="P206" s="4"/>
      <c r="Q206" s="4"/>
      <c r="R206" s="4"/>
      <c r="S206" s="4"/>
      <c r="T206" s="4"/>
      <c r="U206" s="4"/>
    </row>
    <row r="207" spans="1:21">
      <c r="A207" t="s">
        <v>220</v>
      </c>
      <c r="B207">
        <v>11</v>
      </c>
      <c r="C207" t="str">
        <f t="shared" si="32"/>
        <v>test.Class11_11_</v>
      </c>
      <c r="D207">
        <v>9</v>
      </c>
      <c r="E207" s="4">
        <v>0.97916666666666663</v>
      </c>
      <c r="F207" s="4">
        <v>0.54862423860533505</v>
      </c>
      <c r="G207" s="4" t="str">
        <f t="shared" si="33"/>
        <v/>
      </c>
      <c r="H207" s="4" t="str">
        <f t="shared" si="34"/>
        <v/>
      </c>
      <c r="I207" s="4">
        <f t="shared" si="35"/>
        <v>0.97916666666666663</v>
      </c>
      <c r="J207" s="4" t="str">
        <f t="shared" si="36"/>
        <v/>
      </c>
      <c r="K207" s="4" t="str">
        <f t="shared" si="37"/>
        <v/>
      </c>
      <c r="L207" s="4" t="str">
        <f t="shared" si="38"/>
        <v/>
      </c>
      <c r="M207" s="4"/>
      <c r="N207" s="4"/>
      <c r="O207" s="4"/>
      <c r="P207" s="4"/>
      <c r="Q207" s="4"/>
      <c r="R207" s="4"/>
      <c r="S207" s="4"/>
      <c r="T207" s="4"/>
      <c r="U207" s="4"/>
    </row>
    <row r="208" spans="1:21">
      <c r="A208" t="s">
        <v>220</v>
      </c>
      <c r="B208">
        <v>11</v>
      </c>
      <c r="C208" t="str">
        <f t="shared" si="32"/>
        <v>test.Class11_11_</v>
      </c>
      <c r="D208">
        <v>10</v>
      </c>
      <c r="E208" s="4">
        <v>0.97916666666666663</v>
      </c>
      <c r="F208" s="4">
        <v>0.56227683259819361</v>
      </c>
      <c r="G208" s="4" t="str">
        <f t="shared" si="33"/>
        <v/>
      </c>
      <c r="H208" s="4" t="str">
        <f t="shared" si="34"/>
        <v/>
      </c>
      <c r="I208" s="4">
        <f t="shared" si="35"/>
        <v>0.97916666666666663</v>
      </c>
      <c r="J208" s="4" t="str">
        <f t="shared" si="36"/>
        <v/>
      </c>
      <c r="K208" s="4" t="str">
        <f t="shared" si="37"/>
        <v/>
      </c>
      <c r="L208" s="4" t="str">
        <f t="shared" si="38"/>
        <v/>
      </c>
      <c r="M208" s="4"/>
      <c r="N208" s="4"/>
      <c r="O208" s="4"/>
      <c r="P208" s="4"/>
      <c r="Q208" s="4"/>
      <c r="R208" s="4"/>
      <c r="S208" s="4"/>
      <c r="T208" s="4"/>
      <c r="U208" s="4"/>
    </row>
    <row r="209" spans="1:21">
      <c r="A209" t="s">
        <v>220</v>
      </c>
      <c r="B209">
        <v>11</v>
      </c>
      <c r="C209" t="str">
        <f t="shared" si="32"/>
        <v>test.Class11_11_</v>
      </c>
      <c r="D209">
        <v>11</v>
      </c>
      <c r="E209" s="4">
        <v>0.97916666666666663</v>
      </c>
      <c r="F209" s="4">
        <v>0.57193866834698592</v>
      </c>
      <c r="G209" s="4" t="str">
        <f t="shared" si="33"/>
        <v/>
      </c>
      <c r="H209" s="4" t="str">
        <f t="shared" si="34"/>
        <v/>
      </c>
      <c r="I209" s="4">
        <f t="shared" si="35"/>
        <v>0.97916666666666663</v>
      </c>
      <c r="J209" s="4" t="str">
        <f t="shared" si="36"/>
        <v/>
      </c>
      <c r="K209" s="4" t="str">
        <f t="shared" si="37"/>
        <v/>
      </c>
      <c r="L209" s="4" t="str">
        <f t="shared" si="38"/>
        <v/>
      </c>
      <c r="M209" s="4"/>
      <c r="N209" s="4"/>
      <c r="O209" s="4"/>
      <c r="P209" s="4"/>
      <c r="Q209" s="4"/>
      <c r="R209" s="4"/>
      <c r="S209" s="4"/>
      <c r="T209" s="4"/>
      <c r="U209" s="4"/>
    </row>
    <row r="210" spans="1:21">
      <c r="A210" t="s">
        <v>220</v>
      </c>
      <c r="B210">
        <v>11</v>
      </c>
      <c r="C210" t="str">
        <f t="shared" si="32"/>
        <v>test.Class11_11_</v>
      </c>
      <c r="D210">
        <v>12</v>
      </c>
      <c r="E210" s="4">
        <v>1</v>
      </c>
      <c r="F210" s="4">
        <v>0.96618357487922701</v>
      </c>
      <c r="G210" s="4" t="str">
        <f t="shared" si="33"/>
        <v/>
      </c>
      <c r="H210" s="4" t="str">
        <f t="shared" si="34"/>
        <v/>
      </c>
      <c r="I210" s="4" t="str">
        <f t="shared" si="35"/>
        <v/>
      </c>
      <c r="J210" s="4" t="str">
        <f t="shared" si="36"/>
        <v/>
      </c>
      <c r="K210" s="4">
        <f t="shared" si="37"/>
        <v>1</v>
      </c>
      <c r="L210" s="4" t="str">
        <f t="shared" si="38"/>
        <v/>
      </c>
      <c r="M210" s="4"/>
      <c r="N210" s="4"/>
      <c r="O210" s="4"/>
      <c r="P210" s="4"/>
      <c r="Q210" s="4"/>
      <c r="R210" s="4"/>
      <c r="S210" s="4"/>
      <c r="T210" s="4"/>
      <c r="U210" s="4"/>
    </row>
    <row r="211" spans="1:21">
      <c r="A211" t="s">
        <v>220</v>
      </c>
      <c r="B211">
        <v>11</v>
      </c>
      <c r="C211" t="str">
        <f t="shared" si="32"/>
        <v>test.Class11_11_</v>
      </c>
      <c r="D211">
        <v>13</v>
      </c>
      <c r="E211" s="4">
        <v>1</v>
      </c>
      <c r="F211" s="4">
        <v>1.0090317160260449</v>
      </c>
      <c r="G211" s="4" t="str">
        <f t="shared" si="33"/>
        <v/>
      </c>
      <c r="H211" s="4" t="str">
        <f t="shared" si="34"/>
        <v/>
      </c>
      <c r="I211" s="4" t="str">
        <f t="shared" si="35"/>
        <v/>
      </c>
      <c r="J211" s="4" t="str">
        <f t="shared" si="36"/>
        <v/>
      </c>
      <c r="K211" s="4">
        <f t="shared" si="37"/>
        <v>1</v>
      </c>
      <c r="L211" s="4" t="str">
        <f t="shared" si="38"/>
        <v/>
      </c>
      <c r="M211" s="4"/>
      <c r="N211" s="4"/>
      <c r="O211" s="4"/>
      <c r="P211" s="4"/>
      <c r="Q211" s="4"/>
      <c r="R211" s="4"/>
      <c r="S211" s="4"/>
      <c r="T211" s="4"/>
      <c r="U211" s="4"/>
    </row>
    <row r="212" spans="1:21">
      <c r="A212" t="s">
        <v>220</v>
      </c>
      <c r="B212">
        <v>12</v>
      </c>
      <c r="C212" t="str">
        <f t="shared" si="32"/>
        <v>test.Class11_12_</v>
      </c>
      <c r="D212">
        <v>1</v>
      </c>
      <c r="E212" s="4">
        <v>8.4745762711864406E-3</v>
      </c>
      <c r="F212" s="4">
        <v>2.8874875539329572E-2</v>
      </c>
      <c r="G212" s="4">
        <f t="shared" si="33"/>
        <v>8.4745762711864406E-3</v>
      </c>
      <c r="H212" s="4" t="str">
        <f t="shared" si="34"/>
        <v/>
      </c>
      <c r="I212" s="4" t="str">
        <f t="shared" si="35"/>
        <v/>
      </c>
      <c r="J212" s="4" t="str">
        <f t="shared" si="36"/>
        <v/>
      </c>
      <c r="K212" s="4" t="str">
        <f t="shared" si="37"/>
        <v/>
      </c>
      <c r="L212" s="4" t="str">
        <f t="shared" si="38"/>
        <v/>
      </c>
      <c r="M212" s="4"/>
      <c r="N212" s="4"/>
      <c r="O212" s="4"/>
      <c r="P212" s="4"/>
      <c r="Q212" s="4"/>
      <c r="R212" s="4"/>
      <c r="S212" s="4"/>
      <c r="T212" s="4"/>
      <c r="U212" s="4"/>
    </row>
    <row r="213" spans="1:21">
      <c r="A213" t="s">
        <v>220</v>
      </c>
      <c r="B213">
        <v>12</v>
      </c>
      <c r="C213" t="str">
        <f t="shared" si="32"/>
        <v>test.Class11_12_</v>
      </c>
      <c r="D213">
        <v>2</v>
      </c>
      <c r="E213" s="4">
        <v>0.52542372881355937</v>
      </c>
      <c r="F213" s="4">
        <v>0.60073016926651179</v>
      </c>
      <c r="G213" s="4" t="str">
        <f t="shared" si="33"/>
        <v/>
      </c>
      <c r="H213" s="4" t="str">
        <f t="shared" si="34"/>
        <v/>
      </c>
      <c r="I213" s="4" t="str">
        <f t="shared" si="35"/>
        <v/>
      </c>
      <c r="J213" s="4">
        <f t="shared" si="36"/>
        <v>0.52542372881355937</v>
      </c>
      <c r="K213" s="4" t="str">
        <f t="shared" si="37"/>
        <v/>
      </c>
      <c r="L213" s="4" t="str">
        <f t="shared" si="38"/>
        <v/>
      </c>
      <c r="M213" s="4"/>
      <c r="N213" s="4"/>
      <c r="O213" s="4"/>
      <c r="P213" s="4"/>
      <c r="Q213" s="4"/>
      <c r="R213" s="4"/>
      <c r="S213" s="4"/>
      <c r="T213" s="4"/>
      <c r="U213" s="4"/>
    </row>
    <row r="214" spans="1:21">
      <c r="A214" t="s">
        <v>220</v>
      </c>
      <c r="B214">
        <v>12</v>
      </c>
      <c r="C214" t="str">
        <f t="shared" si="32"/>
        <v>test.Class11_12_</v>
      </c>
      <c r="D214">
        <v>3</v>
      </c>
      <c r="E214" s="4">
        <v>0.55932203389830504</v>
      </c>
      <c r="F214" s="4">
        <v>0.64088947892465986</v>
      </c>
      <c r="G214" s="4" t="str">
        <f t="shared" si="33"/>
        <v/>
      </c>
      <c r="H214" s="4" t="str">
        <f t="shared" si="34"/>
        <v/>
      </c>
      <c r="I214" s="4" t="str">
        <f t="shared" si="35"/>
        <v/>
      </c>
      <c r="J214" s="4">
        <f t="shared" si="36"/>
        <v>0.55932203389830504</v>
      </c>
      <c r="K214" s="4" t="str">
        <f t="shared" si="37"/>
        <v/>
      </c>
      <c r="L214" s="4" t="str">
        <f t="shared" si="38"/>
        <v/>
      </c>
      <c r="M214" s="4"/>
      <c r="N214" s="4"/>
      <c r="O214" s="4"/>
      <c r="P214" s="4"/>
      <c r="Q214" s="4"/>
      <c r="R214" s="4"/>
      <c r="S214" s="4"/>
      <c r="T214" s="4"/>
      <c r="U214" s="4"/>
    </row>
    <row r="215" spans="1:21">
      <c r="A215" t="s">
        <v>220</v>
      </c>
      <c r="B215">
        <v>12</v>
      </c>
      <c r="C215" t="str">
        <f t="shared" si="32"/>
        <v>test.Class11_12_</v>
      </c>
      <c r="D215">
        <v>4</v>
      </c>
      <c r="E215" s="4">
        <v>0.59322033898305082</v>
      </c>
      <c r="F215" s="4">
        <v>0.6747427812811152</v>
      </c>
      <c r="G215" s="4" t="str">
        <f t="shared" si="33"/>
        <v/>
      </c>
      <c r="H215" s="4" t="str">
        <f t="shared" si="34"/>
        <v/>
      </c>
      <c r="I215" s="4" t="str">
        <f t="shared" si="35"/>
        <v/>
      </c>
      <c r="J215" s="4">
        <f t="shared" si="36"/>
        <v>0.59322033898305082</v>
      </c>
      <c r="K215" s="4" t="str">
        <f t="shared" si="37"/>
        <v/>
      </c>
      <c r="L215" s="4" t="str">
        <f t="shared" si="38"/>
        <v/>
      </c>
      <c r="M215" s="4"/>
      <c r="N215" s="4"/>
      <c r="O215" s="4"/>
      <c r="P215" s="4"/>
      <c r="Q215" s="4"/>
      <c r="R215" s="4"/>
      <c r="S215" s="4"/>
      <c r="T215" s="4"/>
      <c r="U215" s="4"/>
    </row>
    <row r="216" spans="1:21">
      <c r="A216" t="s">
        <v>220</v>
      </c>
      <c r="B216">
        <v>12</v>
      </c>
      <c r="C216" t="str">
        <f t="shared" si="32"/>
        <v>test.Class11_12_</v>
      </c>
      <c r="D216">
        <v>5</v>
      </c>
      <c r="E216" s="4">
        <v>0.71186440677966101</v>
      </c>
      <c r="F216" s="4">
        <v>0.71622967142383009</v>
      </c>
      <c r="G216" s="4" t="str">
        <f t="shared" si="33"/>
        <v/>
      </c>
      <c r="H216" s="4" t="str">
        <f t="shared" si="34"/>
        <v/>
      </c>
      <c r="I216" s="4" t="str">
        <f t="shared" si="35"/>
        <v/>
      </c>
      <c r="J216" s="4">
        <f t="shared" si="36"/>
        <v>0.71186440677966101</v>
      </c>
      <c r="K216" s="4" t="str">
        <f t="shared" si="37"/>
        <v/>
      </c>
      <c r="L216" s="4" t="str">
        <f t="shared" si="38"/>
        <v/>
      </c>
      <c r="M216" s="4"/>
      <c r="N216" s="4"/>
      <c r="O216" s="4"/>
      <c r="P216" s="4"/>
      <c r="Q216" s="4"/>
      <c r="R216" s="4"/>
      <c r="S216" s="4"/>
      <c r="T216" s="4"/>
      <c r="U216" s="4"/>
    </row>
    <row r="217" spans="1:21">
      <c r="A217" t="s">
        <v>220</v>
      </c>
      <c r="B217">
        <v>12</v>
      </c>
      <c r="C217" t="str">
        <f t="shared" si="32"/>
        <v>test.Class11_12_</v>
      </c>
      <c r="D217">
        <v>6</v>
      </c>
      <c r="E217" s="4">
        <v>0.88983050847457623</v>
      </c>
      <c r="F217" s="4">
        <v>0.72187188848323924</v>
      </c>
      <c r="G217" s="4" t="str">
        <f t="shared" si="33"/>
        <v/>
      </c>
      <c r="H217" s="4" t="str">
        <f t="shared" si="34"/>
        <v/>
      </c>
      <c r="I217" s="4" t="str">
        <f t="shared" si="35"/>
        <v/>
      </c>
      <c r="J217" s="4">
        <f t="shared" si="36"/>
        <v>0.88983050847457623</v>
      </c>
      <c r="K217" s="4" t="str">
        <f t="shared" si="37"/>
        <v/>
      </c>
      <c r="L217" s="4" t="str">
        <f t="shared" si="38"/>
        <v/>
      </c>
      <c r="M217" s="4"/>
      <c r="N217" s="4"/>
      <c r="O217" s="4"/>
      <c r="P217" s="4"/>
      <c r="Q217" s="4"/>
      <c r="R217" s="4"/>
      <c r="S217" s="4"/>
      <c r="T217" s="4"/>
      <c r="U217" s="4"/>
    </row>
    <row r="218" spans="1:21">
      <c r="A218" t="s">
        <v>220</v>
      </c>
      <c r="B218">
        <v>12</v>
      </c>
      <c r="C218" t="str">
        <f t="shared" si="32"/>
        <v>test.Class11_12_</v>
      </c>
      <c r="D218">
        <v>7</v>
      </c>
      <c r="E218" s="4">
        <v>1</v>
      </c>
      <c r="F218" s="4">
        <v>0.72718221042150677</v>
      </c>
      <c r="G218" s="4" t="str">
        <f t="shared" si="33"/>
        <v/>
      </c>
      <c r="H218" s="4" t="str">
        <f t="shared" si="34"/>
        <v/>
      </c>
      <c r="I218" s="4" t="str">
        <f t="shared" si="35"/>
        <v/>
      </c>
      <c r="J218" s="4">
        <f t="shared" si="36"/>
        <v>1</v>
      </c>
      <c r="K218" s="4" t="str">
        <f t="shared" si="37"/>
        <v/>
      </c>
      <c r="L218" s="4" t="str">
        <f t="shared" si="38"/>
        <v/>
      </c>
      <c r="M218" s="4"/>
      <c r="N218" s="4"/>
      <c r="O218" s="4"/>
      <c r="P218" s="4"/>
      <c r="Q218" s="4"/>
      <c r="R218" s="4"/>
      <c r="S218" s="4"/>
      <c r="T218" s="4"/>
      <c r="U218" s="4"/>
    </row>
    <row r="219" spans="1:21">
      <c r="A219" t="s">
        <v>220</v>
      </c>
      <c r="B219">
        <v>12</v>
      </c>
      <c r="C219" t="str">
        <f t="shared" si="32"/>
        <v>test.Class11_12_</v>
      </c>
      <c r="D219">
        <v>8</v>
      </c>
      <c r="E219" s="4">
        <v>1</v>
      </c>
      <c r="F219" s="4">
        <v>0.75307002987056093</v>
      </c>
      <c r="G219" s="4" t="str">
        <f t="shared" si="33"/>
        <v/>
      </c>
      <c r="H219" s="4" t="str">
        <f t="shared" si="34"/>
        <v/>
      </c>
      <c r="I219" s="4" t="str">
        <f t="shared" si="35"/>
        <v/>
      </c>
      <c r="J219" s="4">
        <f t="shared" si="36"/>
        <v>1</v>
      </c>
      <c r="K219" s="4" t="str">
        <f t="shared" si="37"/>
        <v/>
      </c>
      <c r="L219" s="4" t="str">
        <f t="shared" si="38"/>
        <v/>
      </c>
      <c r="M219" s="4"/>
      <c r="N219" s="4"/>
      <c r="O219" s="4"/>
      <c r="P219" s="4"/>
      <c r="Q219" s="4"/>
      <c r="R219" s="4"/>
      <c r="S219" s="4"/>
      <c r="T219" s="4"/>
      <c r="U219" s="4"/>
    </row>
    <row r="220" spans="1:21">
      <c r="A220" t="s">
        <v>220</v>
      </c>
      <c r="B220">
        <v>12</v>
      </c>
      <c r="C220" t="str">
        <f t="shared" si="32"/>
        <v>test.Class11_12_</v>
      </c>
      <c r="D220">
        <v>9</v>
      </c>
      <c r="E220" s="4">
        <v>1</v>
      </c>
      <c r="F220" s="4">
        <v>0.76369067374709587</v>
      </c>
      <c r="G220" s="4" t="str">
        <f t="shared" si="33"/>
        <v/>
      </c>
      <c r="H220" s="4" t="str">
        <f t="shared" si="34"/>
        <v/>
      </c>
      <c r="I220" s="4" t="str">
        <f t="shared" si="35"/>
        <v/>
      </c>
      <c r="J220" s="4">
        <f t="shared" si="36"/>
        <v>1</v>
      </c>
      <c r="K220" s="4" t="str">
        <f t="shared" si="37"/>
        <v/>
      </c>
      <c r="L220" s="4" t="str">
        <f t="shared" si="38"/>
        <v/>
      </c>
      <c r="M220" s="4"/>
      <c r="N220" s="4"/>
      <c r="O220" s="4"/>
      <c r="P220" s="4"/>
      <c r="Q220" s="4"/>
      <c r="R220" s="4"/>
      <c r="S220" s="4"/>
      <c r="T220" s="4"/>
      <c r="U220" s="4"/>
    </row>
    <row r="221" spans="1:21">
      <c r="A221" t="s">
        <v>220</v>
      </c>
      <c r="B221">
        <v>12</v>
      </c>
      <c r="C221" t="str">
        <f t="shared" si="32"/>
        <v>test.Class11_12_</v>
      </c>
      <c r="D221">
        <v>10</v>
      </c>
      <c r="E221" s="4">
        <v>1</v>
      </c>
      <c r="F221" s="4">
        <v>0.80584135413209423</v>
      </c>
      <c r="G221" s="4" t="str">
        <f t="shared" si="33"/>
        <v/>
      </c>
      <c r="H221" s="4" t="str">
        <f t="shared" si="34"/>
        <v/>
      </c>
      <c r="I221" s="4" t="str">
        <f t="shared" si="35"/>
        <v/>
      </c>
      <c r="J221" s="4" t="str">
        <f t="shared" si="36"/>
        <v/>
      </c>
      <c r="K221" s="4">
        <f t="shared" si="37"/>
        <v>1</v>
      </c>
      <c r="L221" s="4" t="str">
        <f t="shared" si="38"/>
        <v/>
      </c>
      <c r="M221" s="4"/>
      <c r="N221" s="4"/>
      <c r="O221" s="4"/>
      <c r="P221" s="4"/>
      <c r="Q221" s="4"/>
      <c r="R221" s="4"/>
      <c r="S221" s="4"/>
      <c r="T221" s="4"/>
      <c r="U221" s="4"/>
    </row>
    <row r="222" spans="1:21">
      <c r="A222" t="s">
        <v>220</v>
      </c>
      <c r="B222">
        <v>12</v>
      </c>
      <c r="C222" t="str">
        <f t="shared" si="32"/>
        <v>test.Class11_12_</v>
      </c>
      <c r="D222">
        <v>11</v>
      </c>
      <c r="E222" s="4">
        <v>1</v>
      </c>
      <c r="F222" s="4">
        <v>0.81745768337205438</v>
      </c>
      <c r="G222" s="4" t="str">
        <f t="shared" si="33"/>
        <v/>
      </c>
      <c r="H222" s="4" t="str">
        <f t="shared" si="34"/>
        <v/>
      </c>
      <c r="I222" s="4" t="str">
        <f t="shared" si="35"/>
        <v/>
      </c>
      <c r="J222" s="4" t="str">
        <f t="shared" si="36"/>
        <v/>
      </c>
      <c r="K222" s="4">
        <f t="shared" si="37"/>
        <v>1</v>
      </c>
      <c r="L222" s="4" t="str">
        <f t="shared" si="38"/>
        <v/>
      </c>
      <c r="M222" s="4"/>
      <c r="N222" s="4"/>
      <c r="O222" s="4"/>
      <c r="P222" s="4"/>
      <c r="Q222" s="4"/>
      <c r="R222" s="4"/>
      <c r="S222" s="4"/>
      <c r="T222" s="4"/>
      <c r="U222" s="4"/>
    </row>
    <row r="223" spans="1:21">
      <c r="A223" t="s">
        <v>220</v>
      </c>
      <c r="B223">
        <v>12</v>
      </c>
      <c r="C223" t="str">
        <f t="shared" si="32"/>
        <v>test.Class11_12_</v>
      </c>
      <c r="D223">
        <v>12</v>
      </c>
      <c r="E223" s="4">
        <v>1</v>
      </c>
      <c r="F223" s="4">
        <v>0.85330235645536012</v>
      </c>
      <c r="G223" s="4" t="str">
        <f t="shared" si="33"/>
        <v/>
      </c>
      <c r="H223" s="4" t="str">
        <f t="shared" si="34"/>
        <v/>
      </c>
      <c r="I223" s="4" t="str">
        <f t="shared" si="35"/>
        <v/>
      </c>
      <c r="J223" s="4" t="str">
        <f t="shared" si="36"/>
        <v/>
      </c>
      <c r="K223" s="4">
        <f t="shared" si="37"/>
        <v>1</v>
      </c>
      <c r="L223" s="4" t="str">
        <f t="shared" si="38"/>
        <v/>
      </c>
      <c r="M223" s="4"/>
      <c r="N223" s="4"/>
      <c r="O223" s="4"/>
      <c r="P223" s="4"/>
      <c r="Q223" s="4"/>
      <c r="R223" s="4"/>
      <c r="S223" s="4"/>
      <c r="T223" s="4"/>
      <c r="U223" s="4"/>
    </row>
    <row r="224" spans="1:21">
      <c r="A224" t="s">
        <v>220</v>
      </c>
      <c r="B224">
        <v>12</v>
      </c>
      <c r="C224" t="str">
        <f t="shared" si="32"/>
        <v>test.Class11_12_</v>
      </c>
      <c r="D224">
        <v>13</v>
      </c>
      <c r="E224" s="4">
        <v>1</v>
      </c>
      <c r="F224" s="4">
        <v>0.85994025887819447</v>
      </c>
      <c r="G224" s="4" t="str">
        <f t="shared" si="33"/>
        <v/>
      </c>
      <c r="H224" s="4" t="str">
        <f t="shared" si="34"/>
        <v/>
      </c>
      <c r="I224" s="4" t="str">
        <f t="shared" si="35"/>
        <v/>
      </c>
      <c r="J224" s="4" t="str">
        <f t="shared" si="36"/>
        <v/>
      </c>
      <c r="K224" s="4">
        <f t="shared" si="37"/>
        <v>1</v>
      </c>
      <c r="L224" s="4" t="str">
        <f t="shared" si="38"/>
        <v/>
      </c>
      <c r="M224" s="4"/>
      <c r="N224" s="4"/>
      <c r="O224" s="4"/>
      <c r="P224" s="4"/>
      <c r="Q224" s="4"/>
      <c r="R224" s="4"/>
      <c r="S224" s="4"/>
      <c r="T224" s="4"/>
      <c r="U224" s="4"/>
    </row>
    <row r="225" spans="1:21">
      <c r="A225" t="s">
        <v>220</v>
      </c>
      <c r="B225">
        <v>12</v>
      </c>
      <c r="C225" t="str">
        <f t="shared" si="32"/>
        <v>test.Class11_12_</v>
      </c>
      <c r="D225">
        <v>14</v>
      </c>
      <c r="E225" s="4">
        <v>1</v>
      </c>
      <c r="F225" s="4">
        <v>0.86392300033189517</v>
      </c>
      <c r="G225" s="4" t="str">
        <f t="shared" si="33"/>
        <v/>
      </c>
      <c r="H225" s="4" t="str">
        <f t="shared" si="34"/>
        <v/>
      </c>
      <c r="I225" s="4" t="str">
        <f t="shared" si="35"/>
        <v/>
      </c>
      <c r="J225" s="4" t="str">
        <f t="shared" si="36"/>
        <v/>
      </c>
      <c r="K225" s="4">
        <f t="shared" si="37"/>
        <v>1</v>
      </c>
      <c r="L225" s="4" t="str">
        <f t="shared" si="38"/>
        <v/>
      </c>
      <c r="M225" s="4"/>
      <c r="N225" s="4"/>
      <c r="O225" s="4"/>
      <c r="P225" s="4"/>
      <c r="Q225" s="4"/>
      <c r="R225" s="4"/>
      <c r="S225" s="4"/>
      <c r="T225" s="4"/>
      <c r="U225" s="4"/>
    </row>
    <row r="226" spans="1:21">
      <c r="A226" t="s">
        <v>220</v>
      </c>
      <c r="B226">
        <v>12</v>
      </c>
      <c r="C226" t="str">
        <f t="shared" si="32"/>
        <v>test.Class11_12_</v>
      </c>
      <c r="D226">
        <v>15</v>
      </c>
      <c r="E226" s="4">
        <v>1</v>
      </c>
      <c r="F226" s="4">
        <v>0.90308662462661804</v>
      </c>
      <c r="G226" s="4" t="str">
        <f t="shared" si="33"/>
        <v/>
      </c>
      <c r="H226" s="4" t="str">
        <f t="shared" si="34"/>
        <v/>
      </c>
      <c r="I226" s="4" t="str">
        <f t="shared" si="35"/>
        <v/>
      </c>
      <c r="J226" s="4" t="str">
        <f t="shared" si="36"/>
        <v/>
      </c>
      <c r="K226" s="4">
        <f t="shared" si="37"/>
        <v>1</v>
      </c>
      <c r="L226" s="4" t="str">
        <f t="shared" si="38"/>
        <v/>
      </c>
      <c r="M226" s="4"/>
      <c r="N226" s="4"/>
      <c r="O226" s="4"/>
      <c r="P226" s="4"/>
      <c r="Q226" s="4"/>
      <c r="R226" s="4"/>
      <c r="S226" s="4"/>
      <c r="T226" s="4"/>
      <c r="U226" s="4"/>
    </row>
    <row r="227" spans="1:21">
      <c r="A227" t="s">
        <v>220</v>
      </c>
      <c r="B227">
        <v>12</v>
      </c>
      <c r="C227" t="str">
        <f t="shared" si="32"/>
        <v>test.Class11_12_</v>
      </c>
      <c r="D227">
        <v>16</v>
      </c>
      <c r="E227" s="4">
        <v>1</v>
      </c>
      <c r="F227" s="4">
        <v>0.92631928310653833</v>
      </c>
      <c r="G227" s="4" t="str">
        <f t="shared" si="33"/>
        <v/>
      </c>
      <c r="H227" s="4" t="str">
        <f t="shared" si="34"/>
        <v/>
      </c>
      <c r="I227" s="4" t="str">
        <f t="shared" si="35"/>
        <v/>
      </c>
      <c r="J227" s="4" t="str">
        <f t="shared" si="36"/>
        <v/>
      </c>
      <c r="K227" s="4">
        <f t="shared" si="37"/>
        <v>1</v>
      </c>
      <c r="L227" s="4" t="str">
        <f t="shared" si="38"/>
        <v/>
      </c>
      <c r="M227" s="4"/>
      <c r="N227" s="4"/>
      <c r="O227" s="4"/>
      <c r="P227" s="4"/>
      <c r="Q227" s="4"/>
      <c r="R227" s="4"/>
      <c r="S227" s="4"/>
      <c r="T227" s="4"/>
      <c r="U227" s="4"/>
    </row>
    <row r="228" spans="1:21">
      <c r="A228" t="s">
        <v>220</v>
      </c>
      <c r="B228">
        <v>12</v>
      </c>
      <c r="C228" t="str">
        <f t="shared" si="32"/>
        <v>test.Class11_12_</v>
      </c>
      <c r="D228">
        <v>17</v>
      </c>
      <c r="E228" s="4">
        <v>1</v>
      </c>
      <c r="F228" s="4">
        <v>0.98141387321606377</v>
      </c>
      <c r="G228" s="4" t="str">
        <f t="shared" si="33"/>
        <v/>
      </c>
      <c r="H228" s="4" t="str">
        <f t="shared" si="34"/>
        <v/>
      </c>
      <c r="I228" s="4" t="str">
        <f t="shared" si="35"/>
        <v/>
      </c>
      <c r="J228" s="4" t="str">
        <f t="shared" si="36"/>
        <v/>
      </c>
      <c r="K228" s="4">
        <f t="shared" si="37"/>
        <v>1</v>
      </c>
      <c r="L228" s="4" t="str">
        <f t="shared" si="38"/>
        <v/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1">
      <c r="A229" t="s">
        <v>221</v>
      </c>
      <c r="B229">
        <v>1</v>
      </c>
      <c r="C229" t="str">
        <f t="shared" si="32"/>
        <v>test.Class13_1_</v>
      </c>
      <c r="D229">
        <v>1</v>
      </c>
      <c r="E229" s="4">
        <v>0.20454545454545456</v>
      </c>
      <c r="F229" s="4">
        <v>0.30306157550739593</v>
      </c>
      <c r="G229" s="4" t="str">
        <f t="shared" si="33"/>
        <v/>
      </c>
      <c r="H229" s="4">
        <f t="shared" si="34"/>
        <v>0.20454545454545456</v>
      </c>
      <c r="I229" s="4" t="str">
        <f t="shared" si="35"/>
        <v/>
      </c>
      <c r="J229" s="4" t="str">
        <f t="shared" si="36"/>
        <v/>
      </c>
      <c r="K229" s="4" t="str">
        <f t="shared" si="37"/>
        <v/>
      </c>
      <c r="L229" s="4" t="str">
        <f t="shared" si="38"/>
        <v/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1">
      <c r="A230" t="s">
        <v>221</v>
      </c>
      <c r="B230">
        <v>1</v>
      </c>
      <c r="C230" t="str">
        <f t="shared" si="32"/>
        <v>test.Class13_1_</v>
      </c>
      <c r="D230">
        <v>2</v>
      </c>
      <c r="E230" s="4">
        <v>0.38636363636363635</v>
      </c>
      <c r="F230" s="4">
        <v>0.36945304437564497</v>
      </c>
      <c r="G230" s="4" t="str">
        <f t="shared" si="33"/>
        <v/>
      </c>
      <c r="H230" s="4">
        <f t="shared" si="34"/>
        <v>0.38636363636363635</v>
      </c>
      <c r="I230" s="4" t="str">
        <f t="shared" si="35"/>
        <v/>
      </c>
      <c r="J230" s="4" t="str">
        <f t="shared" si="36"/>
        <v/>
      </c>
      <c r="K230" s="4" t="str">
        <f t="shared" si="37"/>
        <v/>
      </c>
      <c r="L230" s="4" t="str">
        <f t="shared" si="38"/>
        <v/>
      </c>
      <c r="M230" s="4"/>
      <c r="N230" s="4"/>
      <c r="O230" s="4"/>
      <c r="P230" s="4"/>
      <c r="Q230" s="4"/>
      <c r="R230" s="4"/>
      <c r="S230" s="4"/>
      <c r="T230" s="4"/>
      <c r="U230" s="4"/>
    </row>
    <row r="231" spans="1:21">
      <c r="A231" t="s">
        <v>221</v>
      </c>
      <c r="B231">
        <v>1</v>
      </c>
      <c r="C231" t="str">
        <f t="shared" si="32"/>
        <v>test.Class13_1_</v>
      </c>
      <c r="D231">
        <v>3</v>
      </c>
      <c r="E231" s="4">
        <v>0.38636363636363635</v>
      </c>
      <c r="F231" s="4">
        <v>0.38321293429652564</v>
      </c>
      <c r="G231" s="4" t="str">
        <f t="shared" si="33"/>
        <v/>
      </c>
      <c r="H231" s="4">
        <f t="shared" si="34"/>
        <v>0.38636363636363635</v>
      </c>
      <c r="I231" s="4" t="str">
        <f t="shared" si="35"/>
        <v/>
      </c>
      <c r="J231" s="4" t="str">
        <f t="shared" si="36"/>
        <v/>
      </c>
      <c r="K231" s="4" t="str">
        <f t="shared" si="37"/>
        <v/>
      </c>
      <c r="L231" s="4" t="str">
        <f t="shared" si="38"/>
        <v/>
      </c>
      <c r="M231" s="4"/>
      <c r="N231" s="4"/>
      <c r="O231" s="4"/>
      <c r="P231" s="4"/>
      <c r="Q231" s="4"/>
      <c r="R231" s="4"/>
      <c r="S231" s="4"/>
      <c r="T231" s="4"/>
      <c r="U231" s="4"/>
    </row>
    <row r="232" spans="1:21">
      <c r="A232" t="s">
        <v>221</v>
      </c>
      <c r="B232">
        <v>1</v>
      </c>
      <c r="C232" t="str">
        <f t="shared" si="32"/>
        <v>test.Class13_1_</v>
      </c>
      <c r="D232">
        <v>4</v>
      </c>
      <c r="E232" s="4">
        <v>0.38636363636363635</v>
      </c>
      <c r="F232" s="4">
        <v>0.39215686274509803</v>
      </c>
      <c r="G232" s="4" t="str">
        <f t="shared" si="33"/>
        <v/>
      </c>
      <c r="H232" s="4">
        <f t="shared" si="34"/>
        <v>0.38636363636363635</v>
      </c>
      <c r="I232" s="4" t="str">
        <f t="shared" si="35"/>
        <v/>
      </c>
      <c r="J232" s="4" t="str">
        <f t="shared" si="36"/>
        <v/>
      </c>
      <c r="K232" s="4" t="str">
        <f t="shared" si="37"/>
        <v/>
      </c>
      <c r="L232" s="4" t="str">
        <f t="shared" si="38"/>
        <v/>
      </c>
      <c r="M232" s="4"/>
      <c r="N232" s="4"/>
      <c r="O232" s="4"/>
      <c r="P232" s="4"/>
      <c r="Q232" s="4"/>
      <c r="R232" s="4"/>
      <c r="S232" s="4"/>
      <c r="T232" s="4"/>
      <c r="U232" s="4"/>
    </row>
    <row r="233" spans="1:21">
      <c r="A233" t="s">
        <v>221</v>
      </c>
      <c r="B233">
        <v>1</v>
      </c>
      <c r="C233" t="str">
        <f t="shared" si="32"/>
        <v>test.Class13_1_</v>
      </c>
      <c r="D233">
        <v>5</v>
      </c>
      <c r="E233" s="4">
        <v>1</v>
      </c>
      <c r="F233" s="4">
        <v>0.64843481252149981</v>
      </c>
      <c r="G233" s="4" t="str">
        <f t="shared" si="33"/>
        <v/>
      </c>
      <c r="H233" s="4" t="str">
        <f t="shared" si="34"/>
        <v/>
      </c>
      <c r="I233" s="4" t="str">
        <f t="shared" si="35"/>
        <v/>
      </c>
      <c r="J233" s="4">
        <f t="shared" si="36"/>
        <v>1</v>
      </c>
      <c r="K233" s="4" t="str">
        <f t="shared" si="37"/>
        <v/>
      </c>
      <c r="L233" s="4" t="str">
        <f t="shared" si="38"/>
        <v/>
      </c>
      <c r="M233" s="4"/>
      <c r="N233" s="4"/>
      <c r="O233" s="4"/>
      <c r="P233" s="4"/>
      <c r="Q233" s="4"/>
      <c r="R233" s="4"/>
      <c r="S233" s="4"/>
      <c r="T233" s="4"/>
      <c r="U233" s="4"/>
    </row>
    <row r="234" spans="1:21">
      <c r="A234" t="s">
        <v>221</v>
      </c>
      <c r="B234">
        <v>1</v>
      </c>
      <c r="C234" t="str">
        <f t="shared" si="32"/>
        <v>test.Class13_1_</v>
      </c>
      <c r="D234">
        <v>6</v>
      </c>
      <c r="E234" s="4">
        <v>1</v>
      </c>
      <c r="F234" s="4">
        <v>0.6663226694186446</v>
      </c>
      <c r="G234" s="4" t="str">
        <f t="shared" si="33"/>
        <v/>
      </c>
      <c r="H234" s="4" t="str">
        <f t="shared" si="34"/>
        <v/>
      </c>
      <c r="I234" s="4" t="str">
        <f t="shared" si="35"/>
        <v/>
      </c>
      <c r="J234" s="4">
        <f t="shared" si="36"/>
        <v>1</v>
      </c>
      <c r="K234" s="4" t="str">
        <f t="shared" si="37"/>
        <v/>
      </c>
      <c r="L234" s="4" t="str">
        <f t="shared" si="38"/>
        <v/>
      </c>
      <c r="M234" s="4"/>
      <c r="N234" s="4"/>
      <c r="O234" s="4"/>
      <c r="P234" s="4"/>
      <c r="Q234" s="4"/>
      <c r="R234" s="4"/>
      <c r="S234" s="4"/>
      <c r="T234" s="4"/>
      <c r="U234" s="4"/>
    </row>
    <row r="235" spans="1:21">
      <c r="A235" t="s">
        <v>221</v>
      </c>
      <c r="B235">
        <v>1</v>
      </c>
      <c r="C235" t="str">
        <f t="shared" si="32"/>
        <v>test.Class13_1_</v>
      </c>
      <c r="D235">
        <v>7</v>
      </c>
      <c r="E235" s="4">
        <v>1</v>
      </c>
      <c r="F235" s="4">
        <v>0.6707946336429309</v>
      </c>
      <c r="G235" s="4" t="str">
        <f t="shared" si="33"/>
        <v/>
      </c>
      <c r="H235" s="4" t="str">
        <f t="shared" si="34"/>
        <v/>
      </c>
      <c r="I235" s="4" t="str">
        <f t="shared" si="35"/>
        <v/>
      </c>
      <c r="J235" s="4">
        <f t="shared" si="36"/>
        <v>1</v>
      </c>
      <c r="K235" s="4" t="str">
        <f t="shared" si="37"/>
        <v/>
      </c>
      <c r="L235" s="4" t="str">
        <f t="shared" si="38"/>
        <v/>
      </c>
      <c r="M235" s="4"/>
      <c r="N235" s="4"/>
      <c r="O235" s="4"/>
      <c r="P235" s="4"/>
      <c r="Q235" s="4"/>
      <c r="R235" s="4"/>
      <c r="S235" s="4"/>
      <c r="T235" s="4"/>
      <c r="U235" s="4"/>
    </row>
    <row r="236" spans="1:21">
      <c r="A236" t="s">
        <v>222</v>
      </c>
      <c r="B236">
        <v>1</v>
      </c>
      <c r="C236" t="str">
        <f t="shared" si="32"/>
        <v>test.client_1_</v>
      </c>
      <c r="D236">
        <v>1</v>
      </c>
      <c r="E236" s="4">
        <v>7.8313253012048195E-2</v>
      </c>
      <c r="F236" s="4">
        <v>4.3918114734587003E-2</v>
      </c>
      <c r="G236" s="4">
        <f t="shared" si="33"/>
        <v>7.8313253012048195E-2</v>
      </c>
      <c r="H236" s="4" t="str">
        <f t="shared" si="34"/>
        <v/>
      </c>
      <c r="I236" s="4" t="str">
        <f t="shared" si="35"/>
        <v/>
      </c>
      <c r="J236" s="4" t="str">
        <f t="shared" si="36"/>
        <v/>
      </c>
      <c r="K236" s="4" t="str">
        <f t="shared" si="37"/>
        <v/>
      </c>
      <c r="L236" s="4" t="str">
        <f t="shared" si="38"/>
        <v/>
      </c>
      <c r="M236" s="4"/>
      <c r="N236" s="4"/>
      <c r="O236" s="4"/>
      <c r="P236" s="4"/>
      <c r="Q236" s="4"/>
      <c r="R236" s="4"/>
      <c r="S236" s="4"/>
      <c r="T236" s="4"/>
      <c r="U236" s="4"/>
    </row>
    <row r="237" spans="1:21">
      <c r="A237" t="s">
        <v>222</v>
      </c>
      <c r="B237">
        <v>1</v>
      </c>
      <c r="C237" t="str">
        <f t="shared" si="32"/>
        <v>test.client_1_</v>
      </c>
      <c r="D237">
        <v>2</v>
      </c>
      <c r="E237" s="4">
        <v>9.036144578313253E-2</v>
      </c>
      <c r="F237" s="4">
        <v>4.8797905260652225E-2</v>
      </c>
      <c r="G237" s="4">
        <f t="shared" si="33"/>
        <v>9.036144578313253E-2</v>
      </c>
      <c r="H237" s="4" t="str">
        <f t="shared" si="34"/>
        <v/>
      </c>
      <c r="I237" s="4" t="str">
        <f t="shared" si="35"/>
        <v/>
      </c>
      <c r="J237" s="4" t="str">
        <f t="shared" si="36"/>
        <v/>
      </c>
      <c r="K237" s="4" t="str">
        <f t="shared" si="37"/>
        <v/>
      </c>
      <c r="L237" s="4" t="str">
        <f t="shared" si="38"/>
        <v/>
      </c>
      <c r="M237" s="4"/>
      <c r="N237" s="4"/>
      <c r="O237" s="4"/>
      <c r="P237" s="4"/>
      <c r="Q237" s="4"/>
      <c r="R237" s="4"/>
      <c r="S237" s="4"/>
      <c r="T237" s="4"/>
      <c r="U237" s="4"/>
    </row>
    <row r="238" spans="1:21">
      <c r="A238" t="s">
        <v>222</v>
      </c>
      <c r="B238">
        <v>1</v>
      </c>
      <c r="C238" t="str">
        <f t="shared" si="32"/>
        <v>test.client_1_</v>
      </c>
      <c r="D238">
        <v>3</v>
      </c>
      <c r="E238" s="4">
        <v>0.12650602409638553</v>
      </c>
      <c r="F238" s="4">
        <v>5.3439657224470367E-2</v>
      </c>
      <c r="G238" s="4">
        <f t="shared" si="33"/>
        <v>0.12650602409638553</v>
      </c>
      <c r="H238" s="4" t="str">
        <f t="shared" si="34"/>
        <v/>
      </c>
      <c r="I238" s="4" t="str">
        <f t="shared" si="35"/>
        <v/>
      </c>
      <c r="J238" s="4" t="str">
        <f t="shared" si="36"/>
        <v/>
      </c>
      <c r="K238" s="4" t="str">
        <f t="shared" si="37"/>
        <v/>
      </c>
      <c r="L238" s="4" t="str">
        <f t="shared" si="38"/>
        <v/>
      </c>
      <c r="M238" s="4"/>
      <c r="N238" s="4"/>
      <c r="O238" s="4"/>
      <c r="P238" s="4"/>
      <c r="Q238" s="4"/>
      <c r="R238" s="4"/>
      <c r="S238" s="4"/>
      <c r="T238" s="4"/>
      <c r="U238" s="4"/>
    </row>
    <row r="239" spans="1:21">
      <c r="A239" t="s">
        <v>222</v>
      </c>
      <c r="B239">
        <v>1</v>
      </c>
      <c r="C239" t="str">
        <f t="shared" si="32"/>
        <v>test.client_1_</v>
      </c>
      <c r="D239">
        <v>4</v>
      </c>
      <c r="E239" s="4">
        <v>0.13855421686746988</v>
      </c>
      <c r="F239" s="4">
        <v>5.7486312782670794E-2</v>
      </c>
      <c r="G239" s="4">
        <f t="shared" si="33"/>
        <v>0.13855421686746988</v>
      </c>
      <c r="H239" s="4" t="str">
        <f t="shared" si="34"/>
        <v/>
      </c>
      <c r="I239" s="4" t="str">
        <f t="shared" si="35"/>
        <v/>
      </c>
      <c r="J239" s="4" t="str">
        <f t="shared" si="36"/>
        <v/>
      </c>
      <c r="K239" s="4" t="str">
        <f t="shared" si="37"/>
        <v/>
      </c>
      <c r="L239" s="4" t="str">
        <f t="shared" si="38"/>
        <v/>
      </c>
      <c r="M239" s="4"/>
      <c r="N239" s="4"/>
      <c r="O239" s="4"/>
      <c r="P239" s="4"/>
      <c r="Q239" s="4"/>
      <c r="R239" s="4"/>
      <c r="S239" s="4"/>
      <c r="T239" s="4"/>
      <c r="U239" s="4"/>
    </row>
    <row r="240" spans="1:21">
      <c r="A240" t="s">
        <v>222</v>
      </c>
      <c r="B240">
        <v>1</v>
      </c>
      <c r="C240" t="str">
        <f t="shared" si="32"/>
        <v>test.client_1_</v>
      </c>
      <c r="D240">
        <v>5</v>
      </c>
      <c r="E240" s="4">
        <v>0.15060240963855423</v>
      </c>
      <c r="F240" s="4">
        <v>5.9033563437276837E-2</v>
      </c>
      <c r="G240" s="4">
        <f t="shared" si="33"/>
        <v>0.15060240963855423</v>
      </c>
      <c r="H240" s="4" t="str">
        <f t="shared" si="34"/>
        <v/>
      </c>
      <c r="I240" s="4" t="str">
        <f t="shared" si="35"/>
        <v/>
      </c>
      <c r="J240" s="4" t="str">
        <f t="shared" si="36"/>
        <v/>
      </c>
      <c r="K240" s="4" t="str">
        <f t="shared" si="37"/>
        <v/>
      </c>
      <c r="L240" s="4" t="str">
        <f t="shared" si="38"/>
        <v/>
      </c>
      <c r="M240" s="4"/>
      <c r="N240" s="4"/>
      <c r="O240" s="4"/>
      <c r="P240" s="4"/>
      <c r="Q240" s="4"/>
      <c r="R240" s="4"/>
      <c r="S240" s="4"/>
      <c r="T240" s="4"/>
      <c r="U240" s="4"/>
    </row>
    <row r="241" spans="1:21">
      <c r="A241" t="s">
        <v>222</v>
      </c>
      <c r="B241">
        <v>1</v>
      </c>
      <c r="C241" t="str">
        <f t="shared" si="32"/>
        <v>test.client_1_</v>
      </c>
      <c r="D241">
        <v>6</v>
      </c>
      <c r="E241" s="4">
        <v>0.16265060240963855</v>
      </c>
      <c r="F241" s="4">
        <v>6.0223756248512256E-2</v>
      </c>
      <c r="G241" s="4">
        <f t="shared" si="33"/>
        <v>0.16265060240963855</v>
      </c>
      <c r="H241" s="4" t="str">
        <f t="shared" si="34"/>
        <v/>
      </c>
      <c r="I241" s="4" t="str">
        <f t="shared" si="35"/>
        <v/>
      </c>
      <c r="J241" s="4" t="str">
        <f t="shared" si="36"/>
        <v/>
      </c>
      <c r="K241" s="4" t="str">
        <f t="shared" si="37"/>
        <v/>
      </c>
      <c r="L241" s="4" t="str">
        <f t="shared" si="38"/>
        <v/>
      </c>
      <c r="M241" s="4"/>
      <c r="N241" s="4"/>
      <c r="O241" s="4"/>
      <c r="P241" s="4"/>
      <c r="Q241" s="4"/>
      <c r="R241" s="4"/>
      <c r="S241" s="4"/>
      <c r="T241" s="4"/>
      <c r="U241" s="4"/>
    </row>
    <row r="242" spans="1:21">
      <c r="A242" t="s">
        <v>222</v>
      </c>
      <c r="B242">
        <v>1</v>
      </c>
      <c r="C242" t="str">
        <f t="shared" si="32"/>
        <v>test.client_1_</v>
      </c>
      <c r="D242">
        <v>7</v>
      </c>
      <c r="E242" s="4">
        <v>0.16867469879518071</v>
      </c>
      <c r="F242" s="4">
        <v>6.2723161152106646E-2</v>
      </c>
      <c r="G242" s="4">
        <f t="shared" si="33"/>
        <v>0.16867469879518071</v>
      </c>
      <c r="H242" s="4" t="str">
        <f t="shared" si="34"/>
        <v/>
      </c>
      <c r="I242" s="4" t="str">
        <f t="shared" si="35"/>
        <v/>
      </c>
      <c r="J242" s="4" t="str">
        <f t="shared" si="36"/>
        <v/>
      </c>
      <c r="K242" s="4" t="str">
        <f t="shared" si="37"/>
        <v/>
      </c>
      <c r="L242" s="4" t="str">
        <f t="shared" si="38"/>
        <v/>
      </c>
      <c r="M242" s="4"/>
      <c r="N242" s="4"/>
      <c r="O242" s="4"/>
      <c r="P242" s="4"/>
      <c r="Q242" s="4"/>
      <c r="R242" s="4"/>
      <c r="S242" s="4"/>
      <c r="T242" s="4"/>
      <c r="U242" s="4"/>
    </row>
    <row r="243" spans="1:21">
      <c r="A243" t="s">
        <v>222</v>
      </c>
      <c r="B243">
        <v>1</v>
      </c>
      <c r="C243" t="str">
        <f t="shared" si="32"/>
        <v>test.client_1_</v>
      </c>
      <c r="D243">
        <v>8</v>
      </c>
      <c r="E243" s="4">
        <v>0.1746987951807229</v>
      </c>
      <c r="F243" s="4">
        <v>6.5103546774577484E-2</v>
      </c>
      <c r="G243" s="4">
        <f t="shared" si="33"/>
        <v>0.1746987951807229</v>
      </c>
      <c r="H243" s="4" t="str">
        <f t="shared" si="34"/>
        <v/>
      </c>
      <c r="I243" s="4" t="str">
        <f t="shared" si="35"/>
        <v/>
      </c>
      <c r="J243" s="4" t="str">
        <f t="shared" si="36"/>
        <v/>
      </c>
      <c r="K243" s="4" t="str">
        <f t="shared" si="37"/>
        <v/>
      </c>
      <c r="L243" s="4" t="str">
        <f t="shared" si="38"/>
        <v/>
      </c>
      <c r="M243" s="4"/>
      <c r="N243" s="4"/>
      <c r="O243" s="4"/>
      <c r="P243" s="4"/>
      <c r="Q243" s="4"/>
      <c r="R243" s="4"/>
      <c r="S243" s="4"/>
      <c r="T243" s="4"/>
      <c r="U243" s="4"/>
    </row>
    <row r="244" spans="1:21">
      <c r="A244" t="s">
        <v>222</v>
      </c>
      <c r="B244">
        <v>1</v>
      </c>
      <c r="C244" t="str">
        <f t="shared" si="32"/>
        <v>test.client_1_</v>
      </c>
      <c r="D244">
        <v>9</v>
      </c>
      <c r="E244" s="4">
        <v>0.18674698795180722</v>
      </c>
      <c r="F244" s="4">
        <v>7.0340395144013329E-2</v>
      </c>
      <c r="G244" s="4">
        <f t="shared" si="33"/>
        <v>0.18674698795180722</v>
      </c>
      <c r="H244" s="4" t="str">
        <f t="shared" si="34"/>
        <v/>
      </c>
      <c r="I244" s="4" t="str">
        <f t="shared" si="35"/>
        <v/>
      </c>
      <c r="J244" s="4" t="str">
        <f t="shared" si="36"/>
        <v/>
      </c>
      <c r="K244" s="4" t="str">
        <f t="shared" si="37"/>
        <v/>
      </c>
      <c r="L244" s="4" t="str">
        <f t="shared" si="38"/>
        <v/>
      </c>
      <c r="M244" s="4"/>
      <c r="N244" s="4"/>
      <c r="O244" s="4"/>
      <c r="P244" s="4"/>
      <c r="Q244" s="4"/>
      <c r="R244" s="4"/>
      <c r="S244" s="4"/>
      <c r="T244" s="4"/>
      <c r="U244" s="4"/>
    </row>
    <row r="245" spans="1:21">
      <c r="A245" t="s">
        <v>222</v>
      </c>
      <c r="B245">
        <v>1</v>
      </c>
      <c r="C245" t="str">
        <f t="shared" si="32"/>
        <v>test.client_1_</v>
      </c>
      <c r="D245">
        <v>10</v>
      </c>
      <c r="E245" s="4">
        <v>0.19879518072289157</v>
      </c>
      <c r="F245" s="4">
        <v>7.0459414425136868E-2</v>
      </c>
      <c r="G245" s="4">
        <f t="shared" si="33"/>
        <v>0.19879518072289157</v>
      </c>
      <c r="H245" s="4" t="str">
        <f t="shared" si="34"/>
        <v/>
      </c>
      <c r="I245" s="4" t="str">
        <f t="shared" si="35"/>
        <v/>
      </c>
      <c r="J245" s="4" t="str">
        <f t="shared" si="36"/>
        <v/>
      </c>
      <c r="K245" s="4" t="str">
        <f t="shared" si="37"/>
        <v/>
      </c>
      <c r="L245" s="4" t="str">
        <f t="shared" si="38"/>
        <v/>
      </c>
      <c r="M245" s="4"/>
      <c r="N245" s="4"/>
      <c r="O245" s="4"/>
      <c r="P245" s="4"/>
      <c r="Q245" s="4"/>
      <c r="R245" s="4"/>
      <c r="S245" s="4"/>
      <c r="T245" s="4"/>
      <c r="U245" s="4"/>
    </row>
    <row r="246" spans="1:21">
      <c r="A246" t="s">
        <v>222</v>
      </c>
      <c r="B246">
        <v>1</v>
      </c>
      <c r="C246" t="str">
        <f t="shared" si="32"/>
        <v>test.client_1_</v>
      </c>
      <c r="D246">
        <v>11</v>
      </c>
      <c r="E246" s="4">
        <v>0.21084337349397592</v>
      </c>
      <c r="F246" s="4">
        <v>7.4029992858843138E-2</v>
      </c>
      <c r="G246" s="4">
        <f t="shared" si="33"/>
        <v>0.21084337349397592</v>
      </c>
      <c r="H246" s="4" t="str">
        <f t="shared" si="34"/>
        <v/>
      </c>
      <c r="I246" s="4" t="str">
        <f t="shared" si="35"/>
        <v/>
      </c>
      <c r="J246" s="4" t="str">
        <f t="shared" si="36"/>
        <v/>
      </c>
      <c r="K246" s="4" t="str">
        <f t="shared" si="37"/>
        <v/>
      </c>
      <c r="L246" s="4" t="str">
        <f t="shared" si="38"/>
        <v/>
      </c>
      <c r="M246" s="4"/>
      <c r="N246" s="4"/>
      <c r="O246" s="4"/>
      <c r="P246" s="4"/>
      <c r="Q246" s="4"/>
      <c r="R246" s="4"/>
      <c r="S246" s="4"/>
      <c r="T246" s="4"/>
      <c r="U246" s="4"/>
    </row>
    <row r="247" spans="1:21">
      <c r="A247" t="s">
        <v>222</v>
      </c>
      <c r="B247">
        <v>1</v>
      </c>
      <c r="C247" t="str">
        <f t="shared" si="32"/>
        <v>test.client_1_</v>
      </c>
      <c r="D247">
        <v>12</v>
      </c>
      <c r="E247" s="4">
        <v>0.2289156626506024</v>
      </c>
      <c r="F247" s="4">
        <v>7.4982147107831465E-2</v>
      </c>
      <c r="G247" s="4">
        <f t="shared" si="33"/>
        <v>0.2289156626506024</v>
      </c>
      <c r="H247" s="4" t="str">
        <f t="shared" si="34"/>
        <v/>
      </c>
      <c r="I247" s="4" t="str">
        <f t="shared" si="35"/>
        <v/>
      </c>
      <c r="J247" s="4" t="str">
        <f t="shared" si="36"/>
        <v/>
      </c>
      <c r="K247" s="4" t="str">
        <f t="shared" si="37"/>
        <v/>
      </c>
      <c r="L247" s="4" t="str">
        <f t="shared" si="38"/>
        <v/>
      </c>
      <c r="M247" s="4"/>
      <c r="N247" s="4"/>
      <c r="O247" s="4"/>
      <c r="P247" s="4"/>
      <c r="Q247" s="4"/>
      <c r="R247" s="4"/>
      <c r="S247" s="4"/>
      <c r="T247" s="4"/>
      <c r="U247" s="4"/>
    </row>
    <row r="248" spans="1:21">
      <c r="A248" t="s">
        <v>222</v>
      </c>
      <c r="B248">
        <v>1</v>
      </c>
      <c r="C248" t="str">
        <f t="shared" si="32"/>
        <v>test.client_1_</v>
      </c>
      <c r="D248">
        <v>13</v>
      </c>
      <c r="E248" s="4">
        <v>0.23493975903614459</v>
      </c>
      <c r="F248" s="4">
        <v>7.5220185670078557E-2</v>
      </c>
      <c r="G248" s="4">
        <f t="shared" si="33"/>
        <v>0.23493975903614459</v>
      </c>
      <c r="H248" s="4" t="str">
        <f t="shared" si="34"/>
        <v/>
      </c>
      <c r="I248" s="4" t="str">
        <f t="shared" si="35"/>
        <v/>
      </c>
      <c r="J248" s="4" t="str">
        <f t="shared" si="36"/>
        <v/>
      </c>
      <c r="K248" s="4" t="str">
        <f t="shared" si="37"/>
        <v/>
      </c>
      <c r="L248" s="4" t="str">
        <f t="shared" si="38"/>
        <v/>
      </c>
      <c r="M248" s="4"/>
      <c r="N248" s="4"/>
      <c r="O248" s="4"/>
      <c r="P248" s="4"/>
      <c r="Q248" s="4"/>
      <c r="R248" s="4"/>
      <c r="S248" s="4"/>
      <c r="T248" s="4"/>
      <c r="U248" s="4"/>
    </row>
    <row r="249" spans="1:21">
      <c r="A249" t="s">
        <v>222</v>
      </c>
      <c r="B249">
        <v>1</v>
      </c>
      <c r="C249" t="str">
        <f t="shared" si="32"/>
        <v>test.client_1_</v>
      </c>
      <c r="D249">
        <v>14</v>
      </c>
      <c r="E249" s="4">
        <v>0.24698795180722891</v>
      </c>
      <c r="F249" s="4">
        <v>7.9742918352773154E-2</v>
      </c>
      <c r="G249" s="4">
        <f t="shared" si="33"/>
        <v>0.24698795180722891</v>
      </c>
      <c r="H249" s="4" t="str">
        <f t="shared" si="34"/>
        <v/>
      </c>
      <c r="I249" s="4" t="str">
        <f t="shared" si="35"/>
        <v/>
      </c>
      <c r="J249" s="4" t="str">
        <f t="shared" si="36"/>
        <v/>
      </c>
      <c r="K249" s="4" t="str">
        <f t="shared" si="37"/>
        <v/>
      </c>
      <c r="L249" s="4" t="str">
        <f t="shared" si="38"/>
        <v/>
      </c>
      <c r="M249" s="4"/>
      <c r="N249" s="4"/>
      <c r="O249" s="4"/>
      <c r="P249" s="4"/>
      <c r="Q249" s="4"/>
      <c r="R249" s="4"/>
      <c r="S249" s="4"/>
      <c r="T249" s="4"/>
      <c r="U249" s="4"/>
    </row>
    <row r="250" spans="1:21">
      <c r="A250" t="s">
        <v>222</v>
      </c>
      <c r="B250">
        <v>1</v>
      </c>
      <c r="C250" t="str">
        <f t="shared" si="32"/>
        <v>test.client_1_</v>
      </c>
      <c r="D250">
        <v>15</v>
      </c>
      <c r="E250" s="4">
        <v>0.25301204819277107</v>
      </c>
      <c r="F250" s="4">
        <v>8.1171149726255651E-2</v>
      </c>
      <c r="G250" s="4">
        <f t="shared" si="33"/>
        <v>0.25301204819277107</v>
      </c>
      <c r="H250" s="4" t="str">
        <f t="shared" si="34"/>
        <v/>
      </c>
      <c r="I250" s="4" t="str">
        <f t="shared" si="35"/>
        <v/>
      </c>
      <c r="J250" s="4" t="str">
        <f t="shared" si="36"/>
        <v/>
      </c>
      <c r="K250" s="4" t="str">
        <f t="shared" si="37"/>
        <v/>
      </c>
      <c r="L250" s="4" t="str">
        <f t="shared" si="38"/>
        <v/>
      </c>
      <c r="M250" s="4"/>
      <c r="N250" s="4"/>
      <c r="O250" s="4"/>
      <c r="P250" s="4"/>
      <c r="Q250" s="4"/>
      <c r="R250" s="4"/>
      <c r="S250" s="4"/>
      <c r="T250" s="4"/>
      <c r="U250" s="4"/>
    </row>
    <row r="251" spans="1:21">
      <c r="A251" t="s">
        <v>222</v>
      </c>
      <c r="B251">
        <v>1</v>
      </c>
      <c r="C251" t="str">
        <f t="shared" si="32"/>
        <v>test.client_1_</v>
      </c>
      <c r="D251">
        <v>16</v>
      </c>
      <c r="E251" s="4">
        <v>1</v>
      </c>
      <c r="F251" s="4">
        <v>0.960247560104737</v>
      </c>
      <c r="G251" s="4" t="str">
        <f t="shared" si="33"/>
        <v/>
      </c>
      <c r="H251" s="4" t="str">
        <f t="shared" si="34"/>
        <v/>
      </c>
      <c r="I251" s="4" t="str">
        <f t="shared" si="35"/>
        <v/>
      </c>
      <c r="J251" s="4" t="str">
        <f t="shared" si="36"/>
        <v/>
      </c>
      <c r="K251" s="4">
        <f t="shared" si="37"/>
        <v>1</v>
      </c>
      <c r="L251" s="4" t="str">
        <f t="shared" si="38"/>
        <v/>
      </c>
      <c r="M251" s="4"/>
      <c r="N251" s="4"/>
      <c r="O251" s="4"/>
      <c r="P251" s="4"/>
      <c r="Q251" s="4"/>
      <c r="R251" s="4"/>
      <c r="S251" s="4"/>
      <c r="T251" s="4"/>
      <c r="U251" s="4"/>
    </row>
    <row r="252" spans="1:21">
      <c r="A252" t="s">
        <v>222</v>
      </c>
      <c r="B252">
        <v>3</v>
      </c>
      <c r="C252" t="str">
        <f t="shared" si="32"/>
        <v>test.client_3_</v>
      </c>
      <c r="D252">
        <v>1</v>
      </c>
      <c r="E252" s="4">
        <v>0.84036144578313254</v>
      </c>
      <c r="F252" s="4">
        <v>0.84657957397515926</v>
      </c>
      <c r="G252" s="4" t="str">
        <f t="shared" si="33"/>
        <v/>
      </c>
      <c r="H252" s="4" t="str">
        <f t="shared" si="34"/>
        <v/>
      </c>
      <c r="I252" s="4" t="str">
        <f t="shared" si="35"/>
        <v/>
      </c>
      <c r="J252" s="4" t="str">
        <f t="shared" si="36"/>
        <v/>
      </c>
      <c r="K252" s="4">
        <f t="shared" si="37"/>
        <v>0.84036144578313254</v>
      </c>
      <c r="L252" s="4" t="str">
        <f t="shared" si="38"/>
        <v/>
      </c>
      <c r="M252" s="4"/>
      <c r="N252" s="4"/>
      <c r="O252" s="4"/>
      <c r="P252" s="4"/>
      <c r="Q252" s="4"/>
      <c r="R252" s="4"/>
      <c r="S252" s="4"/>
      <c r="T252" s="4"/>
      <c r="U252" s="4"/>
    </row>
    <row r="253" spans="1:21">
      <c r="A253" t="s">
        <v>222</v>
      </c>
      <c r="B253">
        <v>3</v>
      </c>
      <c r="C253" t="str">
        <f t="shared" si="32"/>
        <v>test.client_3_</v>
      </c>
      <c r="D253">
        <v>2</v>
      </c>
      <c r="E253" s="4">
        <v>0.99698795180722888</v>
      </c>
      <c r="F253" s="4">
        <v>0.92863118604800821</v>
      </c>
      <c r="G253" s="4" t="str">
        <f t="shared" si="33"/>
        <v/>
      </c>
      <c r="H253" s="4" t="str">
        <f t="shared" si="34"/>
        <v/>
      </c>
      <c r="I253" s="4" t="str">
        <f t="shared" si="35"/>
        <v/>
      </c>
      <c r="J253" s="4" t="str">
        <f t="shared" si="36"/>
        <v/>
      </c>
      <c r="K253" s="4">
        <f t="shared" si="37"/>
        <v>0.99698795180722888</v>
      </c>
      <c r="L253" s="4" t="str">
        <f t="shared" si="38"/>
        <v/>
      </c>
      <c r="M253" s="4"/>
      <c r="N253" s="4"/>
      <c r="O253" s="4"/>
      <c r="P253" s="4"/>
      <c r="Q253" s="4"/>
      <c r="R253" s="4"/>
      <c r="S253" s="4"/>
      <c r="T253" s="4"/>
      <c r="U253" s="4"/>
    </row>
    <row r="254" spans="1:21">
      <c r="A254" t="s">
        <v>222</v>
      </c>
      <c r="B254">
        <v>3</v>
      </c>
      <c r="C254" t="str">
        <f t="shared" si="32"/>
        <v>test.client_3_</v>
      </c>
      <c r="D254">
        <v>3</v>
      </c>
      <c r="E254" s="4">
        <v>1</v>
      </c>
      <c r="F254" s="4">
        <v>1.0680223952635304</v>
      </c>
      <c r="G254" s="4" t="str">
        <f t="shared" si="33"/>
        <v/>
      </c>
      <c r="H254" s="4" t="str">
        <f t="shared" si="34"/>
        <v/>
      </c>
      <c r="I254" s="4" t="str">
        <f t="shared" si="35"/>
        <v/>
      </c>
      <c r="J254" s="4" t="str">
        <f t="shared" si="36"/>
        <v/>
      </c>
      <c r="K254" s="4">
        <f t="shared" si="37"/>
        <v>1</v>
      </c>
      <c r="L254" s="4" t="str">
        <f t="shared" si="38"/>
        <v/>
      </c>
      <c r="M254" s="4"/>
      <c r="N254" s="4"/>
      <c r="O254" s="4"/>
      <c r="P254" s="4"/>
      <c r="Q254" s="4"/>
      <c r="R254" s="4"/>
      <c r="S254" s="4"/>
      <c r="T254" s="4"/>
      <c r="U254" s="4"/>
    </row>
    <row r="255" spans="1:21">
      <c r="A255" t="s">
        <v>222</v>
      </c>
      <c r="B255">
        <v>4</v>
      </c>
      <c r="C255" t="str">
        <f t="shared" si="32"/>
        <v>test.client_4_</v>
      </c>
      <c r="D255">
        <v>1</v>
      </c>
      <c r="E255" s="4">
        <v>0.86821705426356588</v>
      </c>
      <c r="F255" s="4">
        <v>0.85884306670357047</v>
      </c>
      <c r="G255" s="4" t="str">
        <f t="shared" si="33"/>
        <v/>
      </c>
      <c r="H255" s="4" t="str">
        <f t="shared" si="34"/>
        <v/>
      </c>
      <c r="I255" s="4" t="str">
        <f t="shared" si="35"/>
        <v/>
      </c>
      <c r="J255" s="4" t="str">
        <f t="shared" si="36"/>
        <v/>
      </c>
      <c r="K255" s="4">
        <f t="shared" si="37"/>
        <v>0.86821705426356588</v>
      </c>
      <c r="L255" s="4" t="str">
        <f t="shared" si="38"/>
        <v/>
      </c>
      <c r="M255" s="4"/>
      <c r="N255" s="4"/>
      <c r="O255" s="4"/>
      <c r="P255" s="4"/>
      <c r="Q255" s="4"/>
      <c r="R255" s="4"/>
      <c r="S255" s="4"/>
      <c r="T255" s="4"/>
      <c r="U255" s="4"/>
    </row>
    <row r="256" spans="1:21">
      <c r="A256" t="s">
        <v>222</v>
      </c>
      <c r="B256">
        <v>4</v>
      </c>
      <c r="C256" t="str">
        <f t="shared" si="32"/>
        <v>test.client_4_</v>
      </c>
      <c r="D256">
        <v>2</v>
      </c>
      <c r="E256" s="4">
        <v>0.89922480620155043</v>
      </c>
      <c r="F256" s="4">
        <v>0.86188762800996399</v>
      </c>
      <c r="G256" s="4" t="str">
        <f t="shared" si="33"/>
        <v/>
      </c>
      <c r="H256" s="4" t="str">
        <f t="shared" si="34"/>
        <v/>
      </c>
      <c r="I256" s="4" t="str">
        <f t="shared" si="35"/>
        <v/>
      </c>
      <c r="J256" s="4" t="str">
        <f t="shared" si="36"/>
        <v/>
      </c>
      <c r="K256" s="4">
        <f t="shared" si="37"/>
        <v>0.89922480620155043</v>
      </c>
      <c r="L256" s="4" t="str">
        <f t="shared" si="38"/>
        <v/>
      </c>
      <c r="M256" s="4"/>
      <c r="N256" s="4"/>
      <c r="O256" s="4"/>
      <c r="P256" s="4"/>
      <c r="Q256" s="4"/>
      <c r="R256" s="4"/>
      <c r="S256" s="4"/>
      <c r="T256" s="4"/>
      <c r="U256" s="4"/>
    </row>
    <row r="257" spans="1:21">
      <c r="A257" t="s">
        <v>222</v>
      </c>
      <c r="B257">
        <v>4</v>
      </c>
      <c r="C257" t="str">
        <f t="shared" si="32"/>
        <v>test.client_4_</v>
      </c>
      <c r="D257">
        <v>3</v>
      </c>
      <c r="E257" s="4">
        <v>0.92248062015503873</v>
      </c>
      <c r="F257" s="4">
        <v>0.88070855244948798</v>
      </c>
      <c r="G257" s="4" t="str">
        <f t="shared" si="33"/>
        <v/>
      </c>
      <c r="H257" s="4" t="str">
        <f t="shared" si="34"/>
        <v/>
      </c>
      <c r="I257" s="4" t="str">
        <f t="shared" si="35"/>
        <v/>
      </c>
      <c r="J257" s="4" t="str">
        <f t="shared" si="36"/>
        <v/>
      </c>
      <c r="K257" s="4">
        <f t="shared" si="37"/>
        <v>0.92248062015503873</v>
      </c>
      <c r="L257" s="4" t="str">
        <f t="shared" si="38"/>
        <v/>
      </c>
      <c r="M257" s="4"/>
      <c r="N257" s="4"/>
      <c r="O257" s="4"/>
      <c r="P257" s="4"/>
      <c r="Q257" s="4"/>
      <c r="R257" s="4"/>
      <c r="S257" s="4"/>
      <c r="T257" s="4"/>
      <c r="U257" s="4"/>
    </row>
    <row r="258" spans="1:21">
      <c r="A258" t="s">
        <v>222</v>
      </c>
      <c r="B258">
        <v>4</v>
      </c>
      <c r="C258" t="str">
        <f t="shared" si="32"/>
        <v>test.client_4_</v>
      </c>
      <c r="D258">
        <v>4</v>
      </c>
      <c r="E258" s="4">
        <v>0.94573643410852715</v>
      </c>
      <c r="F258" s="4">
        <v>0.88486022695820643</v>
      </c>
      <c r="G258" s="4" t="str">
        <f t="shared" si="33"/>
        <v/>
      </c>
      <c r="H258" s="4" t="str">
        <f t="shared" si="34"/>
        <v/>
      </c>
      <c r="I258" s="4" t="str">
        <f t="shared" si="35"/>
        <v/>
      </c>
      <c r="J258" s="4" t="str">
        <f t="shared" si="36"/>
        <v/>
      </c>
      <c r="K258" s="4">
        <f t="shared" si="37"/>
        <v>0.94573643410852715</v>
      </c>
      <c r="L258" s="4" t="str">
        <f t="shared" si="38"/>
        <v/>
      </c>
      <c r="M258" s="4"/>
      <c r="N258" s="4"/>
      <c r="O258" s="4"/>
      <c r="P258" s="4"/>
      <c r="Q258" s="4"/>
      <c r="R258" s="4"/>
      <c r="S258" s="4"/>
      <c r="T258" s="4"/>
      <c r="U258" s="4"/>
    </row>
    <row r="259" spans="1:21">
      <c r="A259" t="s">
        <v>222</v>
      </c>
      <c r="B259">
        <v>4</v>
      </c>
      <c r="C259" t="str">
        <f t="shared" ref="C259:C322" si="39">CONCATENATE(A259, "_",B259,"_")</f>
        <v>test.client_4_</v>
      </c>
      <c r="D259">
        <v>5</v>
      </c>
      <c r="E259" s="4">
        <v>0.94573643410852715</v>
      </c>
      <c r="F259" s="4">
        <v>0.89122612787157485</v>
      </c>
      <c r="G259" s="4" t="str">
        <f t="shared" ref="G259:G322" si="40">IF($F259 &lt;= 0.2,$E259,"")</f>
        <v/>
      </c>
      <c r="H259" s="4" t="str">
        <f t="shared" ref="H259:H322" si="41">IF(AND($F259 &gt; 0.2,$F259 &lt;= 0.4),$E259,"")</f>
        <v/>
      </c>
      <c r="I259" s="4" t="str">
        <f t="shared" ref="I259:I322" si="42">IF(AND($F259 &gt; 0.4,$F259 &lt;= 0.6),$E259,"")</f>
        <v/>
      </c>
      <c r="J259" s="4" t="str">
        <f t="shared" ref="J259:J322" si="43">IF(AND($F259 &gt; 0.6,$F259 &lt;= 0.8),$E259,"")</f>
        <v/>
      </c>
      <c r="K259" s="4">
        <f t="shared" ref="K259:K322" si="44">IF(AND($F259 &gt; 0.8, $F259 &lt;=1.1),$E259,"")</f>
        <v>0.94573643410852715</v>
      </c>
      <c r="L259" s="4" t="str">
        <f t="shared" ref="L259:L322" si="45">IF(AND($F259 &gt; 1.1),$E259,"")</f>
        <v/>
      </c>
      <c r="M259" s="4"/>
      <c r="N259" s="4"/>
      <c r="O259" s="4"/>
      <c r="P259" s="4"/>
      <c r="Q259" s="4"/>
      <c r="R259" s="4"/>
      <c r="S259" s="4"/>
      <c r="T259" s="4"/>
      <c r="U259" s="4"/>
    </row>
    <row r="260" spans="1:21">
      <c r="A260" t="s">
        <v>222</v>
      </c>
      <c r="B260">
        <v>4</v>
      </c>
      <c r="C260" t="str">
        <f t="shared" si="39"/>
        <v>test.client_4_</v>
      </c>
      <c r="D260">
        <v>6</v>
      </c>
      <c r="E260" s="4">
        <v>0.94573643410852715</v>
      </c>
      <c r="F260" s="4">
        <v>0.90589537780238027</v>
      </c>
      <c r="G260" s="4" t="str">
        <f t="shared" si="40"/>
        <v/>
      </c>
      <c r="H260" s="4" t="str">
        <f t="shared" si="41"/>
        <v/>
      </c>
      <c r="I260" s="4" t="str">
        <f t="shared" si="42"/>
        <v/>
      </c>
      <c r="J260" s="4" t="str">
        <f t="shared" si="43"/>
        <v/>
      </c>
      <c r="K260" s="4">
        <f t="shared" si="44"/>
        <v>0.94573643410852715</v>
      </c>
      <c r="L260" s="4" t="str">
        <f t="shared" si="45"/>
        <v/>
      </c>
      <c r="M260" s="4"/>
      <c r="N260" s="4"/>
      <c r="O260" s="4"/>
      <c r="P260" s="4"/>
      <c r="Q260" s="4"/>
      <c r="R260" s="4"/>
      <c r="S260" s="4"/>
      <c r="T260" s="4"/>
      <c r="U260" s="4"/>
    </row>
    <row r="261" spans="1:21">
      <c r="A261" t="s">
        <v>222</v>
      </c>
      <c r="B261">
        <v>4</v>
      </c>
      <c r="C261" t="str">
        <f t="shared" si="39"/>
        <v>test.client_4_</v>
      </c>
      <c r="D261">
        <v>7</v>
      </c>
      <c r="E261" s="4">
        <v>1</v>
      </c>
      <c r="F261" s="4">
        <v>0.95073346249654023</v>
      </c>
      <c r="G261" s="4" t="str">
        <f t="shared" si="40"/>
        <v/>
      </c>
      <c r="H261" s="4" t="str">
        <f t="shared" si="41"/>
        <v/>
      </c>
      <c r="I261" s="4" t="str">
        <f t="shared" si="42"/>
        <v/>
      </c>
      <c r="J261" s="4" t="str">
        <f t="shared" si="43"/>
        <v/>
      </c>
      <c r="K261" s="4">
        <f t="shared" si="44"/>
        <v>1</v>
      </c>
      <c r="L261" s="4" t="str">
        <f t="shared" si="45"/>
        <v/>
      </c>
      <c r="M261" s="4"/>
      <c r="N261" s="4"/>
      <c r="O261" s="4"/>
      <c r="P261" s="4"/>
      <c r="Q261" s="4"/>
      <c r="R261" s="4"/>
      <c r="S261" s="4"/>
      <c r="T261" s="4"/>
      <c r="U261" s="4"/>
    </row>
    <row r="262" spans="1:21">
      <c r="A262" t="s">
        <v>222</v>
      </c>
      <c r="B262">
        <v>4</v>
      </c>
      <c r="C262" t="str">
        <f t="shared" si="39"/>
        <v>test.client_4_</v>
      </c>
      <c r="D262">
        <v>8</v>
      </c>
      <c r="E262" s="4">
        <v>1</v>
      </c>
      <c r="F262" s="4">
        <v>0.95626902850816498</v>
      </c>
      <c r="G262" s="4" t="str">
        <f t="shared" si="40"/>
        <v/>
      </c>
      <c r="H262" s="4" t="str">
        <f t="shared" si="41"/>
        <v/>
      </c>
      <c r="I262" s="4" t="str">
        <f t="shared" si="42"/>
        <v/>
      </c>
      <c r="J262" s="4" t="str">
        <f t="shared" si="43"/>
        <v/>
      </c>
      <c r="K262" s="4">
        <f t="shared" si="44"/>
        <v>1</v>
      </c>
      <c r="L262" s="4" t="str">
        <f t="shared" si="45"/>
        <v/>
      </c>
      <c r="M262" s="4"/>
      <c r="N262" s="4"/>
      <c r="O262" s="4"/>
      <c r="P262" s="4"/>
      <c r="Q262" s="4"/>
      <c r="R262" s="4"/>
      <c r="S262" s="4"/>
      <c r="T262" s="4"/>
      <c r="U262" s="4"/>
    </row>
    <row r="263" spans="1:21">
      <c r="A263" t="s">
        <v>222</v>
      </c>
      <c r="B263">
        <v>4</v>
      </c>
      <c r="C263" t="str">
        <f t="shared" si="39"/>
        <v>test.client_4_</v>
      </c>
      <c r="D263">
        <v>9</v>
      </c>
      <c r="E263" s="4">
        <v>1</v>
      </c>
      <c r="F263" s="4">
        <v>0.95654580680874624</v>
      </c>
      <c r="G263" s="4" t="str">
        <f t="shared" si="40"/>
        <v/>
      </c>
      <c r="H263" s="4" t="str">
        <f t="shared" si="41"/>
        <v/>
      </c>
      <c r="I263" s="4" t="str">
        <f t="shared" si="42"/>
        <v/>
      </c>
      <c r="J263" s="4" t="str">
        <f t="shared" si="43"/>
        <v/>
      </c>
      <c r="K263" s="4">
        <f t="shared" si="44"/>
        <v>1</v>
      </c>
      <c r="L263" s="4" t="str">
        <f t="shared" si="45"/>
        <v/>
      </c>
      <c r="M263" s="4"/>
      <c r="N263" s="4"/>
      <c r="O263" s="4"/>
      <c r="P263" s="4"/>
      <c r="Q263" s="4"/>
      <c r="R263" s="4"/>
      <c r="S263" s="4"/>
      <c r="T263" s="4"/>
      <c r="U263" s="4"/>
    </row>
    <row r="264" spans="1:21">
      <c r="A264" t="s">
        <v>222</v>
      </c>
      <c r="B264">
        <v>6</v>
      </c>
      <c r="C264" t="str">
        <f t="shared" si="39"/>
        <v>test.client_6_</v>
      </c>
      <c r="D264">
        <v>1</v>
      </c>
      <c r="E264" s="4">
        <v>0.64462809917355368</v>
      </c>
      <c r="F264" s="4">
        <v>0.55066714749368917</v>
      </c>
      <c r="G264" s="4" t="str">
        <f t="shared" si="40"/>
        <v/>
      </c>
      <c r="H264" s="4" t="str">
        <f t="shared" si="41"/>
        <v/>
      </c>
      <c r="I264" s="4">
        <f t="shared" si="42"/>
        <v>0.64462809917355368</v>
      </c>
      <c r="J264" s="4" t="str">
        <f t="shared" si="43"/>
        <v/>
      </c>
      <c r="K264" s="4" t="str">
        <f t="shared" si="44"/>
        <v/>
      </c>
      <c r="L264" s="4" t="str">
        <f t="shared" si="45"/>
        <v/>
      </c>
      <c r="M264" s="4"/>
      <c r="N264" s="4"/>
      <c r="O264" s="4"/>
      <c r="P264" s="4"/>
      <c r="Q264" s="4"/>
      <c r="R264" s="4"/>
      <c r="S264" s="4"/>
      <c r="T264" s="4"/>
      <c r="U264" s="4"/>
    </row>
    <row r="265" spans="1:21">
      <c r="A265" t="s">
        <v>222</v>
      </c>
      <c r="B265">
        <v>6</v>
      </c>
      <c r="C265" t="str">
        <f t="shared" si="39"/>
        <v>test.client_6_</v>
      </c>
      <c r="D265">
        <v>2</v>
      </c>
      <c r="E265" s="4">
        <v>1</v>
      </c>
      <c r="F265" s="4">
        <v>0.66426253155427339</v>
      </c>
      <c r="G265" s="4" t="str">
        <f t="shared" si="40"/>
        <v/>
      </c>
      <c r="H265" s="4" t="str">
        <f t="shared" si="41"/>
        <v/>
      </c>
      <c r="I265" s="4" t="str">
        <f t="shared" si="42"/>
        <v/>
      </c>
      <c r="J265" s="4">
        <f t="shared" si="43"/>
        <v>1</v>
      </c>
      <c r="K265" s="4" t="str">
        <f t="shared" si="44"/>
        <v/>
      </c>
      <c r="L265" s="4" t="str">
        <f t="shared" si="45"/>
        <v/>
      </c>
      <c r="M265" s="4"/>
      <c r="N265" s="4"/>
      <c r="O265" s="4"/>
      <c r="P265" s="4"/>
      <c r="Q265" s="4"/>
      <c r="R265" s="4"/>
      <c r="S265" s="4"/>
      <c r="T265" s="4"/>
      <c r="U265" s="4"/>
    </row>
    <row r="266" spans="1:21">
      <c r="A266" t="s">
        <v>222</v>
      </c>
      <c r="B266">
        <v>7</v>
      </c>
      <c r="C266" t="str">
        <f t="shared" si="39"/>
        <v>test.client_7_</v>
      </c>
      <c r="D266">
        <v>1</v>
      </c>
      <c r="E266" s="4">
        <v>2.3255813953488372E-2</v>
      </c>
      <c r="F266" s="4">
        <v>8.2627118644067798E-2</v>
      </c>
      <c r="G266" s="4">
        <f t="shared" si="40"/>
        <v>2.3255813953488372E-2</v>
      </c>
      <c r="H266" s="4" t="str">
        <f t="shared" si="41"/>
        <v/>
      </c>
      <c r="I266" s="4" t="str">
        <f t="shared" si="42"/>
        <v/>
      </c>
      <c r="J266" s="4" t="str">
        <f t="shared" si="43"/>
        <v/>
      </c>
      <c r="K266" s="4" t="str">
        <f t="shared" si="44"/>
        <v/>
      </c>
      <c r="L266" s="4" t="str">
        <f t="shared" si="45"/>
        <v/>
      </c>
      <c r="M266" s="4"/>
      <c r="N266" s="4"/>
      <c r="O266" s="4"/>
      <c r="P266" s="4"/>
      <c r="Q266" s="4"/>
      <c r="R266" s="4"/>
      <c r="S266" s="4"/>
      <c r="T266" s="4"/>
      <c r="U266" s="4"/>
    </row>
    <row r="267" spans="1:21">
      <c r="A267" t="s">
        <v>222</v>
      </c>
      <c r="B267">
        <v>7</v>
      </c>
      <c r="C267" t="str">
        <f t="shared" si="39"/>
        <v>test.client_7_</v>
      </c>
      <c r="D267">
        <v>2</v>
      </c>
      <c r="E267" s="4">
        <v>6.9767441860465115E-2</v>
      </c>
      <c r="F267" s="4">
        <v>0.14194915254237289</v>
      </c>
      <c r="G267" s="4">
        <f t="shared" si="40"/>
        <v>6.9767441860465115E-2</v>
      </c>
      <c r="H267" s="4" t="str">
        <f t="shared" si="41"/>
        <v/>
      </c>
      <c r="I267" s="4" t="str">
        <f t="shared" si="42"/>
        <v/>
      </c>
      <c r="J267" s="4" t="str">
        <f t="shared" si="43"/>
        <v/>
      </c>
      <c r="K267" s="4" t="str">
        <f t="shared" si="44"/>
        <v/>
      </c>
      <c r="L267" s="4" t="str">
        <f t="shared" si="45"/>
        <v/>
      </c>
      <c r="M267" s="4"/>
      <c r="N267" s="4"/>
      <c r="O267" s="4"/>
      <c r="P267" s="4"/>
      <c r="Q267" s="4"/>
      <c r="R267" s="4"/>
      <c r="S267" s="4"/>
      <c r="T267" s="4"/>
      <c r="U267" s="4"/>
    </row>
    <row r="268" spans="1:21">
      <c r="A268" t="s">
        <v>222</v>
      </c>
      <c r="B268">
        <v>7</v>
      </c>
      <c r="C268" t="str">
        <f t="shared" si="39"/>
        <v>test.client_7_</v>
      </c>
      <c r="D268">
        <v>3</v>
      </c>
      <c r="E268" s="4">
        <v>0.11627906976744186</v>
      </c>
      <c r="F268" s="4">
        <v>0.17266949152542374</v>
      </c>
      <c r="G268" s="4">
        <f t="shared" si="40"/>
        <v>0.11627906976744186</v>
      </c>
      <c r="H268" s="4" t="str">
        <f t="shared" si="41"/>
        <v/>
      </c>
      <c r="I268" s="4" t="str">
        <f t="shared" si="42"/>
        <v/>
      </c>
      <c r="J268" s="4" t="str">
        <f t="shared" si="43"/>
        <v/>
      </c>
      <c r="K268" s="4" t="str">
        <f t="shared" si="44"/>
        <v/>
      </c>
      <c r="L268" s="4" t="str">
        <f t="shared" si="45"/>
        <v/>
      </c>
      <c r="M268" s="4"/>
      <c r="N268" s="4"/>
      <c r="O268" s="4"/>
      <c r="P268" s="4"/>
      <c r="Q268" s="4"/>
      <c r="R268" s="4"/>
      <c r="S268" s="4"/>
      <c r="T268" s="4"/>
      <c r="U268" s="4"/>
    </row>
    <row r="269" spans="1:21">
      <c r="A269" t="s">
        <v>222</v>
      </c>
      <c r="B269">
        <v>7</v>
      </c>
      <c r="C269" t="str">
        <f t="shared" si="39"/>
        <v>test.client_7_</v>
      </c>
      <c r="D269">
        <v>4</v>
      </c>
      <c r="E269" s="4">
        <v>0.16279069767441862</v>
      </c>
      <c r="F269" s="4">
        <v>0.2086864406779661</v>
      </c>
      <c r="G269" s="4" t="str">
        <f t="shared" si="40"/>
        <v/>
      </c>
      <c r="H269" s="4">
        <f t="shared" si="41"/>
        <v>0.16279069767441862</v>
      </c>
      <c r="I269" s="4" t="str">
        <f t="shared" si="42"/>
        <v/>
      </c>
      <c r="J269" s="4" t="str">
        <f t="shared" si="43"/>
        <v/>
      </c>
      <c r="K269" s="4" t="str">
        <f t="shared" si="44"/>
        <v/>
      </c>
      <c r="L269" s="4" t="str">
        <f t="shared" si="45"/>
        <v/>
      </c>
      <c r="M269" s="4"/>
      <c r="N269" s="4"/>
      <c r="O269" s="4"/>
      <c r="P269" s="4"/>
      <c r="Q269" s="4"/>
      <c r="R269" s="4"/>
      <c r="S269" s="4"/>
      <c r="T269" s="4"/>
      <c r="U269" s="4"/>
    </row>
    <row r="270" spans="1:21">
      <c r="A270" t="s">
        <v>222</v>
      </c>
      <c r="B270">
        <v>7</v>
      </c>
      <c r="C270" t="str">
        <f t="shared" si="39"/>
        <v>test.client_7_</v>
      </c>
      <c r="D270">
        <v>5</v>
      </c>
      <c r="E270" s="4">
        <v>0.2558139534883721</v>
      </c>
      <c r="F270" s="4">
        <v>0.39194915254237289</v>
      </c>
      <c r="G270" s="4" t="str">
        <f t="shared" si="40"/>
        <v/>
      </c>
      <c r="H270" s="4">
        <f t="shared" si="41"/>
        <v>0.2558139534883721</v>
      </c>
      <c r="I270" s="4" t="str">
        <f t="shared" si="42"/>
        <v/>
      </c>
      <c r="J270" s="4" t="str">
        <f t="shared" si="43"/>
        <v/>
      </c>
      <c r="K270" s="4" t="str">
        <f t="shared" si="44"/>
        <v/>
      </c>
      <c r="L270" s="4" t="str">
        <f t="shared" si="45"/>
        <v/>
      </c>
      <c r="M270" s="4"/>
      <c r="N270" s="4"/>
      <c r="O270" s="4"/>
      <c r="P270" s="4"/>
      <c r="Q270" s="4"/>
      <c r="R270" s="4"/>
      <c r="S270" s="4"/>
      <c r="T270" s="4"/>
      <c r="U270" s="4"/>
    </row>
    <row r="271" spans="1:21">
      <c r="A271" t="s">
        <v>222</v>
      </c>
      <c r="B271">
        <v>7</v>
      </c>
      <c r="C271" t="str">
        <f t="shared" si="39"/>
        <v>test.client_7_</v>
      </c>
      <c r="D271">
        <v>6</v>
      </c>
      <c r="E271" s="4">
        <v>0.97674418604651159</v>
      </c>
      <c r="F271" s="4">
        <v>0.99046610169491522</v>
      </c>
      <c r="G271" s="4" t="str">
        <f t="shared" si="40"/>
        <v/>
      </c>
      <c r="H271" s="4" t="str">
        <f t="shared" si="41"/>
        <v/>
      </c>
      <c r="I271" s="4" t="str">
        <f t="shared" si="42"/>
        <v/>
      </c>
      <c r="J271" s="4" t="str">
        <f t="shared" si="43"/>
        <v/>
      </c>
      <c r="K271" s="4">
        <f t="shared" si="44"/>
        <v>0.97674418604651159</v>
      </c>
      <c r="L271" s="4" t="str">
        <f t="shared" si="45"/>
        <v/>
      </c>
      <c r="M271" s="4"/>
      <c r="N271" s="4"/>
      <c r="O271" s="4"/>
      <c r="P271" s="4"/>
      <c r="Q271" s="4"/>
      <c r="R271" s="4"/>
      <c r="S271" s="4"/>
      <c r="T271" s="4"/>
      <c r="U271" s="4"/>
    </row>
    <row r="272" spans="1:21">
      <c r="A272" t="s">
        <v>222</v>
      </c>
      <c r="B272">
        <v>7</v>
      </c>
      <c r="C272" t="str">
        <f t="shared" si="39"/>
        <v>test.client_7_</v>
      </c>
      <c r="D272">
        <v>7</v>
      </c>
      <c r="E272" s="4">
        <v>1</v>
      </c>
      <c r="F272" s="4">
        <v>2.2521186440677967</v>
      </c>
      <c r="G272" s="4" t="str">
        <f t="shared" si="40"/>
        <v/>
      </c>
      <c r="H272" s="4" t="str">
        <f t="shared" si="41"/>
        <v/>
      </c>
      <c r="I272" s="4" t="str">
        <f t="shared" si="42"/>
        <v/>
      </c>
      <c r="J272" s="4" t="str">
        <f t="shared" si="43"/>
        <v/>
      </c>
      <c r="K272" s="4" t="str">
        <f t="shared" si="44"/>
        <v/>
      </c>
      <c r="L272" s="4">
        <f t="shared" si="45"/>
        <v>1</v>
      </c>
      <c r="M272" s="4"/>
      <c r="N272" s="4"/>
      <c r="O272" s="4"/>
      <c r="P272" s="4"/>
      <c r="Q272" s="4"/>
      <c r="R272" s="4"/>
      <c r="S272" s="4"/>
      <c r="T272" s="4"/>
      <c r="U272" s="4"/>
    </row>
    <row r="273" spans="1:21">
      <c r="A273" t="s">
        <v>223</v>
      </c>
      <c r="B273">
        <v>3</v>
      </c>
      <c r="C273" t="str">
        <f t="shared" si="39"/>
        <v>test.GeoEngine_3_</v>
      </c>
      <c r="D273">
        <v>1</v>
      </c>
      <c r="E273" s="4">
        <v>9.6774193548387094E-2</v>
      </c>
      <c r="F273" s="4">
        <v>9.9083111505471749E-2</v>
      </c>
      <c r="G273" s="4">
        <f t="shared" si="40"/>
        <v>9.6774193548387094E-2</v>
      </c>
      <c r="H273" s="4" t="str">
        <f t="shared" si="41"/>
        <v/>
      </c>
      <c r="I273" s="4" t="str">
        <f t="shared" si="42"/>
        <v/>
      </c>
      <c r="J273" s="4" t="str">
        <f t="shared" si="43"/>
        <v/>
      </c>
      <c r="K273" s="4" t="str">
        <f t="shared" si="44"/>
        <v/>
      </c>
      <c r="L273" s="4" t="str">
        <f t="shared" si="45"/>
        <v/>
      </c>
      <c r="M273" s="4"/>
      <c r="N273" s="4"/>
      <c r="O273" s="4"/>
      <c r="P273" s="4"/>
      <c r="Q273" s="4"/>
      <c r="R273" s="4"/>
      <c r="S273" s="4"/>
      <c r="T273" s="4"/>
      <c r="U273" s="4"/>
    </row>
    <row r="274" spans="1:21">
      <c r="A274" t="s">
        <v>223</v>
      </c>
      <c r="B274">
        <v>3</v>
      </c>
      <c r="C274" t="str">
        <f t="shared" si="39"/>
        <v>test.GeoEngine_3_</v>
      </c>
      <c r="D274">
        <v>2</v>
      </c>
      <c r="E274" s="4">
        <v>0.74193548387096775</v>
      </c>
      <c r="F274" s="4">
        <v>0.6672582076308784</v>
      </c>
      <c r="G274" s="4" t="str">
        <f t="shared" si="40"/>
        <v/>
      </c>
      <c r="H274" s="4" t="str">
        <f t="shared" si="41"/>
        <v/>
      </c>
      <c r="I274" s="4" t="str">
        <f t="shared" si="42"/>
        <v/>
      </c>
      <c r="J274" s="4">
        <f t="shared" si="43"/>
        <v>0.74193548387096775</v>
      </c>
      <c r="K274" s="4" t="str">
        <f t="shared" si="44"/>
        <v/>
      </c>
      <c r="L274" s="4" t="str">
        <f t="shared" si="45"/>
        <v/>
      </c>
      <c r="M274" s="4"/>
      <c r="N274" s="4"/>
      <c r="O274" s="4"/>
      <c r="P274" s="4"/>
      <c r="Q274" s="4"/>
      <c r="R274" s="4"/>
      <c r="S274" s="4"/>
      <c r="T274" s="4"/>
      <c r="U274" s="4"/>
    </row>
    <row r="275" spans="1:21">
      <c r="A275" t="s">
        <v>223</v>
      </c>
      <c r="B275">
        <v>3</v>
      </c>
      <c r="C275" t="str">
        <f t="shared" si="39"/>
        <v>test.GeoEngine_3_</v>
      </c>
      <c r="D275">
        <v>3</v>
      </c>
      <c r="E275" s="4">
        <v>1</v>
      </c>
      <c r="F275" s="4">
        <v>0.683821354628808</v>
      </c>
      <c r="G275" s="4" t="str">
        <f t="shared" si="40"/>
        <v/>
      </c>
      <c r="H275" s="4" t="str">
        <f t="shared" si="41"/>
        <v/>
      </c>
      <c r="I275" s="4" t="str">
        <f t="shared" si="42"/>
        <v/>
      </c>
      <c r="J275" s="4">
        <f t="shared" si="43"/>
        <v>1</v>
      </c>
      <c r="K275" s="4" t="str">
        <f t="shared" si="44"/>
        <v/>
      </c>
      <c r="L275" s="4" t="str">
        <f t="shared" si="45"/>
        <v/>
      </c>
      <c r="M275" s="4"/>
      <c r="N275" s="4"/>
      <c r="O275" s="4"/>
      <c r="P275" s="4"/>
      <c r="Q275" s="4"/>
      <c r="R275" s="4"/>
      <c r="S275" s="4"/>
      <c r="T275" s="4"/>
      <c r="U275" s="4"/>
    </row>
    <row r="276" spans="1:21">
      <c r="A276" t="s">
        <v>223</v>
      </c>
      <c r="B276">
        <v>7</v>
      </c>
      <c r="C276" t="str">
        <f t="shared" si="39"/>
        <v>test.GeoEngine_7_</v>
      </c>
      <c r="D276">
        <v>1</v>
      </c>
      <c r="E276" s="4">
        <v>5.3571428571428568E-2</v>
      </c>
      <c r="F276" s="4">
        <v>1.5929778933680104E-2</v>
      </c>
      <c r="G276" s="4">
        <f t="shared" si="40"/>
        <v>5.3571428571428568E-2</v>
      </c>
      <c r="H276" s="4" t="str">
        <f t="shared" si="41"/>
        <v/>
      </c>
      <c r="I276" s="4" t="str">
        <f t="shared" si="42"/>
        <v/>
      </c>
      <c r="J276" s="4" t="str">
        <f t="shared" si="43"/>
        <v/>
      </c>
      <c r="K276" s="4" t="str">
        <f t="shared" si="44"/>
        <v/>
      </c>
      <c r="L276" s="4" t="str">
        <f t="shared" si="45"/>
        <v/>
      </c>
      <c r="M276" s="4"/>
      <c r="N276" s="4"/>
      <c r="O276" s="4"/>
      <c r="P276" s="4"/>
      <c r="Q276" s="4"/>
      <c r="R276" s="4"/>
      <c r="S276" s="4"/>
      <c r="T276" s="4"/>
      <c r="U276" s="4"/>
    </row>
    <row r="277" spans="1:21">
      <c r="A277" t="s">
        <v>223</v>
      </c>
      <c r="B277">
        <v>7</v>
      </c>
      <c r="C277" s="9" t="str">
        <f t="shared" si="39"/>
        <v>test.GeoEngine_7_</v>
      </c>
      <c r="D277">
        <v>2</v>
      </c>
      <c r="E277" s="4">
        <v>7.1428571428571425E-2</v>
      </c>
      <c r="F277" s="4">
        <v>3.4460338101430427E-2</v>
      </c>
      <c r="G277" s="4">
        <f t="shared" si="40"/>
        <v>7.1428571428571425E-2</v>
      </c>
      <c r="H277" s="4" t="str">
        <f t="shared" si="41"/>
        <v/>
      </c>
      <c r="I277" s="4" t="str">
        <f t="shared" si="42"/>
        <v/>
      </c>
      <c r="J277" s="4" t="str">
        <f t="shared" si="43"/>
        <v/>
      </c>
      <c r="K277" s="4" t="str">
        <f t="shared" si="44"/>
        <v/>
      </c>
      <c r="L277" s="4" t="str">
        <f t="shared" si="45"/>
        <v/>
      </c>
      <c r="M277" s="4"/>
      <c r="N277" s="4"/>
      <c r="O277" s="4"/>
      <c r="P277" s="4"/>
      <c r="Q277" s="4"/>
      <c r="R277" s="4"/>
      <c r="S277" s="4"/>
      <c r="T277" s="4"/>
      <c r="U277" s="4"/>
    </row>
    <row r="278" spans="1:21">
      <c r="A278" t="s">
        <v>223</v>
      </c>
      <c r="B278">
        <v>7</v>
      </c>
      <c r="C278" t="str">
        <f t="shared" si="39"/>
        <v>test.GeoEngine_7_</v>
      </c>
      <c r="D278">
        <v>3</v>
      </c>
      <c r="E278" s="4">
        <v>0.2857142857142857</v>
      </c>
      <c r="F278" s="4">
        <v>9.0702210663198959E-2</v>
      </c>
      <c r="G278" s="4">
        <f t="shared" si="40"/>
        <v>0.2857142857142857</v>
      </c>
      <c r="H278" s="4" t="str">
        <f t="shared" si="41"/>
        <v/>
      </c>
      <c r="I278" s="4" t="str">
        <f t="shared" si="42"/>
        <v/>
      </c>
      <c r="J278" s="4" t="str">
        <f t="shared" si="43"/>
        <v/>
      </c>
      <c r="K278" s="4" t="str">
        <f t="shared" si="44"/>
        <v/>
      </c>
      <c r="L278" s="4" t="str">
        <f t="shared" si="45"/>
        <v/>
      </c>
      <c r="M278" s="4"/>
      <c r="N278" s="4"/>
      <c r="O278" s="4"/>
      <c r="P278" s="4"/>
      <c r="Q278" s="4"/>
      <c r="R278" s="4"/>
      <c r="S278" s="4"/>
      <c r="T278" s="4"/>
      <c r="U278" s="4"/>
    </row>
    <row r="279" spans="1:21">
      <c r="A279" t="s">
        <v>223</v>
      </c>
      <c r="B279">
        <v>7</v>
      </c>
      <c r="C279" t="str">
        <f t="shared" si="39"/>
        <v>test.GeoEngine_7_</v>
      </c>
      <c r="D279">
        <v>4</v>
      </c>
      <c r="E279" s="4">
        <v>0.48214285714285715</v>
      </c>
      <c r="F279" s="4">
        <v>0.13426527958387516</v>
      </c>
      <c r="G279" s="4">
        <f t="shared" si="40"/>
        <v>0.48214285714285715</v>
      </c>
      <c r="H279" s="4" t="str">
        <f t="shared" si="41"/>
        <v/>
      </c>
      <c r="I279" s="4" t="str">
        <f t="shared" si="42"/>
        <v/>
      </c>
      <c r="J279" s="4" t="str">
        <f t="shared" si="43"/>
        <v/>
      </c>
      <c r="K279" s="4" t="str">
        <f t="shared" si="44"/>
        <v/>
      </c>
      <c r="L279" s="4" t="str">
        <f t="shared" si="45"/>
        <v/>
      </c>
      <c r="M279" s="4"/>
      <c r="N279" s="4"/>
      <c r="O279" s="4"/>
      <c r="P279" s="4"/>
      <c r="Q279" s="4"/>
      <c r="R279" s="4"/>
      <c r="S279" s="4"/>
      <c r="T279" s="4"/>
      <c r="U279" s="4"/>
    </row>
    <row r="280" spans="1:21">
      <c r="A280" t="s">
        <v>223</v>
      </c>
      <c r="B280">
        <v>7</v>
      </c>
      <c r="C280" t="str">
        <f t="shared" si="39"/>
        <v>test.GeoEngine_7_</v>
      </c>
      <c r="D280">
        <v>5</v>
      </c>
      <c r="E280" s="4">
        <v>0.5178571428571429</v>
      </c>
      <c r="F280" s="4">
        <v>0.13719115734720416</v>
      </c>
      <c r="G280" s="4">
        <f t="shared" si="40"/>
        <v>0.5178571428571429</v>
      </c>
      <c r="H280" s="4" t="str">
        <f t="shared" si="41"/>
        <v/>
      </c>
      <c r="I280" s="4" t="str">
        <f t="shared" si="42"/>
        <v/>
      </c>
      <c r="J280" s="4" t="str">
        <f t="shared" si="43"/>
        <v/>
      </c>
      <c r="K280" s="4" t="str">
        <f t="shared" si="44"/>
        <v/>
      </c>
      <c r="L280" s="4" t="str">
        <f t="shared" si="45"/>
        <v/>
      </c>
      <c r="M280" s="4"/>
      <c r="N280" s="4"/>
      <c r="O280" s="4"/>
      <c r="P280" s="4"/>
      <c r="Q280" s="4"/>
      <c r="R280" s="4"/>
      <c r="S280" s="4"/>
      <c r="T280" s="4"/>
      <c r="U280" s="4"/>
    </row>
    <row r="281" spans="1:21">
      <c r="A281" t="s">
        <v>223</v>
      </c>
      <c r="B281">
        <v>7</v>
      </c>
      <c r="C281" t="str">
        <f t="shared" si="39"/>
        <v>test.GeoEngine_7_</v>
      </c>
      <c r="D281">
        <v>6</v>
      </c>
      <c r="E281" s="4">
        <v>1</v>
      </c>
      <c r="F281" s="4">
        <v>0.96066319895968788</v>
      </c>
      <c r="G281" s="4" t="str">
        <f t="shared" si="40"/>
        <v/>
      </c>
      <c r="H281" s="4" t="str">
        <f t="shared" si="41"/>
        <v/>
      </c>
      <c r="I281" s="4" t="str">
        <f t="shared" si="42"/>
        <v/>
      </c>
      <c r="J281" s="4" t="str">
        <f t="shared" si="43"/>
        <v/>
      </c>
      <c r="K281" s="4">
        <f t="shared" si="44"/>
        <v>1</v>
      </c>
      <c r="L281" s="4" t="str">
        <f t="shared" si="45"/>
        <v/>
      </c>
      <c r="M281" s="4"/>
      <c r="N281" s="4"/>
      <c r="O281" s="4"/>
      <c r="P281" s="4"/>
      <c r="Q281" s="4"/>
      <c r="R281" s="4"/>
      <c r="S281" s="4"/>
      <c r="T281" s="4"/>
      <c r="U281" s="4"/>
    </row>
    <row r="282" spans="1:21">
      <c r="A282" t="s">
        <v>223</v>
      </c>
      <c r="B282">
        <v>8</v>
      </c>
      <c r="C282" t="str">
        <f t="shared" si="39"/>
        <v>test.GeoEngine_8_</v>
      </c>
      <c r="D282">
        <v>1</v>
      </c>
      <c r="E282" s="4">
        <v>4.6511627906976744E-2</v>
      </c>
      <c r="F282" s="4">
        <v>5.238774055595153E-2</v>
      </c>
      <c r="G282" s="4">
        <f t="shared" si="40"/>
        <v>4.6511627906976744E-2</v>
      </c>
      <c r="H282" s="4" t="str">
        <f t="shared" si="41"/>
        <v/>
      </c>
      <c r="I282" s="4" t="str">
        <f t="shared" si="42"/>
        <v/>
      </c>
      <c r="J282" s="4" t="str">
        <f t="shared" si="43"/>
        <v/>
      </c>
      <c r="K282" s="4" t="str">
        <f t="shared" si="44"/>
        <v/>
      </c>
      <c r="L282" s="4" t="str">
        <f t="shared" si="45"/>
        <v/>
      </c>
      <c r="M282" s="4"/>
      <c r="N282" s="4"/>
      <c r="O282" s="4"/>
      <c r="P282" s="4"/>
      <c r="Q282" s="4"/>
      <c r="R282" s="4"/>
      <c r="S282" s="4"/>
      <c r="T282" s="4"/>
      <c r="U282" s="4"/>
    </row>
    <row r="283" spans="1:21">
      <c r="A283" t="s">
        <v>223</v>
      </c>
      <c r="B283">
        <v>8</v>
      </c>
      <c r="C283" t="str">
        <f t="shared" si="39"/>
        <v>test.GeoEngine_8_</v>
      </c>
      <c r="D283">
        <v>2</v>
      </c>
      <c r="E283" s="4">
        <v>0.1744186046511628</v>
      </c>
      <c r="F283" s="4">
        <v>0.12722736992159658</v>
      </c>
      <c r="G283" s="4">
        <f t="shared" si="40"/>
        <v>0.1744186046511628</v>
      </c>
      <c r="H283" s="4" t="str">
        <f t="shared" si="41"/>
        <v/>
      </c>
      <c r="I283" s="4" t="str">
        <f t="shared" si="42"/>
        <v/>
      </c>
      <c r="J283" s="4" t="str">
        <f t="shared" si="43"/>
        <v/>
      </c>
      <c r="K283" s="4" t="str">
        <f t="shared" si="44"/>
        <v/>
      </c>
      <c r="L283" s="4" t="str">
        <f t="shared" si="45"/>
        <v/>
      </c>
      <c r="M283" s="4"/>
      <c r="N283" s="4"/>
      <c r="O283" s="4"/>
      <c r="P283" s="4"/>
      <c r="Q283" s="4"/>
      <c r="R283" s="4"/>
      <c r="S283" s="4"/>
      <c r="T283" s="4"/>
      <c r="U283" s="4"/>
    </row>
    <row r="284" spans="1:21">
      <c r="A284" t="s">
        <v>223</v>
      </c>
      <c r="B284">
        <v>8</v>
      </c>
      <c r="C284" t="str">
        <f t="shared" si="39"/>
        <v>test.GeoEngine_8_</v>
      </c>
      <c r="D284">
        <v>3</v>
      </c>
      <c r="E284" s="4">
        <v>0.22093023255813954</v>
      </c>
      <c r="F284" s="4">
        <v>0.14932287954383464</v>
      </c>
      <c r="G284" s="4">
        <f t="shared" si="40"/>
        <v>0.22093023255813954</v>
      </c>
      <c r="H284" s="4" t="str">
        <f t="shared" si="41"/>
        <v/>
      </c>
      <c r="I284" s="4" t="str">
        <f t="shared" si="42"/>
        <v/>
      </c>
      <c r="J284" s="4" t="str">
        <f t="shared" si="43"/>
        <v/>
      </c>
      <c r="K284" s="4" t="str">
        <f t="shared" si="44"/>
        <v/>
      </c>
      <c r="L284" s="4" t="str">
        <f t="shared" si="45"/>
        <v/>
      </c>
      <c r="M284" s="4"/>
      <c r="N284" s="4"/>
      <c r="O284" s="4"/>
      <c r="P284" s="4"/>
      <c r="Q284" s="4"/>
      <c r="R284" s="4"/>
      <c r="S284" s="4"/>
      <c r="T284" s="4"/>
      <c r="U284" s="4"/>
    </row>
    <row r="285" spans="1:21">
      <c r="A285" t="s">
        <v>223</v>
      </c>
      <c r="B285">
        <v>8</v>
      </c>
      <c r="C285" t="str">
        <f t="shared" si="39"/>
        <v>test.GeoEngine_8_</v>
      </c>
      <c r="D285">
        <v>4</v>
      </c>
      <c r="E285" s="4">
        <v>0.33720930232558138</v>
      </c>
      <c r="F285" s="4">
        <v>0.17640769779044904</v>
      </c>
      <c r="G285" s="4">
        <f t="shared" si="40"/>
        <v>0.33720930232558138</v>
      </c>
      <c r="H285" s="4" t="str">
        <f t="shared" si="41"/>
        <v/>
      </c>
      <c r="I285" s="4" t="str">
        <f t="shared" si="42"/>
        <v/>
      </c>
      <c r="J285" s="4" t="str">
        <f t="shared" si="43"/>
        <v/>
      </c>
      <c r="K285" s="4" t="str">
        <f t="shared" si="44"/>
        <v/>
      </c>
      <c r="L285" s="4" t="str">
        <f t="shared" si="45"/>
        <v/>
      </c>
      <c r="M285" s="4"/>
      <c r="N285" s="4"/>
      <c r="O285" s="4"/>
      <c r="P285" s="4"/>
      <c r="Q285" s="4"/>
      <c r="R285" s="4"/>
      <c r="S285" s="4"/>
      <c r="T285" s="4"/>
      <c r="U285" s="4"/>
    </row>
    <row r="286" spans="1:21">
      <c r="A286" t="s">
        <v>223</v>
      </c>
      <c r="B286">
        <v>8</v>
      </c>
      <c r="C286" t="str">
        <f t="shared" si="39"/>
        <v>test.GeoEngine_8_</v>
      </c>
      <c r="D286">
        <v>5</v>
      </c>
      <c r="E286" s="4">
        <v>0.36046511627906974</v>
      </c>
      <c r="F286" s="4">
        <v>0.18246614397719174</v>
      </c>
      <c r="G286" s="4">
        <f t="shared" si="40"/>
        <v>0.36046511627906974</v>
      </c>
      <c r="H286" s="4" t="str">
        <f t="shared" si="41"/>
        <v/>
      </c>
      <c r="I286" s="4" t="str">
        <f t="shared" si="42"/>
        <v/>
      </c>
      <c r="J286" s="4" t="str">
        <f t="shared" si="43"/>
        <v/>
      </c>
      <c r="K286" s="4" t="str">
        <f t="shared" si="44"/>
        <v/>
      </c>
      <c r="L286" s="4" t="str">
        <f t="shared" si="45"/>
        <v/>
      </c>
      <c r="M286" s="4"/>
      <c r="N286" s="4"/>
      <c r="O286" s="4"/>
      <c r="P286" s="4"/>
      <c r="Q286" s="4"/>
      <c r="R286" s="4"/>
      <c r="S286" s="4"/>
      <c r="T286" s="4"/>
      <c r="U286" s="4"/>
    </row>
    <row r="287" spans="1:21">
      <c r="A287" t="s">
        <v>223</v>
      </c>
      <c r="B287">
        <v>8</v>
      </c>
      <c r="C287" t="str">
        <f t="shared" si="39"/>
        <v>test.GeoEngine_8_</v>
      </c>
      <c r="D287">
        <v>6</v>
      </c>
      <c r="E287" s="4">
        <v>0.7558139534883721</v>
      </c>
      <c r="F287" s="4">
        <v>0.74198146828225231</v>
      </c>
      <c r="G287" s="4" t="str">
        <f t="shared" si="40"/>
        <v/>
      </c>
      <c r="H287" s="4" t="str">
        <f t="shared" si="41"/>
        <v/>
      </c>
      <c r="I287" s="4" t="str">
        <f t="shared" si="42"/>
        <v/>
      </c>
      <c r="J287" s="4">
        <f t="shared" si="43"/>
        <v>0.7558139534883721</v>
      </c>
      <c r="K287" s="4" t="str">
        <f t="shared" si="44"/>
        <v/>
      </c>
      <c r="L287" s="4" t="str">
        <f t="shared" si="45"/>
        <v/>
      </c>
      <c r="M287" s="4"/>
      <c r="N287" s="4"/>
      <c r="O287" s="4"/>
      <c r="P287" s="4"/>
      <c r="Q287" s="4"/>
      <c r="R287" s="4"/>
      <c r="S287" s="4"/>
      <c r="T287" s="4"/>
      <c r="U287" s="4"/>
    </row>
    <row r="288" spans="1:21">
      <c r="A288" t="s">
        <v>223</v>
      </c>
      <c r="B288">
        <v>8</v>
      </c>
      <c r="C288" t="str">
        <f t="shared" si="39"/>
        <v>test.GeoEngine_8_</v>
      </c>
      <c r="D288">
        <v>7</v>
      </c>
      <c r="E288" s="4">
        <v>0.79069767441860461</v>
      </c>
      <c r="F288" s="4">
        <v>0.77476835352815399</v>
      </c>
      <c r="G288" s="4" t="str">
        <f t="shared" si="40"/>
        <v/>
      </c>
      <c r="H288" s="4" t="str">
        <f t="shared" si="41"/>
        <v/>
      </c>
      <c r="I288" s="4" t="str">
        <f t="shared" si="42"/>
        <v/>
      </c>
      <c r="J288" s="4">
        <f t="shared" si="43"/>
        <v>0.79069767441860461</v>
      </c>
      <c r="K288" s="4" t="str">
        <f t="shared" si="44"/>
        <v/>
      </c>
      <c r="L288" s="4" t="str">
        <f t="shared" si="45"/>
        <v/>
      </c>
      <c r="M288" s="4"/>
      <c r="N288" s="4"/>
      <c r="O288" s="4"/>
      <c r="P288" s="4"/>
      <c r="Q288" s="4"/>
      <c r="R288" s="4"/>
      <c r="S288" s="4"/>
      <c r="T288" s="4"/>
      <c r="U288" s="4"/>
    </row>
    <row r="289" spans="1:21">
      <c r="A289" t="s">
        <v>223</v>
      </c>
      <c r="B289">
        <v>8</v>
      </c>
      <c r="C289" t="str">
        <f t="shared" si="39"/>
        <v>test.GeoEngine_8_</v>
      </c>
      <c r="D289">
        <v>8</v>
      </c>
      <c r="E289" s="4">
        <v>0.81395348837209303</v>
      </c>
      <c r="F289" s="4">
        <v>0.78011404133998574</v>
      </c>
      <c r="G289" s="4" t="str">
        <f t="shared" si="40"/>
        <v/>
      </c>
      <c r="H289" s="4" t="str">
        <f t="shared" si="41"/>
        <v/>
      </c>
      <c r="I289" s="4" t="str">
        <f t="shared" si="42"/>
        <v/>
      </c>
      <c r="J289" s="4">
        <f t="shared" si="43"/>
        <v>0.81395348837209303</v>
      </c>
      <c r="K289" s="4" t="str">
        <f t="shared" si="44"/>
        <v/>
      </c>
      <c r="L289" s="4" t="str">
        <f t="shared" si="45"/>
        <v/>
      </c>
      <c r="M289" s="4"/>
      <c r="N289" s="4"/>
      <c r="O289" s="4"/>
      <c r="P289" s="4"/>
      <c r="Q289" s="4"/>
      <c r="R289" s="4"/>
      <c r="S289" s="4"/>
      <c r="T289" s="4"/>
      <c r="U289" s="4"/>
    </row>
    <row r="290" spans="1:21">
      <c r="A290" t="s">
        <v>223</v>
      </c>
      <c r="B290">
        <v>8</v>
      </c>
      <c r="C290" t="str">
        <f t="shared" si="39"/>
        <v>test.GeoEngine_8_</v>
      </c>
      <c r="D290">
        <v>9</v>
      </c>
      <c r="E290" s="4">
        <v>0.87209302325581395</v>
      </c>
      <c r="F290" s="4">
        <v>0.82608695652173914</v>
      </c>
      <c r="G290" s="4" t="str">
        <f t="shared" si="40"/>
        <v/>
      </c>
      <c r="H290" s="4" t="str">
        <f t="shared" si="41"/>
        <v/>
      </c>
      <c r="I290" s="4" t="str">
        <f t="shared" si="42"/>
        <v/>
      </c>
      <c r="J290" s="4" t="str">
        <f t="shared" si="43"/>
        <v/>
      </c>
      <c r="K290" s="4">
        <f t="shared" si="44"/>
        <v>0.87209302325581395</v>
      </c>
      <c r="L290" s="4" t="str">
        <f t="shared" si="45"/>
        <v/>
      </c>
      <c r="M290" s="4"/>
      <c r="N290" s="4"/>
      <c r="O290" s="4"/>
      <c r="P290" s="4"/>
      <c r="Q290" s="4"/>
      <c r="R290" s="4"/>
      <c r="S290" s="4"/>
      <c r="T290" s="4"/>
      <c r="U290" s="4"/>
    </row>
    <row r="291" spans="1:21">
      <c r="A291" t="s">
        <v>223</v>
      </c>
      <c r="B291">
        <v>8</v>
      </c>
      <c r="C291" t="str">
        <f t="shared" si="39"/>
        <v>test.GeoEngine_8_</v>
      </c>
      <c r="D291">
        <v>10</v>
      </c>
      <c r="E291" s="4">
        <v>0.91860465116279066</v>
      </c>
      <c r="F291" s="4">
        <v>0.86315039201710619</v>
      </c>
      <c r="G291" s="4" t="str">
        <f t="shared" si="40"/>
        <v/>
      </c>
      <c r="H291" s="4" t="str">
        <f t="shared" si="41"/>
        <v/>
      </c>
      <c r="I291" s="4" t="str">
        <f t="shared" si="42"/>
        <v/>
      </c>
      <c r="J291" s="4" t="str">
        <f t="shared" si="43"/>
        <v/>
      </c>
      <c r="K291" s="4">
        <f t="shared" si="44"/>
        <v>0.91860465116279066</v>
      </c>
      <c r="L291" s="4" t="str">
        <f t="shared" si="45"/>
        <v/>
      </c>
      <c r="M291" s="4"/>
      <c r="N291" s="4"/>
      <c r="O291" s="4"/>
      <c r="P291" s="4"/>
      <c r="Q291" s="4"/>
      <c r="R291" s="4"/>
      <c r="S291" s="4"/>
      <c r="T291" s="4"/>
      <c r="U291" s="4"/>
    </row>
    <row r="292" spans="1:21">
      <c r="A292" t="s">
        <v>223</v>
      </c>
      <c r="B292">
        <v>8</v>
      </c>
      <c r="C292" t="str">
        <f t="shared" si="39"/>
        <v>test.GeoEngine_8_</v>
      </c>
      <c r="D292">
        <v>11</v>
      </c>
      <c r="E292" s="4">
        <v>1</v>
      </c>
      <c r="F292" s="4">
        <v>0.9390591589451176</v>
      </c>
      <c r="G292" s="4" t="str">
        <f t="shared" si="40"/>
        <v/>
      </c>
      <c r="H292" s="4" t="str">
        <f t="shared" si="41"/>
        <v/>
      </c>
      <c r="I292" s="4" t="str">
        <f t="shared" si="42"/>
        <v/>
      </c>
      <c r="J292" s="4" t="str">
        <f t="shared" si="43"/>
        <v/>
      </c>
      <c r="K292" s="4">
        <f t="shared" si="44"/>
        <v>1</v>
      </c>
      <c r="L292" s="4" t="str">
        <f t="shared" si="45"/>
        <v/>
      </c>
      <c r="M292" s="4"/>
      <c r="N292" s="4"/>
      <c r="O292" s="4"/>
      <c r="P292" s="4"/>
      <c r="Q292" s="4"/>
      <c r="R292" s="4"/>
      <c r="S292" s="4"/>
      <c r="T292" s="4"/>
      <c r="U292" s="4"/>
    </row>
    <row r="293" spans="1:21">
      <c r="A293" t="s">
        <v>223</v>
      </c>
      <c r="B293">
        <v>9</v>
      </c>
      <c r="C293" t="str">
        <f t="shared" si="39"/>
        <v>test.GeoEngine_9_</v>
      </c>
      <c r="D293">
        <v>1</v>
      </c>
      <c r="E293" s="4">
        <v>8.6956521739130432E-2</v>
      </c>
      <c r="F293" s="4">
        <v>7.5523704520396917E-2</v>
      </c>
      <c r="G293" s="4">
        <f t="shared" si="40"/>
        <v>8.6956521739130432E-2</v>
      </c>
      <c r="H293" s="4" t="str">
        <f t="shared" si="41"/>
        <v/>
      </c>
      <c r="I293" s="4" t="str">
        <f t="shared" si="42"/>
        <v/>
      </c>
      <c r="J293" s="4" t="str">
        <f t="shared" si="43"/>
        <v/>
      </c>
      <c r="K293" s="4" t="str">
        <f t="shared" si="44"/>
        <v/>
      </c>
      <c r="L293" s="4" t="str">
        <f t="shared" si="45"/>
        <v/>
      </c>
      <c r="M293" s="4"/>
      <c r="N293" s="4"/>
      <c r="O293" s="4"/>
      <c r="P293" s="4"/>
      <c r="Q293" s="4"/>
      <c r="R293" s="4"/>
      <c r="S293" s="4"/>
      <c r="T293" s="4"/>
      <c r="U293" s="4"/>
    </row>
    <row r="294" spans="1:21">
      <c r="A294" t="s">
        <v>223</v>
      </c>
      <c r="B294">
        <v>9</v>
      </c>
      <c r="C294" t="str">
        <f t="shared" si="39"/>
        <v>test.GeoEngine_9_</v>
      </c>
      <c r="D294">
        <v>2</v>
      </c>
      <c r="E294" s="4">
        <v>0.19565217391304349</v>
      </c>
      <c r="F294" s="4">
        <v>0.11797133406835722</v>
      </c>
      <c r="G294" s="4">
        <f t="shared" si="40"/>
        <v>0.19565217391304349</v>
      </c>
      <c r="H294" s="4" t="str">
        <f t="shared" si="41"/>
        <v/>
      </c>
      <c r="I294" s="4" t="str">
        <f t="shared" si="42"/>
        <v/>
      </c>
      <c r="J294" s="4" t="str">
        <f t="shared" si="43"/>
        <v/>
      </c>
      <c r="K294" s="4" t="str">
        <f t="shared" si="44"/>
        <v/>
      </c>
      <c r="L294" s="4" t="str">
        <f t="shared" si="45"/>
        <v/>
      </c>
      <c r="M294" s="4"/>
      <c r="N294" s="4"/>
      <c r="O294" s="4"/>
      <c r="P294" s="4"/>
      <c r="Q294" s="4"/>
      <c r="R294" s="4"/>
      <c r="S294" s="4"/>
      <c r="T294" s="4"/>
      <c r="U294" s="4"/>
    </row>
    <row r="295" spans="1:21">
      <c r="A295" t="s">
        <v>223</v>
      </c>
      <c r="B295">
        <v>9</v>
      </c>
      <c r="C295" t="str">
        <f t="shared" si="39"/>
        <v>test.GeoEngine_9_</v>
      </c>
      <c r="D295">
        <v>3</v>
      </c>
      <c r="E295" s="4">
        <v>0.41304347826086957</v>
      </c>
      <c r="F295" s="4">
        <v>0.26295479603087102</v>
      </c>
      <c r="G295" s="4" t="str">
        <f t="shared" si="40"/>
        <v/>
      </c>
      <c r="H295" s="4">
        <f t="shared" si="41"/>
        <v>0.41304347826086957</v>
      </c>
      <c r="I295" s="4" t="str">
        <f t="shared" si="42"/>
        <v/>
      </c>
      <c r="J295" s="4" t="str">
        <f t="shared" si="43"/>
        <v/>
      </c>
      <c r="K295" s="4" t="str">
        <f t="shared" si="44"/>
        <v/>
      </c>
      <c r="L295" s="4" t="str">
        <f t="shared" si="45"/>
        <v/>
      </c>
      <c r="M295" s="4"/>
      <c r="N295" s="4"/>
      <c r="O295" s="4"/>
      <c r="P295" s="4"/>
      <c r="Q295" s="4"/>
      <c r="R295" s="4"/>
      <c r="S295" s="4"/>
      <c r="T295" s="4"/>
      <c r="U295" s="4"/>
    </row>
    <row r="296" spans="1:21">
      <c r="A296" t="s">
        <v>223</v>
      </c>
      <c r="B296">
        <v>9</v>
      </c>
      <c r="C296" t="str">
        <f t="shared" si="39"/>
        <v>test.GeoEngine_9_</v>
      </c>
      <c r="D296">
        <v>4</v>
      </c>
      <c r="E296" s="4">
        <v>0.45652173913043476</v>
      </c>
      <c r="F296" s="4">
        <v>0.27453142227122379</v>
      </c>
      <c r="G296" s="4" t="str">
        <f t="shared" si="40"/>
        <v/>
      </c>
      <c r="H296" s="4">
        <f t="shared" si="41"/>
        <v>0.45652173913043476</v>
      </c>
      <c r="I296" s="4" t="str">
        <f t="shared" si="42"/>
        <v/>
      </c>
      <c r="J296" s="4" t="str">
        <f t="shared" si="43"/>
        <v/>
      </c>
      <c r="K296" s="4" t="str">
        <f t="shared" si="44"/>
        <v/>
      </c>
      <c r="L296" s="4" t="str">
        <f t="shared" si="45"/>
        <v/>
      </c>
      <c r="M296" s="4"/>
      <c r="N296" s="4"/>
      <c r="O296" s="4"/>
      <c r="P296" s="4"/>
      <c r="Q296" s="4"/>
      <c r="R296" s="4"/>
      <c r="S296" s="4"/>
      <c r="T296" s="4"/>
      <c r="U296" s="4"/>
    </row>
    <row r="297" spans="1:21">
      <c r="A297" t="s">
        <v>223</v>
      </c>
      <c r="B297">
        <v>9</v>
      </c>
      <c r="C297" t="str">
        <f t="shared" si="39"/>
        <v>test.GeoEngine_9_</v>
      </c>
      <c r="D297">
        <v>5</v>
      </c>
      <c r="E297" s="4">
        <v>1</v>
      </c>
      <c r="F297" s="4">
        <v>0.98125689084895262</v>
      </c>
      <c r="G297" s="4" t="str">
        <f t="shared" si="40"/>
        <v/>
      </c>
      <c r="H297" s="4" t="str">
        <f t="shared" si="41"/>
        <v/>
      </c>
      <c r="I297" s="4" t="str">
        <f t="shared" si="42"/>
        <v/>
      </c>
      <c r="J297" s="4" t="str">
        <f t="shared" si="43"/>
        <v/>
      </c>
      <c r="K297" s="4">
        <f t="shared" si="44"/>
        <v>1</v>
      </c>
      <c r="L297" s="4" t="str">
        <f t="shared" si="45"/>
        <v/>
      </c>
      <c r="M297" s="4"/>
      <c r="N297" s="4"/>
      <c r="O297" s="4"/>
      <c r="P297" s="4"/>
      <c r="Q297" s="4"/>
      <c r="R297" s="4"/>
      <c r="S297" s="4"/>
      <c r="T297" s="4"/>
      <c r="U297" s="4"/>
    </row>
    <row r="298" spans="1:21">
      <c r="A298" t="s">
        <v>223</v>
      </c>
      <c r="B298">
        <v>10</v>
      </c>
      <c r="C298" t="str">
        <f t="shared" si="39"/>
        <v>test.GeoEngine_10_</v>
      </c>
      <c r="D298">
        <v>1</v>
      </c>
      <c r="E298" s="4">
        <v>3.3333333333333333E-2</v>
      </c>
      <c r="F298" s="4">
        <v>8.4917617237008872E-2</v>
      </c>
      <c r="G298" s="4">
        <f t="shared" si="40"/>
        <v>3.3333333333333333E-2</v>
      </c>
      <c r="H298" s="4" t="str">
        <f t="shared" si="41"/>
        <v/>
      </c>
      <c r="I298" s="4" t="str">
        <f t="shared" si="42"/>
        <v/>
      </c>
      <c r="J298" s="4" t="str">
        <f t="shared" si="43"/>
        <v/>
      </c>
      <c r="K298" s="4" t="str">
        <f t="shared" si="44"/>
        <v/>
      </c>
      <c r="L298" s="4" t="str">
        <f t="shared" si="45"/>
        <v/>
      </c>
      <c r="M298" s="4"/>
      <c r="N298" s="4"/>
      <c r="O298" s="4"/>
      <c r="P298" s="4"/>
      <c r="Q298" s="4"/>
      <c r="R298" s="4"/>
      <c r="S298" s="4"/>
      <c r="T298" s="4"/>
      <c r="U298" s="4"/>
    </row>
    <row r="299" spans="1:21">
      <c r="A299" t="s">
        <v>223</v>
      </c>
      <c r="B299">
        <v>10</v>
      </c>
      <c r="C299" t="str">
        <f t="shared" si="39"/>
        <v>test.GeoEngine_10_</v>
      </c>
      <c r="D299">
        <v>2</v>
      </c>
      <c r="E299" s="4">
        <v>0.2</v>
      </c>
      <c r="F299" s="4">
        <v>0.33333333333333331</v>
      </c>
      <c r="G299" s="4" t="str">
        <f t="shared" si="40"/>
        <v/>
      </c>
      <c r="H299" s="4">
        <f t="shared" si="41"/>
        <v>0.2</v>
      </c>
      <c r="I299" s="4" t="str">
        <f t="shared" si="42"/>
        <v/>
      </c>
      <c r="J299" s="4" t="str">
        <f t="shared" si="43"/>
        <v/>
      </c>
      <c r="K299" s="4" t="str">
        <f t="shared" si="44"/>
        <v/>
      </c>
      <c r="L299" s="4" t="str">
        <f t="shared" si="45"/>
        <v/>
      </c>
      <c r="M299" s="4"/>
      <c r="N299" s="4"/>
      <c r="O299" s="4"/>
      <c r="P299" s="4"/>
      <c r="Q299" s="4"/>
      <c r="R299" s="4"/>
      <c r="S299" s="4"/>
      <c r="T299" s="4"/>
      <c r="U299" s="4"/>
    </row>
    <row r="300" spans="1:21">
      <c r="A300" t="s">
        <v>223</v>
      </c>
      <c r="B300">
        <v>10</v>
      </c>
      <c r="C300" t="str">
        <f t="shared" si="39"/>
        <v>test.GeoEngine_10_</v>
      </c>
      <c r="D300">
        <v>3</v>
      </c>
      <c r="E300" s="4">
        <v>0.4</v>
      </c>
      <c r="F300" s="4">
        <v>0.49176172370088722</v>
      </c>
      <c r="G300" s="4" t="str">
        <f t="shared" si="40"/>
        <v/>
      </c>
      <c r="H300" s="4" t="str">
        <f t="shared" si="41"/>
        <v/>
      </c>
      <c r="I300" s="4">
        <f t="shared" si="42"/>
        <v>0.4</v>
      </c>
      <c r="J300" s="4" t="str">
        <f t="shared" si="43"/>
        <v/>
      </c>
      <c r="K300" s="4" t="str">
        <f t="shared" si="44"/>
        <v/>
      </c>
      <c r="L300" s="4" t="str">
        <f t="shared" si="45"/>
        <v/>
      </c>
      <c r="M300" s="4"/>
      <c r="N300" s="4"/>
      <c r="O300" s="4"/>
      <c r="P300" s="4"/>
      <c r="Q300" s="4"/>
      <c r="R300" s="4"/>
      <c r="S300" s="4"/>
      <c r="T300" s="4"/>
      <c r="U300" s="4"/>
    </row>
    <row r="301" spans="1:21">
      <c r="A301" t="s">
        <v>223</v>
      </c>
      <c r="B301">
        <v>10</v>
      </c>
      <c r="C301" t="str">
        <f t="shared" si="39"/>
        <v>test.GeoEngine_10_</v>
      </c>
      <c r="D301">
        <v>4</v>
      </c>
      <c r="E301" s="4">
        <v>0.43333333333333335</v>
      </c>
      <c r="F301" s="4">
        <v>0.56400506970849174</v>
      </c>
      <c r="G301" s="4" t="str">
        <f t="shared" si="40"/>
        <v/>
      </c>
      <c r="H301" s="4" t="str">
        <f t="shared" si="41"/>
        <v/>
      </c>
      <c r="I301" s="4">
        <f t="shared" si="42"/>
        <v>0.43333333333333335</v>
      </c>
      <c r="J301" s="4" t="str">
        <f t="shared" si="43"/>
        <v/>
      </c>
      <c r="K301" s="4" t="str">
        <f t="shared" si="44"/>
        <v/>
      </c>
      <c r="L301" s="4" t="str">
        <f t="shared" si="45"/>
        <v/>
      </c>
      <c r="M301" s="4"/>
      <c r="N301" s="4"/>
      <c r="O301" s="4"/>
      <c r="P301" s="4"/>
      <c r="Q301" s="4"/>
      <c r="R301" s="4"/>
      <c r="S301" s="4"/>
      <c r="T301" s="4"/>
      <c r="U301" s="4"/>
    </row>
    <row r="302" spans="1:21">
      <c r="A302" t="s">
        <v>223</v>
      </c>
      <c r="B302">
        <v>10</v>
      </c>
      <c r="C302" t="str">
        <f t="shared" si="39"/>
        <v>test.GeoEngine_10_</v>
      </c>
      <c r="D302">
        <v>5</v>
      </c>
      <c r="E302" s="4">
        <v>0.6333333333333333</v>
      </c>
      <c r="F302" s="4">
        <v>0.65906210392902409</v>
      </c>
      <c r="G302" s="4" t="str">
        <f t="shared" si="40"/>
        <v/>
      </c>
      <c r="H302" s="4" t="str">
        <f t="shared" si="41"/>
        <v/>
      </c>
      <c r="I302" s="4" t="str">
        <f t="shared" si="42"/>
        <v/>
      </c>
      <c r="J302" s="4">
        <f t="shared" si="43"/>
        <v>0.6333333333333333</v>
      </c>
      <c r="K302" s="4" t="str">
        <f t="shared" si="44"/>
        <v/>
      </c>
      <c r="L302" s="4" t="str">
        <f t="shared" si="45"/>
        <v/>
      </c>
      <c r="M302" s="4"/>
      <c r="N302" s="4"/>
      <c r="O302" s="4"/>
      <c r="P302" s="4"/>
      <c r="Q302" s="4"/>
      <c r="R302" s="4"/>
      <c r="S302" s="4"/>
      <c r="T302" s="4"/>
      <c r="U302" s="4"/>
    </row>
    <row r="303" spans="1:21">
      <c r="A303" t="s">
        <v>223</v>
      </c>
      <c r="B303">
        <v>10</v>
      </c>
      <c r="C303" t="str">
        <f t="shared" si="39"/>
        <v>test.GeoEngine_10_</v>
      </c>
      <c r="D303">
        <v>6</v>
      </c>
      <c r="E303" s="4">
        <v>0.6333333333333333</v>
      </c>
      <c r="F303" s="4">
        <v>0.71609632446134353</v>
      </c>
      <c r="G303" s="4" t="str">
        <f t="shared" si="40"/>
        <v/>
      </c>
      <c r="H303" s="4" t="str">
        <f t="shared" si="41"/>
        <v/>
      </c>
      <c r="I303" s="4" t="str">
        <f t="shared" si="42"/>
        <v/>
      </c>
      <c r="J303" s="4">
        <f t="shared" si="43"/>
        <v>0.6333333333333333</v>
      </c>
      <c r="K303" s="4" t="str">
        <f t="shared" si="44"/>
        <v/>
      </c>
      <c r="L303" s="4" t="str">
        <f t="shared" si="45"/>
        <v/>
      </c>
      <c r="M303" s="4"/>
      <c r="N303" s="4"/>
      <c r="O303" s="4"/>
      <c r="P303" s="4"/>
      <c r="Q303" s="4"/>
      <c r="R303" s="4"/>
      <c r="S303" s="4"/>
      <c r="T303" s="4"/>
      <c r="U303" s="4"/>
    </row>
    <row r="304" spans="1:21">
      <c r="A304" t="s">
        <v>223</v>
      </c>
      <c r="B304">
        <v>10</v>
      </c>
      <c r="C304" t="str">
        <f t="shared" si="39"/>
        <v>test.GeoEngine_10_</v>
      </c>
      <c r="D304">
        <v>7</v>
      </c>
      <c r="E304" s="4">
        <v>0.76666666666666672</v>
      </c>
      <c r="F304" s="4">
        <v>0.72496831432192654</v>
      </c>
      <c r="G304" s="4" t="str">
        <f t="shared" si="40"/>
        <v/>
      </c>
      <c r="H304" s="4" t="str">
        <f t="shared" si="41"/>
        <v/>
      </c>
      <c r="I304" s="4" t="str">
        <f t="shared" si="42"/>
        <v/>
      </c>
      <c r="J304" s="4">
        <f t="shared" si="43"/>
        <v>0.76666666666666672</v>
      </c>
      <c r="K304" s="4" t="str">
        <f t="shared" si="44"/>
        <v/>
      </c>
      <c r="L304" s="4" t="str">
        <f t="shared" si="45"/>
        <v/>
      </c>
      <c r="M304" s="4"/>
      <c r="N304" s="4"/>
      <c r="O304" s="4"/>
      <c r="P304" s="4"/>
      <c r="Q304" s="4"/>
      <c r="R304" s="4"/>
      <c r="S304" s="4"/>
      <c r="T304" s="4"/>
      <c r="U304" s="4"/>
    </row>
    <row r="305" spans="1:21">
      <c r="A305" t="s">
        <v>223</v>
      </c>
      <c r="B305">
        <v>10</v>
      </c>
      <c r="C305" t="str">
        <f t="shared" si="39"/>
        <v>test.GeoEngine_10_</v>
      </c>
      <c r="D305">
        <v>8</v>
      </c>
      <c r="E305" s="4">
        <v>0.8</v>
      </c>
      <c r="F305" s="4">
        <v>0.7313054499366286</v>
      </c>
      <c r="G305" s="4" t="str">
        <f t="shared" si="40"/>
        <v/>
      </c>
      <c r="H305" s="4" t="str">
        <f t="shared" si="41"/>
        <v/>
      </c>
      <c r="I305" s="4" t="str">
        <f t="shared" si="42"/>
        <v/>
      </c>
      <c r="J305" s="4">
        <f t="shared" si="43"/>
        <v>0.8</v>
      </c>
      <c r="K305" s="4" t="str">
        <f t="shared" si="44"/>
        <v/>
      </c>
      <c r="L305" s="4" t="str">
        <f t="shared" si="45"/>
        <v/>
      </c>
      <c r="M305" s="4"/>
      <c r="N305" s="4"/>
      <c r="O305" s="4"/>
      <c r="P305" s="4"/>
      <c r="Q305" s="4"/>
      <c r="R305" s="4"/>
      <c r="S305" s="4"/>
      <c r="T305" s="4"/>
      <c r="U305" s="4"/>
    </row>
    <row r="306" spans="1:21">
      <c r="A306" t="s">
        <v>223</v>
      </c>
      <c r="B306">
        <v>10</v>
      </c>
      <c r="C306" t="str">
        <f t="shared" si="39"/>
        <v>test.GeoEngine_10_</v>
      </c>
      <c r="D306">
        <v>9</v>
      </c>
      <c r="E306" s="4">
        <v>0.8</v>
      </c>
      <c r="F306" s="4">
        <v>0.78960709759188852</v>
      </c>
      <c r="G306" s="4" t="str">
        <f t="shared" si="40"/>
        <v/>
      </c>
      <c r="H306" s="4" t="str">
        <f t="shared" si="41"/>
        <v/>
      </c>
      <c r="I306" s="4" t="str">
        <f t="shared" si="42"/>
        <v/>
      </c>
      <c r="J306" s="4">
        <f t="shared" si="43"/>
        <v>0.8</v>
      </c>
      <c r="K306" s="4" t="str">
        <f t="shared" si="44"/>
        <v/>
      </c>
      <c r="L306" s="4" t="str">
        <f t="shared" si="45"/>
        <v/>
      </c>
      <c r="M306" s="4"/>
      <c r="N306" s="4"/>
      <c r="O306" s="4"/>
      <c r="P306" s="4"/>
      <c r="Q306" s="4"/>
      <c r="R306" s="4"/>
      <c r="S306" s="4"/>
      <c r="T306" s="4"/>
      <c r="U306" s="4"/>
    </row>
    <row r="307" spans="1:21">
      <c r="A307" t="s">
        <v>223</v>
      </c>
      <c r="B307">
        <v>10</v>
      </c>
      <c r="C307" t="str">
        <f t="shared" si="39"/>
        <v>test.GeoEngine_10_</v>
      </c>
      <c r="D307">
        <v>10</v>
      </c>
      <c r="E307" s="4">
        <v>0.93333333333333335</v>
      </c>
      <c r="F307" s="4">
        <v>0.7997465145754119</v>
      </c>
      <c r="G307" s="4" t="str">
        <f t="shared" si="40"/>
        <v/>
      </c>
      <c r="H307" s="4" t="str">
        <f t="shared" si="41"/>
        <v/>
      </c>
      <c r="I307" s="4" t="str">
        <f t="shared" si="42"/>
        <v/>
      </c>
      <c r="J307" s="4">
        <f t="shared" si="43"/>
        <v>0.93333333333333335</v>
      </c>
      <c r="K307" s="4" t="str">
        <f t="shared" si="44"/>
        <v/>
      </c>
      <c r="L307" s="4" t="str">
        <f t="shared" si="45"/>
        <v/>
      </c>
      <c r="M307" s="4"/>
      <c r="N307" s="4"/>
      <c r="O307" s="4"/>
      <c r="P307" s="4"/>
      <c r="Q307" s="4"/>
      <c r="R307" s="4"/>
      <c r="S307" s="4"/>
      <c r="T307" s="4"/>
      <c r="U307" s="4"/>
    </row>
    <row r="308" spans="1:21">
      <c r="A308" t="s">
        <v>223</v>
      </c>
      <c r="B308">
        <v>10</v>
      </c>
      <c r="C308" t="str">
        <f t="shared" si="39"/>
        <v>test.GeoEngine_10_</v>
      </c>
      <c r="D308">
        <v>11</v>
      </c>
      <c r="E308" s="4">
        <v>0.93333333333333335</v>
      </c>
      <c r="F308" s="4">
        <v>0.80354879594423323</v>
      </c>
      <c r="G308" s="4" t="str">
        <f t="shared" si="40"/>
        <v/>
      </c>
      <c r="H308" s="4" t="str">
        <f t="shared" si="41"/>
        <v/>
      </c>
      <c r="I308" s="4" t="str">
        <f t="shared" si="42"/>
        <v/>
      </c>
      <c r="J308" s="4" t="str">
        <f t="shared" si="43"/>
        <v/>
      </c>
      <c r="K308" s="4">
        <f t="shared" si="44"/>
        <v>0.93333333333333335</v>
      </c>
      <c r="L308" s="4" t="str">
        <f t="shared" si="45"/>
        <v/>
      </c>
      <c r="M308" s="4"/>
      <c r="N308" s="4"/>
      <c r="O308" s="4"/>
      <c r="P308" s="4"/>
      <c r="Q308" s="4"/>
      <c r="R308" s="4"/>
      <c r="S308" s="4"/>
      <c r="T308" s="4"/>
      <c r="U308" s="4"/>
    </row>
    <row r="309" spans="1:21">
      <c r="A309" t="s">
        <v>223</v>
      </c>
      <c r="B309">
        <v>10</v>
      </c>
      <c r="C309" t="str">
        <f t="shared" si="39"/>
        <v>test.GeoEngine_10_</v>
      </c>
      <c r="D309">
        <v>12</v>
      </c>
      <c r="E309" s="4">
        <v>0.96666666666666667</v>
      </c>
      <c r="F309" s="4">
        <v>0.8048162230671736</v>
      </c>
      <c r="G309" s="4" t="str">
        <f t="shared" si="40"/>
        <v/>
      </c>
      <c r="H309" s="4" t="str">
        <f t="shared" si="41"/>
        <v/>
      </c>
      <c r="I309" s="4" t="str">
        <f t="shared" si="42"/>
        <v/>
      </c>
      <c r="J309" s="4" t="str">
        <f t="shared" si="43"/>
        <v/>
      </c>
      <c r="K309" s="4">
        <f t="shared" si="44"/>
        <v>0.96666666666666667</v>
      </c>
      <c r="L309" s="4" t="str">
        <f t="shared" si="45"/>
        <v/>
      </c>
      <c r="M309" s="4"/>
      <c r="N309" s="4"/>
      <c r="O309" s="4"/>
      <c r="P309" s="4"/>
      <c r="Q309" s="4"/>
      <c r="R309" s="4"/>
      <c r="S309" s="4"/>
      <c r="T309" s="4"/>
      <c r="U309" s="4"/>
    </row>
    <row r="310" spans="1:21">
      <c r="A310" t="s">
        <v>223</v>
      </c>
      <c r="B310">
        <v>10</v>
      </c>
      <c r="C310" t="str">
        <f t="shared" si="39"/>
        <v>test.GeoEngine_10_</v>
      </c>
      <c r="D310">
        <v>13</v>
      </c>
      <c r="E310" s="4">
        <v>1</v>
      </c>
      <c r="F310" s="4">
        <v>0.81622306717363746</v>
      </c>
      <c r="G310" s="4" t="str">
        <f t="shared" si="40"/>
        <v/>
      </c>
      <c r="H310" s="4" t="str">
        <f t="shared" si="41"/>
        <v/>
      </c>
      <c r="I310" s="4" t="str">
        <f t="shared" si="42"/>
        <v/>
      </c>
      <c r="J310" s="4" t="str">
        <f t="shared" si="43"/>
        <v/>
      </c>
      <c r="K310" s="4">
        <f t="shared" si="44"/>
        <v>1</v>
      </c>
      <c r="L310" s="4" t="str">
        <f t="shared" si="45"/>
        <v/>
      </c>
      <c r="M310" s="4"/>
      <c r="N310" s="4"/>
      <c r="O310" s="4"/>
      <c r="P310" s="4"/>
      <c r="Q310" s="4"/>
      <c r="R310" s="4"/>
      <c r="S310" s="4"/>
      <c r="T310" s="4"/>
      <c r="U310" s="4"/>
    </row>
    <row r="311" spans="1:21">
      <c r="A311" t="s">
        <v>223</v>
      </c>
      <c r="B311">
        <v>10</v>
      </c>
      <c r="C311" t="str">
        <f t="shared" si="39"/>
        <v>test.GeoEngine_10_</v>
      </c>
      <c r="D311">
        <v>14</v>
      </c>
      <c r="E311" s="4">
        <v>1</v>
      </c>
      <c r="F311" s="4">
        <v>0.82002534854245879</v>
      </c>
      <c r="G311" s="4" t="str">
        <f t="shared" si="40"/>
        <v/>
      </c>
      <c r="H311" s="4" t="str">
        <f t="shared" si="41"/>
        <v/>
      </c>
      <c r="I311" s="4" t="str">
        <f t="shared" si="42"/>
        <v/>
      </c>
      <c r="J311" s="4" t="str">
        <f t="shared" si="43"/>
        <v/>
      </c>
      <c r="K311" s="4">
        <f t="shared" si="44"/>
        <v>1</v>
      </c>
      <c r="L311" s="4" t="str">
        <f t="shared" si="45"/>
        <v/>
      </c>
      <c r="M311" s="4"/>
      <c r="N311" s="4"/>
      <c r="O311" s="4"/>
      <c r="P311" s="4"/>
      <c r="Q311" s="4"/>
      <c r="R311" s="4"/>
      <c r="S311" s="4"/>
      <c r="T311" s="4"/>
      <c r="U311" s="4"/>
    </row>
    <row r="312" spans="1:21">
      <c r="A312" t="s">
        <v>223</v>
      </c>
      <c r="B312">
        <v>10</v>
      </c>
      <c r="C312" t="str">
        <f t="shared" si="39"/>
        <v>test.GeoEngine_10_</v>
      </c>
      <c r="D312">
        <v>15</v>
      </c>
      <c r="E312" s="4">
        <v>1</v>
      </c>
      <c r="F312" s="4">
        <v>0.86311787072243351</v>
      </c>
      <c r="G312" s="4" t="str">
        <f t="shared" si="40"/>
        <v/>
      </c>
      <c r="H312" s="4" t="str">
        <f t="shared" si="41"/>
        <v/>
      </c>
      <c r="I312" s="4" t="str">
        <f t="shared" si="42"/>
        <v/>
      </c>
      <c r="J312" s="4" t="str">
        <f t="shared" si="43"/>
        <v/>
      </c>
      <c r="K312" s="4">
        <f t="shared" si="44"/>
        <v>1</v>
      </c>
      <c r="L312" s="4" t="str">
        <f t="shared" si="45"/>
        <v/>
      </c>
      <c r="M312" s="4"/>
      <c r="N312" s="4"/>
      <c r="O312" s="4"/>
      <c r="P312" s="4"/>
      <c r="Q312" s="4"/>
      <c r="R312" s="4"/>
      <c r="S312" s="4"/>
      <c r="T312" s="4"/>
      <c r="U312" s="4"/>
    </row>
    <row r="313" spans="1:21">
      <c r="A313" t="s">
        <v>223</v>
      </c>
      <c r="B313">
        <v>10</v>
      </c>
      <c r="C313" t="str">
        <f t="shared" si="39"/>
        <v>test.GeoEngine_10_</v>
      </c>
      <c r="D313">
        <v>16</v>
      </c>
      <c r="E313" s="4">
        <v>1</v>
      </c>
      <c r="F313" s="4">
        <v>0.87072243346007605</v>
      </c>
      <c r="G313" s="4" t="str">
        <f t="shared" si="40"/>
        <v/>
      </c>
      <c r="H313" s="4" t="str">
        <f t="shared" si="41"/>
        <v/>
      </c>
      <c r="I313" s="4" t="str">
        <f t="shared" si="42"/>
        <v/>
      </c>
      <c r="J313" s="4" t="str">
        <f t="shared" si="43"/>
        <v/>
      </c>
      <c r="K313" s="4">
        <f t="shared" si="44"/>
        <v>1</v>
      </c>
      <c r="L313" s="4" t="str">
        <f t="shared" si="45"/>
        <v/>
      </c>
      <c r="M313" s="4"/>
      <c r="N313" s="4"/>
      <c r="O313" s="4"/>
      <c r="P313" s="4"/>
      <c r="Q313" s="4"/>
      <c r="R313" s="4"/>
      <c r="S313" s="4"/>
      <c r="T313" s="4"/>
      <c r="U313" s="4"/>
    </row>
    <row r="314" spans="1:21">
      <c r="A314" t="s">
        <v>223</v>
      </c>
      <c r="B314">
        <v>10</v>
      </c>
      <c r="C314" t="str">
        <f t="shared" si="39"/>
        <v>test.GeoEngine_10_</v>
      </c>
      <c r="D314">
        <v>17</v>
      </c>
      <c r="E314" s="4">
        <v>1</v>
      </c>
      <c r="F314" s="4">
        <v>0.87832699619771859</v>
      </c>
      <c r="G314" s="4" t="str">
        <f t="shared" si="40"/>
        <v/>
      </c>
      <c r="H314" s="4" t="str">
        <f t="shared" si="41"/>
        <v/>
      </c>
      <c r="I314" s="4" t="str">
        <f t="shared" si="42"/>
        <v/>
      </c>
      <c r="J314" s="4" t="str">
        <f t="shared" si="43"/>
        <v/>
      </c>
      <c r="K314" s="4">
        <f t="shared" si="44"/>
        <v>1</v>
      </c>
      <c r="L314" s="4" t="str">
        <f t="shared" si="45"/>
        <v/>
      </c>
      <c r="M314" s="4"/>
      <c r="N314" s="4"/>
      <c r="O314" s="4"/>
      <c r="P314" s="4"/>
      <c r="Q314" s="4"/>
      <c r="R314" s="4"/>
      <c r="S314" s="4"/>
      <c r="T314" s="4"/>
      <c r="U314" s="4"/>
    </row>
    <row r="315" spans="1:21">
      <c r="A315" t="s">
        <v>223</v>
      </c>
      <c r="B315">
        <v>10</v>
      </c>
      <c r="C315" t="str">
        <f t="shared" si="39"/>
        <v>test.GeoEngine_10_</v>
      </c>
      <c r="D315">
        <v>18</v>
      </c>
      <c r="E315" s="4">
        <v>1</v>
      </c>
      <c r="F315" s="4">
        <v>0.87959442332065907</v>
      </c>
      <c r="G315" s="4" t="str">
        <f t="shared" si="40"/>
        <v/>
      </c>
      <c r="H315" s="4" t="str">
        <f t="shared" si="41"/>
        <v/>
      </c>
      <c r="I315" s="4" t="str">
        <f t="shared" si="42"/>
        <v/>
      </c>
      <c r="J315" s="4" t="str">
        <f t="shared" si="43"/>
        <v/>
      </c>
      <c r="K315" s="4">
        <f t="shared" si="44"/>
        <v>1</v>
      </c>
      <c r="L315" s="4" t="str">
        <f t="shared" si="45"/>
        <v/>
      </c>
      <c r="M315" s="4"/>
      <c r="N315" s="4"/>
      <c r="O315" s="4"/>
      <c r="P315" s="4"/>
      <c r="Q315" s="4"/>
      <c r="R315" s="4"/>
      <c r="S315" s="4"/>
      <c r="T315" s="4"/>
      <c r="U315" s="4"/>
    </row>
    <row r="316" spans="1:21">
      <c r="A316" t="s">
        <v>223</v>
      </c>
      <c r="B316">
        <v>10</v>
      </c>
      <c r="C316" t="str">
        <f t="shared" si="39"/>
        <v>test.GeoEngine_10_</v>
      </c>
      <c r="D316">
        <v>19</v>
      </c>
      <c r="E316" s="4">
        <v>1</v>
      </c>
      <c r="F316" s="4">
        <v>0.88086185044359955</v>
      </c>
      <c r="G316" s="4" t="str">
        <f t="shared" si="40"/>
        <v/>
      </c>
      <c r="H316" s="4" t="str">
        <f t="shared" si="41"/>
        <v/>
      </c>
      <c r="I316" s="4" t="str">
        <f t="shared" si="42"/>
        <v/>
      </c>
      <c r="J316" s="4" t="str">
        <f t="shared" si="43"/>
        <v/>
      </c>
      <c r="K316" s="4">
        <f t="shared" si="44"/>
        <v>1</v>
      </c>
      <c r="L316" s="4" t="str">
        <f t="shared" si="45"/>
        <v/>
      </c>
      <c r="M316" s="4"/>
      <c r="N316" s="4"/>
      <c r="O316" s="4"/>
      <c r="P316" s="4"/>
      <c r="Q316" s="4"/>
      <c r="R316" s="4"/>
      <c r="S316" s="4"/>
      <c r="T316" s="4"/>
      <c r="U316" s="4"/>
    </row>
    <row r="317" spans="1:21">
      <c r="A317" t="s">
        <v>223</v>
      </c>
      <c r="B317">
        <v>10</v>
      </c>
      <c r="C317" t="str">
        <f t="shared" si="39"/>
        <v>test.GeoEngine_10_</v>
      </c>
      <c r="D317">
        <v>20</v>
      </c>
      <c r="E317" s="4">
        <v>1</v>
      </c>
      <c r="F317" s="4">
        <v>0.88466413181242076</v>
      </c>
      <c r="G317" s="4" t="str">
        <f t="shared" si="40"/>
        <v/>
      </c>
      <c r="H317" s="4" t="str">
        <f t="shared" si="41"/>
        <v/>
      </c>
      <c r="I317" s="4" t="str">
        <f t="shared" si="42"/>
        <v/>
      </c>
      <c r="J317" s="4" t="str">
        <f t="shared" si="43"/>
        <v/>
      </c>
      <c r="K317" s="4">
        <f t="shared" si="44"/>
        <v>1</v>
      </c>
      <c r="L317" s="4" t="str">
        <f t="shared" si="45"/>
        <v/>
      </c>
      <c r="M317" s="4"/>
      <c r="N317" s="4"/>
      <c r="O317" s="4"/>
      <c r="P317" s="4"/>
      <c r="Q317" s="4"/>
      <c r="R317" s="4"/>
      <c r="S317" s="4"/>
      <c r="T317" s="4"/>
      <c r="U317" s="4"/>
    </row>
    <row r="318" spans="1:21">
      <c r="A318" t="s">
        <v>223</v>
      </c>
      <c r="B318">
        <v>10</v>
      </c>
      <c r="C318" t="str">
        <f t="shared" si="39"/>
        <v>test.GeoEngine_10_</v>
      </c>
      <c r="D318">
        <v>21</v>
      </c>
      <c r="E318" s="4">
        <v>1</v>
      </c>
      <c r="F318" s="4">
        <v>0.89607097591888463</v>
      </c>
      <c r="G318" s="4" t="str">
        <f t="shared" si="40"/>
        <v/>
      </c>
      <c r="H318" s="4" t="str">
        <f t="shared" si="41"/>
        <v/>
      </c>
      <c r="I318" s="4" t="str">
        <f t="shared" si="42"/>
        <v/>
      </c>
      <c r="J318" s="4" t="str">
        <f t="shared" si="43"/>
        <v/>
      </c>
      <c r="K318" s="4">
        <f t="shared" si="44"/>
        <v>1</v>
      </c>
      <c r="L318" s="4" t="str">
        <f t="shared" si="45"/>
        <v/>
      </c>
      <c r="M318" s="4"/>
      <c r="N318" s="4"/>
      <c r="O318" s="4"/>
      <c r="P318" s="4"/>
      <c r="Q318" s="4"/>
      <c r="R318" s="4"/>
      <c r="S318" s="4"/>
      <c r="T318" s="4"/>
      <c r="U318" s="4"/>
    </row>
    <row r="319" spans="1:21">
      <c r="A319" t="s">
        <v>223</v>
      </c>
      <c r="B319">
        <v>10</v>
      </c>
      <c r="C319" t="str">
        <f t="shared" si="39"/>
        <v>test.GeoEngine_10_</v>
      </c>
      <c r="D319">
        <v>22</v>
      </c>
      <c r="E319" s="4">
        <v>1</v>
      </c>
      <c r="F319" s="4">
        <v>0.89733840304182511</v>
      </c>
      <c r="G319" s="4" t="str">
        <f t="shared" si="40"/>
        <v/>
      </c>
      <c r="H319" s="4" t="str">
        <f t="shared" si="41"/>
        <v/>
      </c>
      <c r="I319" s="4" t="str">
        <f t="shared" si="42"/>
        <v/>
      </c>
      <c r="J319" s="4" t="str">
        <f t="shared" si="43"/>
        <v/>
      </c>
      <c r="K319" s="4">
        <f t="shared" si="44"/>
        <v>1</v>
      </c>
      <c r="L319" s="4" t="str">
        <f t="shared" si="45"/>
        <v/>
      </c>
      <c r="M319" s="4"/>
      <c r="N319" s="4"/>
      <c r="O319" s="4"/>
      <c r="P319" s="4"/>
      <c r="Q319" s="4"/>
      <c r="R319" s="4"/>
      <c r="S319" s="4"/>
      <c r="T319" s="4"/>
      <c r="U319" s="4"/>
    </row>
    <row r="320" spans="1:21">
      <c r="A320" t="s">
        <v>223</v>
      </c>
      <c r="B320">
        <v>10</v>
      </c>
      <c r="C320" t="str">
        <f t="shared" si="39"/>
        <v>test.GeoEngine_10_</v>
      </c>
      <c r="D320">
        <v>23</v>
      </c>
      <c r="E320" s="4">
        <v>1</v>
      </c>
      <c r="F320" s="4">
        <v>0.90494296577946765</v>
      </c>
      <c r="G320" s="4" t="str">
        <f t="shared" si="40"/>
        <v/>
      </c>
      <c r="H320" s="4" t="str">
        <f t="shared" si="41"/>
        <v/>
      </c>
      <c r="I320" s="4" t="str">
        <f t="shared" si="42"/>
        <v/>
      </c>
      <c r="J320" s="4" t="str">
        <f t="shared" si="43"/>
        <v/>
      </c>
      <c r="K320" s="4">
        <f t="shared" si="44"/>
        <v>1</v>
      </c>
      <c r="L320" s="4" t="str">
        <f t="shared" si="45"/>
        <v/>
      </c>
      <c r="M320" s="4"/>
      <c r="N320" s="4"/>
      <c r="O320" s="4"/>
      <c r="P320" s="4"/>
      <c r="Q320" s="4"/>
      <c r="R320" s="4"/>
      <c r="S320" s="4"/>
      <c r="T320" s="4"/>
      <c r="U320" s="4"/>
    </row>
    <row r="321" spans="1:21">
      <c r="A321" t="s">
        <v>223</v>
      </c>
      <c r="B321">
        <v>10</v>
      </c>
      <c r="C321" t="str">
        <f t="shared" si="39"/>
        <v>test.GeoEngine_10_</v>
      </c>
      <c r="D321">
        <v>24</v>
      </c>
      <c r="E321" s="4">
        <v>1</v>
      </c>
      <c r="F321" s="4">
        <v>0.92395437262357416</v>
      </c>
      <c r="G321" s="4" t="str">
        <f t="shared" si="40"/>
        <v/>
      </c>
      <c r="H321" s="4" t="str">
        <f t="shared" si="41"/>
        <v/>
      </c>
      <c r="I321" s="4" t="str">
        <f t="shared" si="42"/>
        <v/>
      </c>
      <c r="J321" s="4" t="str">
        <f t="shared" si="43"/>
        <v/>
      </c>
      <c r="K321" s="4">
        <f t="shared" si="44"/>
        <v>1</v>
      </c>
      <c r="L321" s="4" t="str">
        <f t="shared" si="45"/>
        <v/>
      </c>
      <c r="M321" s="4"/>
      <c r="N321" s="4"/>
      <c r="O321" s="4"/>
      <c r="P321" s="4"/>
      <c r="Q321" s="4"/>
      <c r="R321" s="4"/>
      <c r="S321" s="4"/>
      <c r="T321" s="4"/>
      <c r="U321" s="4"/>
    </row>
    <row r="322" spans="1:21">
      <c r="A322" t="s">
        <v>223</v>
      </c>
      <c r="B322">
        <v>10</v>
      </c>
      <c r="C322" t="str">
        <f t="shared" si="39"/>
        <v>test.GeoEngine_10_</v>
      </c>
      <c r="D322">
        <v>25</v>
      </c>
      <c r="E322" s="4">
        <v>1</v>
      </c>
      <c r="F322" s="4">
        <v>0.93029150823827633</v>
      </c>
      <c r="G322" s="4" t="str">
        <f t="shared" si="40"/>
        <v/>
      </c>
      <c r="H322" s="4" t="str">
        <f t="shared" si="41"/>
        <v/>
      </c>
      <c r="I322" s="4" t="str">
        <f t="shared" si="42"/>
        <v/>
      </c>
      <c r="J322" s="4" t="str">
        <f t="shared" si="43"/>
        <v/>
      </c>
      <c r="K322" s="4">
        <f t="shared" si="44"/>
        <v>1</v>
      </c>
      <c r="L322" s="4" t="str">
        <f t="shared" si="45"/>
        <v/>
      </c>
      <c r="M322" s="4"/>
      <c r="N322" s="4"/>
      <c r="O322" s="4"/>
      <c r="P322" s="4"/>
      <c r="Q322" s="4"/>
      <c r="R322" s="4"/>
      <c r="S322" s="4"/>
      <c r="T322" s="4"/>
      <c r="U322" s="4"/>
    </row>
    <row r="323" spans="1:21">
      <c r="A323" t="s">
        <v>223</v>
      </c>
      <c r="B323">
        <v>10</v>
      </c>
      <c r="C323" t="str">
        <f t="shared" ref="C323:C386" si="46">CONCATENATE(A323, "_",B323,"_")</f>
        <v>test.GeoEngine_10_</v>
      </c>
      <c r="D323">
        <v>26</v>
      </c>
      <c r="E323" s="4">
        <v>1</v>
      </c>
      <c r="F323" s="4">
        <v>0.93409378960709755</v>
      </c>
      <c r="G323" s="4" t="str">
        <f t="shared" ref="G323:G386" si="47">IF($F323 &lt;= 0.2,$E323,"")</f>
        <v/>
      </c>
      <c r="H323" s="4" t="str">
        <f t="shared" ref="H323:H386" si="48">IF(AND($F323 &gt; 0.2,$F323 &lt;= 0.4),$E323,"")</f>
        <v/>
      </c>
      <c r="I323" s="4" t="str">
        <f t="shared" ref="I323:I386" si="49">IF(AND($F323 &gt; 0.4,$F323 &lt;= 0.6),$E323,"")</f>
        <v/>
      </c>
      <c r="J323" s="4" t="str">
        <f t="shared" ref="J323:J386" si="50">IF(AND($F323 &gt; 0.6,$F323 &lt;= 0.8),$E323,"")</f>
        <v/>
      </c>
      <c r="K323" s="4">
        <f t="shared" ref="K323:K386" si="51">IF(AND($F323 &gt; 0.8, $F323 &lt;=1.1),$E323,"")</f>
        <v>1</v>
      </c>
      <c r="L323" s="4" t="str">
        <f t="shared" ref="L323:L386" si="52">IF(AND($F323 &gt; 1.1),$E323,"")</f>
        <v/>
      </c>
      <c r="M323" s="4"/>
      <c r="N323" s="4"/>
      <c r="O323" s="4"/>
      <c r="P323" s="4"/>
      <c r="Q323" s="4"/>
      <c r="R323" s="4"/>
      <c r="S323" s="4"/>
      <c r="T323" s="4"/>
      <c r="U323" s="4"/>
    </row>
    <row r="324" spans="1:21">
      <c r="A324" t="s">
        <v>223</v>
      </c>
      <c r="B324">
        <v>10</v>
      </c>
      <c r="C324" t="str">
        <f t="shared" si="46"/>
        <v>test.GeoEngine_10_</v>
      </c>
      <c r="D324">
        <v>27</v>
      </c>
      <c r="E324" s="4">
        <v>1</v>
      </c>
      <c r="F324" s="4">
        <v>0.9366286438529785</v>
      </c>
      <c r="G324" s="4" t="str">
        <f t="shared" si="47"/>
        <v/>
      </c>
      <c r="H324" s="4" t="str">
        <f t="shared" si="48"/>
        <v/>
      </c>
      <c r="I324" s="4" t="str">
        <f t="shared" si="49"/>
        <v/>
      </c>
      <c r="J324" s="4" t="str">
        <f t="shared" si="50"/>
        <v/>
      </c>
      <c r="K324" s="4">
        <f t="shared" si="51"/>
        <v>1</v>
      </c>
      <c r="L324" s="4" t="str">
        <f t="shared" si="52"/>
        <v/>
      </c>
      <c r="M324" s="4"/>
      <c r="N324" s="4"/>
      <c r="O324" s="4"/>
      <c r="P324" s="4"/>
      <c r="Q324" s="4"/>
      <c r="R324" s="4"/>
      <c r="S324" s="4"/>
      <c r="T324" s="4"/>
      <c r="U324" s="4"/>
    </row>
    <row r="325" spans="1:21">
      <c r="A325" t="s">
        <v>223</v>
      </c>
      <c r="B325">
        <v>10</v>
      </c>
      <c r="C325" t="str">
        <f t="shared" si="46"/>
        <v>test.GeoEngine_10_</v>
      </c>
      <c r="D325">
        <v>28</v>
      </c>
      <c r="E325" s="4">
        <v>1</v>
      </c>
      <c r="F325" s="4">
        <v>0.93789607097591887</v>
      </c>
      <c r="G325" s="4" t="str">
        <f t="shared" si="47"/>
        <v/>
      </c>
      <c r="H325" s="4" t="str">
        <f t="shared" si="48"/>
        <v/>
      </c>
      <c r="I325" s="4" t="str">
        <f t="shared" si="49"/>
        <v/>
      </c>
      <c r="J325" s="4" t="str">
        <f t="shared" si="50"/>
        <v/>
      </c>
      <c r="K325" s="4">
        <f t="shared" si="51"/>
        <v>1</v>
      </c>
      <c r="L325" s="4" t="str">
        <f t="shared" si="52"/>
        <v/>
      </c>
      <c r="M325" s="4"/>
      <c r="N325" s="4"/>
      <c r="O325" s="4"/>
      <c r="P325" s="4"/>
      <c r="Q325" s="4"/>
      <c r="R325" s="4"/>
      <c r="S325" s="4"/>
      <c r="T325" s="4"/>
      <c r="U325" s="4"/>
    </row>
    <row r="326" spans="1:21">
      <c r="A326" t="s">
        <v>223</v>
      </c>
      <c r="B326">
        <v>10</v>
      </c>
      <c r="C326" t="str">
        <f t="shared" si="46"/>
        <v>test.GeoEngine_10_</v>
      </c>
      <c r="D326">
        <v>29</v>
      </c>
      <c r="E326" s="4">
        <v>1</v>
      </c>
      <c r="F326" s="4">
        <v>0.94676806083650189</v>
      </c>
      <c r="G326" s="4" t="str">
        <f t="shared" si="47"/>
        <v/>
      </c>
      <c r="H326" s="4" t="str">
        <f t="shared" si="48"/>
        <v/>
      </c>
      <c r="I326" s="4" t="str">
        <f t="shared" si="49"/>
        <v/>
      </c>
      <c r="J326" s="4" t="str">
        <f t="shared" si="50"/>
        <v/>
      </c>
      <c r="K326" s="4">
        <f t="shared" si="51"/>
        <v>1</v>
      </c>
      <c r="L326" s="4" t="str">
        <f t="shared" si="52"/>
        <v/>
      </c>
      <c r="M326" s="4"/>
      <c r="N326" s="4"/>
      <c r="O326" s="4"/>
      <c r="P326" s="4"/>
      <c r="Q326" s="4"/>
      <c r="R326" s="4"/>
      <c r="S326" s="4"/>
      <c r="T326" s="4"/>
      <c r="U326" s="4"/>
    </row>
    <row r="327" spans="1:21">
      <c r="A327" t="s">
        <v>223</v>
      </c>
      <c r="B327">
        <v>10</v>
      </c>
      <c r="C327" t="str">
        <f t="shared" si="46"/>
        <v>test.GeoEngine_10_</v>
      </c>
      <c r="D327">
        <v>30</v>
      </c>
      <c r="E327" s="4">
        <v>1</v>
      </c>
      <c r="F327" s="4">
        <v>0.95310519645120406</v>
      </c>
      <c r="G327" s="4" t="str">
        <f t="shared" si="47"/>
        <v/>
      </c>
      <c r="H327" s="4" t="str">
        <f t="shared" si="48"/>
        <v/>
      </c>
      <c r="I327" s="4" t="str">
        <f t="shared" si="49"/>
        <v/>
      </c>
      <c r="J327" s="4" t="str">
        <f t="shared" si="50"/>
        <v/>
      </c>
      <c r="K327" s="4">
        <f t="shared" si="51"/>
        <v>1</v>
      </c>
      <c r="L327" s="4" t="str">
        <f t="shared" si="52"/>
        <v/>
      </c>
      <c r="M327" s="4"/>
      <c r="N327" s="4"/>
      <c r="O327" s="4"/>
      <c r="P327" s="4"/>
      <c r="Q327" s="4"/>
      <c r="R327" s="4"/>
      <c r="S327" s="4"/>
      <c r="T327" s="4"/>
      <c r="U327" s="4"/>
    </row>
    <row r="328" spans="1:21">
      <c r="A328" t="s">
        <v>223</v>
      </c>
      <c r="B328">
        <v>10</v>
      </c>
      <c r="C328" t="str">
        <f t="shared" si="46"/>
        <v>test.GeoEngine_10_</v>
      </c>
      <c r="D328">
        <v>31</v>
      </c>
      <c r="E328" s="4">
        <v>1</v>
      </c>
      <c r="F328" s="4">
        <v>1.0088719898605829</v>
      </c>
      <c r="G328" s="4" t="str">
        <f t="shared" si="47"/>
        <v/>
      </c>
      <c r="H328" s="4" t="str">
        <f t="shared" si="48"/>
        <v/>
      </c>
      <c r="I328" s="4" t="str">
        <f t="shared" si="49"/>
        <v/>
      </c>
      <c r="J328" s="4" t="str">
        <f t="shared" si="50"/>
        <v/>
      </c>
      <c r="K328" s="4">
        <f t="shared" si="51"/>
        <v>1</v>
      </c>
      <c r="L328" s="4" t="str">
        <f t="shared" si="52"/>
        <v/>
      </c>
      <c r="M328" s="4"/>
      <c r="N328" s="4"/>
      <c r="O328" s="4"/>
      <c r="P328" s="4"/>
      <c r="Q328" s="4"/>
      <c r="R328" s="4"/>
      <c r="S328" s="4"/>
      <c r="T328" s="4"/>
      <c r="U328" s="4"/>
    </row>
    <row r="329" spans="1:21">
      <c r="A329" t="s">
        <v>223</v>
      </c>
      <c r="B329">
        <v>10</v>
      </c>
      <c r="C329" t="str">
        <f t="shared" si="46"/>
        <v>test.GeoEngine_10_</v>
      </c>
      <c r="D329">
        <v>32</v>
      </c>
      <c r="E329" s="4">
        <v>1</v>
      </c>
      <c r="F329" s="4">
        <v>1.0164765525982256</v>
      </c>
      <c r="G329" s="4" t="str">
        <f t="shared" si="47"/>
        <v/>
      </c>
      <c r="H329" s="4" t="str">
        <f t="shared" si="48"/>
        <v/>
      </c>
      <c r="I329" s="4" t="str">
        <f t="shared" si="49"/>
        <v/>
      </c>
      <c r="J329" s="4" t="str">
        <f t="shared" si="50"/>
        <v/>
      </c>
      <c r="K329" s="4">
        <f t="shared" si="51"/>
        <v>1</v>
      </c>
      <c r="L329" s="4" t="str">
        <f t="shared" si="52"/>
        <v/>
      </c>
      <c r="M329" s="4"/>
      <c r="N329" s="4"/>
      <c r="O329" s="4"/>
      <c r="P329" s="4"/>
      <c r="Q329" s="4"/>
      <c r="R329" s="4"/>
      <c r="S329" s="4"/>
      <c r="T329" s="4"/>
      <c r="U329" s="4"/>
    </row>
    <row r="330" spans="1:21">
      <c r="A330" t="s">
        <v>224</v>
      </c>
      <c r="B330">
        <v>3</v>
      </c>
      <c r="C330" t="str">
        <f t="shared" si="46"/>
        <v>test.FastBlurFilter_3_</v>
      </c>
      <c r="D330">
        <v>1</v>
      </c>
      <c r="E330" s="4">
        <v>0.93525179856115104</v>
      </c>
      <c r="F330" s="4">
        <v>0.94397082737889915</v>
      </c>
      <c r="G330" s="4" t="str">
        <f t="shared" si="47"/>
        <v/>
      </c>
      <c r="H330" s="4" t="str">
        <f t="shared" si="48"/>
        <v/>
      </c>
      <c r="I330" s="4" t="str">
        <f t="shared" si="49"/>
        <v/>
      </c>
      <c r="J330" s="4" t="str">
        <f t="shared" si="50"/>
        <v/>
      </c>
      <c r="K330" s="4">
        <f t="shared" si="51"/>
        <v>0.93525179856115104</v>
      </c>
      <c r="L330" s="4" t="str">
        <f t="shared" si="52"/>
        <v/>
      </c>
      <c r="M330" s="4"/>
      <c r="N330" s="4"/>
      <c r="O330" s="4"/>
      <c r="P330" s="4"/>
      <c r="Q330" s="4"/>
      <c r="R330" s="4"/>
      <c r="S330" s="4"/>
      <c r="T330" s="4"/>
      <c r="U330" s="4"/>
    </row>
    <row r="331" spans="1:21">
      <c r="A331" t="s">
        <v>224</v>
      </c>
      <c r="B331">
        <v>3</v>
      </c>
      <c r="C331" t="str">
        <f t="shared" si="46"/>
        <v>test.FastBlurFilter_3_</v>
      </c>
      <c r="D331">
        <v>2</v>
      </c>
      <c r="E331" s="4">
        <v>1</v>
      </c>
      <c r="F331" s="4">
        <v>1.0861380771694673</v>
      </c>
      <c r="G331" s="4" t="str">
        <f t="shared" si="47"/>
        <v/>
      </c>
      <c r="H331" s="4" t="str">
        <f t="shared" si="48"/>
        <v/>
      </c>
      <c r="I331" s="4" t="str">
        <f t="shared" si="49"/>
        <v/>
      </c>
      <c r="J331" s="4" t="str">
        <f t="shared" si="50"/>
        <v/>
      </c>
      <c r="K331" s="4">
        <f t="shared" si="51"/>
        <v>1</v>
      </c>
      <c r="L331" s="4" t="str">
        <f t="shared" si="52"/>
        <v/>
      </c>
      <c r="M331" s="4"/>
      <c r="N331" s="4"/>
      <c r="O331" s="4"/>
      <c r="P331" s="4"/>
      <c r="Q331" s="4"/>
      <c r="R331" s="4"/>
      <c r="S331" s="4"/>
      <c r="T331" s="4"/>
      <c r="U331" s="4"/>
    </row>
    <row r="332" spans="1:21">
      <c r="A332" t="s">
        <v>225</v>
      </c>
      <c r="B332">
        <v>2</v>
      </c>
      <c r="C332" t="str">
        <f t="shared" si="46"/>
        <v>test.ImageData_2_</v>
      </c>
      <c r="D332">
        <v>1</v>
      </c>
      <c r="E332" s="4">
        <v>0.16071428571428573</v>
      </c>
      <c r="F332" s="4">
        <v>0.18641509433962264</v>
      </c>
      <c r="G332" s="4">
        <f t="shared" si="47"/>
        <v>0.16071428571428573</v>
      </c>
      <c r="H332" s="4" t="str">
        <f t="shared" si="48"/>
        <v/>
      </c>
      <c r="I332" s="4" t="str">
        <f t="shared" si="49"/>
        <v/>
      </c>
      <c r="J332" s="4" t="str">
        <f t="shared" si="50"/>
        <v/>
      </c>
      <c r="K332" s="4" t="str">
        <f t="shared" si="51"/>
        <v/>
      </c>
      <c r="L332" s="4" t="str">
        <f t="shared" si="52"/>
        <v/>
      </c>
      <c r="M332" s="4"/>
      <c r="N332" s="4"/>
      <c r="O332" s="4"/>
      <c r="P332" s="4"/>
      <c r="Q332" s="4"/>
      <c r="R332" s="4"/>
      <c r="S332" s="4"/>
      <c r="T332" s="4"/>
      <c r="U332" s="4"/>
    </row>
    <row r="333" spans="1:21">
      <c r="A333" t="s">
        <v>225</v>
      </c>
      <c r="B333">
        <v>2</v>
      </c>
      <c r="C333" t="str">
        <f t="shared" si="46"/>
        <v>test.ImageData_2_</v>
      </c>
      <c r="D333">
        <v>2</v>
      </c>
      <c r="E333" s="4">
        <v>0.23214285714285715</v>
      </c>
      <c r="F333" s="4">
        <v>0.18679245283018867</v>
      </c>
      <c r="G333" s="4">
        <f t="shared" si="47"/>
        <v>0.23214285714285715</v>
      </c>
      <c r="H333" s="4" t="str">
        <f t="shared" si="48"/>
        <v/>
      </c>
      <c r="I333" s="4" t="str">
        <f t="shared" si="49"/>
        <v/>
      </c>
      <c r="J333" s="4" t="str">
        <f t="shared" si="50"/>
        <v/>
      </c>
      <c r="K333" s="4" t="str">
        <f t="shared" si="51"/>
        <v/>
      </c>
      <c r="L333" s="4" t="str">
        <f t="shared" si="52"/>
        <v/>
      </c>
      <c r="M333" s="4"/>
      <c r="N333" s="4"/>
      <c r="O333" s="4"/>
      <c r="P333" s="4"/>
      <c r="Q333" s="4"/>
      <c r="R333" s="4"/>
      <c r="S333" s="4"/>
      <c r="T333" s="4"/>
      <c r="U333" s="4"/>
    </row>
    <row r="334" spans="1:21">
      <c r="A334" t="s">
        <v>225</v>
      </c>
      <c r="B334">
        <v>2</v>
      </c>
      <c r="C334" t="str">
        <f t="shared" si="46"/>
        <v>test.ImageData_2_</v>
      </c>
      <c r="D334">
        <v>3</v>
      </c>
      <c r="E334" s="4">
        <v>0.3482142857142857</v>
      </c>
      <c r="F334" s="4">
        <v>0.21509433962264152</v>
      </c>
      <c r="G334" s="4" t="str">
        <f t="shared" si="47"/>
        <v/>
      </c>
      <c r="H334" s="4">
        <f t="shared" si="48"/>
        <v>0.3482142857142857</v>
      </c>
      <c r="I334" s="4" t="str">
        <f t="shared" si="49"/>
        <v/>
      </c>
      <c r="J334" s="4" t="str">
        <f t="shared" si="50"/>
        <v/>
      </c>
      <c r="K334" s="4" t="str">
        <f t="shared" si="51"/>
        <v/>
      </c>
      <c r="L334" s="4" t="str">
        <f t="shared" si="52"/>
        <v/>
      </c>
      <c r="M334" s="4"/>
      <c r="N334" s="4"/>
      <c r="O334" s="4"/>
      <c r="P334" s="4"/>
      <c r="Q334" s="4"/>
      <c r="R334" s="4"/>
      <c r="S334" s="4"/>
      <c r="T334" s="4"/>
      <c r="U334" s="4"/>
    </row>
    <row r="335" spans="1:21">
      <c r="A335" t="s">
        <v>225</v>
      </c>
      <c r="B335">
        <v>2</v>
      </c>
      <c r="C335" t="str">
        <f t="shared" si="46"/>
        <v>test.ImageData_2_</v>
      </c>
      <c r="D335">
        <v>4</v>
      </c>
      <c r="E335" s="4">
        <v>0.44642857142857145</v>
      </c>
      <c r="F335" s="4">
        <v>0.22716981132075473</v>
      </c>
      <c r="G335" s="4" t="str">
        <f t="shared" si="47"/>
        <v/>
      </c>
      <c r="H335" s="4">
        <f t="shared" si="48"/>
        <v>0.44642857142857145</v>
      </c>
      <c r="I335" s="4" t="str">
        <f t="shared" si="49"/>
        <v/>
      </c>
      <c r="J335" s="4" t="str">
        <f t="shared" si="50"/>
        <v/>
      </c>
      <c r="K335" s="4" t="str">
        <f t="shared" si="51"/>
        <v/>
      </c>
      <c r="L335" s="4" t="str">
        <f t="shared" si="52"/>
        <v/>
      </c>
      <c r="M335" s="4"/>
      <c r="N335" s="4"/>
      <c r="O335" s="4"/>
      <c r="P335" s="4"/>
      <c r="Q335" s="4"/>
      <c r="R335" s="4"/>
      <c r="S335" s="4"/>
      <c r="T335" s="4"/>
      <c r="U335" s="4"/>
    </row>
    <row r="336" spans="1:21">
      <c r="A336" t="s">
        <v>225</v>
      </c>
      <c r="B336">
        <v>2</v>
      </c>
      <c r="C336" t="str">
        <f t="shared" si="46"/>
        <v>test.ImageData_2_</v>
      </c>
      <c r="D336">
        <v>5</v>
      </c>
      <c r="E336" s="4">
        <v>0.5535714285714286</v>
      </c>
      <c r="F336" s="4">
        <v>0.25094339622641509</v>
      </c>
      <c r="G336" s="4" t="str">
        <f t="shared" si="47"/>
        <v/>
      </c>
      <c r="H336" s="4">
        <f t="shared" si="48"/>
        <v>0.5535714285714286</v>
      </c>
      <c r="I336" s="4" t="str">
        <f t="shared" si="49"/>
        <v/>
      </c>
      <c r="J336" s="4" t="str">
        <f t="shared" si="50"/>
        <v/>
      </c>
      <c r="K336" s="4" t="str">
        <f t="shared" si="51"/>
        <v/>
      </c>
      <c r="L336" s="4" t="str">
        <f t="shared" si="52"/>
        <v/>
      </c>
      <c r="M336" s="4"/>
      <c r="N336" s="4"/>
      <c r="O336" s="4"/>
      <c r="P336" s="4"/>
      <c r="Q336" s="4"/>
      <c r="R336" s="4"/>
      <c r="S336" s="4"/>
      <c r="T336" s="4"/>
      <c r="U336" s="4"/>
    </row>
    <row r="337" spans="1:21">
      <c r="A337" t="s">
        <v>225</v>
      </c>
      <c r="B337">
        <v>2</v>
      </c>
      <c r="C337" t="str">
        <f t="shared" si="46"/>
        <v>test.ImageData_2_</v>
      </c>
      <c r="D337">
        <v>6</v>
      </c>
      <c r="E337" s="4">
        <v>0.6428571428571429</v>
      </c>
      <c r="F337" s="4">
        <v>0.26528301886792455</v>
      </c>
      <c r="G337" s="4" t="str">
        <f t="shared" si="47"/>
        <v/>
      </c>
      <c r="H337" s="4">
        <f t="shared" si="48"/>
        <v>0.6428571428571429</v>
      </c>
      <c r="I337" s="4" t="str">
        <f t="shared" si="49"/>
        <v/>
      </c>
      <c r="J337" s="4" t="str">
        <f t="shared" si="50"/>
        <v/>
      </c>
      <c r="K337" s="4" t="str">
        <f t="shared" si="51"/>
        <v/>
      </c>
      <c r="L337" s="4" t="str">
        <f t="shared" si="52"/>
        <v/>
      </c>
      <c r="M337" s="4"/>
      <c r="N337" s="4"/>
      <c r="O337" s="4"/>
      <c r="P337" s="4"/>
      <c r="Q337" s="4"/>
      <c r="R337" s="4"/>
      <c r="S337" s="4"/>
      <c r="T337" s="4"/>
      <c r="U337" s="4"/>
    </row>
    <row r="338" spans="1:21">
      <c r="A338" t="s">
        <v>225</v>
      </c>
      <c r="B338">
        <v>2</v>
      </c>
      <c r="C338" t="str">
        <f t="shared" si="46"/>
        <v>test.ImageData_2_</v>
      </c>
      <c r="D338">
        <v>7</v>
      </c>
      <c r="E338" s="4">
        <v>0.6428571428571429</v>
      </c>
      <c r="F338" s="4">
        <v>0.27962264150943394</v>
      </c>
      <c r="G338" s="4" t="str">
        <f t="shared" si="47"/>
        <v/>
      </c>
      <c r="H338" s="4">
        <f t="shared" si="48"/>
        <v>0.6428571428571429</v>
      </c>
      <c r="I338" s="4" t="str">
        <f t="shared" si="49"/>
        <v/>
      </c>
      <c r="J338" s="4" t="str">
        <f t="shared" si="50"/>
        <v/>
      </c>
      <c r="K338" s="4" t="str">
        <f t="shared" si="51"/>
        <v/>
      </c>
      <c r="L338" s="4" t="str">
        <f t="shared" si="52"/>
        <v/>
      </c>
      <c r="M338" s="4"/>
      <c r="N338" s="4"/>
      <c r="O338" s="4"/>
      <c r="P338" s="4"/>
      <c r="Q338" s="4"/>
      <c r="R338" s="4"/>
      <c r="S338" s="4"/>
      <c r="T338" s="4"/>
      <c r="U338" s="4"/>
    </row>
    <row r="339" spans="1:21">
      <c r="A339" t="s">
        <v>225</v>
      </c>
      <c r="B339">
        <v>2</v>
      </c>
      <c r="C339" t="str">
        <f t="shared" si="46"/>
        <v>test.ImageData_2_</v>
      </c>
      <c r="D339">
        <v>8</v>
      </c>
      <c r="E339" s="4">
        <v>0.6428571428571429</v>
      </c>
      <c r="F339" s="4">
        <v>0.29849056603773583</v>
      </c>
      <c r="G339" s="4" t="str">
        <f t="shared" si="47"/>
        <v/>
      </c>
      <c r="H339" s="4">
        <f t="shared" si="48"/>
        <v>0.6428571428571429</v>
      </c>
      <c r="I339" s="4" t="str">
        <f t="shared" si="49"/>
        <v/>
      </c>
      <c r="J339" s="4" t="str">
        <f t="shared" si="50"/>
        <v/>
      </c>
      <c r="K339" s="4" t="str">
        <f t="shared" si="51"/>
        <v/>
      </c>
      <c r="L339" s="4" t="str">
        <f t="shared" si="52"/>
        <v/>
      </c>
      <c r="M339" s="4"/>
      <c r="N339" s="4"/>
      <c r="O339" s="4"/>
      <c r="P339" s="4"/>
      <c r="Q339" s="4"/>
      <c r="R339" s="4"/>
      <c r="S339" s="4"/>
      <c r="T339" s="4"/>
      <c r="U339" s="4"/>
    </row>
    <row r="340" spans="1:21">
      <c r="A340" t="s">
        <v>225</v>
      </c>
      <c r="B340">
        <v>2</v>
      </c>
      <c r="C340" t="str">
        <f t="shared" si="46"/>
        <v>test.ImageData_2_</v>
      </c>
      <c r="D340">
        <v>9</v>
      </c>
      <c r="E340" s="4">
        <v>0.6428571428571429</v>
      </c>
      <c r="F340" s="4">
        <v>0.30150943396226415</v>
      </c>
      <c r="G340" s="4" t="str">
        <f t="shared" si="47"/>
        <v/>
      </c>
      <c r="H340" s="4">
        <f t="shared" si="48"/>
        <v>0.6428571428571429</v>
      </c>
      <c r="I340" s="4" t="str">
        <f t="shared" si="49"/>
        <v/>
      </c>
      <c r="J340" s="4" t="str">
        <f t="shared" si="50"/>
        <v/>
      </c>
      <c r="K340" s="4" t="str">
        <f t="shared" si="51"/>
        <v/>
      </c>
      <c r="L340" s="4" t="str">
        <f t="shared" si="52"/>
        <v/>
      </c>
      <c r="M340" s="4"/>
      <c r="N340" s="4"/>
      <c r="O340" s="4"/>
      <c r="P340" s="4"/>
      <c r="Q340" s="4"/>
      <c r="R340" s="4"/>
      <c r="S340" s="4"/>
      <c r="T340" s="4"/>
      <c r="U340" s="4"/>
    </row>
    <row r="341" spans="1:21">
      <c r="A341" t="s">
        <v>225</v>
      </c>
      <c r="B341">
        <v>2</v>
      </c>
      <c r="C341" t="str">
        <f t="shared" si="46"/>
        <v>test.ImageData_2_</v>
      </c>
      <c r="D341">
        <v>10</v>
      </c>
      <c r="E341" s="4">
        <v>0.7946428571428571</v>
      </c>
      <c r="F341" s="4">
        <v>0.3022641509433962</v>
      </c>
      <c r="G341" s="4" t="str">
        <f t="shared" si="47"/>
        <v/>
      </c>
      <c r="H341" s="4">
        <f t="shared" si="48"/>
        <v>0.7946428571428571</v>
      </c>
      <c r="I341" s="4" t="str">
        <f t="shared" si="49"/>
        <v/>
      </c>
      <c r="J341" s="4" t="str">
        <f t="shared" si="50"/>
        <v/>
      </c>
      <c r="K341" s="4" t="str">
        <f t="shared" si="51"/>
        <v/>
      </c>
      <c r="L341" s="4" t="str">
        <f t="shared" si="52"/>
        <v/>
      </c>
      <c r="M341" s="4"/>
      <c r="N341" s="4"/>
      <c r="O341" s="4"/>
      <c r="P341" s="4"/>
      <c r="Q341" s="4"/>
      <c r="R341" s="4"/>
      <c r="S341" s="4"/>
      <c r="T341" s="4"/>
      <c r="U341" s="4"/>
    </row>
    <row r="342" spans="1:21">
      <c r="A342" t="s">
        <v>225</v>
      </c>
      <c r="B342">
        <v>2</v>
      </c>
      <c r="C342" t="str">
        <f t="shared" si="46"/>
        <v>test.ImageData_2_</v>
      </c>
      <c r="D342">
        <v>11</v>
      </c>
      <c r="E342" s="4">
        <v>0.7946428571428571</v>
      </c>
      <c r="F342" s="4">
        <v>0.33471698113207549</v>
      </c>
      <c r="G342" s="4" t="str">
        <f t="shared" si="47"/>
        <v/>
      </c>
      <c r="H342" s="4">
        <f t="shared" si="48"/>
        <v>0.7946428571428571</v>
      </c>
      <c r="I342" s="4" t="str">
        <f t="shared" si="49"/>
        <v/>
      </c>
      <c r="J342" s="4" t="str">
        <f t="shared" si="50"/>
        <v/>
      </c>
      <c r="K342" s="4" t="str">
        <f t="shared" si="51"/>
        <v/>
      </c>
      <c r="L342" s="4" t="str">
        <f t="shared" si="52"/>
        <v/>
      </c>
      <c r="M342" s="4"/>
      <c r="N342" s="4"/>
      <c r="O342" s="4"/>
      <c r="P342" s="4"/>
      <c r="Q342" s="4"/>
      <c r="R342" s="4"/>
      <c r="S342" s="4"/>
      <c r="T342" s="4"/>
      <c r="U342" s="4"/>
    </row>
    <row r="343" spans="1:21">
      <c r="A343" t="s">
        <v>225</v>
      </c>
      <c r="B343">
        <v>2</v>
      </c>
      <c r="C343" t="str">
        <f t="shared" si="46"/>
        <v>test.ImageData_2_</v>
      </c>
      <c r="D343">
        <v>12</v>
      </c>
      <c r="E343" s="4">
        <v>1</v>
      </c>
      <c r="F343" s="4">
        <v>0.36188679245283017</v>
      </c>
      <c r="G343" s="4" t="str">
        <f t="shared" si="47"/>
        <v/>
      </c>
      <c r="H343" s="4">
        <f t="shared" si="48"/>
        <v>1</v>
      </c>
      <c r="I343" s="4" t="str">
        <f t="shared" si="49"/>
        <v/>
      </c>
      <c r="J343" s="4" t="str">
        <f t="shared" si="50"/>
        <v/>
      </c>
      <c r="K343" s="4" t="str">
        <f t="shared" si="51"/>
        <v/>
      </c>
      <c r="L343" s="4" t="str">
        <f t="shared" si="52"/>
        <v/>
      </c>
      <c r="M343" s="4"/>
      <c r="N343" s="4"/>
      <c r="O343" s="4"/>
      <c r="P343" s="4"/>
      <c r="Q343" s="4"/>
      <c r="R343" s="4"/>
      <c r="S343" s="4"/>
      <c r="T343" s="4"/>
      <c r="U343" s="4"/>
    </row>
    <row r="344" spans="1:21">
      <c r="A344" t="s">
        <v>225</v>
      </c>
      <c r="B344">
        <v>2</v>
      </c>
      <c r="C344" t="str">
        <f t="shared" si="46"/>
        <v>test.ImageData_2_</v>
      </c>
      <c r="D344">
        <v>13</v>
      </c>
      <c r="E344" s="4">
        <v>1</v>
      </c>
      <c r="F344" s="4">
        <v>0.39433962264150946</v>
      </c>
      <c r="G344" s="4" t="str">
        <f t="shared" si="47"/>
        <v/>
      </c>
      <c r="H344" s="4">
        <f t="shared" si="48"/>
        <v>1</v>
      </c>
      <c r="I344" s="4" t="str">
        <f t="shared" si="49"/>
        <v/>
      </c>
      <c r="J344" s="4" t="str">
        <f t="shared" si="50"/>
        <v/>
      </c>
      <c r="K344" s="4" t="str">
        <f t="shared" si="51"/>
        <v/>
      </c>
      <c r="L344" s="4" t="str">
        <f t="shared" si="52"/>
        <v/>
      </c>
      <c r="M344" s="4"/>
      <c r="N344" s="4"/>
      <c r="O344" s="4"/>
      <c r="P344" s="4"/>
      <c r="Q344" s="4"/>
      <c r="R344" s="4"/>
      <c r="S344" s="4"/>
      <c r="T344" s="4"/>
      <c r="U344" s="4"/>
    </row>
    <row r="345" spans="1:21">
      <c r="A345" t="s">
        <v>225</v>
      </c>
      <c r="B345">
        <v>2</v>
      </c>
      <c r="C345" t="str">
        <f t="shared" si="46"/>
        <v>test.ImageData_2_</v>
      </c>
      <c r="D345">
        <v>14</v>
      </c>
      <c r="E345" s="4">
        <v>1</v>
      </c>
      <c r="F345" s="4">
        <v>0.4467924528301887</v>
      </c>
      <c r="G345" s="4" t="str">
        <f t="shared" si="47"/>
        <v/>
      </c>
      <c r="H345" s="4" t="str">
        <f t="shared" si="48"/>
        <v/>
      </c>
      <c r="I345" s="4">
        <f t="shared" si="49"/>
        <v>1</v>
      </c>
      <c r="J345" s="4" t="str">
        <f t="shared" si="50"/>
        <v/>
      </c>
      <c r="K345" s="4" t="str">
        <f t="shared" si="51"/>
        <v/>
      </c>
      <c r="L345" s="4" t="str">
        <f t="shared" si="52"/>
        <v/>
      </c>
      <c r="M345" s="4"/>
      <c r="N345" s="4"/>
      <c r="O345" s="4"/>
      <c r="P345" s="4"/>
      <c r="Q345" s="4"/>
      <c r="R345" s="4"/>
      <c r="S345" s="4"/>
      <c r="T345" s="4"/>
      <c r="U345" s="4"/>
    </row>
    <row r="346" spans="1:21">
      <c r="A346" t="s">
        <v>225</v>
      </c>
      <c r="B346">
        <v>3</v>
      </c>
      <c r="C346" t="str">
        <f t="shared" si="46"/>
        <v>test.ImageData_3_</v>
      </c>
      <c r="D346">
        <v>1</v>
      </c>
      <c r="E346" s="4">
        <v>0.10857142857142857</v>
      </c>
      <c r="F346" s="4">
        <v>7.638392218566728E-2</v>
      </c>
      <c r="G346" s="4">
        <f t="shared" si="47"/>
        <v>0.10857142857142857</v>
      </c>
      <c r="H346" s="4" t="str">
        <f t="shared" si="48"/>
        <v/>
      </c>
      <c r="I346" s="4" t="str">
        <f t="shared" si="49"/>
        <v/>
      </c>
      <c r="J346" s="4" t="str">
        <f t="shared" si="50"/>
        <v/>
      </c>
      <c r="K346" s="4" t="str">
        <f t="shared" si="51"/>
        <v/>
      </c>
      <c r="L346" s="4" t="str">
        <f t="shared" si="52"/>
        <v/>
      </c>
      <c r="M346" s="4"/>
      <c r="N346" s="4"/>
      <c r="O346" s="4"/>
      <c r="P346" s="4"/>
      <c r="Q346" s="4"/>
      <c r="R346" s="4"/>
      <c r="S346" s="4"/>
      <c r="T346" s="4"/>
      <c r="U346" s="4"/>
    </row>
    <row r="347" spans="1:21">
      <c r="A347" t="s">
        <v>225</v>
      </c>
      <c r="B347">
        <v>3</v>
      </c>
      <c r="C347" t="str">
        <f t="shared" si="46"/>
        <v>test.ImageData_3_</v>
      </c>
      <c r="D347">
        <v>2</v>
      </c>
      <c r="E347" s="4">
        <v>0.34285714285714286</v>
      </c>
      <c r="F347" s="4">
        <v>0.24631669289085967</v>
      </c>
      <c r="G347" s="4" t="str">
        <f t="shared" si="47"/>
        <v/>
      </c>
      <c r="H347" s="4">
        <f t="shared" si="48"/>
        <v>0.34285714285714286</v>
      </c>
      <c r="I347" s="4" t="str">
        <f t="shared" si="49"/>
        <v/>
      </c>
      <c r="J347" s="4" t="str">
        <f t="shared" si="50"/>
        <v/>
      </c>
      <c r="K347" s="4" t="str">
        <f t="shared" si="51"/>
        <v/>
      </c>
      <c r="L347" s="4" t="str">
        <f t="shared" si="52"/>
        <v/>
      </c>
      <c r="M347" s="4"/>
      <c r="N347" s="4"/>
      <c r="O347" s="4"/>
      <c r="P347" s="4"/>
      <c r="Q347" s="4"/>
      <c r="R347" s="4"/>
      <c r="S347" s="4"/>
      <c r="T347" s="4"/>
      <c r="U347" s="4"/>
    </row>
    <row r="348" spans="1:21">
      <c r="A348" t="s">
        <v>225</v>
      </c>
      <c r="B348">
        <v>3</v>
      </c>
      <c r="C348" t="str">
        <f t="shared" si="46"/>
        <v>test.ImageData_3_</v>
      </c>
      <c r="D348">
        <v>3</v>
      </c>
      <c r="E348" s="4">
        <v>0.54285714285714282</v>
      </c>
      <c r="F348" s="4">
        <v>0.24645973394364182</v>
      </c>
      <c r="G348" s="4" t="str">
        <f t="shared" si="47"/>
        <v/>
      </c>
      <c r="H348" s="4">
        <f t="shared" si="48"/>
        <v>0.54285714285714282</v>
      </c>
      <c r="I348" s="4" t="str">
        <f t="shared" si="49"/>
        <v/>
      </c>
      <c r="J348" s="4" t="str">
        <f t="shared" si="50"/>
        <v/>
      </c>
      <c r="K348" s="4" t="str">
        <f t="shared" si="51"/>
        <v/>
      </c>
      <c r="L348" s="4" t="str">
        <f t="shared" si="52"/>
        <v/>
      </c>
      <c r="M348" s="4"/>
      <c r="N348" s="4"/>
      <c r="O348" s="4"/>
      <c r="P348" s="4"/>
      <c r="Q348" s="4"/>
      <c r="R348" s="4"/>
      <c r="S348" s="4"/>
      <c r="T348" s="4"/>
      <c r="U348" s="4"/>
    </row>
    <row r="349" spans="1:21">
      <c r="A349" t="s">
        <v>225</v>
      </c>
      <c r="B349">
        <v>3</v>
      </c>
      <c r="C349" t="str">
        <f t="shared" si="46"/>
        <v>test.ImageData_3_</v>
      </c>
      <c r="D349">
        <v>4</v>
      </c>
      <c r="E349" s="4">
        <v>0.56000000000000005</v>
      </c>
      <c r="F349" s="4">
        <v>0.30811042769274782</v>
      </c>
      <c r="G349" s="4" t="str">
        <f t="shared" si="47"/>
        <v/>
      </c>
      <c r="H349" s="4">
        <f t="shared" si="48"/>
        <v>0.56000000000000005</v>
      </c>
      <c r="I349" s="4" t="str">
        <f t="shared" si="49"/>
        <v/>
      </c>
      <c r="J349" s="4" t="str">
        <f t="shared" si="50"/>
        <v/>
      </c>
      <c r="K349" s="4" t="str">
        <f t="shared" si="51"/>
        <v/>
      </c>
      <c r="L349" s="4" t="str">
        <f t="shared" si="52"/>
        <v/>
      </c>
      <c r="M349" s="4"/>
      <c r="N349" s="4"/>
      <c r="O349" s="4"/>
      <c r="P349" s="4"/>
      <c r="Q349" s="4"/>
      <c r="R349" s="4"/>
      <c r="S349" s="4"/>
      <c r="T349" s="4"/>
      <c r="U349" s="4"/>
    </row>
    <row r="350" spans="1:21">
      <c r="A350" t="s">
        <v>225</v>
      </c>
      <c r="B350">
        <v>3</v>
      </c>
      <c r="C350" t="str">
        <f t="shared" si="46"/>
        <v>test.ImageData_3_</v>
      </c>
      <c r="D350">
        <v>5</v>
      </c>
      <c r="E350" s="4">
        <v>0.88571428571428568</v>
      </c>
      <c r="F350" s="4">
        <v>0.35488485195251035</v>
      </c>
      <c r="G350" s="4" t="str">
        <f t="shared" si="47"/>
        <v/>
      </c>
      <c r="H350" s="4">
        <f t="shared" si="48"/>
        <v>0.88571428571428568</v>
      </c>
      <c r="I350" s="4" t="str">
        <f t="shared" si="49"/>
        <v/>
      </c>
      <c r="J350" s="4" t="str">
        <f t="shared" si="50"/>
        <v/>
      </c>
      <c r="K350" s="4" t="str">
        <f t="shared" si="51"/>
        <v/>
      </c>
      <c r="L350" s="4" t="str">
        <f t="shared" si="52"/>
        <v/>
      </c>
      <c r="M350" s="4"/>
      <c r="N350" s="4"/>
      <c r="O350" s="4"/>
      <c r="P350" s="4"/>
      <c r="Q350" s="4"/>
      <c r="R350" s="4"/>
      <c r="S350" s="4"/>
      <c r="T350" s="4"/>
      <c r="U350" s="4"/>
    </row>
    <row r="351" spans="1:21">
      <c r="A351" t="s">
        <v>225</v>
      </c>
      <c r="B351">
        <v>3</v>
      </c>
      <c r="C351" t="str">
        <f t="shared" si="46"/>
        <v>test.ImageData_3_</v>
      </c>
      <c r="D351">
        <v>6</v>
      </c>
      <c r="E351" s="4">
        <v>1</v>
      </c>
      <c r="F351" s="4">
        <v>0.57874409955657269</v>
      </c>
      <c r="G351" s="4" t="str">
        <f t="shared" si="47"/>
        <v/>
      </c>
      <c r="H351" s="4" t="str">
        <f t="shared" si="48"/>
        <v/>
      </c>
      <c r="I351" s="4">
        <f t="shared" si="49"/>
        <v>1</v>
      </c>
      <c r="J351" s="4" t="str">
        <f t="shared" si="50"/>
        <v/>
      </c>
      <c r="K351" s="4" t="str">
        <f t="shared" si="51"/>
        <v/>
      </c>
      <c r="L351" s="4" t="str">
        <f t="shared" si="52"/>
        <v/>
      </c>
      <c r="M351" s="4"/>
      <c r="N351" s="4"/>
      <c r="O351" s="4"/>
      <c r="P351" s="4"/>
      <c r="Q351" s="4"/>
      <c r="R351" s="4"/>
      <c r="S351" s="4"/>
      <c r="T351" s="4"/>
      <c r="U351" s="4"/>
    </row>
    <row r="352" spans="1:21">
      <c r="A352" t="s">
        <v>225</v>
      </c>
      <c r="B352">
        <v>4</v>
      </c>
      <c r="C352" t="str">
        <f t="shared" si="46"/>
        <v>test.ImageData_4_</v>
      </c>
      <c r="D352">
        <v>1</v>
      </c>
      <c r="E352" s="4">
        <v>6.985294117647059E-2</v>
      </c>
      <c r="F352" s="4">
        <v>3.1279515528640479E-2</v>
      </c>
      <c r="G352" s="4">
        <f t="shared" si="47"/>
        <v>6.985294117647059E-2</v>
      </c>
      <c r="H352" s="4" t="str">
        <f t="shared" si="48"/>
        <v/>
      </c>
      <c r="I352" s="4" t="str">
        <f t="shared" si="49"/>
        <v/>
      </c>
      <c r="J352" s="4" t="str">
        <f t="shared" si="50"/>
        <v/>
      </c>
      <c r="K352" s="4" t="str">
        <f t="shared" si="51"/>
        <v/>
      </c>
      <c r="L352" s="4" t="str">
        <f t="shared" si="52"/>
        <v/>
      </c>
      <c r="M352" s="4"/>
      <c r="N352" s="4"/>
      <c r="O352" s="4"/>
      <c r="P352" s="4"/>
      <c r="Q352" s="4"/>
      <c r="R352" s="4"/>
      <c r="S352" s="4"/>
      <c r="T352" s="4"/>
      <c r="U352" s="4"/>
    </row>
    <row r="353" spans="1:21">
      <c r="A353" t="s">
        <v>225</v>
      </c>
      <c r="B353">
        <v>4</v>
      </c>
      <c r="C353" t="str">
        <f t="shared" si="46"/>
        <v>test.ImageData_4_</v>
      </c>
      <c r="D353">
        <v>2</v>
      </c>
      <c r="E353" s="4">
        <v>0.11397058823529412</v>
      </c>
      <c r="F353" s="4">
        <v>9.2505139174398579E-2</v>
      </c>
      <c r="G353" s="4">
        <f t="shared" si="47"/>
        <v>0.11397058823529412</v>
      </c>
      <c r="H353" s="4" t="str">
        <f t="shared" si="48"/>
        <v/>
      </c>
      <c r="I353" s="4" t="str">
        <f t="shared" si="49"/>
        <v/>
      </c>
      <c r="J353" s="4" t="str">
        <f t="shared" si="50"/>
        <v/>
      </c>
      <c r="K353" s="4" t="str">
        <f t="shared" si="51"/>
        <v/>
      </c>
      <c r="L353" s="4" t="str">
        <f t="shared" si="52"/>
        <v/>
      </c>
      <c r="M353" s="4"/>
      <c r="N353" s="4"/>
      <c r="O353" s="4"/>
      <c r="P353" s="4"/>
      <c r="Q353" s="4"/>
      <c r="R353" s="4"/>
      <c r="S353" s="4"/>
      <c r="T353" s="4"/>
      <c r="U353" s="4"/>
    </row>
    <row r="354" spans="1:21">
      <c r="A354" t="s">
        <v>225</v>
      </c>
      <c r="B354">
        <v>4</v>
      </c>
      <c r="C354" t="str">
        <f t="shared" si="46"/>
        <v>test.ImageData_4_</v>
      </c>
      <c r="D354">
        <v>3</v>
      </c>
      <c r="E354" s="4">
        <v>0.24264705882352941</v>
      </c>
      <c r="F354" s="4">
        <v>9.9227734874159673E-2</v>
      </c>
      <c r="G354" s="4">
        <f t="shared" si="47"/>
        <v>0.24264705882352941</v>
      </c>
      <c r="H354" s="4" t="str">
        <f t="shared" si="48"/>
        <v/>
      </c>
      <c r="I354" s="4" t="str">
        <f t="shared" si="49"/>
        <v/>
      </c>
      <c r="J354" s="4" t="str">
        <f t="shared" si="50"/>
        <v/>
      </c>
      <c r="K354" s="4" t="str">
        <f t="shared" si="51"/>
        <v/>
      </c>
      <c r="L354" s="4" t="str">
        <f t="shared" si="52"/>
        <v/>
      </c>
      <c r="M354" s="4"/>
      <c r="N354" s="4"/>
      <c r="O354" s="4"/>
      <c r="P354" s="4"/>
      <c r="Q354" s="4"/>
      <c r="R354" s="4"/>
      <c r="S354" s="4"/>
      <c r="T354" s="4"/>
      <c r="U354" s="4"/>
    </row>
    <row r="355" spans="1:21">
      <c r="A355" t="s">
        <v>225</v>
      </c>
      <c r="B355">
        <v>4</v>
      </c>
      <c r="C355" t="str">
        <f t="shared" si="46"/>
        <v>test.ImageData_4_</v>
      </c>
      <c r="D355">
        <v>4</v>
      </c>
      <c r="E355" s="4">
        <v>0.37132352941176472</v>
      </c>
      <c r="F355" s="4">
        <v>0.1354519695538641</v>
      </c>
      <c r="G355" s="4">
        <f t="shared" si="47"/>
        <v>0.37132352941176472</v>
      </c>
      <c r="H355" s="4" t="str">
        <f t="shared" si="48"/>
        <v/>
      </c>
      <c r="I355" s="4" t="str">
        <f t="shared" si="49"/>
        <v/>
      </c>
      <c r="J355" s="4" t="str">
        <f t="shared" si="50"/>
        <v/>
      </c>
      <c r="K355" s="4" t="str">
        <f t="shared" si="51"/>
        <v/>
      </c>
      <c r="L355" s="4" t="str">
        <f t="shared" si="52"/>
        <v/>
      </c>
      <c r="M355" s="4"/>
      <c r="N355" s="4"/>
      <c r="O355" s="4"/>
      <c r="P355" s="4"/>
      <c r="Q355" s="4"/>
      <c r="R355" s="4"/>
      <c r="S355" s="4"/>
      <c r="T355" s="4"/>
      <c r="U355" s="4"/>
    </row>
    <row r="356" spans="1:21">
      <c r="A356" t="s">
        <v>225</v>
      </c>
      <c r="B356">
        <v>4</v>
      </c>
      <c r="C356" t="str">
        <f t="shared" si="46"/>
        <v>test.ImageData_4_</v>
      </c>
      <c r="D356">
        <v>5</v>
      </c>
      <c r="E356" s="4">
        <v>0.56617647058823528</v>
      </c>
      <c r="F356" s="4">
        <v>0.17762097894327464</v>
      </c>
      <c r="G356" s="4">
        <f t="shared" si="47"/>
        <v>0.56617647058823528</v>
      </c>
      <c r="H356" s="4" t="str">
        <f t="shared" si="48"/>
        <v/>
      </c>
      <c r="I356" s="4" t="str">
        <f t="shared" si="49"/>
        <v/>
      </c>
      <c r="J356" s="4" t="str">
        <f t="shared" si="50"/>
        <v/>
      </c>
      <c r="K356" s="4" t="str">
        <f t="shared" si="51"/>
        <v/>
      </c>
      <c r="L356" s="4" t="str">
        <f t="shared" si="52"/>
        <v/>
      </c>
      <c r="M356" s="4"/>
      <c r="N356" s="4"/>
      <c r="O356" s="4"/>
      <c r="P356" s="4"/>
      <c r="Q356" s="4"/>
      <c r="R356" s="4"/>
      <c r="S356" s="4"/>
      <c r="T356" s="4"/>
      <c r="U356" s="4"/>
    </row>
    <row r="357" spans="1:21">
      <c r="A357" t="s">
        <v>225</v>
      </c>
      <c r="B357">
        <v>4</v>
      </c>
      <c r="C357" t="str">
        <f t="shared" si="46"/>
        <v>test.ImageData_4_</v>
      </c>
      <c r="D357">
        <v>6</v>
      </c>
      <c r="E357" s="4">
        <v>0.64338235294117652</v>
      </c>
      <c r="F357" s="4">
        <v>0.18689927218178787</v>
      </c>
      <c r="G357" s="4">
        <f t="shared" si="47"/>
        <v>0.64338235294117652</v>
      </c>
      <c r="H357" s="4" t="str">
        <f t="shared" si="48"/>
        <v/>
      </c>
      <c r="I357" s="4" t="str">
        <f t="shared" si="49"/>
        <v/>
      </c>
      <c r="J357" s="4" t="str">
        <f t="shared" si="50"/>
        <v/>
      </c>
      <c r="K357" s="4" t="str">
        <f t="shared" si="51"/>
        <v/>
      </c>
      <c r="L357" s="4" t="str">
        <f t="shared" si="52"/>
        <v/>
      </c>
      <c r="M357" s="4"/>
      <c r="N357" s="4"/>
      <c r="O357" s="4"/>
      <c r="P357" s="4"/>
      <c r="Q357" s="4"/>
      <c r="R357" s="4"/>
      <c r="S357" s="4"/>
      <c r="T357" s="4"/>
      <c r="U357" s="4"/>
    </row>
    <row r="358" spans="1:21">
      <c r="A358" t="s">
        <v>225</v>
      </c>
      <c r="B358">
        <v>4</v>
      </c>
      <c r="C358" t="str">
        <f t="shared" si="46"/>
        <v>test.ImageData_4_</v>
      </c>
      <c r="D358">
        <v>7</v>
      </c>
      <c r="E358" s="4">
        <v>0.74264705882352944</v>
      </c>
      <c r="F358" s="4">
        <v>0.2191788432690705</v>
      </c>
      <c r="G358" s="4" t="str">
        <f t="shared" si="47"/>
        <v/>
      </c>
      <c r="H358" s="4">
        <f t="shared" si="48"/>
        <v>0.74264705882352944</v>
      </c>
      <c r="I358" s="4" t="str">
        <f t="shared" si="49"/>
        <v/>
      </c>
      <c r="J358" s="4" t="str">
        <f t="shared" si="50"/>
        <v/>
      </c>
      <c r="K358" s="4" t="str">
        <f t="shared" si="51"/>
        <v/>
      </c>
      <c r="L358" s="4" t="str">
        <f t="shared" si="52"/>
        <v/>
      </c>
      <c r="M358" s="4"/>
      <c r="N358" s="4"/>
      <c r="O358" s="4"/>
      <c r="P358" s="4"/>
      <c r="Q358" s="4"/>
      <c r="R358" s="4"/>
      <c r="S358" s="4"/>
      <c r="T358" s="4"/>
      <c r="U358" s="4"/>
    </row>
    <row r="359" spans="1:21">
      <c r="A359" t="s">
        <v>225</v>
      </c>
      <c r="B359">
        <v>4</v>
      </c>
      <c r="C359" t="str">
        <f t="shared" si="46"/>
        <v>test.ImageData_4_</v>
      </c>
      <c r="D359">
        <v>8</v>
      </c>
      <c r="E359" s="4">
        <v>0.86029411764705888</v>
      </c>
      <c r="F359" s="4">
        <v>0.23512417356519807</v>
      </c>
      <c r="G359" s="4" t="str">
        <f t="shared" si="47"/>
        <v/>
      </c>
      <c r="H359" s="4">
        <f t="shared" si="48"/>
        <v>0.86029411764705888</v>
      </c>
      <c r="I359" s="4" t="str">
        <f t="shared" si="49"/>
        <v/>
      </c>
      <c r="J359" s="4" t="str">
        <f t="shared" si="50"/>
        <v/>
      </c>
      <c r="K359" s="4" t="str">
        <f t="shared" si="51"/>
        <v/>
      </c>
      <c r="L359" s="4" t="str">
        <f t="shared" si="52"/>
        <v/>
      </c>
      <c r="M359" s="4"/>
      <c r="N359" s="4"/>
      <c r="O359" s="4"/>
      <c r="P359" s="4"/>
      <c r="Q359" s="4"/>
      <c r="R359" s="4"/>
      <c r="S359" s="4"/>
      <c r="T359" s="4"/>
      <c r="U359" s="4"/>
    </row>
    <row r="360" spans="1:21">
      <c r="A360" t="s">
        <v>225</v>
      </c>
      <c r="B360">
        <v>4</v>
      </c>
      <c r="C360" t="str">
        <f t="shared" si="46"/>
        <v>test.ImageData_4_</v>
      </c>
      <c r="D360">
        <v>9</v>
      </c>
      <c r="E360" s="4">
        <v>1</v>
      </c>
      <c r="F360" s="4">
        <v>0.258236568698261</v>
      </c>
      <c r="G360" s="4" t="str">
        <f t="shared" si="47"/>
        <v/>
      </c>
      <c r="H360" s="4">
        <f t="shared" si="48"/>
        <v>1</v>
      </c>
      <c r="I360" s="4" t="str">
        <f t="shared" si="49"/>
        <v/>
      </c>
      <c r="J360" s="4" t="str">
        <f t="shared" si="50"/>
        <v/>
      </c>
      <c r="K360" s="4" t="str">
        <f t="shared" si="51"/>
        <v/>
      </c>
      <c r="L360" s="4" t="str">
        <f t="shared" si="52"/>
        <v/>
      </c>
      <c r="M360" s="4"/>
      <c r="N360" s="4"/>
      <c r="O360" s="4"/>
      <c r="P360" s="4"/>
      <c r="Q360" s="4"/>
      <c r="R360" s="4"/>
      <c r="S360" s="4"/>
      <c r="T360" s="4"/>
      <c r="U360" s="4"/>
    </row>
    <row r="361" spans="1:21">
      <c r="A361" t="s">
        <v>225</v>
      </c>
      <c r="B361">
        <v>5</v>
      </c>
      <c r="C361" t="str">
        <f t="shared" si="46"/>
        <v>test.ImageData_5_</v>
      </c>
      <c r="D361">
        <v>1</v>
      </c>
      <c r="E361" s="4">
        <v>0.36363636363636365</v>
      </c>
      <c r="F361" s="4">
        <v>0.53935860058309038</v>
      </c>
      <c r="G361" s="4" t="str">
        <f t="shared" si="47"/>
        <v/>
      </c>
      <c r="H361" s="4" t="str">
        <f t="shared" si="48"/>
        <v/>
      </c>
      <c r="I361" s="4">
        <f t="shared" si="49"/>
        <v>0.36363636363636365</v>
      </c>
      <c r="J361" s="4" t="str">
        <f t="shared" si="50"/>
        <v/>
      </c>
      <c r="K361" s="4" t="str">
        <f t="shared" si="51"/>
        <v/>
      </c>
      <c r="L361" s="4" t="str">
        <f t="shared" si="52"/>
        <v/>
      </c>
      <c r="M361" s="4"/>
      <c r="N361" s="4"/>
      <c r="O361" s="4"/>
      <c r="P361" s="4"/>
      <c r="Q361" s="4"/>
      <c r="R361" s="4"/>
      <c r="S361" s="4"/>
      <c r="T361" s="4"/>
      <c r="U361" s="4"/>
    </row>
    <row r="362" spans="1:21">
      <c r="A362" t="s">
        <v>225</v>
      </c>
      <c r="B362">
        <v>5</v>
      </c>
      <c r="C362" t="str">
        <f t="shared" si="46"/>
        <v>test.ImageData_5_</v>
      </c>
      <c r="D362">
        <v>2</v>
      </c>
      <c r="E362" s="4">
        <v>0.54545454545454541</v>
      </c>
      <c r="F362" s="4">
        <v>0.75364431486880468</v>
      </c>
      <c r="G362" s="4" t="str">
        <f t="shared" si="47"/>
        <v/>
      </c>
      <c r="H362" s="4" t="str">
        <f t="shared" si="48"/>
        <v/>
      </c>
      <c r="I362" s="4" t="str">
        <f t="shared" si="49"/>
        <v/>
      </c>
      <c r="J362" s="4">
        <f t="shared" si="50"/>
        <v>0.54545454545454541</v>
      </c>
      <c r="K362" s="4" t="str">
        <f t="shared" si="51"/>
        <v/>
      </c>
      <c r="L362" s="4" t="str">
        <f t="shared" si="52"/>
        <v/>
      </c>
      <c r="M362" s="4"/>
      <c r="N362" s="4"/>
      <c r="O362" s="4"/>
      <c r="P362" s="4"/>
      <c r="Q362" s="4"/>
      <c r="R362" s="4"/>
      <c r="S362" s="4"/>
      <c r="T362" s="4"/>
      <c r="U362" s="4"/>
    </row>
    <row r="363" spans="1:21">
      <c r="A363" t="s">
        <v>225</v>
      </c>
      <c r="B363">
        <v>5</v>
      </c>
      <c r="C363" t="str">
        <f t="shared" si="46"/>
        <v>test.ImageData_5_</v>
      </c>
      <c r="D363">
        <v>3</v>
      </c>
      <c r="E363" s="4">
        <v>0.68181818181818177</v>
      </c>
      <c r="F363" s="4">
        <v>0.82215743440233235</v>
      </c>
      <c r="G363" s="4" t="str">
        <f t="shared" si="47"/>
        <v/>
      </c>
      <c r="H363" s="4" t="str">
        <f t="shared" si="48"/>
        <v/>
      </c>
      <c r="I363" s="4" t="str">
        <f t="shared" si="49"/>
        <v/>
      </c>
      <c r="J363" s="4" t="str">
        <f t="shared" si="50"/>
        <v/>
      </c>
      <c r="K363" s="4">
        <f t="shared" si="51"/>
        <v>0.68181818181818177</v>
      </c>
      <c r="L363" s="4" t="str">
        <f t="shared" si="52"/>
        <v/>
      </c>
      <c r="M363" s="4"/>
      <c r="N363" s="4"/>
      <c r="O363" s="4"/>
      <c r="P363" s="4"/>
      <c r="Q363" s="4"/>
      <c r="R363" s="4"/>
      <c r="S363" s="4"/>
      <c r="T363" s="4"/>
      <c r="U363" s="4"/>
    </row>
    <row r="364" spans="1:21">
      <c r="A364" t="s">
        <v>225</v>
      </c>
      <c r="B364">
        <v>5</v>
      </c>
      <c r="C364" t="str">
        <f t="shared" si="46"/>
        <v>test.ImageData_5_</v>
      </c>
      <c r="D364">
        <v>4</v>
      </c>
      <c r="E364" s="4">
        <v>0.77272727272727271</v>
      </c>
      <c r="F364" s="4">
        <v>0.87317784256559772</v>
      </c>
      <c r="G364" s="4" t="str">
        <f t="shared" si="47"/>
        <v/>
      </c>
      <c r="H364" s="4" t="str">
        <f t="shared" si="48"/>
        <v/>
      </c>
      <c r="I364" s="4" t="str">
        <f t="shared" si="49"/>
        <v/>
      </c>
      <c r="J364" s="4" t="str">
        <f t="shared" si="50"/>
        <v/>
      </c>
      <c r="K364" s="4">
        <f t="shared" si="51"/>
        <v>0.77272727272727271</v>
      </c>
      <c r="L364" s="4" t="str">
        <f t="shared" si="52"/>
        <v/>
      </c>
      <c r="M364" s="4"/>
      <c r="N364" s="4"/>
      <c r="O364" s="4"/>
      <c r="P364" s="4"/>
      <c r="Q364" s="4"/>
      <c r="R364" s="4"/>
      <c r="S364" s="4"/>
      <c r="T364" s="4"/>
      <c r="U364" s="4"/>
    </row>
    <row r="365" spans="1:21">
      <c r="A365" t="s">
        <v>225</v>
      </c>
      <c r="B365">
        <v>5</v>
      </c>
      <c r="C365" t="str">
        <f t="shared" si="46"/>
        <v>test.ImageData_5_</v>
      </c>
      <c r="D365">
        <v>5</v>
      </c>
      <c r="E365" s="4">
        <v>0.86363636363636365</v>
      </c>
      <c r="F365" s="4">
        <v>0.93002915451895041</v>
      </c>
      <c r="G365" s="4" t="str">
        <f t="shared" si="47"/>
        <v/>
      </c>
      <c r="H365" s="4" t="str">
        <f t="shared" si="48"/>
        <v/>
      </c>
      <c r="I365" s="4" t="str">
        <f t="shared" si="49"/>
        <v/>
      </c>
      <c r="J365" s="4" t="str">
        <f t="shared" si="50"/>
        <v/>
      </c>
      <c r="K365" s="4">
        <f t="shared" si="51"/>
        <v>0.86363636363636365</v>
      </c>
      <c r="L365" s="4" t="str">
        <f t="shared" si="52"/>
        <v/>
      </c>
      <c r="M365" s="4"/>
      <c r="N365" s="4"/>
      <c r="O365" s="4"/>
      <c r="P365" s="4"/>
      <c r="Q365" s="4"/>
      <c r="R365" s="4"/>
      <c r="S365" s="4"/>
      <c r="T365" s="4"/>
      <c r="U365" s="4"/>
    </row>
    <row r="366" spans="1:21">
      <c r="A366" t="s">
        <v>225</v>
      </c>
      <c r="B366">
        <v>5</v>
      </c>
      <c r="C366" t="str">
        <f t="shared" si="46"/>
        <v>test.ImageData_5_</v>
      </c>
      <c r="D366">
        <v>6</v>
      </c>
      <c r="E366" s="4">
        <v>1</v>
      </c>
      <c r="F366" s="4">
        <v>1</v>
      </c>
      <c r="G366" s="4" t="str">
        <f t="shared" si="47"/>
        <v/>
      </c>
      <c r="H366" s="4" t="str">
        <f t="shared" si="48"/>
        <v/>
      </c>
      <c r="I366" s="4" t="str">
        <f t="shared" si="49"/>
        <v/>
      </c>
      <c r="J366" s="4" t="str">
        <f t="shared" si="50"/>
        <v/>
      </c>
      <c r="K366" s="4">
        <f t="shared" si="51"/>
        <v>1</v>
      </c>
      <c r="L366" s="4" t="str">
        <f t="shared" si="52"/>
        <v/>
      </c>
      <c r="M366" s="4"/>
      <c r="N366" s="4"/>
      <c r="O366" s="4"/>
      <c r="P366" s="4"/>
      <c r="Q366" s="4"/>
      <c r="R366" s="4"/>
      <c r="S366" s="4"/>
      <c r="T366" s="4"/>
      <c r="U366" s="4"/>
    </row>
    <row r="367" spans="1:21">
      <c r="A367" t="s">
        <v>225</v>
      </c>
      <c r="B367">
        <v>6</v>
      </c>
      <c r="C367" t="str">
        <f t="shared" si="46"/>
        <v>test.ImageData_6_</v>
      </c>
      <c r="D367">
        <v>1</v>
      </c>
      <c r="E367" s="4">
        <v>0.14285714285714285</v>
      </c>
      <c r="F367" s="4">
        <v>0.12654745529573591</v>
      </c>
      <c r="G367" s="4">
        <f t="shared" si="47"/>
        <v>0.14285714285714285</v>
      </c>
      <c r="H367" s="4" t="str">
        <f t="shared" si="48"/>
        <v/>
      </c>
      <c r="I367" s="4" t="str">
        <f t="shared" si="49"/>
        <v/>
      </c>
      <c r="J367" s="4" t="str">
        <f t="shared" si="50"/>
        <v/>
      </c>
      <c r="K367" s="4" t="str">
        <f t="shared" si="51"/>
        <v/>
      </c>
      <c r="L367" s="4" t="str">
        <f t="shared" si="52"/>
        <v/>
      </c>
      <c r="M367" s="4"/>
      <c r="N367" s="4"/>
      <c r="O367" s="4"/>
      <c r="P367" s="4"/>
      <c r="Q367" s="4"/>
      <c r="R367" s="4"/>
      <c r="S367" s="4"/>
      <c r="T367" s="4"/>
      <c r="U367" s="4"/>
    </row>
    <row r="368" spans="1:21">
      <c r="A368" t="s">
        <v>225</v>
      </c>
      <c r="B368">
        <v>6</v>
      </c>
      <c r="C368" t="str">
        <f t="shared" si="46"/>
        <v>test.ImageData_6_</v>
      </c>
      <c r="D368">
        <v>2</v>
      </c>
      <c r="E368" s="4">
        <v>0.33333333333333331</v>
      </c>
      <c r="F368" s="4">
        <v>0.32324621733149933</v>
      </c>
      <c r="G368" s="4" t="str">
        <f t="shared" si="47"/>
        <v/>
      </c>
      <c r="H368" s="4">
        <f t="shared" si="48"/>
        <v>0.33333333333333331</v>
      </c>
      <c r="I368" s="4" t="str">
        <f t="shared" si="49"/>
        <v/>
      </c>
      <c r="J368" s="4" t="str">
        <f t="shared" si="50"/>
        <v/>
      </c>
      <c r="K368" s="4" t="str">
        <f t="shared" si="51"/>
        <v/>
      </c>
      <c r="L368" s="4" t="str">
        <f t="shared" si="52"/>
        <v/>
      </c>
      <c r="M368" s="4"/>
      <c r="N368" s="4"/>
      <c r="O368" s="4"/>
      <c r="P368" s="4"/>
      <c r="Q368" s="4"/>
      <c r="R368" s="4"/>
      <c r="S368" s="4"/>
      <c r="T368" s="4"/>
      <c r="U368" s="4"/>
    </row>
    <row r="369" spans="1:21">
      <c r="A369" t="s">
        <v>225</v>
      </c>
      <c r="B369">
        <v>6</v>
      </c>
      <c r="C369" t="str">
        <f t="shared" si="46"/>
        <v>test.ImageData_6_</v>
      </c>
      <c r="D369">
        <v>3</v>
      </c>
      <c r="E369" s="4">
        <v>0.47619047619047616</v>
      </c>
      <c r="F369" s="4">
        <v>0.45254470426409904</v>
      </c>
      <c r="G369" s="4" t="str">
        <f t="shared" si="47"/>
        <v/>
      </c>
      <c r="H369" s="4" t="str">
        <f t="shared" si="48"/>
        <v/>
      </c>
      <c r="I369" s="4">
        <f t="shared" si="49"/>
        <v>0.47619047619047616</v>
      </c>
      <c r="J369" s="4" t="str">
        <f t="shared" si="50"/>
        <v/>
      </c>
      <c r="K369" s="4" t="str">
        <f t="shared" si="51"/>
        <v/>
      </c>
      <c r="L369" s="4" t="str">
        <f t="shared" si="52"/>
        <v/>
      </c>
      <c r="M369" s="4"/>
      <c r="N369" s="4"/>
      <c r="O369" s="4"/>
      <c r="P369" s="4"/>
      <c r="Q369" s="4"/>
      <c r="R369" s="4"/>
      <c r="S369" s="4"/>
      <c r="T369" s="4"/>
      <c r="U369" s="4"/>
    </row>
    <row r="370" spans="1:21">
      <c r="A370" t="s">
        <v>225</v>
      </c>
      <c r="B370">
        <v>6</v>
      </c>
      <c r="C370" t="str">
        <f t="shared" si="46"/>
        <v>test.ImageData_6_</v>
      </c>
      <c r="D370">
        <v>4</v>
      </c>
      <c r="E370" s="4">
        <v>0.7142857142857143</v>
      </c>
      <c r="F370" s="4">
        <v>0.55295735900962861</v>
      </c>
      <c r="G370" s="4" t="str">
        <f t="shared" si="47"/>
        <v/>
      </c>
      <c r="H370" s="4" t="str">
        <f t="shared" si="48"/>
        <v/>
      </c>
      <c r="I370" s="4">
        <f t="shared" si="49"/>
        <v>0.7142857142857143</v>
      </c>
      <c r="J370" s="4" t="str">
        <f t="shared" si="50"/>
        <v/>
      </c>
      <c r="K370" s="4" t="str">
        <f t="shared" si="51"/>
        <v/>
      </c>
      <c r="L370" s="4" t="str">
        <f t="shared" si="52"/>
        <v/>
      </c>
      <c r="M370" s="4"/>
      <c r="N370" s="4"/>
      <c r="O370" s="4"/>
      <c r="P370" s="4"/>
      <c r="Q370" s="4"/>
      <c r="R370" s="4"/>
      <c r="S370" s="4"/>
      <c r="T370" s="4"/>
      <c r="U370" s="4"/>
    </row>
    <row r="371" spans="1:21">
      <c r="A371" t="s">
        <v>225</v>
      </c>
      <c r="B371">
        <v>6</v>
      </c>
      <c r="C371" t="str">
        <f t="shared" si="46"/>
        <v>test.ImageData_6_</v>
      </c>
      <c r="D371">
        <v>5</v>
      </c>
      <c r="E371" s="4">
        <v>0.8571428571428571</v>
      </c>
      <c r="F371" s="4">
        <v>0.63961485557083908</v>
      </c>
      <c r="G371" s="4" t="str">
        <f t="shared" si="47"/>
        <v/>
      </c>
      <c r="H371" s="4" t="str">
        <f t="shared" si="48"/>
        <v/>
      </c>
      <c r="I371" s="4" t="str">
        <f t="shared" si="49"/>
        <v/>
      </c>
      <c r="J371" s="4">
        <f t="shared" si="50"/>
        <v>0.8571428571428571</v>
      </c>
      <c r="K371" s="4" t="str">
        <f t="shared" si="51"/>
        <v/>
      </c>
      <c r="L371" s="4" t="str">
        <f t="shared" si="52"/>
        <v/>
      </c>
      <c r="M371" s="4"/>
      <c r="N371" s="4"/>
      <c r="O371" s="4"/>
      <c r="P371" s="4"/>
      <c r="Q371" s="4"/>
      <c r="R371" s="4"/>
      <c r="S371" s="4"/>
      <c r="T371" s="4"/>
      <c r="U371" s="4"/>
    </row>
    <row r="372" spans="1:21">
      <c r="A372" t="s">
        <v>225</v>
      </c>
      <c r="B372">
        <v>6</v>
      </c>
      <c r="C372" t="str">
        <f t="shared" si="46"/>
        <v>test.ImageData_6_</v>
      </c>
      <c r="D372">
        <v>6</v>
      </c>
      <c r="E372" s="4">
        <v>1</v>
      </c>
      <c r="F372" s="4">
        <v>0.77854195323246222</v>
      </c>
      <c r="G372" s="4" t="str">
        <f t="shared" si="47"/>
        <v/>
      </c>
      <c r="H372" s="4" t="str">
        <f t="shared" si="48"/>
        <v/>
      </c>
      <c r="I372" s="4" t="str">
        <f t="shared" si="49"/>
        <v/>
      </c>
      <c r="J372" s="4">
        <f t="shared" si="50"/>
        <v>1</v>
      </c>
      <c r="K372" s="4" t="str">
        <f t="shared" si="51"/>
        <v/>
      </c>
      <c r="L372" s="4" t="str">
        <f t="shared" si="52"/>
        <v/>
      </c>
      <c r="M372" s="4"/>
      <c r="N372" s="4"/>
      <c r="O372" s="4"/>
      <c r="P372" s="4"/>
      <c r="Q372" s="4"/>
      <c r="R372" s="4"/>
      <c r="S372" s="4"/>
      <c r="T372" s="4"/>
      <c r="U372" s="4"/>
    </row>
    <row r="373" spans="1:21">
      <c r="A373" t="s">
        <v>225</v>
      </c>
      <c r="B373">
        <v>6</v>
      </c>
      <c r="C373" t="str">
        <f t="shared" si="46"/>
        <v>test.ImageData_6_</v>
      </c>
      <c r="D373">
        <v>7</v>
      </c>
      <c r="E373" s="4">
        <v>1</v>
      </c>
      <c r="F373" s="4">
        <v>0.8982118294360385</v>
      </c>
      <c r="G373" s="4" t="str">
        <f t="shared" si="47"/>
        <v/>
      </c>
      <c r="H373" s="4" t="str">
        <f t="shared" si="48"/>
        <v/>
      </c>
      <c r="I373" s="4" t="str">
        <f t="shared" si="49"/>
        <v/>
      </c>
      <c r="J373" s="4" t="str">
        <f t="shared" si="50"/>
        <v/>
      </c>
      <c r="K373" s="4">
        <f t="shared" si="51"/>
        <v>1</v>
      </c>
      <c r="L373" s="4" t="str">
        <f t="shared" si="52"/>
        <v/>
      </c>
      <c r="M373" s="4"/>
      <c r="N373" s="4"/>
      <c r="O373" s="4"/>
      <c r="P373" s="4"/>
      <c r="Q373" s="4"/>
      <c r="R373" s="4"/>
      <c r="S373" s="4"/>
      <c r="T373" s="4"/>
      <c r="U373" s="4"/>
    </row>
    <row r="374" spans="1:21">
      <c r="A374" t="s">
        <v>225</v>
      </c>
      <c r="B374">
        <v>6</v>
      </c>
      <c r="C374" t="str">
        <f t="shared" si="46"/>
        <v>test.ImageData_6_</v>
      </c>
      <c r="D374">
        <v>8</v>
      </c>
      <c r="E374" s="4">
        <v>1</v>
      </c>
      <c r="F374" s="4">
        <v>1.4112792297111416</v>
      </c>
      <c r="G374" s="4" t="str">
        <f t="shared" si="47"/>
        <v/>
      </c>
      <c r="H374" s="4" t="str">
        <f t="shared" si="48"/>
        <v/>
      </c>
      <c r="I374" s="4" t="str">
        <f t="shared" si="49"/>
        <v/>
      </c>
      <c r="J374" s="4" t="str">
        <f t="shared" si="50"/>
        <v/>
      </c>
      <c r="K374" s="4" t="str">
        <f t="shared" si="51"/>
        <v/>
      </c>
      <c r="L374" s="4">
        <f t="shared" si="52"/>
        <v>1</v>
      </c>
      <c r="M374" s="4"/>
      <c r="N374" s="4"/>
      <c r="O374" s="4"/>
      <c r="P374" s="4"/>
      <c r="Q374" s="4"/>
      <c r="R374" s="4"/>
      <c r="S374" s="4"/>
      <c r="T374" s="4"/>
      <c r="U374" s="4"/>
    </row>
    <row r="375" spans="1:21">
      <c r="A375" t="s">
        <v>225</v>
      </c>
      <c r="B375">
        <v>6</v>
      </c>
      <c r="C375" t="str">
        <f t="shared" si="46"/>
        <v>test.ImageData_6_</v>
      </c>
      <c r="D375">
        <v>9</v>
      </c>
      <c r="E375" s="4">
        <v>1</v>
      </c>
      <c r="F375" s="4">
        <v>1.8720770288858322</v>
      </c>
      <c r="G375" s="4" t="str">
        <f t="shared" si="47"/>
        <v/>
      </c>
      <c r="H375" s="4" t="str">
        <f t="shared" si="48"/>
        <v/>
      </c>
      <c r="I375" s="4" t="str">
        <f t="shared" si="49"/>
        <v/>
      </c>
      <c r="J375" s="4" t="str">
        <f t="shared" si="50"/>
        <v/>
      </c>
      <c r="K375" s="4" t="str">
        <f t="shared" si="51"/>
        <v/>
      </c>
      <c r="L375" s="4">
        <f t="shared" si="52"/>
        <v>1</v>
      </c>
      <c r="M375" s="4"/>
      <c r="N375" s="4"/>
      <c r="O375" s="4"/>
      <c r="P375" s="4"/>
      <c r="Q375" s="4"/>
      <c r="R375" s="4"/>
      <c r="S375" s="4"/>
      <c r="T375" s="4"/>
      <c r="U375" s="4"/>
    </row>
    <row r="376" spans="1:21">
      <c r="A376" t="s">
        <v>225</v>
      </c>
      <c r="B376">
        <v>6</v>
      </c>
      <c r="C376" t="str">
        <f t="shared" si="46"/>
        <v>test.ImageData_6_</v>
      </c>
      <c r="D376">
        <v>10</v>
      </c>
      <c r="E376" s="4">
        <v>1</v>
      </c>
      <c r="F376" s="4">
        <v>2.4635488308115545</v>
      </c>
      <c r="G376" s="4" t="str">
        <f t="shared" si="47"/>
        <v/>
      </c>
      <c r="H376" s="4" t="str">
        <f t="shared" si="48"/>
        <v/>
      </c>
      <c r="I376" s="4" t="str">
        <f t="shared" si="49"/>
        <v/>
      </c>
      <c r="J376" s="4" t="str">
        <f t="shared" si="50"/>
        <v/>
      </c>
      <c r="K376" s="4" t="str">
        <f t="shared" si="51"/>
        <v/>
      </c>
      <c r="L376" s="4">
        <f t="shared" si="52"/>
        <v>1</v>
      </c>
      <c r="M376" s="4"/>
      <c r="N376" s="4"/>
      <c r="O376" s="4"/>
      <c r="P376" s="4"/>
      <c r="Q376" s="4"/>
      <c r="R376" s="4"/>
      <c r="S376" s="4"/>
      <c r="T376" s="4"/>
      <c r="U376" s="4"/>
    </row>
    <row r="377" spans="1:21">
      <c r="A377" t="s">
        <v>225</v>
      </c>
      <c r="B377">
        <v>7</v>
      </c>
      <c r="C377" t="str">
        <f t="shared" si="46"/>
        <v>test.ImageData_7_</v>
      </c>
      <c r="D377">
        <v>1</v>
      </c>
      <c r="E377" s="4">
        <v>0.23333333333333334</v>
      </c>
      <c r="F377" s="4">
        <v>0.28588564574170333</v>
      </c>
      <c r="G377" s="4" t="str">
        <f t="shared" si="47"/>
        <v/>
      </c>
      <c r="H377" s="4">
        <f t="shared" si="48"/>
        <v>0.23333333333333334</v>
      </c>
      <c r="I377" s="4" t="str">
        <f t="shared" si="49"/>
        <v/>
      </c>
      <c r="J377" s="4" t="str">
        <f t="shared" si="50"/>
        <v/>
      </c>
      <c r="K377" s="4" t="str">
        <f t="shared" si="51"/>
        <v/>
      </c>
      <c r="L377" s="4" t="str">
        <f t="shared" si="52"/>
        <v/>
      </c>
      <c r="M377" s="4"/>
      <c r="N377" s="4"/>
      <c r="O377" s="4"/>
      <c r="P377" s="4"/>
      <c r="Q377" s="4"/>
      <c r="R377" s="4"/>
      <c r="S377" s="4"/>
      <c r="T377" s="4"/>
      <c r="U377" s="4"/>
    </row>
    <row r="378" spans="1:21">
      <c r="A378" t="s">
        <v>225</v>
      </c>
      <c r="B378">
        <v>7</v>
      </c>
      <c r="C378" t="str">
        <f t="shared" si="46"/>
        <v>test.ImageData_7_</v>
      </c>
      <c r="D378">
        <v>2</v>
      </c>
      <c r="E378" s="4">
        <v>0.26666666666666666</v>
      </c>
      <c r="F378" s="4">
        <v>0.28708516593362654</v>
      </c>
      <c r="G378" s="4" t="str">
        <f t="shared" si="47"/>
        <v/>
      </c>
      <c r="H378" s="4">
        <f t="shared" si="48"/>
        <v>0.26666666666666666</v>
      </c>
      <c r="I378" s="4" t="str">
        <f t="shared" si="49"/>
        <v/>
      </c>
      <c r="J378" s="4" t="str">
        <f t="shared" si="50"/>
        <v/>
      </c>
      <c r="K378" s="4" t="str">
        <f t="shared" si="51"/>
        <v/>
      </c>
      <c r="L378" s="4" t="str">
        <f t="shared" si="52"/>
        <v/>
      </c>
      <c r="M378" s="4"/>
      <c r="N378" s="4"/>
      <c r="O378" s="4"/>
      <c r="P378" s="4"/>
      <c r="Q378" s="4"/>
      <c r="R378" s="4"/>
      <c r="S378" s="4"/>
      <c r="T378" s="4"/>
      <c r="U378" s="4"/>
    </row>
    <row r="379" spans="1:21">
      <c r="A379" t="s">
        <v>225</v>
      </c>
      <c r="B379">
        <v>7</v>
      </c>
      <c r="C379" t="str">
        <f t="shared" si="46"/>
        <v>test.ImageData_7_</v>
      </c>
      <c r="D379">
        <v>3</v>
      </c>
      <c r="E379" s="4">
        <v>0.33333333333333331</v>
      </c>
      <c r="F379" s="4">
        <v>0.29788084766093564</v>
      </c>
      <c r="G379" s="4" t="str">
        <f t="shared" si="47"/>
        <v/>
      </c>
      <c r="H379" s="4">
        <f t="shared" si="48"/>
        <v>0.33333333333333331</v>
      </c>
      <c r="I379" s="4" t="str">
        <f t="shared" si="49"/>
        <v/>
      </c>
      <c r="J379" s="4" t="str">
        <f t="shared" si="50"/>
        <v/>
      </c>
      <c r="K379" s="4" t="str">
        <f t="shared" si="51"/>
        <v/>
      </c>
      <c r="L379" s="4" t="str">
        <f t="shared" si="52"/>
        <v/>
      </c>
      <c r="M379" s="4"/>
      <c r="N379" s="4"/>
      <c r="O379" s="4"/>
      <c r="P379" s="4"/>
      <c r="Q379" s="4"/>
      <c r="R379" s="4"/>
      <c r="S379" s="4"/>
      <c r="T379" s="4"/>
      <c r="U379" s="4"/>
    </row>
    <row r="380" spans="1:21">
      <c r="A380" t="s">
        <v>225</v>
      </c>
      <c r="B380">
        <v>7</v>
      </c>
      <c r="C380" t="str">
        <f t="shared" si="46"/>
        <v>test.ImageData_7_</v>
      </c>
      <c r="D380">
        <v>4</v>
      </c>
      <c r="E380" s="4">
        <v>0.36666666666666664</v>
      </c>
      <c r="F380" s="4">
        <v>0.3010795681727309</v>
      </c>
      <c r="G380" s="4" t="str">
        <f t="shared" si="47"/>
        <v/>
      </c>
      <c r="H380" s="4">
        <f t="shared" si="48"/>
        <v>0.36666666666666664</v>
      </c>
      <c r="I380" s="4" t="str">
        <f t="shared" si="49"/>
        <v/>
      </c>
      <c r="J380" s="4" t="str">
        <f t="shared" si="50"/>
        <v/>
      </c>
      <c r="K380" s="4" t="str">
        <f t="shared" si="51"/>
        <v/>
      </c>
      <c r="L380" s="4" t="str">
        <f t="shared" si="52"/>
        <v/>
      </c>
      <c r="M380" s="4"/>
      <c r="N380" s="4"/>
      <c r="O380" s="4"/>
      <c r="P380" s="4"/>
      <c r="Q380" s="4"/>
      <c r="R380" s="4"/>
      <c r="S380" s="4"/>
      <c r="T380" s="4"/>
      <c r="U380" s="4"/>
    </row>
    <row r="381" spans="1:21">
      <c r="A381" t="s">
        <v>225</v>
      </c>
      <c r="B381">
        <v>7</v>
      </c>
      <c r="C381" t="str">
        <f t="shared" si="46"/>
        <v>test.ImageData_7_</v>
      </c>
      <c r="D381">
        <v>5</v>
      </c>
      <c r="E381" s="4">
        <v>0.45833333333333331</v>
      </c>
      <c r="F381" s="4">
        <v>0.31347461015593764</v>
      </c>
      <c r="G381" s="4" t="str">
        <f t="shared" si="47"/>
        <v/>
      </c>
      <c r="H381" s="4">
        <f t="shared" si="48"/>
        <v>0.45833333333333331</v>
      </c>
      <c r="I381" s="4" t="str">
        <f t="shared" si="49"/>
        <v/>
      </c>
      <c r="J381" s="4" t="str">
        <f t="shared" si="50"/>
        <v/>
      </c>
      <c r="K381" s="4" t="str">
        <f t="shared" si="51"/>
        <v/>
      </c>
      <c r="L381" s="4" t="str">
        <f t="shared" si="52"/>
        <v/>
      </c>
      <c r="M381" s="4"/>
      <c r="N381" s="4"/>
      <c r="O381" s="4"/>
      <c r="P381" s="4"/>
      <c r="Q381" s="4"/>
      <c r="R381" s="4"/>
      <c r="S381" s="4"/>
      <c r="T381" s="4"/>
      <c r="U381" s="4"/>
    </row>
    <row r="382" spans="1:21">
      <c r="A382" t="s">
        <v>225</v>
      </c>
      <c r="B382">
        <v>7</v>
      </c>
      <c r="C382" t="str">
        <f t="shared" si="46"/>
        <v>test.ImageData_7_</v>
      </c>
      <c r="D382">
        <v>6</v>
      </c>
      <c r="E382" s="4">
        <v>0.59166666666666667</v>
      </c>
      <c r="F382" s="4">
        <v>0.31427429028388643</v>
      </c>
      <c r="G382" s="4" t="str">
        <f t="shared" si="47"/>
        <v/>
      </c>
      <c r="H382" s="4">
        <f t="shared" si="48"/>
        <v>0.59166666666666667</v>
      </c>
      <c r="I382" s="4" t="str">
        <f t="shared" si="49"/>
        <v/>
      </c>
      <c r="J382" s="4" t="str">
        <f t="shared" si="50"/>
        <v/>
      </c>
      <c r="K382" s="4" t="str">
        <f t="shared" si="51"/>
        <v/>
      </c>
      <c r="L382" s="4" t="str">
        <f t="shared" si="52"/>
        <v/>
      </c>
      <c r="M382" s="4"/>
      <c r="N382" s="4"/>
      <c r="O382" s="4"/>
      <c r="P382" s="4"/>
      <c r="Q382" s="4"/>
      <c r="R382" s="4"/>
      <c r="S382" s="4"/>
      <c r="T382" s="4"/>
      <c r="U382" s="4"/>
    </row>
    <row r="383" spans="1:21">
      <c r="A383" t="s">
        <v>225</v>
      </c>
      <c r="B383">
        <v>7</v>
      </c>
      <c r="C383" t="str">
        <f t="shared" si="46"/>
        <v>test.ImageData_7_</v>
      </c>
      <c r="D383">
        <v>7</v>
      </c>
      <c r="E383" s="4">
        <v>0.65</v>
      </c>
      <c r="F383" s="4">
        <v>0.31947221111555379</v>
      </c>
      <c r="G383" s="4" t="str">
        <f t="shared" si="47"/>
        <v/>
      </c>
      <c r="H383" s="4">
        <f t="shared" si="48"/>
        <v>0.65</v>
      </c>
      <c r="I383" s="4" t="str">
        <f t="shared" si="49"/>
        <v/>
      </c>
      <c r="J383" s="4" t="str">
        <f t="shared" si="50"/>
        <v/>
      </c>
      <c r="K383" s="4" t="str">
        <f t="shared" si="51"/>
        <v/>
      </c>
      <c r="L383" s="4" t="str">
        <f t="shared" si="52"/>
        <v/>
      </c>
      <c r="M383" s="4"/>
      <c r="N383" s="4"/>
      <c r="O383" s="4"/>
      <c r="P383" s="4"/>
      <c r="Q383" s="4"/>
      <c r="R383" s="4"/>
      <c r="S383" s="4"/>
      <c r="T383" s="4"/>
      <c r="U383" s="4"/>
    </row>
    <row r="384" spans="1:21">
      <c r="A384" t="s">
        <v>225</v>
      </c>
      <c r="B384">
        <v>7</v>
      </c>
      <c r="C384" t="str">
        <f t="shared" si="46"/>
        <v>test.ImageData_7_</v>
      </c>
      <c r="D384">
        <v>8</v>
      </c>
      <c r="E384" s="4">
        <v>0.73333333333333328</v>
      </c>
      <c r="F384" s="4">
        <v>0.34386245501799279</v>
      </c>
      <c r="G384" s="4" t="str">
        <f t="shared" si="47"/>
        <v/>
      </c>
      <c r="H384" s="4">
        <f t="shared" si="48"/>
        <v>0.73333333333333328</v>
      </c>
      <c r="I384" s="4" t="str">
        <f t="shared" si="49"/>
        <v/>
      </c>
      <c r="J384" s="4" t="str">
        <f t="shared" si="50"/>
        <v/>
      </c>
      <c r="K384" s="4" t="str">
        <f t="shared" si="51"/>
        <v/>
      </c>
      <c r="L384" s="4" t="str">
        <f t="shared" si="52"/>
        <v/>
      </c>
      <c r="M384" s="4"/>
      <c r="N384" s="4"/>
      <c r="O384" s="4"/>
      <c r="P384" s="4"/>
      <c r="Q384" s="4"/>
      <c r="R384" s="4"/>
      <c r="S384" s="4"/>
      <c r="T384" s="4"/>
      <c r="U384" s="4"/>
    </row>
    <row r="385" spans="1:21">
      <c r="A385" t="s">
        <v>225</v>
      </c>
      <c r="B385">
        <v>7</v>
      </c>
      <c r="C385" t="str">
        <f t="shared" si="46"/>
        <v>test.ImageData_7_</v>
      </c>
      <c r="D385">
        <v>9</v>
      </c>
      <c r="E385" s="4">
        <v>0.85</v>
      </c>
      <c r="F385" s="4">
        <v>0.3950419832067173</v>
      </c>
      <c r="G385" s="4" t="str">
        <f t="shared" si="47"/>
        <v/>
      </c>
      <c r="H385" s="4">
        <f t="shared" si="48"/>
        <v>0.85</v>
      </c>
      <c r="I385" s="4" t="str">
        <f t="shared" si="49"/>
        <v/>
      </c>
      <c r="J385" s="4" t="str">
        <f t="shared" si="50"/>
        <v/>
      </c>
      <c r="K385" s="4" t="str">
        <f t="shared" si="51"/>
        <v/>
      </c>
      <c r="L385" s="4" t="str">
        <f t="shared" si="52"/>
        <v/>
      </c>
      <c r="M385" s="4"/>
      <c r="N385" s="4"/>
      <c r="O385" s="4"/>
      <c r="P385" s="4"/>
      <c r="Q385" s="4"/>
      <c r="R385" s="4"/>
      <c r="S385" s="4"/>
      <c r="T385" s="4"/>
      <c r="U385" s="4"/>
    </row>
    <row r="386" spans="1:21">
      <c r="A386" t="s">
        <v>225</v>
      </c>
      <c r="B386">
        <v>7</v>
      </c>
      <c r="C386" t="str">
        <f t="shared" si="46"/>
        <v>test.ImageData_7_</v>
      </c>
      <c r="D386">
        <v>10</v>
      </c>
      <c r="E386" s="4">
        <v>1</v>
      </c>
      <c r="F386" s="4">
        <v>0.43862455017992802</v>
      </c>
      <c r="G386" s="4" t="str">
        <f t="shared" si="47"/>
        <v/>
      </c>
      <c r="H386" s="4" t="str">
        <f t="shared" si="48"/>
        <v/>
      </c>
      <c r="I386" s="4">
        <f t="shared" si="49"/>
        <v>1</v>
      </c>
      <c r="J386" s="4" t="str">
        <f t="shared" si="50"/>
        <v/>
      </c>
      <c r="K386" s="4" t="str">
        <f t="shared" si="51"/>
        <v/>
      </c>
      <c r="L386" s="4" t="str">
        <f t="shared" si="52"/>
        <v/>
      </c>
      <c r="M386" s="4"/>
      <c r="N386" s="4"/>
      <c r="O386" s="4"/>
      <c r="P386" s="4"/>
      <c r="Q386" s="4"/>
      <c r="R386" s="4"/>
      <c r="S386" s="4"/>
      <c r="T386" s="4"/>
      <c r="U386" s="4"/>
    </row>
    <row r="387" spans="1:21">
      <c r="A387" t="s">
        <v>225</v>
      </c>
      <c r="B387">
        <v>8</v>
      </c>
      <c r="C387" t="str">
        <f t="shared" ref="C387:C450" si="53">CONCATENATE(A387, "_",B387,"_")</f>
        <v>test.ImageData_8_</v>
      </c>
      <c r="D387">
        <v>1</v>
      </c>
      <c r="E387" s="4">
        <v>0.16101694915254236</v>
      </c>
      <c r="F387" s="4">
        <v>7.4614422676115053E-2</v>
      </c>
      <c r="G387" s="4">
        <f t="shared" ref="G387:G450" si="54">IF($F387 &lt;= 0.2,$E387,"")</f>
        <v>0.16101694915254236</v>
      </c>
      <c r="H387" s="4" t="str">
        <f t="shared" ref="H387:H450" si="55">IF(AND($F387 &gt; 0.2,$F387 &lt;= 0.4),$E387,"")</f>
        <v/>
      </c>
      <c r="I387" s="4" t="str">
        <f t="shared" ref="I387:I450" si="56">IF(AND($F387 &gt; 0.4,$F387 &lt;= 0.6),$E387,"")</f>
        <v/>
      </c>
      <c r="J387" s="4" t="str">
        <f t="shared" ref="J387:J450" si="57">IF(AND($F387 &gt; 0.6,$F387 &lt;= 0.8),$E387,"")</f>
        <v/>
      </c>
      <c r="K387" s="4" t="str">
        <f t="shared" ref="K387:K450" si="58">IF(AND($F387 &gt; 0.8, $F387 &lt;=1.1),$E387,"")</f>
        <v/>
      </c>
      <c r="L387" s="4" t="str">
        <f t="shared" ref="L387:L450" si="59">IF(AND($F387 &gt; 1.1),$E387,"")</f>
        <v/>
      </c>
      <c r="M387" s="4"/>
      <c r="N387" s="4"/>
      <c r="O387" s="4"/>
      <c r="P387" s="4"/>
      <c r="Q387" s="4"/>
      <c r="R387" s="4"/>
      <c r="S387" s="4"/>
      <c r="T387" s="4"/>
      <c r="U387" s="4"/>
    </row>
    <row r="388" spans="1:21">
      <c r="A388" t="s">
        <v>225</v>
      </c>
      <c r="B388">
        <v>8</v>
      </c>
      <c r="C388" t="str">
        <f t="shared" si="53"/>
        <v>test.ImageData_8_</v>
      </c>
      <c r="D388">
        <v>2</v>
      </c>
      <c r="E388" s="4">
        <v>0.23728813559322035</v>
      </c>
      <c r="F388" s="4">
        <v>0.20716965402250939</v>
      </c>
      <c r="G388" s="4" t="str">
        <f t="shared" si="54"/>
        <v/>
      </c>
      <c r="H388" s="4">
        <f t="shared" si="55"/>
        <v>0.23728813559322035</v>
      </c>
      <c r="I388" s="4" t="str">
        <f t="shared" si="56"/>
        <v/>
      </c>
      <c r="J388" s="4" t="str">
        <f t="shared" si="57"/>
        <v/>
      </c>
      <c r="K388" s="4" t="str">
        <f t="shared" si="58"/>
        <v/>
      </c>
      <c r="L388" s="4" t="str">
        <f t="shared" si="59"/>
        <v/>
      </c>
      <c r="M388" s="4"/>
      <c r="N388" s="4"/>
      <c r="O388" s="4"/>
      <c r="P388" s="4"/>
      <c r="Q388" s="4"/>
      <c r="R388" s="4"/>
      <c r="S388" s="4"/>
      <c r="T388" s="4"/>
      <c r="U388" s="4"/>
    </row>
    <row r="389" spans="1:21">
      <c r="A389" t="s">
        <v>225</v>
      </c>
      <c r="B389">
        <v>8</v>
      </c>
      <c r="C389" t="str">
        <f t="shared" si="53"/>
        <v>test.ImageData_8_</v>
      </c>
      <c r="D389">
        <v>3</v>
      </c>
      <c r="E389" s="4">
        <v>0.53389830508474578</v>
      </c>
      <c r="F389" s="4">
        <v>0.22175906627761569</v>
      </c>
      <c r="G389" s="4" t="str">
        <f t="shared" si="54"/>
        <v/>
      </c>
      <c r="H389" s="4">
        <f t="shared" si="55"/>
        <v>0.53389830508474578</v>
      </c>
      <c r="I389" s="4" t="str">
        <f t="shared" si="56"/>
        <v/>
      </c>
      <c r="J389" s="4" t="str">
        <f t="shared" si="57"/>
        <v/>
      </c>
      <c r="K389" s="4" t="str">
        <f t="shared" si="58"/>
        <v/>
      </c>
      <c r="L389" s="4" t="str">
        <f t="shared" si="59"/>
        <v/>
      </c>
      <c r="M389" s="4"/>
      <c r="N389" s="4"/>
      <c r="O389" s="4"/>
      <c r="P389" s="4"/>
      <c r="Q389" s="4"/>
      <c r="R389" s="4"/>
      <c r="S389" s="4"/>
      <c r="T389" s="4"/>
      <c r="U389" s="4"/>
    </row>
    <row r="390" spans="1:21">
      <c r="A390" t="s">
        <v>225</v>
      </c>
      <c r="B390">
        <v>8</v>
      </c>
      <c r="C390" t="str">
        <f t="shared" si="53"/>
        <v>test.ImageData_8_</v>
      </c>
      <c r="D390">
        <v>4</v>
      </c>
      <c r="E390" s="4">
        <v>0.53389830508474578</v>
      </c>
      <c r="F390" s="4">
        <v>0.25038210365430041</v>
      </c>
      <c r="G390" s="4" t="str">
        <f t="shared" si="54"/>
        <v/>
      </c>
      <c r="H390" s="4">
        <f t="shared" si="55"/>
        <v>0.53389830508474578</v>
      </c>
      <c r="I390" s="4" t="str">
        <f t="shared" si="56"/>
        <v/>
      </c>
      <c r="J390" s="4" t="str">
        <f t="shared" si="57"/>
        <v/>
      </c>
      <c r="K390" s="4" t="str">
        <f t="shared" si="58"/>
        <v/>
      </c>
      <c r="L390" s="4" t="str">
        <f t="shared" si="59"/>
        <v/>
      </c>
      <c r="M390" s="4"/>
      <c r="N390" s="4"/>
      <c r="O390" s="4"/>
      <c r="P390" s="4"/>
      <c r="Q390" s="4"/>
      <c r="R390" s="4"/>
      <c r="S390" s="4"/>
      <c r="T390" s="4"/>
      <c r="U390" s="4"/>
    </row>
    <row r="391" spans="1:21">
      <c r="A391" t="s">
        <v>225</v>
      </c>
      <c r="B391">
        <v>8</v>
      </c>
      <c r="C391" t="str">
        <f t="shared" si="53"/>
        <v>test.ImageData_8_</v>
      </c>
      <c r="D391">
        <v>5</v>
      </c>
      <c r="E391" s="4">
        <v>0.81355932203389836</v>
      </c>
      <c r="F391" s="4">
        <v>0.28011671529804083</v>
      </c>
      <c r="G391" s="4" t="str">
        <f t="shared" si="54"/>
        <v/>
      </c>
      <c r="H391" s="4">
        <f t="shared" si="55"/>
        <v>0.81355932203389836</v>
      </c>
      <c r="I391" s="4" t="str">
        <f t="shared" si="56"/>
        <v/>
      </c>
      <c r="J391" s="4" t="str">
        <f t="shared" si="57"/>
        <v/>
      </c>
      <c r="K391" s="4" t="str">
        <f t="shared" si="58"/>
        <v/>
      </c>
      <c r="L391" s="4" t="str">
        <f t="shared" si="59"/>
        <v/>
      </c>
      <c r="M391" s="4"/>
      <c r="N391" s="4"/>
      <c r="O391" s="4"/>
      <c r="P391" s="4"/>
      <c r="Q391" s="4"/>
      <c r="R391" s="4"/>
      <c r="S391" s="4"/>
      <c r="T391" s="4"/>
      <c r="U391" s="4"/>
    </row>
    <row r="392" spans="1:21">
      <c r="A392" t="s">
        <v>225</v>
      </c>
      <c r="B392">
        <v>8</v>
      </c>
      <c r="C392" t="str">
        <f t="shared" si="53"/>
        <v>test.ImageData_8_</v>
      </c>
      <c r="D392">
        <v>6</v>
      </c>
      <c r="E392" s="4">
        <v>1</v>
      </c>
      <c r="F392" s="4">
        <v>0.55147978324301794</v>
      </c>
      <c r="G392" s="4" t="str">
        <f t="shared" si="54"/>
        <v/>
      </c>
      <c r="H392" s="4" t="str">
        <f t="shared" si="55"/>
        <v/>
      </c>
      <c r="I392" s="4">
        <f t="shared" si="56"/>
        <v>1</v>
      </c>
      <c r="J392" s="4" t="str">
        <f t="shared" si="57"/>
        <v/>
      </c>
      <c r="K392" s="4" t="str">
        <f t="shared" si="58"/>
        <v/>
      </c>
      <c r="L392" s="4" t="str">
        <f t="shared" si="59"/>
        <v/>
      </c>
      <c r="M392" s="4"/>
      <c r="N392" s="4"/>
      <c r="O392" s="4"/>
      <c r="P392" s="4"/>
      <c r="Q392" s="4"/>
      <c r="R392" s="4"/>
      <c r="S392" s="4"/>
      <c r="T392" s="4"/>
      <c r="U392" s="4"/>
    </row>
    <row r="393" spans="1:21">
      <c r="A393" t="s">
        <v>225</v>
      </c>
      <c r="B393">
        <v>9</v>
      </c>
      <c r="C393" t="str">
        <f t="shared" si="53"/>
        <v>test.ImageData_9_</v>
      </c>
      <c r="D393">
        <v>1</v>
      </c>
      <c r="E393" s="4">
        <v>9.7938144329896906E-2</v>
      </c>
      <c r="F393" s="4">
        <v>3.3941267387944361E-2</v>
      </c>
      <c r="G393" s="4">
        <f t="shared" si="54"/>
        <v>9.7938144329896906E-2</v>
      </c>
      <c r="H393" s="4" t="str">
        <f t="shared" si="55"/>
        <v/>
      </c>
      <c r="I393" s="4" t="str">
        <f t="shared" si="56"/>
        <v/>
      </c>
      <c r="J393" s="4" t="str">
        <f t="shared" si="57"/>
        <v/>
      </c>
      <c r="K393" s="4" t="str">
        <f t="shared" si="58"/>
        <v/>
      </c>
      <c r="L393" s="4" t="str">
        <f t="shared" si="59"/>
        <v/>
      </c>
      <c r="M393" s="4"/>
      <c r="N393" s="4"/>
      <c r="O393" s="4"/>
      <c r="P393" s="4"/>
      <c r="Q393" s="4"/>
      <c r="R393" s="4"/>
      <c r="S393" s="4"/>
      <c r="T393" s="4"/>
      <c r="U393" s="4"/>
    </row>
    <row r="394" spans="1:21">
      <c r="A394" t="s">
        <v>225</v>
      </c>
      <c r="B394">
        <v>9</v>
      </c>
      <c r="C394" t="str">
        <f t="shared" si="53"/>
        <v>test.ImageData_9_</v>
      </c>
      <c r="D394">
        <v>2</v>
      </c>
      <c r="E394" s="4">
        <v>0.15979381443298968</v>
      </c>
      <c r="F394" s="4">
        <v>0.10367851622874807</v>
      </c>
      <c r="G394" s="4">
        <f t="shared" si="54"/>
        <v>0.15979381443298968</v>
      </c>
      <c r="H394" s="4" t="str">
        <f t="shared" si="55"/>
        <v/>
      </c>
      <c r="I394" s="4" t="str">
        <f t="shared" si="56"/>
        <v/>
      </c>
      <c r="J394" s="4" t="str">
        <f t="shared" si="57"/>
        <v/>
      </c>
      <c r="K394" s="4" t="str">
        <f t="shared" si="58"/>
        <v/>
      </c>
      <c r="L394" s="4" t="str">
        <f t="shared" si="59"/>
        <v/>
      </c>
      <c r="M394" s="4"/>
      <c r="N394" s="4"/>
      <c r="O394" s="4"/>
      <c r="P394" s="4"/>
      <c r="Q394" s="4"/>
      <c r="R394" s="4"/>
      <c r="S394" s="4"/>
      <c r="T394" s="4"/>
      <c r="U394" s="4"/>
    </row>
    <row r="395" spans="1:21">
      <c r="A395" t="s">
        <v>225</v>
      </c>
      <c r="B395">
        <v>9</v>
      </c>
      <c r="C395" t="str">
        <f t="shared" si="53"/>
        <v>test.ImageData_9_</v>
      </c>
      <c r="D395">
        <v>3</v>
      </c>
      <c r="E395" s="4">
        <v>0.38659793814432991</v>
      </c>
      <c r="F395" s="4">
        <v>0.11579598145285935</v>
      </c>
      <c r="G395" s="4">
        <f t="shared" si="54"/>
        <v>0.38659793814432991</v>
      </c>
      <c r="H395" s="4" t="str">
        <f t="shared" si="55"/>
        <v/>
      </c>
      <c r="I395" s="4" t="str">
        <f t="shared" si="56"/>
        <v/>
      </c>
      <c r="J395" s="4" t="str">
        <f t="shared" si="57"/>
        <v/>
      </c>
      <c r="K395" s="4" t="str">
        <f t="shared" si="58"/>
        <v/>
      </c>
      <c r="L395" s="4" t="str">
        <f t="shared" si="59"/>
        <v/>
      </c>
      <c r="M395" s="4"/>
      <c r="N395" s="4"/>
      <c r="O395" s="4"/>
      <c r="P395" s="4"/>
      <c r="Q395" s="4"/>
      <c r="R395" s="4"/>
      <c r="S395" s="4"/>
      <c r="T395" s="4"/>
      <c r="U395" s="4"/>
    </row>
    <row r="396" spans="1:21">
      <c r="A396" t="s">
        <v>225</v>
      </c>
      <c r="B396">
        <v>9</v>
      </c>
      <c r="C396" t="str">
        <f t="shared" si="53"/>
        <v>test.ImageData_9_</v>
      </c>
      <c r="D396">
        <v>4</v>
      </c>
      <c r="E396" s="4">
        <v>0.38659793814432991</v>
      </c>
      <c r="F396" s="4">
        <v>0.12797527047913446</v>
      </c>
      <c r="G396" s="4">
        <f t="shared" si="54"/>
        <v>0.38659793814432991</v>
      </c>
      <c r="H396" s="4" t="str">
        <f t="shared" si="55"/>
        <v/>
      </c>
      <c r="I396" s="4" t="str">
        <f t="shared" si="56"/>
        <v/>
      </c>
      <c r="J396" s="4" t="str">
        <f t="shared" si="57"/>
        <v/>
      </c>
      <c r="K396" s="4" t="str">
        <f t="shared" si="58"/>
        <v/>
      </c>
      <c r="L396" s="4" t="str">
        <f t="shared" si="59"/>
        <v/>
      </c>
      <c r="M396" s="4"/>
      <c r="N396" s="4"/>
      <c r="O396" s="4"/>
      <c r="P396" s="4"/>
      <c r="Q396" s="4"/>
      <c r="R396" s="4"/>
      <c r="S396" s="4"/>
      <c r="T396" s="4"/>
      <c r="U396" s="4"/>
    </row>
    <row r="397" spans="1:21">
      <c r="A397" t="s">
        <v>225</v>
      </c>
      <c r="B397">
        <v>9</v>
      </c>
      <c r="C397" t="str">
        <f t="shared" si="53"/>
        <v>test.ImageData_9_</v>
      </c>
      <c r="D397">
        <v>5</v>
      </c>
      <c r="E397" s="4">
        <v>0.5670103092783505</v>
      </c>
      <c r="F397" s="4">
        <v>0.14306027820710973</v>
      </c>
      <c r="G397" s="4">
        <f t="shared" si="54"/>
        <v>0.5670103092783505</v>
      </c>
      <c r="H397" s="4" t="str">
        <f t="shared" si="55"/>
        <v/>
      </c>
      <c r="I397" s="4" t="str">
        <f t="shared" si="56"/>
        <v/>
      </c>
      <c r="J397" s="4" t="str">
        <f t="shared" si="57"/>
        <v/>
      </c>
      <c r="K397" s="4" t="str">
        <f t="shared" si="58"/>
        <v/>
      </c>
      <c r="L397" s="4" t="str">
        <f t="shared" si="59"/>
        <v/>
      </c>
      <c r="M397" s="4"/>
      <c r="N397" s="4"/>
      <c r="O397" s="4"/>
      <c r="P397" s="4"/>
      <c r="Q397" s="4"/>
      <c r="R397" s="4"/>
      <c r="S397" s="4"/>
      <c r="T397" s="4"/>
      <c r="U397" s="4"/>
    </row>
    <row r="398" spans="1:21">
      <c r="A398" t="s">
        <v>225</v>
      </c>
      <c r="B398">
        <v>9</v>
      </c>
      <c r="C398" t="str">
        <f t="shared" si="53"/>
        <v>test.ImageData_9_</v>
      </c>
      <c r="D398">
        <v>6</v>
      </c>
      <c r="E398" s="4">
        <v>0.70618556701030932</v>
      </c>
      <c r="F398" s="4">
        <v>0.23641421947449767</v>
      </c>
      <c r="G398" s="4" t="str">
        <f t="shared" si="54"/>
        <v/>
      </c>
      <c r="H398" s="4">
        <f t="shared" si="55"/>
        <v>0.70618556701030932</v>
      </c>
      <c r="I398" s="4" t="str">
        <f t="shared" si="56"/>
        <v/>
      </c>
      <c r="J398" s="4" t="str">
        <f t="shared" si="57"/>
        <v/>
      </c>
      <c r="K398" s="4" t="str">
        <f t="shared" si="58"/>
        <v/>
      </c>
      <c r="L398" s="4" t="str">
        <f t="shared" si="59"/>
        <v/>
      </c>
      <c r="M398" s="4"/>
      <c r="N398" s="4"/>
      <c r="O398" s="4"/>
      <c r="P398" s="4"/>
      <c r="Q398" s="4"/>
      <c r="R398" s="4"/>
      <c r="S398" s="4"/>
      <c r="T398" s="4"/>
      <c r="U398" s="4"/>
    </row>
    <row r="399" spans="1:21">
      <c r="A399" t="s">
        <v>225</v>
      </c>
      <c r="B399">
        <v>9</v>
      </c>
      <c r="C399" t="str">
        <f t="shared" si="53"/>
        <v>test.ImageData_9_</v>
      </c>
      <c r="D399">
        <v>7</v>
      </c>
      <c r="E399" s="4">
        <v>0.81958762886597936</v>
      </c>
      <c r="F399" s="4">
        <v>0.25329211746522412</v>
      </c>
      <c r="G399" s="4" t="str">
        <f t="shared" si="54"/>
        <v/>
      </c>
      <c r="H399" s="4">
        <f t="shared" si="55"/>
        <v>0.81958762886597936</v>
      </c>
      <c r="I399" s="4" t="str">
        <f t="shared" si="56"/>
        <v/>
      </c>
      <c r="J399" s="4" t="str">
        <f t="shared" si="57"/>
        <v/>
      </c>
      <c r="K399" s="4" t="str">
        <f t="shared" si="58"/>
        <v/>
      </c>
      <c r="L399" s="4" t="str">
        <f t="shared" si="59"/>
        <v/>
      </c>
      <c r="M399" s="4"/>
      <c r="N399" s="4"/>
      <c r="O399" s="4"/>
      <c r="P399" s="4"/>
      <c r="Q399" s="4"/>
      <c r="R399" s="4"/>
      <c r="S399" s="4"/>
      <c r="T399" s="4"/>
      <c r="U399" s="4"/>
    </row>
    <row r="400" spans="1:21">
      <c r="A400" t="s">
        <v>225</v>
      </c>
      <c r="B400">
        <v>9</v>
      </c>
      <c r="C400" t="str">
        <f t="shared" si="53"/>
        <v>test.ImageData_9_</v>
      </c>
      <c r="D400">
        <v>8</v>
      </c>
      <c r="E400" s="4">
        <v>0.81958762886597936</v>
      </c>
      <c r="F400" s="4">
        <v>0.26831530139103554</v>
      </c>
      <c r="G400" s="4" t="str">
        <f t="shared" si="54"/>
        <v/>
      </c>
      <c r="H400" s="4">
        <f t="shared" si="55"/>
        <v>0.81958762886597936</v>
      </c>
      <c r="I400" s="4" t="str">
        <f t="shared" si="56"/>
        <v/>
      </c>
      <c r="J400" s="4" t="str">
        <f t="shared" si="57"/>
        <v/>
      </c>
      <c r="K400" s="4" t="str">
        <f t="shared" si="58"/>
        <v/>
      </c>
      <c r="L400" s="4" t="str">
        <f t="shared" si="59"/>
        <v/>
      </c>
      <c r="M400" s="4"/>
      <c r="N400" s="4"/>
      <c r="O400" s="4"/>
      <c r="P400" s="4"/>
      <c r="Q400" s="4"/>
      <c r="R400" s="4"/>
      <c r="S400" s="4"/>
      <c r="T400" s="4"/>
      <c r="U400" s="4"/>
    </row>
    <row r="401" spans="1:21">
      <c r="A401" t="s">
        <v>225</v>
      </c>
      <c r="B401">
        <v>9</v>
      </c>
      <c r="C401" t="str">
        <f t="shared" si="53"/>
        <v>test.ImageData_9_</v>
      </c>
      <c r="D401">
        <v>9</v>
      </c>
      <c r="E401" s="4">
        <v>1</v>
      </c>
      <c r="F401" s="4">
        <v>0.28438948995363217</v>
      </c>
      <c r="G401" s="4" t="str">
        <f t="shared" si="54"/>
        <v/>
      </c>
      <c r="H401" s="4">
        <f t="shared" si="55"/>
        <v>1</v>
      </c>
      <c r="I401" s="4" t="str">
        <f t="shared" si="56"/>
        <v/>
      </c>
      <c r="J401" s="4" t="str">
        <f t="shared" si="57"/>
        <v/>
      </c>
      <c r="K401" s="4" t="str">
        <f t="shared" si="58"/>
        <v/>
      </c>
      <c r="L401" s="4" t="str">
        <f t="shared" si="59"/>
        <v/>
      </c>
      <c r="M401" s="4"/>
      <c r="N401" s="4"/>
      <c r="O401" s="4"/>
      <c r="P401" s="4"/>
      <c r="Q401" s="4"/>
      <c r="R401" s="4"/>
      <c r="S401" s="4"/>
      <c r="T401" s="4"/>
      <c r="U401" s="4"/>
    </row>
    <row r="402" spans="1:21">
      <c r="A402" t="s">
        <v>225</v>
      </c>
      <c r="B402">
        <v>11</v>
      </c>
      <c r="C402" t="str">
        <f t="shared" si="53"/>
        <v>test.ImageData_11_</v>
      </c>
      <c r="D402">
        <v>1</v>
      </c>
      <c r="E402" s="4">
        <v>0.33962264150943394</v>
      </c>
      <c r="F402" s="4">
        <v>6.4741499767116906E-2</v>
      </c>
      <c r="G402" s="4">
        <f t="shared" si="54"/>
        <v>0.33962264150943394</v>
      </c>
      <c r="H402" s="4" t="str">
        <f t="shared" si="55"/>
        <v/>
      </c>
      <c r="I402" s="4" t="str">
        <f t="shared" si="56"/>
        <v/>
      </c>
      <c r="J402" s="4" t="str">
        <f t="shared" si="57"/>
        <v/>
      </c>
      <c r="K402" s="4" t="str">
        <f t="shared" si="58"/>
        <v/>
      </c>
      <c r="L402" s="4" t="str">
        <f t="shared" si="59"/>
        <v/>
      </c>
      <c r="M402" s="4"/>
      <c r="N402" s="4"/>
      <c r="O402" s="4"/>
      <c r="P402" s="4"/>
      <c r="Q402" s="4"/>
      <c r="R402" s="4"/>
      <c r="S402" s="4"/>
      <c r="T402" s="4"/>
      <c r="U402" s="4"/>
    </row>
    <row r="403" spans="1:21">
      <c r="A403" t="s">
        <v>225</v>
      </c>
      <c r="B403">
        <v>11</v>
      </c>
      <c r="C403" t="str">
        <f t="shared" si="53"/>
        <v>test.ImageData_11_</v>
      </c>
      <c r="D403">
        <v>2</v>
      </c>
      <c r="E403" s="4">
        <v>1</v>
      </c>
      <c r="F403" s="4">
        <v>1.1497438285980437</v>
      </c>
      <c r="G403" s="4" t="str">
        <f t="shared" si="54"/>
        <v/>
      </c>
      <c r="H403" s="4" t="str">
        <f t="shared" si="55"/>
        <v/>
      </c>
      <c r="I403" s="4" t="str">
        <f t="shared" si="56"/>
        <v/>
      </c>
      <c r="J403" s="4" t="str">
        <f t="shared" si="57"/>
        <v/>
      </c>
      <c r="K403" s="4" t="str">
        <f t="shared" si="58"/>
        <v/>
      </c>
      <c r="L403" s="4">
        <f t="shared" si="59"/>
        <v>1</v>
      </c>
      <c r="M403" s="4"/>
      <c r="N403" s="4"/>
      <c r="O403" s="4"/>
      <c r="P403" s="4"/>
      <c r="Q403" s="4"/>
      <c r="R403" s="4"/>
      <c r="S403" s="4"/>
      <c r="T403" s="4"/>
      <c r="U403" s="4"/>
    </row>
    <row r="404" spans="1:21">
      <c r="A404" t="s">
        <v>225</v>
      </c>
      <c r="B404">
        <v>13</v>
      </c>
      <c r="C404" t="str">
        <f t="shared" si="53"/>
        <v>test.ImageData_13_</v>
      </c>
      <c r="D404">
        <v>1</v>
      </c>
      <c r="E404" s="4">
        <v>1.3568521031207597E-3</v>
      </c>
      <c r="F404" s="4">
        <v>7.4343689097787463E-2</v>
      </c>
      <c r="G404" s="4">
        <f t="shared" si="54"/>
        <v>1.3568521031207597E-3</v>
      </c>
      <c r="H404" s="4" t="str">
        <f t="shared" si="55"/>
        <v/>
      </c>
      <c r="I404" s="4" t="str">
        <f t="shared" si="56"/>
        <v/>
      </c>
      <c r="J404" s="4" t="str">
        <f t="shared" si="57"/>
        <v/>
      </c>
      <c r="K404" s="4" t="str">
        <f t="shared" si="58"/>
        <v/>
      </c>
      <c r="L404" s="4" t="str">
        <f t="shared" si="59"/>
        <v/>
      </c>
      <c r="M404" s="4"/>
      <c r="N404" s="4"/>
      <c r="O404" s="4"/>
      <c r="P404" s="4"/>
      <c r="Q404" s="4"/>
      <c r="R404" s="4"/>
      <c r="S404" s="4"/>
      <c r="T404" s="4"/>
      <c r="U404" s="4"/>
    </row>
    <row r="405" spans="1:21">
      <c r="A405" t="s">
        <v>225</v>
      </c>
      <c r="B405">
        <v>13</v>
      </c>
      <c r="C405" t="str">
        <f t="shared" si="53"/>
        <v>test.ImageData_13_</v>
      </c>
      <c r="D405">
        <v>2</v>
      </c>
      <c r="E405" s="4">
        <v>4.0705563093622792E-3</v>
      </c>
      <c r="F405" s="4">
        <v>8.552103634070847E-2</v>
      </c>
      <c r="G405" s="4">
        <f t="shared" si="54"/>
        <v>4.0705563093622792E-3</v>
      </c>
      <c r="H405" s="4" t="str">
        <f t="shared" si="55"/>
        <v/>
      </c>
      <c r="I405" s="4" t="str">
        <f t="shared" si="56"/>
        <v/>
      </c>
      <c r="J405" s="4" t="str">
        <f t="shared" si="57"/>
        <v/>
      </c>
      <c r="K405" s="4" t="str">
        <f t="shared" si="58"/>
        <v/>
      </c>
      <c r="L405" s="4" t="str">
        <f t="shared" si="59"/>
        <v/>
      </c>
      <c r="M405" s="4"/>
      <c r="N405" s="4"/>
      <c r="O405" s="4"/>
      <c r="P405" s="4"/>
      <c r="Q405" s="4"/>
      <c r="R405" s="4"/>
      <c r="S405" s="4"/>
      <c r="T405" s="4"/>
      <c r="U405" s="4"/>
    </row>
    <row r="406" spans="1:21">
      <c r="A406" t="s">
        <v>225</v>
      </c>
      <c r="B406">
        <v>13</v>
      </c>
      <c r="C406" t="str">
        <f t="shared" si="53"/>
        <v>test.ImageData_13_</v>
      </c>
      <c r="D406">
        <v>3</v>
      </c>
      <c r="E406" s="4">
        <v>6.7842605156037995E-3</v>
      </c>
      <c r="F406" s="4">
        <v>0.1285681531583171</v>
      </c>
      <c r="G406" s="4">
        <f t="shared" si="54"/>
        <v>6.7842605156037995E-3</v>
      </c>
      <c r="H406" s="4" t="str">
        <f t="shared" si="55"/>
        <v/>
      </c>
      <c r="I406" s="4" t="str">
        <f t="shared" si="56"/>
        <v/>
      </c>
      <c r="J406" s="4" t="str">
        <f t="shared" si="57"/>
        <v/>
      </c>
      <c r="K406" s="4" t="str">
        <f t="shared" si="58"/>
        <v/>
      </c>
      <c r="L406" s="4" t="str">
        <f t="shared" si="59"/>
        <v/>
      </c>
      <c r="M406" s="4"/>
      <c r="N406" s="4"/>
      <c r="O406" s="4"/>
      <c r="P406" s="4"/>
      <c r="Q406" s="4"/>
      <c r="R406" s="4"/>
      <c r="S406" s="4"/>
      <c r="T406" s="4"/>
      <c r="U406" s="4"/>
    </row>
    <row r="407" spans="1:21">
      <c r="A407" t="s">
        <v>225</v>
      </c>
      <c r="B407">
        <v>13</v>
      </c>
      <c r="C407" t="str">
        <f t="shared" si="53"/>
        <v>test.ImageData_13_</v>
      </c>
      <c r="D407">
        <v>4</v>
      </c>
      <c r="E407" s="4">
        <v>1</v>
      </c>
      <c r="F407" s="4">
        <v>1.0088272383354351</v>
      </c>
      <c r="G407" s="4" t="str">
        <f t="shared" si="54"/>
        <v/>
      </c>
      <c r="H407" s="4" t="str">
        <f t="shared" si="55"/>
        <v/>
      </c>
      <c r="I407" s="4" t="str">
        <f t="shared" si="56"/>
        <v/>
      </c>
      <c r="J407" s="4" t="str">
        <f t="shared" si="57"/>
        <v/>
      </c>
      <c r="K407" s="4">
        <f t="shared" si="58"/>
        <v>1</v>
      </c>
      <c r="L407" s="4" t="str">
        <f t="shared" si="59"/>
        <v/>
      </c>
      <c r="M407" s="4"/>
      <c r="N407" s="4"/>
      <c r="O407" s="4"/>
      <c r="P407" s="4"/>
      <c r="Q407" s="4"/>
      <c r="R407" s="4"/>
      <c r="S407" s="4"/>
      <c r="T407" s="4"/>
      <c r="U407" s="4"/>
    </row>
    <row r="408" spans="1:21">
      <c r="A408" t="s">
        <v>225</v>
      </c>
      <c r="B408">
        <v>14</v>
      </c>
      <c r="C408" t="str">
        <f t="shared" si="53"/>
        <v>test.ImageData_14_</v>
      </c>
      <c r="D408">
        <v>1</v>
      </c>
      <c r="E408" s="4">
        <v>1.0438413361169101E-3</v>
      </c>
      <c r="F408" s="4">
        <v>5.081315504156126E-2</v>
      </c>
      <c r="G408" s="4">
        <f t="shared" si="54"/>
        <v>1.0438413361169101E-3</v>
      </c>
      <c r="H408" s="4" t="str">
        <f t="shared" si="55"/>
        <v/>
      </c>
      <c r="I408" s="4" t="str">
        <f t="shared" si="56"/>
        <v/>
      </c>
      <c r="J408" s="4" t="str">
        <f t="shared" si="57"/>
        <v/>
      </c>
      <c r="K408" s="4" t="str">
        <f t="shared" si="58"/>
        <v/>
      </c>
      <c r="L408" s="4" t="str">
        <f t="shared" si="59"/>
        <v/>
      </c>
      <c r="M408" s="4"/>
      <c r="N408" s="4"/>
      <c r="O408" s="4"/>
      <c r="P408" s="4"/>
      <c r="Q408" s="4"/>
      <c r="R408" s="4"/>
      <c r="S408" s="4"/>
      <c r="T408" s="4"/>
      <c r="U408" s="4"/>
    </row>
    <row r="409" spans="1:21">
      <c r="A409" t="s">
        <v>225</v>
      </c>
      <c r="B409">
        <v>14</v>
      </c>
      <c r="C409" t="str">
        <f t="shared" si="53"/>
        <v>test.ImageData_14_</v>
      </c>
      <c r="D409">
        <v>2</v>
      </c>
      <c r="E409" s="4">
        <v>4.1753653444676405E-3</v>
      </c>
      <c r="F409" s="4">
        <v>5.2114203108059268E-2</v>
      </c>
      <c r="G409" s="4">
        <f t="shared" si="54"/>
        <v>4.1753653444676405E-3</v>
      </c>
      <c r="H409" s="4" t="str">
        <f t="shared" si="55"/>
        <v/>
      </c>
      <c r="I409" s="4" t="str">
        <f t="shared" si="56"/>
        <v/>
      </c>
      <c r="J409" s="4" t="str">
        <f t="shared" si="57"/>
        <v/>
      </c>
      <c r="K409" s="4" t="str">
        <f t="shared" si="58"/>
        <v/>
      </c>
      <c r="L409" s="4" t="str">
        <f t="shared" si="59"/>
        <v/>
      </c>
      <c r="M409" s="4"/>
      <c r="N409" s="4"/>
      <c r="O409" s="4"/>
      <c r="P409" s="4"/>
      <c r="Q409" s="4"/>
      <c r="R409" s="4"/>
      <c r="S409" s="4"/>
      <c r="T409" s="4"/>
      <c r="U409" s="4"/>
    </row>
    <row r="410" spans="1:21">
      <c r="A410" t="s">
        <v>225</v>
      </c>
      <c r="B410">
        <v>14</v>
      </c>
      <c r="C410" t="str">
        <f t="shared" si="53"/>
        <v>test.ImageData_14_</v>
      </c>
      <c r="D410">
        <v>3</v>
      </c>
      <c r="E410" s="4">
        <v>5.2192066805845511E-3</v>
      </c>
      <c r="F410" s="4">
        <v>5.2933381520298757E-2</v>
      </c>
      <c r="G410" s="4">
        <f t="shared" si="54"/>
        <v>5.2192066805845511E-3</v>
      </c>
      <c r="H410" s="4" t="str">
        <f t="shared" si="55"/>
        <v/>
      </c>
      <c r="I410" s="4" t="str">
        <f t="shared" si="56"/>
        <v/>
      </c>
      <c r="J410" s="4" t="str">
        <f t="shared" si="57"/>
        <v/>
      </c>
      <c r="K410" s="4" t="str">
        <f t="shared" si="58"/>
        <v/>
      </c>
      <c r="L410" s="4" t="str">
        <f t="shared" si="59"/>
        <v/>
      </c>
      <c r="M410" s="4"/>
      <c r="N410" s="4"/>
      <c r="O410" s="4"/>
      <c r="P410" s="4"/>
      <c r="Q410" s="4"/>
      <c r="R410" s="4"/>
      <c r="S410" s="4"/>
      <c r="T410" s="4"/>
      <c r="U410" s="4"/>
    </row>
    <row r="411" spans="1:21">
      <c r="A411" t="s">
        <v>225</v>
      </c>
      <c r="B411">
        <v>14</v>
      </c>
      <c r="C411" t="str">
        <f t="shared" si="53"/>
        <v>test.ImageData_14_</v>
      </c>
      <c r="D411">
        <v>4</v>
      </c>
      <c r="E411" s="4">
        <v>0.36430062630480164</v>
      </c>
      <c r="F411" s="4">
        <v>0.44151307071437174</v>
      </c>
      <c r="G411" s="4" t="str">
        <f t="shared" si="54"/>
        <v/>
      </c>
      <c r="H411" s="4" t="str">
        <f t="shared" si="55"/>
        <v/>
      </c>
      <c r="I411" s="4">
        <f t="shared" si="56"/>
        <v>0.36430062630480164</v>
      </c>
      <c r="J411" s="4" t="str">
        <f t="shared" si="57"/>
        <v/>
      </c>
      <c r="K411" s="4" t="str">
        <f t="shared" si="58"/>
        <v/>
      </c>
      <c r="L411" s="4" t="str">
        <f t="shared" si="59"/>
        <v/>
      </c>
      <c r="M411" s="4"/>
      <c r="N411" s="4"/>
      <c r="O411" s="4"/>
      <c r="P411" s="4"/>
      <c r="Q411" s="4"/>
      <c r="R411" s="4"/>
      <c r="S411" s="4"/>
      <c r="T411" s="4"/>
      <c r="U411" s="4"/>
    </row>
    <row r="412" spans="1:21">
      <c r="A412" t="s">
        <v>225</v>
      </c>
      <c r="B412">
        <v>14</v>
      </c>
      <c r="C412" t="str">
        <f t="shared" si="53"/>
        <v>test.ImageData_14_</v>
      </c>
      <c r="D412">
        <v>5</v>
      </c>
      <c r="E412" s="4">
        <v>0.36951983298538621</v>
      </c>
      <c r="F412" s="4">
        <v>0.44156125767979759</v>
      </c>
      <c r="G412" s="4" t="str">
        <f t="shared" si="54"/>
        <v/>
      </c>
      <c r="H412" s="4" t="str">
        <f t="shared" si="55"/>
        <v/>
      </c>
      <c r="I412" s="4">
        <f t="shared" si="56"/>
        <v>0.36951983298538621</v>
      </c>
      <c r="J412" s="4" t="str">
        <f t="shared" si="57"/>
        <v/>
      </c>
      <c r="K412" s="4" t="str">
        <f t="shared" si="58"/>
        <v/>
      </c>
      <c r="L412" s="4" t="str">
        <f t="shared" si="59"/>
        <v/>
      </c>
      <c r="M412" s="4"/>
      <c r="N412" s="4"/>
      <c r="O412" s="4"/>
      <c r="P412" s="4"/>
      <c r="Q412" s="4"/>
      <c r="R412" s="4"/>
      <c r="S412" s="4"/>
      <c r="T412" s="4"/>
      <c r="U412" s="4"/>
    </row>
    <row r="413" spans="1:21">
      <c r="A413" t="s">
        <v>225</v>
      </c>
      <c r="B413">
        <v>14</v>
      </c>
      <c r="C413" t="str">
        <f t="shared" si="53"/>
        <v>test.ImageData_14_</v>
      </c>
      <c r="D413">
        <v>6</v>
      </c>
      <c r="E413" s="4">
        <v>0.36951983298538621</v>
      </c>
      <c r="F413" s="4">
        <v>0.44751234790989036</v>
      </c>
      <c r="G413" s="4" t="str">
        <f t="shared" si="54"/>
        <v/>
      </c>
      <c r="H413" s="4" t="str">
        <f t="shared" si="55"/>
        <v/>
      </c>
      <c r="I413" s="4">
        <f t="shared" si="56"/>
        <v>0.36951983298538621</v>
      </c>
      <c r="J413" s="4" t="str">
        <f t="shared" si="57"/>
        <v/>
      </c>
      <c r="K413" s="4" t="str">
        <f t="shared" si="58"/>
        <v/>
      </c>
      <c r="L413" s="4" t="str">
        <f t="shared" si="59"/>
        <v/>
      </c>
      <c r="M413" s="4"/>
      <c r="N413" s="4"/>
      <c r="O413" s="4"/>
      <c r="P413" s="4"/>
      <c r="Q413" s="4"/>
      <c r="R413" s="4"/>
      <c r="S413" s="4"/>
      <c r="T413" s="4"/>
      <c r="U413" s="4"/>
    </row>
    <row r="414" spans="1:21">
      <c r="A414" t="s">
        <v>225</v>
      </c>
      <c r="B414">
        <v>14</v>
      </c>
      <c r="C414" t="str">
        <f t="shared" si="53"/>
        <v>test.ImageData_14_</v>
      </c>
      <c r="D414">
        <v>7</v>
      </c>
      <c r="E414" s="4">
        <v>0.58872651356993733</v>
      </c>
      <c r="F414" s="4">
        <v>0.45153595952294906</v>
      </c>
      <c r="G414" s="4" t="str">
        <f t="shared" si="54"/>
        <v/>
      </c>
      <c r="H414" s="4" t="str">
        <f t="shared" si="55"/>
        <v/>
      </c>
      <c r="I414" s="4">
        <f t="shared" si="56"/>
        <v>0.58872651356993733</v>
      </c>
      <c r="J414" s="4" t="str">
        <f t="shared" si="57"/>
        <v/>
      </c>
      <c r="K414" s="4" t="str">
        <f t="shared" si="58"/>
        <v/>
      </c>
      <c r="L414" s="4" t="str">
        <f t="shared" si="59"/>
        <v/>
      </c>
      <c r="M414" s="4"/>
      <c r="N414" s="4"/>
      <c r="O414" s="4"/>
      <c r="P414" s="4"/>
      <c r="Q414" s="4"/>
      <c r="R414" s="4"/>
      <c r="S414" s="4"/>
      <c r="T414" s="4"/>
      <c r="U414" s="4"/>
    </row>
    <row r="415" spans="1:21">
      <c r="A415" t="s">
        <v>225</v>
      </c>
      <c r="B415">
        <v>14</v>
      </c>
      <c r="C415" t="str">
        <f t="shared" si="53"/>
        <v>test.ImageData_14_</v>
      </c>
      <c r="D415">
        <v>8</v>
      </c>
      <c r="E415" s="4">
        <v>0.58872651356993733</v>
      </c>
      <c r="F415" s="4">
        <v>0.45845078906155884</v>
      </c>
      <c r="G415" s="4" t="str">
        <f t="shared" si="54"/>
        <v/>
      </c>
      <c r="H415" s="4" t="str">
        <f t="shared" si="55"/>
        <v/>
      </c>
      <c r="I415" s="4">
        <f t="shared" si="56"/>
        <v>0.58872651356993733</v>
      </c>
      <c r="J415" s="4" t="str">
        <f t="shared" si="57"/>
        <v/>
      </c>
      <c r="K415" s="4" t="str">
        <f t="shared" si="58"/>
        <v/>
      </c>
      <c r="L415" s="4" t="str">
        <f t="shared" si="59"/>
        <v/>
      </c>
      <c r="M415" s="4"/>
      <c r="N415" s="4"/>
      <c r="O415" s="4"/>
      <c r="P415" s="4"/>
      <c r="Q415" s="4"/>
      <c r="R415" s="4"/>
      <c r="S415" s="4"/>
      <c r="T415" s="4"/>
      <c r="U415" s="4"/>
    </row>
    <row r="416" spans="1:21">
      <c r="A416" t="s">
        <v>225</v>
      </c>
      <c r="B416">
        <v>14</v>
      </c>
      <c r="C416" t="str">
        <f t="shared" si="53"/>
        <v>test.ImageData_14_</v>
      </c>
      <c r="D416">
        <v>9</v>
      </c>
      <c r="E416" s="4">
        <v>0.58872651356993733</v>
      </c>
      <c r="F416" s="4">
        <v>0.46206481146849776</v>
      </c>
      <c r="G416" s="4" t="str">
        <f t="shared" si="54"/>
        <v/>
      </c>
      <c r="H416" s="4" t="str">
        <f t="shared" si="55"/>
        <v/>
      </c>
      <c r="I416" s="4">
        <f t="shared" si="56"/>
        <v>0.58872651356993733</v>
      </c>
      <c r="J416" s="4" t="str">
        <f t="shared" si="57"/>
        <v/>
      </c>
      <c r="K416" s="4" t="str">
        <f t="shared" si="58"/>
        <v/>
      </c>
      <c r="L416" s="4" t="str">
        <f t="shared" si="59"/>
        <v/>
      </c>
      <c r="M416" s="4"/>
      <c r="N416" s="4"/>
      <c r="O416" s="4"/>
      <c r="P416" s="4"/>
      <c r="Q416" s="4"/>
      <c r="R416" s="4"/>
      <c r="S416" s="4"/>
      <c r="T416" s="4"/>
      <c r="U416" s="4"/>
    </row>
    <row r="417" spans="1:21">
      <c r="A417" t="s">
        <v>225</v>
      </c>
      <c r="B417">
        <v>14</v>
      </c>
      <c r="C417" t="str">
        <f t="shared" si="53"/>
        <v>test.ImageData_14_</v>
      </c>
      <c r="D417">
        <v>10</v>
      </c>
      <c r="E417" s="4">
        <v>0.9989561586638831</v>
      </c>
      <c r="F417" s="4">
        <v>0.7764847608721841</v>
      </c>
      <c r="G417" s="4" t="str">
        <f t="shared" si="54"/>
        <v/>
      </c>
      <c r="H417" s="4" t="str">
        <f t="shared" si="55"/>
        <v/>
      </c>
      <c r="I417" s="4" t="str">
        <f t="shared" si="56"/>
        <v/>
      </c>
      <c r="J417" s="4">
        <f t="shared" si="57"/>
        <v>0.9989561586638831</v>
      </c>
      <c r="K417" s="4" t="str">
        <f t="shared" si="58"/>
        <v/>
      </c>
      <c r="L417" s="4" t="str">
        <f t="shared" si="59"/>
        <v/>
      </c>
      <c r="M417" s="4"/>
      <c r="N417" s="4"/>
      <c r="O417" s="4"/>
      <c r="P417" s="4"/>
      <c r="Q417" s="4"/>
      <c r="R417" s="4"/>
      <c r="S417" s="4"/>
      <c r="T417" s="4"/>
      <c r="U417" s="4"/>
    </row>
    <row r="418" spans="1:21">
      <c r="A418" t="s">
        <v>225</v>
      </c>
      <c r="B418">
        <v>14</v>
      </c>
      <c r="C418" t="str">
        <f t="shared" si="53"/>
        <v>test.ImageData_14_</v>
      </c>
      <c r="D418">
        <v>11</v>
      </c>
      <c r="E418" s="4">
        <v>1</v>
      </c>
      <c r="F418" s="4">
        <v>0.78655583664618722</v>
      </c>
      <c r="G418" s="4" t="str">
        <f t="shared" si="54"/>
        <v/>
      </c>
      <c r="H418" s="4" t="str">
        <f t="shared" si="55"/>
        <v/>
      </c>
      <c r="I418" s="4" t="str">
        <f t="shared" si="56"/>
        <v/>
      </c>
      <c r="J418" s="4">
        <f t="shared" si="57"/>
        <v>1</v>
      </c>
      <c r="K418" s="4" t="str">
        <f t="shared" si="58"/>
        <v/>
      </c>
      <c r="L418" s="4" t="str">
        <f t="shared" si="59"/>
        <v/>
      </c>
      <c r="M418" s="4"/>
      <c r="N418" s="4"/>
      <c r="O418" s="4"/>
      <c r="P418" s="4"/>
      <c r="Q418" s="4"/>
      <c r="R418" s="4"/>
      <c r="S418" s="4"/>
      <c r="T418" s="4"/>
      <c r="U418" s="4"/>
    </row>
    <row r="419" spans="1:21">
      <c r="A419" t="s">
        <v>225</v>
      </c>
      <c r="B419">
        <v>15</v>
      </c>
      <c r="C419" t="str">
        <f t="shared" si="53"/>
        <v>test.ImageData_15_</v>
      </c>
      <c r="D419">
        <v>1</v>
      </c>
      <c r="E419" s="4">
        <v>2.1008403361344537E-3</v>
      </c>
      <c r="F419" s="4">
        <v>6.1114292726826475E-2</v>
      </c>
      <c r="G419" s="4">
        <f t="shared" si="54"/>
        <v>2.1008403361344537E-3</v>
      </c>
      <c r="H419" s="4" t="str">
        <f t="shared" si="55"/>
        <v/>
      </c>
      <c r="I419" s="4" t="str">
        <f t="shared" si="56"/>
        <v/>
      </c>
      <c r="J419" s="4" t="str">
        <f t="shared" si="57"/>
        <v/>
      </c>
      <c r="K419" s="4" t="str">
        <f t="shared" si="58"/>
        <v/>
      </c>
      <c r="L419" s="4" t="str">
        <f t="shared" si="59"/>
        <v/>
      </c>
      <c r="M419" s="4"/>
      <c r="N419" s="4"/>
      <c r="O419" s="4"/>
      <c r="P419" s="4"/>
      <c r="Q419" s="4"/>
      <c r="R419" s="4"/>
      <c r="S419" s="4"/>
      <c r="T419" s="4"/>
      <c r="U419" s="4"/>
    </row>
    <row r="420" spans="1:21">
      <c r="A420" t="s">
        <v>225</v>
      </c>
      <c r="B420">
        <v>15</v>
      </c>
      <c r="C420" t="str">
        <f t="shared" si="53"/>
        <v>test.ImageData_15_</v>
      </c>
      <c r="D420">
        <v>2</v>
      </c>
      <c r="E420" s="4">
        <v>6.3025210084033615E-3</v>
      </c>
      <c r="F420" s="4">
        <v>7.0277345987073553E-2</v>
      </c>
      <c r="G420" s="4">
        <f t="shared" si="54"/>
        <v>6.3025210084033615E-3</v>
      </c>
      <c r="H420" s="4" t="str">
        <f t="shared" si="55"/>
        <v/>
      </c>
      <c r="I420" s="4" t="str">
        <f t="shared" si="56"/>
        <v/>
      </c>
      <c r="J420" s="4" t="str">
        <f t="shared" si="57"/>
        <v/>
      </c>
      <c r="K420" s="4" t="str">
        <f t="shared" si="58"/>
        <v/>
      </c>
      <c r="L420" s="4" t="str">
        <f t="shared" si="59"/>
        <v/>
      </c>
      <c r="M420" s="4"/>
      <c r="N420" s="4"/>
      <c r="O420" s="4"/>
      <c r="P420" s="4"/>
      <c r="Q420" s="4"/>
      <c r="R420" s="4"/>
      <c r="S420" s="4"/>
      <c r="T420" s="4"/>
      <c r="U420" s="4"/>
    </row>
    <row r="421" spans="1:21">
      <c r="A421" t="s">
        <v>225</v>
      </c>
      <c r="B421">
        <v>15</v>
      </c>
      <c r="C421" t="str">
        <f t="shared" si="53"/>
        <v>test.ImageData_15_</v>
      </c>
      <c r="D421">
        <v>3</v>
      </c>
      <c r="E421" s="4">
        <v>1.050420168067227E-2</v>
      </c>
      <c r="F421" s="4">
        <v>0.12771005481469361</v>
      </c>
      <c r="G421" s="4">
        <f t="shared" si="54"/>
        <v>1.050420168067227E-2</v>
      </c>
      <c r="H421" s="4" t="str">
        <f t="shared" si="55"/>
        <v/>
      </c>
      <c r="I421" s="4" t="str">
        <f t="shared" si="56"/>
        <v/>
      </c>
      <c r="J421" s="4" t="str">
        <f t="shared" si="57"/>
        <v/>
      </c>
      <c r="K421" s="4" t="str">
        <f t="shared" si="58"/>
        <v/>
      </c>
      <c r="L421" s="4" t="str">
        <f t="shared" si="59"/>
        <v/>
      </c>
      <c r="M421" s="4"/>
      <c r="N421" s="4"/>
      <c r="O421" s="4"/>
      <c r="P421" s="4"/>
      <c r="Q421" s="4"/>
      <c r="R421" s="4"/>
      <c r="S421" s="4"/>
      <c r="T421" s="4"/>
      <c r="U421" s="4"/>
    </row>
    <row r="422" spans="1:21">
      <c r="A422" t="s">
        <v>225</v>
      </c>
      <c r="B422">
        <v>15</v>
      </c>
      <c r="C422" t="str">
        <f t="shared" si="53"/>
        <v>test.ImageData_15_</v>
      </c>
      <c r="D422">
        <v>4</v>
      </c>
      <c r="E422" s="4">
        <v>1</v>
      </c>
      <c r="F422" s="4">
        <v>1.0557964493168617</v>
      </c>
      <c r="G422" s="4" t="str">
        <f t="shared" si="54"/>
        <v/>
      </c>
      <c r="H422" s="4" t="str">
        <f t="shared" si="55"/>
        <v/>
      </c>
      <c r="I422" s="4" t="str">
        <f t="shared" si="56"/>
        <v/>
      </c>
      <c r="J422" s="4" t="str">
        <f t="shared" si="57"/>
        <v/>
      </c>
      <c r="K422" s="4">
        <f t="shared" si="58"/>
        <v>1</v>
      </c>
      <c r="L422" s="4" t="str">
        <f t="shared" si="59"/>
        <v/>
      </c>
      <c r="M422" s="4"/>
      <c r="N422" s="4"/>
      <c r="O422" s="4"/>
      <c r="P422" s="4"/>
      <c r="Q422" s="4"/>
      <c r="R422" s="4"/>
      <c r="S422" s="4"/>
      <c r="T422" s="4"/>
      <c r="U422" s="4"/>
    </row>
    <row r="423" spans="1:21">
      <c r="A423" t="s">
        <v>225</v>
      </c>
      <c r="B423">
        <v>16</v>
      </c>
      <c r="C423" t="str">
        <f t="shared" si="53"/>
        <v>test.ImageData_16_</v>
      </c>
      <c r="D423">
        <v>1</v>
      </c>
      <c r="E423" s="4">
        <v>1.6474464579901153E-3</v>
      </c>
      <c r="F423" s="4">
        <v>4.1347694498842798E-2</v>
      </c>
      <c r="G423" s="4">
        <f t="shared" si="54"/>
        <v>1.6474464579901153E-3</v>
      </c>
      <c r="H423" s="4" t="str">
        <f t="shared" si="55"/>
        <v/>
      </c>
      <c r="I423" s="4" t="str">
        <f t="shared" si="56"/>
        <v/>
      </c>
      <c r="J423" s="4" t="str">
        <f t="shared" si="57"/>
        <v/>
      </c>
      <c r="K423" s="4" t="str">
        <f t="shared" si="58"/>
        <v/>
      </c>
      <c r="L423" s="4" t="str">
        <f t="shared" si="59"/>
        <v/>
      </c>
      <c r="M423" s="4"/>
      <c r="N423" s="4"/>
      <c r="O423" s="4"/>
      <c r="P423" s="4"/>
      <c r="Q423" s="4"/>
      <c r="R423" s="4"/>
      <c r="S423" s="4"/>
      <c r="T423" s="4"/>
      <c r="U423" s="4"/>
    </row>
    <row r="424" spans="1:21">
      <c r="A424" t="s">
        <v>225</v>
      </c>
      <c r="B424">
        <v>16</v>
      </c>
      <c r="C424" t="str">
        <f t="shared" si="53"/>
        <v>test.ImageData_16_</v>
      </c>
      <c r="D424">
        <v>2</v>
      </c>
      <c r="E424" s="4">
        <v>4.9423393739703456E-3</v>
      </c>
      <c r="F424" s="4">
        <v>4.4151682392736334E-2</v>
      </c>
      <c r="G424" s="4">
        <f t="shared" si="54"/>
        <v>4.9423393739703456E-3</v>
      </c>
      <c r="H424" s="4" t="str">
        <f t="shared" si="55"/>
        <v/>
      </c>
      <c r="I424" s="4" t="str">
        <f t="shared" si="56"/>
        <v/>
      </c>
      <c r="J424" s="4" t="str">
        <f t="shared" si="57"/>
        <v/>
      </c>
      <c r="K424" s="4" t="str">
        <f t="shared" si="58"/>
        <v/>
      </c>
      <c r="L424" s="4" t="str">
        <f t="shared" si="59"/>
        <v/>
      </c>
      <c r="M424" s="4"/>
      <c r="N424" s="4"/>
      <c r="O424" s="4"/>
      <c r="P424" s="4"/>
      <c r="Q424" s="4"/>
      <c r="R424" s="4"/>
      <c r="S424" s="4"/>
      <c r="T424" s="4"/>
      <c r="U424" s="4"/>
    </row>
    <row r="425" spans="1:21">
      <c r="A425" t="s">
        <v>225</v>
      </c>
      <c r="B425">
        <v>16</v>
      </c>
      <c r="C425" t="str">
        <f t="shared" si="53"/>
        <v>test.ImageData_16_</v>
      </c>
      <c r="D425">
        <v>3</v>
      </c>
      <c r="E425" s="4">
        <v>8.2372322899505763E-3</v>
      </c>
      <c r="F425" s="4">
        <v>4.6822147053587324E-2</v>
      </c>
      <c r="G425" s="4">
        <f t="shared" si="54"/>
        <v>8.2372322899505763E-3</v>
      </c>
      <c r="H425" s="4" t="str">
        <f t="shared" si="55"/>
        <v/>
      </c>
      <c r="I425" s="4" t="str">
        <f t="shared" si="56"/>
        <v/>
      </c>
      <c r="J425" s="4" t="str">
        <f t="shared" si="57"/>
        <v/>
      </c>
      <c r="K425" s="4" t="str">
        <f t="shared" si="58"/>
        <v/>
      </c>
      <c r="L425" s="4" t="str">
        <f t="shared" si="59"/>
        <v/>
      </c>
      <c r="M425" s="4"/>
      <c r="N425" s="4"/>
      <c r="O425" s="4"/>
      <c r="P425" s="4"/>
      <c r="Q425" s="4"/>
      <c r="R425" s="4"/>
      <c r="S425" s="4"/>
      <c r="T425" s="4"/>
      <c r="U425" s="4"/>
    </row>
    <row r="426" spans="1:21">
      <c r="A426" t="s">
        <v>225</v>
      </c>
      <c r="B426">
        <v>16</v>
      </c>
      <c r="C426" t="str">
        <f t="shared" si="53"/>
        <v>test.ImageData_16_</v>
      </c>
      <c r="D426">
        <v>4</v>
      </c>
      <c r="E426" s="4">
        <v>1</v>
      </c>
      <c r="F426" s="4">
        <v>1.000267046466085</v>
      </c>
      <c r="G426" s="4" t="str">
        <f t="shared" si="54"/>
        <v/>
      </c>
      <c r="H426" s="4" t="str">
        <f t="shared" si="55"/>
        <v/>
      </c>
      <c r="I426" s="4" t="str">
        <f t="shared" si="56"/>
        <v/>
      </c>
      <c r="J426" s="4" t="str">
        <f t="shared" si="57"/>
        <v/>
      </c>
      <c r="K426" s="4">
        <f t="shared" si="58"/>
        <v>1</v>
      </c>
      <c r="L426" s="4" t="str">
        <f t="shared" si="59"/>
        <v/>
      </c>
      <c r="M426" s="4"/>
      <c r="N426" s="4"/>
      <c r="O426" s="4"/>
      <c r="P426" s="4"/>
      <c r="Q426" s="4"/>
      <c r="R426" s="4"/>
      <c r="S426" s="4"/>
      <c r="T426" s="4"/>
      <c r="U426" s="4"/>
    </row>
    <row r="427" spans="1:21">
      <c r="A427" t="s">
        <v>225</v>
      </c>
      <c r="B427">
        <v>20</v>
      </c>
      <c r="C427" t="str">
        <f t="shared" si="53"/>
        <v>test.ImageData_20_</v>
      </c>
      <c r="D427">
        <v>1</v>
      </c>
      <c r="E427" s="4">
        <v>0.59259259259259256</v>
      </c>
      <c r="F427" s="4">
        <v>0.5593929879644165</v>
      </c>
      <c r="G427" s="4" t="str">
        <f t="shared" si="54"/>
        <v/>
      </c>
      <c r="H427" s="4" t="str">
        <f t="shared" si="55"/>
        <v/>
      </c>
      <c r="I427" s="4">
        <f t="shared" si="56"/>
        <v>0.59259259259259256</v>
      </c>
      <c r="J427" s="4" t="str">
        <f t="shared" si="57"/>
        <v/>
      </c>
      <c r="K427" s="4" t="str">
        <f t="shared" si="58"/>
        <v/>
      </c>
      <c r="L427" s="4" t="str">
        <f t="shared" si="59"/>
        <v/>
      </c>
      <c r="M427" s="4"/>
      <c r="N427" s="4"/>
      <c r="O427" s="4"/>
      <c r="P427" s="4"/>
      <c r="Q427" s="4"/>
      <c r="R427" s="4"/>
      <c r="S427" s="4"/>
      <c r="T427" s="4"/>
      <c r="U427" s="4"/>
    </row>
    <row r="428" spans="1:21">
      <c r="A428" t="s">
        <v>225</v>
      </c>
      <c r="B428">
        <v>20</v>
      </c>
      <c r="C428" t="str">
        <f t="shared" si="53"/>
        <v>test.ImageData_20_</v>
      </c>
      <c r="D428">
        <v>2</v>
      </c>
      <c r="E428" s="4">
        <v>1</v>
      </c>
      <c r="F428" s="4">
        <v>0.56881214024071169</v>
      </c>
      <c r="G428" s="4" t="str">
        <f t="shared" si="54"/>
        <v/>
      </c>
      <c r="H428" s="4" t="str">
        <f t="shared" si="55"/>
        <v/>
      </c>
      <c r="I428" s="4">
        <f t="shared" si="56"/>
        <v>1</v>
      </c>
      <c r="J428" s="4" t="str">
        <f t="shared" si="57"/>
        <v/>
      </c>
      <c r="K428" s="4" t="str">
        <f t="shared" si="58"/>
        <v/>
      </c>
      <c r="L428" s="4" t="str">
        <f t="shared" si="59"/>
        <v/>
      </c>
      <c r="M428" s="4"/>
      <c r="N428" s="4"/>
      <c r="O428" s="4"/>
      <c r="P428" s="4"/>
      <c r="Q428" s="4"/>
      <c r="R428" s="4"/>
      <c r="S428" s="4"/>
      <c r="T428" s="4"/>
      <c r="U428" s="4"/>
    </row>
    <row r="429" spans="1:21">
      <c r="A429" t="s">
        <v>225</v>
      </c>
      <c r="B429">
        <v>21</v>
      </c>
      <c r="C429" t="str">
        <f t="shared" si="53"/>
        <v>test.ImageData_21_</v>
      </c>
      <c r="D429">
        <v>1</v>
      </c>
      <c r="E429" s="4">
        <v>0.54385964912280704</v>
      </c>
      <c r="F429" s="4">
        <v>0.51549755301794453</v>
      </c>
      <c r="G429" s="4" t="str">
        <f t="shared" si="54"/>
        <v/>
      </c>
      <c r="H429" s="4" t="str">
        <f t="shared" si="55"/>
        <v/>
      </c>
      <c r="I429" s="4">
        <f t="shared" si="56"/>
        <v>0.54385964912280704</v>
      </c>
      <c r="J429" s="4" t="str">
        <f t="shared" si="57"/>
        <v/>
      </c>
      <c r="K429" s="4" t="str">
        <f t="shared" si="58"/>
        <v/>
      </c>
      <c r="L429" s="4" t="str">
        <f t="shared" si="59"/>
        <v/>
      </c>
      <c r="M429" s="4"/>
      <c r="N429" s="4"/>
      <c r="O429" s="4"/>
      <c r="P429" s="4"/>
      <c r="Q429" s="4"/>
      <c r="R429" s="4"/>
      <c r="S429" s="4"/>
      <c r="T429" s="4"/>
      <c r="U429" s="4"/>
    </row>
    <row r="430" spans="1:21">
      <c r="A430" t="s">
        <v>225</v>
      </c>
      <c r="B430">
        <v>21</v>
      </c>
      <c r="C430" t="str">
        <f t="shared" si="53"/>
        <v>test.ImageData_21_</v>
      </c>
      <c r="D430">
        <v>2</v>
      </c>
      <c r="E430" s="4">
        <v>1</v>
      </c>
      <c r="F430" s="4">
        <v>0.51835236541598695</v>
      </c>
      <c r="G430" s="4" t="str">
        <f t="shared" si="54"/>
        <v/>
      </c>
      <c r="H430" s="4" t="str">
        <f t="shared" si="55"/>
        <v/>
      </c>
      <c r="I430" s="4">
        <f t="shared" si="56"/>
        <v>1</v>
      </c>
      <c r="J430" s="4" t="str">
        <f t="shared" si="57"/>
        <v/>
      </c>
      <c r="K430" s="4" t="str">
        <f t="shared" si="58"/>
        <v/>
      </c>
      <c r="L430" s="4" t="str">
        <f t="shared" si="59"/>
        <v/>
      </c>
      <c r="M430" s="4"/>
      <c r="N430" s="4"/>
      <c r="O430" s="4"/>
      <c r="P430" s="4"/>
      <c r="Q430" s="4"/>
      <c r="R430" s="4"/>
      <c r="S430" s="4"/>
      <c r="T430" s="4"/>
      <c r="U430" s="4"/>
    </row>
    <row r="431" spans="1:21">
      <c r="A431" t="s">
        <v>227</v>
      </c>
      <c r="B431">
        <v>0</v>
      </c>
      <c r="C431" t="str">
        <f t="shared" si="53"/>
        <v>test.QRCodeDataBlockReader_0_</v>
      </c>
      <c r="D431">
        <v>1</v>
      </c>
      <c r="E431" s="4">
        <v>0.1</v>
      </c>
      <c r="F431" s="4">
        <v>0.45945945945945948</v>
      </c>
      <c r="G431" s="4" t="str">
        <f t="shared" si="54"/>
        <v/>
      </c>
      <c r="H431" s="4" t="str">
        <f t="shared" si="55"/>
        <v/>
      </c>
      <c r="I431" s="4">
        <f t="shared" si="56"/>
        <v>0.1</v>
      </c>
      <c r="J431" s="4" t="str">
        <f t="shared" si="57"/>
        <v/>
      </c>
      <c r="K431" s="4" t="str">
        <f t="shared" si="58"/>
        <v/>
      </c>
      <c r="L431" s="4" t="str">
        <f t="shared" si="59"/>
        <v/>
      </c>
      <c r="M431" s="4"/>
      <c r="N431" s="4"/>
      <c r="O431" s="4"/>
      <c r="P431" s="4"/>
      <c r="Q431" s="4"/>
      <c r="R431" s="4"/>
      <c r="S431" s="4"/>
      <c r="T431" s="4"/>
      <c r="U431" s="4"/>
    </row>
    <row r="432" spans="1:21">
      <c r="A432" t="s">
        <v>227</v>
      </c>
      <c r="B432">
        <v>0</v>
      </c>
      <c r="C432" t="str">
        <f t="shared" si="53"/>
        <v>test.QRCodeDataBlockReader_0_</v>
      </c>
      <c r="D432">
        <v>2</v>
      </c>
      <c r="E432" s="4">
        <v>0.4</v>
      </c>
      <c r="F432" s="4">
        <v>0.7432432432432432</v>
      </c>
      <c r="G432" s="4" t="str">
        <f t="shared" si="54"/>
        <v/>
      </c>
      <c r="H432" s="4" t="str">
        <f t="shared" si="55"/>
        <v/>
      </c>
      <c r="I432" s="4" t="str">
        <f t="shared" si="56"/>
        <v/>
      </c>
      <c r="J432" s="4">
        <f t="shared" si="57"/>
        <v>0.4</v>
      </c>
      <c r="K432" s="4" t="str">
        <f t="shared" si="58"/>
        <v/>
      </c>
      <c r="L432" s="4" t="str">
        <f t="shared" si="59"/>
        <v/>
      </c>
      <c r="M432" s="4"/>
      <c r="N432" s="4"/>
      <c r="O432" s="4"/>
      <c r="P432" s="4"/>
      <c r="Q432" s="4"/>
      <c r="R432" s="4"/>
      <c r="S432" s="4"/>
      <c r="T432" s="4"/>
      <c r="U432" s="4"/>
    </row>
    <row r="433" spans="1:21">
      <c r="A433" t="s">
        <v>227</v>
      </c>
      <c r="B433">
        <v>0</v>
      </c>
      <c r="C433" t="str">
        <f t="shared" si="53"/>
        <v>test.QRCodeDataBlockReader_0_</v>
      </c>
      <c r="D433">
        <v>3</v>
      </c>
      <c r="E433" s="4">
        <v>0.8</v>
      </c>
      <c r="F433" s="4">
        <v>0.95270270270270274</v>
      </c>
      <c r="G433" s="4" t="str">
        <f t="shared" si="54"/>
        <v/>
      </c>
      <c r="H433" s="4" t="str">
        <f t="shared" si="55"/>
        <v/>
      </c>
      <c r="I433" s="4" t="str">
        <f t="shared" si="56"/>
        <v/>
      </c>
      <c r="J433" s="4" t="str">
        <f t="shared" si="57"/>
        <v/>
      </c>
      <c r="K433" s="4">
        <f t="shared" si="58"/>
        <v>0.8</v>
      </c>
      <c r="L433" s="4" t="str">
        <f t="shared" si="59"/>
        <v/>
      </c>
      <c r="M433" s="4"/>
      <c r="N433" s="4"/>
      <c r="O433" s="4"/>
      <c r="P433" s="4"/>
      <c r="Q433" s="4"/>
      <c r="R433" s="4"/>
      <c r="S433" s="4"/>
      <c r="T433" s="4"/>
      <c r="U433" s="4"/>
    </row>
    <row r="434" spans="1:21">
      <c r="A434" t="s">
        <v>227</v>
      </c>
      <c r="B434">
        <v>0</v>
      </c>
      <c r="C434" t="str">
        <f t="shared" si="53"/>
        <v>test.QRCodeDataBlockReader_0_</v>
      </c>
      <c r="D434">
        <v>4</v>
      </c>
      <c r="E434" s="4">
        <v>1</v>
      </c>
      <c r="F434" s="4">
        <v>5.1554054054054053</v>
      </c>
      <c r="G434" s="4" t="str">
        <f t="shared" si="54"/>
        <v/>
      </c>
      <c r="H434" s="4" t="str">
        <f t="shared" si="55"/>
        <v/>
      </c>
      <c r="I434" s="4" t="str">
        <f t="shared" si="56"/>
        <v/>
      </c>
      <c r="J434" s="4" t="str">
        <f t="shared" si="57"/>
        <v/>
      </c>
      <c r="K434" s="4" t="str">
        <f t="shared" si="58"/>
        <v/>
      </c>
      <c r="L434" s="4">
        <f t="shared" si="59"/>
        <v>1</v>
      </c>
      <c r="M434" s="4"/>
      <c r="N434" s="4"/>
      <c r="O434" s="4"/>
      <c r="P434" s="4"/>
      <c r="Q434" s="4"/>
      <c r="R434" s="4"/>
      <c r="S434" s="4"/>
      <c r="T434" s="4"/>
      <c r="U434" s="4"/>
    </row>
    <row r="435" spans="1:21">
      <c r="A435" t="s">
        <v>227</v>
      </c>
      <c r="B435">
        <v>1</v>
      </c>
      <c r="C435" t="str">
        <f t="shared" si="53"/>
        <v>test.QRCodeDataBlockReader_1_</v>
      </c>
      <c r="D435">
        <v>1</v>
      </c>
      <c r="E435" s="4">
        <v>9.7345132743362831E-2</v>
      </c>
      <c r="F435" s="4">
        <v>6.6299610002294104E-2</v>
      </c>
      <c r="G435" s="4">
        <f t="shared" si="54"/>
        <v>9.7345132743362831E-2</v>
      </c>
      <c r="H435" s="4" t="str">
        <f t="shared" si="55"/>
        <v/>
      </c>
      <c r="I435" s="4" t="str">
        <f t="shared" si="56"/>
        <v/>
      </c>
      <c r="J435" s="4" t="str">
        <f t="shared" si="57"/>
        <v/>
      </c>
      <c r="K435" s="4" t="str">
        <f t="shared" si="58"/>
        <v/>
      </c>
      <c r="L435" s="4" t="str">
        <f t="shared" si="59"/>
        <v/>
      </c>
      <c r="M435" s="4"/>
      <c r="N435" s="4"/>
      <c r="O435" s="4"/>
      <c r="P435" s="4"/>
      <c r="Q435" s="4"/>
      <c r="R435" s="4"/>
      <c r="S435" s="4"/>
      <c r="T435" s="4"/>
      <c r="U435" s="4"/>
    </row>
    <row r="436" spans="1:21">
      <c r="A436" t="s">
        <v>227</v>
      </c>
      <c r="B436">
        <v>1</v>
      </c>
      <c r="C436" t="str">
        <f t="shared" si="53"/>
        <v>test.QRCodeDataBlockReader_1_</v>
      </c>
      <c r="D436">
        <v>2</v>
      </c>
      <c r="E436" s="4">
        <v>0.26548672566371684</v>
      </c>
      <c r="F436" s="4">
        <v>0.1276668960770819</v>
      </c>
      <c r="G436" s="4">
        <f t="shared" si="54"/>
        <v>0.26548672566371684</v>
      </c>
      <c r="H436" s="4" t="str">
        <f t="shared" si="55"/>
        <v/>
      </c>
      <c r="I436" s="4" t="str">
        <f t="shared" si="56"/>
        <v/>
      </c>
      <c r="J436" s="4" t="str">
        <f t="shared" si="57"/>
        <v/>
      </c>
      <c r="K436" s="4" t="str">
        <f t="shared" si="58"/>
        <v/>
      </c>
      <c r="L436" s="4" t="str">
        <f t="shared" si="59"/>
        <v/>
      </c>
      <c r="M436" s="4"/>
      <c r="N436" s="4"/>
      <c r="O436" s="4"/>
      <c r="P436" s="4"/>
      <c r="Q436" s="4"/>
      <c r="R436" s="4"/>
      <c r="S436" s="4"/>
      <c r="T436" s="4"/>
      <c r="U436" s="4"/>
    </row>
    <row r="437" spans="1:21">
      <c r="A437" t="s">
        <v>227</v>
      </c>
      <c r="B437">
        <v>1</v>
      </c>
      <c r="C437" t="str">
        <f t="shared" si="53"/>
        <v>test.QRCodeDataBlockReader_1_</v>
      </c>
      <c r="D437">
        <v>3</v>
      </c>
      <c r="E437" s="4">
        <v>0.51327433628318586</v>
      </c>
      <c r="F437" s="4">
        <v>0.19121358109658179</v>
      </c>
      <c r="G437" s="4">
        <f t="shared" si="54"/>
        <v>0.51327433628318586</v>
      </c>
      <c r="H437" s="4" t="str">
        <f t="shared" si="55"/>
        <v/>
      </c>
      <c r="I437" s="4" t="str">
        <f t="shared" si="56"/>
        <v/>
      </c>
      <c r="J437" s="4" t="str">
        <f t="shared" si="57"/>
        <v/>
      </c>
      <c r="K437" s="4" t="str">
        <f t="shared" si="58"/>
        <v/>
      </c>
      <c r="L437" s="4" t="str">
        <f t="shared" si="59"/>
        <v/>
      </c>
      <c r="M437" s="4"/>
      <c r="N437" s="4"/>
      <c r="O437" s="4"/>
      <c r="P437" s="4"/>
      <c r="Q437" s="4"/>
      <c r="R437" s="4"/>
      <c r="S437" s="4"/>
      <c r="T437" s="4"/>
      <c r="U437" s="4"/>
    </row>
    <row r="438" spans="1:21">
      <c r="A438" t="s">
        <v>227</v>
      </c>
      <c r="B438">
        <v>1</v>
      </c>
      <c r="C438" t="str">
        <f t="shared" si="53"/>
        <v>test.QRCodeDataBlockReader_1_</v>
      </c>
      <c r="D438">
        <v>4</v>
      </c>
      <c r="E438" s="4">
        <v>1</v>
      </c>
      <c r="F438" s="4">
        <v>0.38208304657031428</v>
      </c>
      <c r="G438" s="4" t="str">
        <f t="shared" si="54"/>
        <v/>
      </c>
      <c r="H438" s="4">
        <f t="shared" si="55"/>
        <v>1</v>
      </c>
      <c r="I438" s="4" t="str">
        <f t="shared" si="56"/>
        <v/>
      </c>
      <c r="J438" s="4" t="str">
        <f t="shared" si="57"/>
        <v/>
      </c>
      <c r="K438" s="4" t="str">
        <f t="shared" si="58"/>
        <v/>
      </c>
      <c r="L438" s="4" t="str">
        <f t="shared" si="59"/>
        <v/>
      </c>
      <c r="M438" s="4"/>
      <c r="N438" s="4"/>
      <c r="O438" s="4"/>
      <c r="P438" s="4"/>
      <c r="Q438" s="4"/>
      <c r="R438" s="4"/>
      <c r="S438" s="4"/>
      <c r="T438" s="4"/>
      <c r="U438" s="4"/>
    </row>
    <row r="439" spans="1:21">
      <c r="A439" t="s">
        <v>228</v>
      </c>
      <c r="B439">
        <v>1</v>
      </c>
      <c r="C439" t="str">
        <f t="shared" si="53"/>
        <v>test.StructurePanel_1_</v>
      </c>
      <c r="D439">
        <v>1</v>
      </c>
      <c r="E439" s="4">
        <v>0.10638297872340426</v>
      </c>
      <c r="F439" s="4">
        <v>0.11461402474955805</v>
      </c>
      <c r="G439" s="4">
        <f t="shared" si="54"/>
        <v>0.10638297872340426</v>
      </c>
      <c r="H439" s="4" t="str">
        <f t="shared" si="55"/>
        <v/>
      </c>
      <c r="I439" s="4" t="str">
        <f t="shared" si="56"/>
        <v/>
      </c>
      <c r="J439" s="4" t="str">
        <f t="shared" si="57"/>
        <v/>
      </c>
      <c r="K439" s="4" t="str">
        <f t="shared" si="58"/>
        <v/>
      </c>
      <c r="L439" s="4" t="str">
        <f t="shared" si="59"/>
        <v/>
      </c>
      <c r="M439" s="4"/>
      <c r="N439" s="4"/>
      <c r="O439" s="4"/>
      <c r="P439" s="4"/>
      <c r="Q439" s="4"/>
      <c r="R439" s="4"/>
      <c r="S439" s="4"/>
      <c r="T439" s="4"/>
      <c r="U439" s="4"/>
    </row>
    <row r="440" spans="1:21">
      <c r="A440" t="s">
        <v>228</v>
      </c>
      <c r="B440">
        <v>1</v>
      </c>
      <c r="C440" t="str">
        <f t="shared" si="53"/>
        <v>test.StructurePanel_1_</v>
      </c>
      <c r="D440">
        <v>2</v>
      </c>
      <c r="E440" s="4">
        <v>0.18085106382978725</v>
      </c>
      <c r="F440" s="4">
        <v>0.11785503830288745</v>
      </c>
      <c r="G440" s="4">
        <f t="shared" si="54"/>
        <v>0.18085106382978725</v>
      </c>
      <c r="H440" s="4" t="str">
        <f t="shared" si="55"/>
        <v/>
      </c>
      <c r="I440" s="4" t="str">
        <f t="shared" si="56"/>
        <v/>
      </c>
      <c r="J440" s="4" t="str">
        <f t="shared" si="57"/>
        <v/>
      </c>
      <c r="K440" s="4" t="str">
        <f t="shared" si="58"/>
        <v/>
      </c>
      <c r="L440" s="4" t="str">
        <f t="shared" si="59"/>
        <v/>
      </c>
      <c r="M440" s="4"/>
      <c r="N440" s="4"/>
      <c r="O440" s="4"/>
      <c r="P440" s="4"/>
      <c r="Q440" s="4"/>
      <c r="R440" s="4"/>
      <c r="S440" s="4"/>
      <c r="T440" s="4"/>
      <c r="U440" s="4"/>
    </row>
    <row r="441" spans="1:21">
      <c r="A441" t="s">
        <v>228</v>
      </c>
      <c r="B441">
        <v>1</v>
      </c>
      <c r="C441" t="str">
        <f t="shared" si="53"/>
        <v>test.StructurePanel_1_</v>
      </c>
      <c r="D441">
        <v>3</v>
      </c>
      <c r="E441" s="4">
        <v>0.2978723404255319</v>
      </c>
      <c r="F441" s="4">
        <v>0.23158515026517384</v>
      </c>
      <c r="G441" s="4" t="str">
        <f t="shared" si="54"/>
        <v/>
      </c>
      <c r="H441" s="4">
        <f t="shared" si="55"/>
        <v>0.2978723404255319</v>
      </c>
      <c r="I441" s="4" t="str">
        <f t="shared" si="56"/>
        <v/>
      </c>
      <c r="J441" s="4" t="str">
        <f t="shared" si="57"/>
        <v/>
      </c>
      <c r="K441" s="4" t="str">
        <f t="shared" si="58"/>
        <v/>
      </c>
      <c r="L441" s="4" t="str">
        <f t="shared" si="59"/>
        <v/>
      </c>
      <c r="M441" s="4"/>
      <c r="N441" s="4"/>
      <c r="O441" s="4"/>
      <c r="P441" s="4"/>
      <c r="Q441" s="4"/>
      <c r="R441" s="4"/>
      <c r="S441" s="4"/>
      <c r="T441" s="4"/>
      <c r="U441" s="4"/>
    </row>
    <row r="442" spans="1:21">
      <c r="A442" t="s">
        <v>228</v>
      </c>
      <c r="B442">
        <v>1</v>
      </c>
      <c r="C442" t="str">
        <f t="shared" si="53"/>
        <v>test.StructurePanel_1_</v>
      </c>
      <c r="D442">
        <v>4</v>
      </c>
      <c r="E442" s="4">
        <v>0.43617021276595747</v>
      </c>
      <c r="F442" s="4">
        <v>0.23865645256334708</v>
      </c>
      <c r="G442" s="4" t="str">
        <f t="shared" si="54"/>
        <v/>
      </c>
      <c r="H442" s="4">
        <f t="shared" si="55"/>
        <v>0.43617021276595747</v>
      </c>
      <c r="I442" s="4" t="str">
        <f t="shared" si="56"/>
        <v/>
      </c>
      <c r="J442" s="4" t="str">
        <f t="shared" si="57"/>
        <v/>
      </c>
      <c r="K442" s="4" t="str">
        <f t="shared" si="58"/>
        <v/>
      </c>
      <c r="L442" s="4" t="str">
        <f t="shared" si="59"/>
        <v/>
      </c>
      <c r="M442" s="4"/>
      <c r="N442" s="4"/>
      <c r="O442" s="4"/>
      <c r="P442" s="4"/>
      <c r="Q442" s="4"/>
      <c r="R442" s="4"/>
      <c r="S442" s="4"/>
      <c r="T442" s="4"/>
      <c r="U442" s="4"/>
    </row>
    <row r="443" spans="1:21">
      <c r="A443" t="s">
        <v>228</v>
      </c>
      <c r="B443">
        <v>1</v>
      </c>
      <c r="C443" t="str">
        <f t="shared" si="53"/>
        <v>test.StructurePanel_1_</v>
      </c>
      <c r="D443">
        <v>5</v>
      </c>
      <c r="E443" s="4">
        <v>0.56382978723404253</v>
      </c>
      <c r="F443" s="4">
        <v>0.2501473187978786</v>
      </c>
      <c r="G443" s="4" t="str">
        <f t="shared" si="54"/>
        <v/>
      </c>
      <c r="H443" s="4">
        <f t="shared" si="55"/>
        <v>0.56382978723404253</v>
      </c>
      <c r="I443" s="4" t="str">
        <f t="shared" si="56"/>
        <v/>
      </c>
      <c r="J443" s="4" t="str">
        <f t="shared" si="57"/>
        <v/>
      </c>
      <c r="K443" s="4" t="str">
        <f t="shared" si="58"/>
        <v/>
      </c>
      <c r="L443" s="4" t="str">
        <f t="shared" si="59"/>
        <v/>
      </c>
      <c r="M443" s="4"/>
      <c r="N443" s="4"/>
      <c r="O443" s="4"/>
      <c r="P443" s="4"/>
      <c r="Q443" s="4"/>
      <c r="R443" s="4"/>
      <c r="S443" s="4"/>
      <c r="T443" s="4"/>
      <c r="U443" s="4"/>
    </row>
    <row r="444" spans="1:21">
      <c r="A444" t="s">
        <v>228</v>
      </c>
      <c r="B444">
        <v>1</v>
      </c>
      <c r="C444" t="str">
        <f t="shared" si="53"/>
        <v>test.StructurePanel_1_</v>
      </c>
      <c r="D444">
        <v>6</v>
      </c>
      <c r="E444" s="4">
        <v>0.69148936170212771</v>
      </c>
      <c r="F444" s="4">
        <v>0.25103123158515028</v>
      </c>
      <c r="G444" s="4" t="str">
        <f t="shared" si="54"/>
        <v/>
      </c>
      <c r="H444" s="4">
        <f t="shared" si="55"/>
        <v>0.69148936170212771</v>
      </c>
      <c r="I444" s="4" t="str">
        <f t="shared" si="56"/>
        <v/>
      </c>
      <c r="J444" s="4" t="str">
        <f t="shared" si="57"/>
        <v/>
      </c>
      <c r="K444" s="4" t="str">
        <f t="shared" si="58"/>
        <v/>
      </c>
      <c r="L444" s="4" t="str">
        <f t="shared" si="59"/>
        <v/>
      </c>
      <c r="M444" s="4"/>
      <c r="N444" s="4"/>
      <c r="O444" s="4"/>
      <c r="P444" s="4"/>
      <c r="Q444" s="4"/>
      <c r="R444" s="4"/>
      <c r="S444" s="4"/>
      <c r="T444" s="4"/>
      <c r="U444" s="4"/>
    </row>
    <row r="445" spans="1:21">
      <c r="A445" t="s">
        <v>228</v>
      </c>
      <c r="B445">
        <v>1</v>
      </c>
      <c r="C445" t="str">
        <f t="shared" si="53"/>
        <v>test.StructurePanel_1_</v>
      </c>
      <c r="D445">
        <v>7</v>
      </c>
      <c r="E445" s="4">
        <v>0.85106382978723405</v>
      </c>
      <c r="F445" s="4">
        <v>0.253388332351208</v>
      </c>
      <c r="G445" s="4" t="str">
        <f t="shared" si="54"/>
        <v/>
      </c>
      <c r="H445" s="4">
        <f t="shared" si="55"/>
        <v>0.85106382978723405</v>
      </c>
      <c r="I445" s="4" t="str">
        <f t="shared" si="56"/>
        <v/>
      </c>
      <c r="J445" s="4" t="str">
        <f t="shared" si="57"/>
        <v/>
      </c>
      <c r="K445" s="4" t="str">
        <f t="shared" si="58"/>
        <v/>
      </c>
      <c r="L445" s="4" t="str">
        <f t="shared" si="59"/>
        <v/>
      </c>
      <c r="M445" s="4"/>
      <c r="N445" s="4"/>
      <c r="O445" s="4"/>
      <c r="P445" s="4"/>
      <c r="Q445" s="4"/>
      <c r="R445" s="4"/>
      <c r="S445" s="4"/>
      <c r="T445" s="4"/>
      <c r="U445" s="4"/>
    </row>
    <row r="446" spans="1:21">
      <c r="A446" t="s">
        <v>228</v>
      </c>
      <c r="B446">
        <v>1</v>
      </c>
      <c r="C446" t="str">
        <f t="shared" si="53"/>
        <v>test.StructurePanel_1_</v>
      </c>
      <c r="D446">
        <v>8</v>
      </c>
      <c r="E446" s="4">
        <v>1</v>
      </c>
      <c r="F446" s="4">
        <v>0.29552150854449027</v>
      </c>
      <c r="G446" s="4" t="str">
        <f t="shared" si="54"/>
        <v/>
      </c>
      <c r="H446" s="4">
        <f t="shared" si="55"/>
        <v>1</v>
      </c>
      <c r="I446" s="4" t="str">
        <f t="shared" si="56"/>
        <v/>
      </c>
      <c r="J446" s="4" t="str">
        <f t="shared" si="57"/>
        <v/>
      </c>
      <c r="K446" s="4" t="str">
        <f t="shared" si="58"/>
        <v/>
      </c>
      <c r="L446" s="4" t="str">
        <f t="shared" si="59"/>
        <v/>
      </c>
      <c r="M446" s="4"/>
      <c r="N446" s="4"/>
      <c r="O446" s="4"/>
      <c r="P446" s="4"/>
      <c r="Q446" s="4"/>
      <c r="R446" s="4"/>
      <c r="S446" s="4"/>
      <c r="T446" s="4"/>
      <c r="U446" s="4"/>
    </row>
    <row r="447" spans="1:21">
      <c r="A447" t="s">
        <v>230</v>
      </c>
      <c r="B447">
        <v>1</v>
      </c>
      <c r="C447" t="str">
        <f t="shared" si="53"/>
        <v>test.WorldController_1_</v>
      </c>
      <c r="D447">
        <v>1</v>
      </c>
      <c r="E447" s="4">
        <v>0.21893491124260356</v>
      </c>
      <c r="F447" s="4">
        <v>0.23421665512683326</v>
      </c>
      <c r="G447" s="4" t="str">
        <f t="shared" si="54"/>
        <v/>
      </c>
      <c r="H447" s="4">
        <f t="shared" si="55"/>
        <v>0.21893491124260356</v>
      </c>
      <c r="I447" s="4" t="str">
        <f t="shared" si="56"/>
        <v/>
      </c>
      <c r="J447" s="4" t="str">
        <f t="shared" si="57"/>
        <v/>
      </c>
      <c r="K447" s="4" t="str">
        <f t="shared" si="58"/>
        <v/>
      </c>
      <c r="L447" s="4" t="str">
        <f t="shared" si="59"/>
        <v/>
      </c>
      <c r="M447" s="4"/>
      <c r="N447" s="4"/>
      <c r="O447" s="4"/>
      <c r="P447" s="4"/>
      <c r="Q447" s="4"/>
      <c r="R447" s="4"/>
      <c r="S447" s="4"/>
      <c r="T447" s="4"/>
      <c r="U447" s="4"/>
    </row>
    <row r="448" spans="1:21">
      <c r="A448" t="s">
        <v>230</v>
      </c>
      <c r="B448">
        <v>1</v>
      </c>
      <c r="C448" t="str">
        <f t="shared" si="53"/>
        <v>test.WorldController_1_</v>
      </c>
      <c r="D448">
        <v>2</v>
      </c>
      <c r="E448" s="4">
        <v>0.41420118343195267</v>
      </c>
      <c r="F448" s="4">
        <v>0.24951217976962295</v>
      </c>
      <c r="G448" s="4" t="str">
        <f t="shared" si="54"/>
        <v/>
      </c>
      <c r="H448" s="4">
        <f t="shared" si="55"/>
        <v>0.41420118343195267</v>
      </c>
      <c r="I448" s="4" t="str">
        <f t="shared" si="56"/>
        <v/>
      </c>
      <c r="J448" s="4" t="str">
        <f t="shared" si="57"/>
        <v/>
      </c>
      <c r="K448" s="4" t="str">
        <f t="shared" si="58"/>
        <v/>
      </c>
      <c r="L448" s="4" t="str">
        <f t="shared" si="59"/>
        <v/>
      </c>
      <c r="M448" s="4"/>
      <c r="N448" s="4"/>
      <c r="O448" s="4"/>
      <c r="P448" s="4"/>
      <c r="Q448" s="4"/>
      <c r="R448" s="4"/>
      <c r="S448" s="4"/>
      <c r="T448" s="4"/>
      <c r="U448" s="4"/>
    </row>
    <row r="449" spans="1:21">
      <c r="A449" t="s">
        <v>230</v>
      </c>
      <c r="B449">
        <v>1</v>
      </c>
      <c r="C449" t="str">
        <f t="shared" si="53"/>
        <v>test.WorldController_1_</v>
      </c>
      <c r="D449">
        <v>3</v>
      </c>
      <c r="E449" s="4">
        <v>0.60946745562130178</v>
      </c>
      <c r="F449" s="4">
        <v>0.26600365078365962</v>
      </c>
      <c r="G449" s="4" t="str">
        <f t="shared" si="54"/>
        <v/>
      </c>
      <c r="H449" s="4">
        <f t="shared" si="55"/>
        <v>0.60946745562130178</v>
      </c>
      <c r="I449" s="4" t="str">
        <f t="shared" si="56"/>
        <v/>
      </c>
      <c r="J449" s="4" t="str">
        <f t="shared" si="57"/>
        <v/>
      </c>
      <c r="K449" s="4" t="str">
        <f t="shared" si="58"/>
        <v/>
      </c>
      <c r="L449" s="4" t="str">
        <f t="shared" si="59"/>
        <v/>
      </c>
      <c r="M449" s="4"/>
      <c r="N449" s="4"/>
      <c r="O449" s="4"/>
      <c r="P449" s="4"/>
      <c r="Q449" s="4"/>
      <c r="R449" s="4"/>
      <c r="S449" s="4"/>
      <c r="T449" s="4"/>
      <c r="U449" s="4"/>
    </row>
    <row r="450" spans="1:21">
      <c r="A450" t="s">
        <v>230</v>
      </c>
      <c r="B450">
        <v>1</v>
      </c>
      <c r="C450" t="str">
        <f t="shared" si="53"/>
        <v>test.WorldController_1_</v>
      </c>
      <c r="D450">
        <v>4</v>
      </c>
      <c r="E450" s="4">
        <v>0.79881656804733725</v>
      </c>
      <c r="F450" s="4">
        <v>0.26864732170957384</v>
      </c>
      <c r="G450" s="4" t="str">
        <f t="shared" si="54"/>
        <v/>
      </c>
      <c r="H450" s="4">
        <f t="shared" si="55"/>
        <v>0.79881656804733725</v>
      </c>
      <c r="I450" s="4" t="str">
        <f t="shared" si="56"/>
        <v/>
      </c>
      <c r="J450" s="4" t="str">
        <f t="shared" si="57"/>
        <v/>
      </c>
      <c r="K450" s="4" t="str">
        <f t="shared" si="58"/>
        <v/>
      </c>
      <c r="L450" s="4" t="str">
        <f t="shared" si="59"/>
        <v/>
      </c>
      <c r="M450" s="4"/>
      <c r="N450" s="4"/>
      <c r="O450" s="4"/>
      <c r="P450" s="4"/>
      <c r="Q450" s="4"/>
      <c r="R450" s="4"/>
      <c r="S450" s="4"/>
      <c r="T450" s="4"/>
      <c r="U450" s="4"/>
    </row>
    <row r="451" spans="1:21">
      <c r="A451" t="s">
        <v>230</v>
      </c>
      <c r="B451">
        <v>1</v>
      </c>
      <c r="C451" t="str">
        <f t="shared" ref="C451:C514" si="60">CONCATENATE(A451, "_",B451,"_")</f>
        <v>test.WorldController_1_</v>
      </c>
      <c r="D451">
        <v>5</v>
      </c>
      <c r="E451" s="4">
        <v>1</v>
      </c>
      <c r="F451" s="4">
        <v>0.27796311449612893</v>
      </c>
      <c r="G451" s="4" t="str">
        <f t="shared" ref="G451:G514" si="61">IF($F451 &lt;= 0.2,$E451,"")</f>
        <v/>
      </c>
      <c r="H451" s="4">
        <f t="shared" ref="H451:H514" si="62">IF(AND($F451 &gt; 0.2,$F451 &lt;= 0.4),$E451,"")</f>
        <v>1</v>
      </c>
      <c r="I451" s="4" t="str">
        <f t="shared" ref="I451:I514" si="63">IF(AND($F451 &gt; 0.4,$F451 &lt;= 0.6),$E451,"")</f>
        <v/>
      </c>
      <c r="J451" s="4" t="str">
        <f t="shared" ref="J451:J514" si="64">IF(AND($F451 &gt; 0.6,$F451 &lt;= 0.8),$E451,"")</f>
        <v/>
      </c>
      <c r="K451" s="4" t="str">
        <f t="shared" ref="K451:K514" si="65">IF(AND($F451 &gt; 0.8, $F451 &lt;=1.1),$E451,"")</f>
        <v/>
      </c>
      <c r="L451" s="4" t="str">
        <f t="shared" ref="L451:L514" si="66">IF(AND($F451 &gt; 1.1),$E451,"")</f>
        <v/>
      </c>
      <c r="M451" s="4"/>
      <c r="N451" s="4"/>
      <c r="O451" s="4"/>
      <c r="P451" s="4"/>
      <c r="Q451" s="4"/>
      <c r="R451" s="4"/>
      <c r="S451" s="4"/>
      <c r="T451" s="4"/>
      <c r="U451" s="4"/>
    </row>
    <row r="452" spans="1:21">
      <c r="A452" t="s">
        <v>231</v>
      </c>
      <c r="B452">
        <v>5</v>
      </c>
      <c r="C452" t="str">
        <f t="shared" si="60"/>
        <v>test.TIFFFaxDecoder_5_</v>
      </c>
      <c r="D452">
        <v>1</v>
      </c>
      <c r="E452" s="4">
        <v>0.31707317073170732</v>
      </c>
      <c r="F452" s="4">
        <v>0.19115485396561641</v>
      </c>
      <c r="G452" s="4">
        <f t="shared" si="61"/>
        <v>0.31707317073170732</v>
      </c>
      <c r="H452" s="4" t="str">
        <f t="shared" si="62"/>
        <v/>
      </c>
      <c r="I452" s="4" t="str">
        <f t="shared" si="63"/>
        <v/>
      </c>
      <c r="J452" s="4" t="str">
        <f t="shared" si="64"/>
        <v/>
      </c>
      <c r="K452" s="4" t="str">
        <f t="shared" si="65"/>
        <v/>
      </c>
      <c r="L452" s="4" t="str">
        <f t="shared" si="66"/>
        <v/>
      </c>
      <c r="M452" s="4"/>
      <c r="N452" s="4"/>
      <c r="O452" s="4"/>
      <c r="P452" s="4"/>
      <c r="Q452" s="4"/>
      <c r="R452" s="4"/>
      <c r="S452" s="4"/>
      <c r="T452" s="4"/>
      <c r="U452" s="4"/>
    </row>
    <row r="453" spans="1:21">
      <c r="A453" t="s">
        <v>231</v>
      </c>
      <c r="B453">
        <v>5</v>
      </c>
      <c r="C453" t="str">
        <f t="shared" si="60"/>
        <v>test.TIFFFaxDecoder_5_</v>
      </c>
      <c r="D453">
        <v>2</v>
      </c>
      <c r="E453" s="4">
        <v>0.35772357723577236</v>
      </c>
      <c r="F453" s="4">
        <v>0.2023391065379945</v>
      </c>
      <c r="G453" s="4" t="str">
        <f t="shared" si="61"/>
        <v/>
      </c>
      <c r="H453" s="4">
        <f t="shared" si="62"/>
        <v>0.35772357723577236</v>
      </c>
      <c r="I453" s="4" t="str">
        <f t="shared" si="63"/>
        <v/>
      </c>
      <c r="J453" s="4" t="str">
        <f t="shared" si="64"/>
        <v/>
      </c>
      <c r="K453" s="4" t="str">
        <f t="shared" si="65"/>
        <v/>
      </c>
      <c r="L453" s="4" t="str">
        <f t="shared" si="66"/>
        <v/>
      </c>
      <c r="M453" s="4"/>
      <c r="N453" s="4"/>
      <c r="O453" s="4"/>
      <c r="P453" s="4"/>
      <c r="Q453" s="4"/>
      <c r="R453" s="4"/>
      <c r="S453" s="4"/>
      <c r="T453" s="4"/>
      <c r="U453" s="4"/>
    </row>
    <row r="454" spans="1:21">
      <c r="A454" t="s">
        <v>231</v>
      </c>
      <c r="B454">
        <v>5</v>
      </c>
      <c r="C454" t="str">
        <f t="shared" si="60"/>
        <v>test.TIFFFaxDecoder_5_</v>
      </c>
      <c r="D454">
        <v>3</v>
      </c>
      <c r="E454" s="4">
        <v>0.44715447154471544</v>
      </c>
      <c r="F454" s="4">
        <v>0.28459129545599793</v>
      </c>
      <c r="G454" s="4" t="str">
        <f t="shared" si="61"/>
        <v/>
      </c>
      <c r="H454" s="4">
        <f t="shared" si="62"/>
        <v>0.44715447154471544</v>
      </c>
      <c r="I454" s="4" t="str">
        <f t="shared" si="63"/>
        <v/>
      </c>
      <c r="J454" s="4" t="str">
        <f t="shared" si="64"/>
        <v/>
      </c>
      <c r="K454" s="4" t="str">
        <f t="shared" si="65"/>
        <v/>
      </c>
      <c r="L454" s="4" t="str">
        <f t="shared" si="66"/>
        <v/>
      </c>
      <c r="M454" s="4"/>
      <c r="N454" s="4"/>
      <c r="O454" s="4"/>
      <c r="P454" s="4"/>
      <c r="Q454" s="4"/>
      <c r="R454" s="4"/>
      <c r="S454" s="4"/>
      <c r="T454" s="4"/>
      <c r="U454" s="4"/>
    </row>
    <row r="455" spans="1:21">
      <c r="A455" t="s">
        <v>231</v>
      </c>
      <c r="B455">
        <v>5</v>
      </c>
      <c r="C455" t="str">
        <f t="shared" si="60"/>
        <v>test.TIFFFaxDecoder_5_</v>
      </c>
      <c r="D455">
        <v>4</v>
      </c>
      <c r="E455" s="4">
        <v>0.57723577235772361</v>
      </c>
      <c r="F455" s="4">
        <v>0.43906180098421421</v>
      </c>
      <c r="G455" s="4" t="str">
        <f t="shared" si="61"/>
        <v/>
      </c>
      <c r="H455" s="4" t="str">
        <f t="shared" si="62"/>
        <v/>
      </c>
      <c r="I455" s="4">
        <f t="shared" si="63"/>
        <v>0.57723577235772361</v>
      </c>
      <c r="J455" s="4" t="str">
        <f t="shared" si="64"/>
        <v/>
      </c>
      <c r="K455" s="4" t="str">
        <f t="shared" si="65"/>
        <v/>
      </c>
      <c r="L455" s="4" t="str">
        <f t="shared" si="66"/>
        <v/>
      </c>
      <c r="M455" s="4"/>
      <c r="N455" s="4"/>
      <c r="O455" s="4"/>
      <c r="P455" s="4"/>
      <c r="Q455" s="4"/>
      <c r="R455" s="4"/>
      <c r="S455" s="4"/>
      <c r="T455" s="4"/>
      <c r="U455" s="4"/>
    </row>
    <row r="456" spans="1:21">
      <c r="A456" t="s">
        <v>231</v>
      </c>
      <c r="B456">
        <v>5</v>
      </c>
      <c r="C456" t="str">
        <f t="shared" si="60"/>
        <v>test.TIFFFaxDecoder_5_</v>
      </c>
      <c r="D456">
        <v>5</v>
      </c>
      <c r="E456" s="4">
        <v>1</v>
      </c>
      <c r="F456" s="4">
        <v>0.65162650987409731</v>
      </c>
      <c r="G456" s="4" t="str">
        <f t="shared" si="61"/>
        <v/>
      </c>
      <c r="H456" s="4" t="str">
        <f t="shared" si="62"/>
        <v/>
      </c>
      <c r="I456" s="4" t="str">
        <f t="shared" si="63"/>
        <v/>
      </c>
      <c r="J456" s="4">
        <f t="shared" si="64"/>
        <v>1</v>
      </c>
      <c r="K456" s="4" t="str">
        <f t="shared" si="65"/>
        <v/>
      </c>
      <c r="L456" s="4" t="str">
        <f t="shared" si="66"/>
        <v/>
      </c>
      <c r="M456" s="4"/>
      <c r="N456" s="4"/>
      <c r="O456" s="4"/>
      <c r="P456" s="4"/>
      <c r="Q456" s="4"/>
      <c r="R456" s="4"/>
      <c r="S456" s="4"/>
      <c r="T456" s="4"/>
      <c r="U456" s="4"/>
    </row>
    <row r="457" spans="1:21">
      <c r="A457" t="s">
        <v>231</v>
      </c>
      <c r="B457">
        <v>7</v>
      </c>
      <c r="C457" t="str">
        <f t="shared" si="60"/>
        <v>test.TIFFFaxDecoder_7_</v>
      </c>
      <c r="D457">
        <v>1</v>
      </c>
      <c r="E457" s="4">
        <v>0.30303030303030304</v>
      </c>
      <c r="F457" s="4">
        <v>0.29634831460674155</v>
      </c>
      <c r="G457" s="4" t="str">
        <f t="shared" si="61"/>
        <v/>
      </c>
      <c r="H457" s="4">
        <f t="shared" si="62"/>
        <v>0.30303030303030304</v>
      </c>
      <c r="I457" s="4" t="str">
        <f t="shared" si="63"/>
        <v/>
      </c>
      <c r="J457" s="4" t="str">
        <f t="shared" si="64"/>
        <v/>
      </c>
      <c r="K457" s="4" t="str">
        <f t="shared" si="65"/>
        <v/>
      </c>
      <c r="L457" s="4" t="str">
        <f t="shared" si="66"/>
        <v/>
      </c>
      <c r="M457" s="4"/>
      <c r="N457" s="4"/>
      <c r="O457" s="4"/>
      <c r="P457" s="4"/>
      <c r="Q457" s="4"/>
      <c r="R457" s="4"/>
      <c r="S457" s="4"/>
      <c r="T457" s="4"/>
      <c r="U457" s="4"/>
    </row>
    <row r="458" spans="1:21">
      <c r="A458" t="s">
        <v>231</v>
      </c>
      <c r="B458">
        <v>7</v>
      </c>
      <c r="C458" t="str">
        <f t="shared" si="60"/>
        <v>test.TIFFFaxDecoder_7_</v>
      </c>
      <c r="D458">
        <v>2</v>
      </c>
      <c r="E458" s="4">
        <v>0.66666666666666663</v>
      </c>
      <c r="F458" s="4">
        <v>0.5294943820224719</v>
      </c>
      <c r="G458" s="4" t="str">
        <f t="shared" si="61"/>
        <v/>
      </c>
      <c r="H458" s="4" t="str">
        <f t="shared" si="62"/>
        <v/>
      </c>
      <c r="I458" s="4">
        <f t="shared" si="63"/>
        <v>0.66666666666666663</v>
      </c>
      <c r="J458" s="4" t="str">
        <f t="shared" si="64"/>
        <v/>
      </c>
      <c r="K458" s="4" t="str">
        <f t="shared" si="65"/>
        <v/>
      </c>
      <c r="L458" s="4" t="str">
        <f t="shared" si="66"/>
        <v/>
      </c>
      <c r="M458" s="4"/>
      <c r="N458" s="4"/>
      <c r="O458" s="4"/>
      <c r="P458" s="4"/>
      <c r="Q458" s="4"/>
      <c r="R458" s="4"/>
      <c r="S458" s="4"/>
      <c r="T458" s="4"/>
      <c r="U458" s="4"/>
    </row>
    <row r="459" spans="1:21">
      <c r="A459" t="s">
        <v>231</v>
      </c>
      <c r="B459">
        <v>7</v>
      </c>
      <c r="C459" t="str">
        <f t="shared" si="60"/>
        <v>test.TIFFFaxDecoder_7_</v>
      </c>
      <c r="D459">
        <v>3</v>
      </c>
      <c r="E459" s="4">
        <v>1</v>
      </c>
      <c r="F459" s="4">
        <v>0.8412921348314607</v>
      </c>
      <c r="G459" s="4" t="str">
        <f t="shared" si="61"/>
        <v/>
      </c>
      <c r="H459" s="4" t="str">
        <f t="shared" si="62"/>
        <v/>
      </c>
      <c r="I459" s="4" t="str">
        <f t="shared" si="63"/>
        <v/>
      </c>
      <c r="J459" s="4" t="str">
        <f t="shared" si="64"/>
        <v/>
      </c>
      <c r="K459" s="4">
        <f t="shared" si="65"/>
        <v>1</v>
      </c>
      <c r="L459" s="4" t="str">
        <f t="shared" si="66"/>
        <v/>
      </c>
      <c r="M459" s="4"/>
      <c r="N459" s="4"/>
      <c r="O459" s="4"/>
      <c r="P459" s="4"/>
      <c r="Q459" s="4"/>
      <c r="R459" s="4"/>
      <c r="S459" s="4"/>
      <c r="T459" s="4"/>
      <c r="U459" s="4"/>
    </row>
    <row r="460" spans="1:21">
      <c r="A460" t="s">
        <v>231</v>
      </c>
      <c r="B460">
        <v>9</v>
      </c>
      <c r="C460" t="str">
        <f t="shared" si="60"/>
        <v>test.TIFFFaxDecoder_9_</v>
      </c>
      <c r="D460">
        <v>1</v>
      </c>
      <c r="E460" s="4">
        <v>0.19444444444444445</v>
      </c>
      <c r="F460" s="4">
        <v>0.24796747967479674</v>
      </c>
      <c r="G460" s="4" t="str">
        <f t="shared" si="61"/>
        <v/>
      </c>
      <c r="H460" s="4">
        <f t="shared" si="62"/>
        <v>0.19444444444444445</v>
      </c>
      <c r="I460" s="4" t="str">
        <f t="shared" si="63"/>
        <v/>
      </c>
      <c r="J460" s="4" t="str">
        <f t="shared" si="64"/>
        <v/>
      </c>
      <c r="K460" s="4" t="str">
        <f t="shared" si="65"/>
        <v/>
      </c>
      <c r="L460" s="4" t="str">
        <f t="shared" si="66"/>
        <v/>
      </c>
      <c r="M460" s="4"/>
      <c r="N460" s="4"/>
      <c r="O460" s="4"/>
      <c r="P460" s="4"/>
      <c r="Q460" s="4"/>
      <c r="R460" s="4"/>
      <c r="S460" s="4"/>
      <c r="T460" s="4"/>
      <c r="U460" s="4"/>
    </row>
    <row r="461" spans="1:21">
      <c r="A461" t="s">
        <v>231</v>
      </c>
      <c r="B461">
        <v>9</v>
      </c>
      <c r="C461" t="str">
        <f t="shared" si="60"/>
        <v>test.TIFFFaxDecoder_9_</v>
      </c>
      <c r="D461">
        <v>2</v>
      </c>
      <c r="E461" s="4">
        <v>0.30555555555555558</v>
      </c>
      <c r="F461" s="4">
        <v>0.25067750677506773</v>
      </c>
      <c r="G461" s="4" t="str">
        <f t="shared" si="61"/>
        <v/>
      </c>
      <c r="H461" s="4">
        <f t="shared" si="62"/>
        <v>0.30555555555555558</v>
      </c>
      <c r="I461" s="4" t="str">
        <f t="shared" si="63"/>
        <v/>
      </c>
      <c r="J461" s="4" t="str">
        <f t="shared" si="64"/>
        <v/>
      </c>
      <c r="K461" s="4" t="str">
        <f t="shared" si="65"/>
        <v/>
      </c>
      <c r="L461" s="4" t="str">
        <f t="shared" si="66"/>
        <v/>
      </c>
      <c r="M461" s="4"/>
      <c r="N461" s="4"/>
      <c r="O461" s="4"/>
      <c r="P461" s="4"/>
      <c r="Q461" s="4"/>
      <c r="R461" s="4"/>
      <c r="S461" s="4"/>
      <c r="T461" s="4"/>
      <c r="U461" s="4"/>
    </row>
    <row r="462" spans="1:21">
      <c r="A462" t="s">
        <v>231</v>
      </c>
      <c r="B462">
        <v>9</v>
      </c>
      <c r="C462" t="str">
        <f t="shared" si="60"/>
        <v>test.TIFFFaxDecoder_9_</v>
      </c>
      <c r="D462">
        <v>3</v>
      </c>
      <c r="E462" s="4">
        <v>0.33333333333333331</v>
      </c>
      <c r="F462" s="4">
        <v>0.25474254742547425</v>
      </c>
      <c r="G462" s="4" t="str">
        <f t="shared" si="61"/>
        <v/>
      </c>
      <c r="H462" s="4">
        <f t="shared" si="62"/>
        <v>0.33333333333333331</v>
      </c>
      <c r="I462" s="4" t="str">
        <f t="shared" si="63"/>
        <v/>
      </c>
      <c r="J462" s="4" t="str">
        <f t="shared" si="64"/>
        <v/>
      </c>
      <c r="K462" s="4" t="str">
        <f t="shared" si="65"/>
        <v/>
      </c>
      <c r="L462" s="4" t="str">
        <f t="shared" si="66"/>
        <v/>
      </c>
      <c r="M462" s="4"/>
      <c r="N462" s="4"/>
      <c r="O462" s="4"/>
      <c r="P462" s="4"/>
      <c r="Q462" s="4"/>
      <c r="R462" s="4"/>
      <c r="S462" s="4"/>
      <c r="T462" s="4"/>
      <c r="U462" s="4"/>
    </row>
    <row r="463" spans="1:21">
      <c r="A463" t="s">
        <v>231</v>
      </c>
      <c r="B463">
        <v>9</v>
      </c>
      <c r="C463" t="str">
        <f t="shared" si="60"/>
        <v>test.TIFFFaxDecoder_9_</v>
      </c>
      <c r="D463">
        <v>4</v>
      </c>
      <c r="E463" s="4">
        <v>0.47222222222222221</v>
      </c>
      <c r="F463" s="4">
        <v>0.29132791327913277</v>
      </c>
      <c r="G463" s="4" t="str">
        <f t="shared" si="61"/>
        <v/>
      </c>
      <c r="H463" s="4">
        <f t="shared" si="62"/>
        <v>0.47222222222222221</v>
      </c>
      <c r="I463" s="4" t="str">
        <f t="shared" si="63"/>
        <v/>
      </c>
      <c r="J463" s="4" t="str">
        <f t="shared" si="64"/>
        <v/>
      </c>
      <c r="K463" s="4" t="str">
        <f t="shared" si="65"/>
        <v/>
      </c>
      <c r="L463" s="4" t="str">
        <f t="shared" si="66"/>
        <v/>
      </c>
      <c r="M463" s="4"/>
      <c r="N463" s="4"/>
      <c r="O463" s="4"/>
      <c r="P463" s="4"/>
      <c r="Q463" s="4"/>
      <c r="R463" s="4"/>
      <c r="S463" s="4"/>
      <c r="T463" s="4"/>
      <c r="U463" s="4"/>
    </row>
    <row r="464" spans="1:21">
      <c r="A464" t="s">
        <v>231</v>
      </c>
      <c r="B464">
        <v>9</v>
      </c>
      <c r="C464" t="str">
        <f t="shared" si="60"/>
        <v>test.TIFFFaxDecoder_9_</v>
      </c>
      <c r="D464">
        <v>5</v>
      </c>
      <c r="E464" s="4">
        <v>0.5</v>
      </c>
      <c r="F464" s="4">
        <v>0.31707317073170732</v>
      </c>
      <c r="G464" s="4" t="str">
        <f t="shared" si="61"/>
        <v/>
      </c>
      <c r="H464" s="4">
        <f t="shared" si="62"/>
        <v>0.5</v>
      </c>
      <c r="I464" s="4" t="str">
        <f t="shared" si="63"/>
        <v/>
      </c>
      <c r="J464" s="4" t="str">
        <f t="shared" si="64"/>
        <v/>
      </c>
      <c r="K464" s="4" t="str">
        <f t="shared" si="65"/>
        <v/>
      </c>
      <c r="L464" s="4" t="str">
        <f t="shared" si="66"/>
        <v/>
      </c>
      <c r="M464" s="4"/>
      <c r="N464" s="4"/>
      <c r="O464" s="4"/>
      <c r="P464" s="4"/>
      <c r="Q464" s="4"/>
      <c r="R464" s="4"/>
      <c r="S464" s="4"/>
      <c r="T464" s="4"/>
      <c r="U464" s="4"/>
    </row>
    <row r="465" spans="1:21">
      <c r="A465" t="s">
        <v>231</v>
      </c>
      <c r="B465">
        <v>9</v>
      </c>
      <c r="C465" t="str">
        <f t="shared" si="60"/>
        <v>test.TIFFFaxDecoder_9_</v>
      </c>
      <c r="D465">
        <v>6</v>
      </c>
      <c r="E465" s="4">
        <v>0.5</v>
      </c>
      <c r="F465" s="4">
        <v>0.31978319783197834</v>
      </c>
      <c r="G465" s="4" t="str">
        <f t="shared" si="61"/>
        <v/>
      </c>
      <c r="H465" s="4">
        <f t="shared" si="62"/>
        <v>0.5</v>
      </c>
      <c r="I465" s="4" t="str">
        <f t="shared" si="63"/>
        <v/>
      </c>
      <c r="J465" s="4" t="str">
        <f t="shared" si="64"/>
        <v/>
      </c>
      <c r="K465" s="4" t="str">
        <f t="shared" si="65"/>
        <v/>
      </c>
      <c r="L465" s="4" t="str">
        <f t="shared" si="66"/>
        <v/>
      </c>
      <c r="M465" s="4"/>
      <c r="N465" s="4"/>
      <c r="O465" s="4"/>
      <c r="P465" s="4"/>
      <c r="Q465" s="4"/>
      <c r="R465" s="4"/>
      <c r="S465" s="4"/>
      <c r="T465" s="4"/>
      <c r="U465" s="4"/>
    </row>
    <row r="466" spans="1:21">
      <c r="A466" t="s">
        <v>231</v>
      </c>
      <c r="B466">
        <v>9</v>
      </c>
      <c r="C466" t="str">
        <f t="shared" si="60"/>
        <v>test.TIFFFaxDecoder_9_</v>
      </c>
      <c r="D466">
        <v>7</v>
      </c>
      <c r="E466" s="4">
        <v>0.55555555555555558</v>
      </c>
      <c r="F466" s="4">
        <v>0.32113821138211385</v>
      </c>
      <c r="G466" s="4" t="str">
        <f t="shared" si="61"/>
        <v/>
      </c>
      <c r="H466" s="4">
        <f t="shared" si="62"/>
        <v>0.55555555555555558</v>
      </c>
      <c r="I466" s="4" t="str">
        <f t="shared" si="63"/>
        <v/>
      </c>
      <c r="J466" s="4" t="str">
        <f t="shared" si="64"/>
        <v/>
      </c>
      <c r="K466" s="4" t="str">
        <f t="shared" si="65"/>
        <v/>
      </c>
      <c r="L466" s="4" t="str">
        <f t="shared" si="66"/>
        <v/>
      </c>
      <c r="M466" s="4"/>
      <c r="N466" s="4"/>
      <c r="O466" s="4"/>
      <c r="P466" s="4"/>
      <c r="Q466" s="4"/>
      <c r="R466" s="4"/>
      <c r="S466" s="4"/>
      <c r="T466" s="4"/>
      <c r="U466" s="4"/>
    </row>
    <row r="467" spans="1:21">
      <c r="A467" t="s">
        <v>231</v>
      </c>
      <c r="B467">
        <v>9</v>
      </c>
      <c r="C467" t="str">
        <f t="shared" si="60"/>
        <v>test.TIFFFaxDecoder_9_</v>
      </c>
      <c r="D467">
        <v>8</v>
      </c>
      <c r="E467" s="4">
        <v>0.63888888888888884</v>
      </c>
      <c r="F467" s="4">
        <v>0.32655826558265583</v>
      </c>
      <c r="G467" s="4" t="str">
        <f t="shared" si="61"/>
        <v/>
      </c>
      <c r="H467" s="4">
        <f t="shared" si="62"/>
        <v>0.63888888888888884</v>
      </c>
      <c r="I467" s="4" t="str">
        <f t="shared" si="63"/>
        <v/>
      </c>
      <c r="J467" s="4" t="str">
        <f t="shared" si="64"/>
        <v/>
      </c>
      <c r="K467" s="4" t="str">
        <f t="shared" si="65"/>
        <v/>
      </c>
      <c r="L467" s="4" t="str">
        <f t="shared" si="66"/>
        <v/>
      </c>
      <c r="M467" s="4"/>
      <c r="N467" s="4"/>
      <c r="O467" s="4"/>
      <c r="P467" s="4"/>
      <c r="Q467" s="4"/>
      <c r="R467" s="4"/>
      <c r="S467" s="4"/>
      <c r="T467" s="4"/>
      <c r="U467" s="4"/>
    </row>
    <row r="468" spans="1:21">
      <c r="A468" t="s">
        <v>231</v>
      </c>
      <c r="B468">
        <v>9</v>
      </c>
      <c r="C468" t="str">
        <f t="shared" si="60"/>
        <v>test.TIFFFaxDecoder_9_</v>
      </c>
      <c r="D468">
        <v>9</v>
      </c>
      <c r="E468" s="4">
        <v>0.63888888888888884</v>
      </c>
      <c r="F468" s="4">
        <v>0.32791327913279134</v>
      </c>
      <c r="G468" s="4" t="str">
        <f t="shared" si="61"/>
        <v/>
      </c>
      <c r="H468" s="4">
        <f t="shared" si="62"/>
        <v>0.63888888888888884</v>
      </c>
      <c r="I468" s="4" t="str">
        <f t="shared" si="63"/>
        <v/>
      </c>
      <c r="J468" s="4" t="str">
        <f t="shared" si="64"/>
        <v/>
      </c>
      <c r="K468" s="4" t="str">
        <f t="shared" si="65"/>
        <v/>
      </c>
      <c r="L468" s="4" t="str">
        <f t="shared" si="66"/>
        <v/>
      </c>
      <c r="M468" s="4"/>
      <c r="N468" s="4"/>
      <c r="O468" s="4"/>
      <c r="P468" s="4"/>
      <c r="Q468" s="4"/>
      <c r="R468" s="4"/>
      <c r="S468" s="4"/>
      <c r="T468" s="4"/>
      <c r="U468" s="4"/>
    </row>
    <row r="469" spans="1:21">
      <c r="A469" t="s">
        <v>231</v>
      </c>
      <c r="B469">
        <v>9</v>
      </c>
      <c r="C469" t="str">
        <f t="shared" si="60"/>
        <v>test.TIFFFaxDecoder_9_</v>
      </c>
      <c r="D469">
        <v>10</v>
      </c>
      <c r="E469" s="4">
        <v>0.63888888888888884</v>
      </c>
      <c r="F469" s="4">
        <v>0.32926829268292684</v>
      </c>
      <c r="G469" s="4" t="str">
        <f t="shared" si="61"/>
        <v/>
      </c>
      <c r="H469" s="4">
        <f t="shared" si="62"/>
        <v>0.63888888888888884</v>
      </c>
      <c r="I469" s="4" t="str">
        <f t="shared" si="63"/>
        <v/>
      </c>
      <c r="J469" s="4" t="str">
        <f t="shared" si="64"/>
        <v/>
      </c>
      <c r="K469" s="4" t="str">
        <f t="shared" si="65"/>
        <v/>
      </c>
      <c r="L469" s="4" t="str">
        <f t="shared" si="66"/>
        <v/>
      </c>
      <c r="M469" s="4"/>
      <c r="N469" s="4"/>
      <c r="O469" s="4"/>
      <c r="P469" s="4"/>
      <c r="Q469" s="4"/>
      <c r="R469" s="4"/>
      <c r="S469" s="4"/>
      <c r="T469" s="4"/>
      <c r="U469" s="4"/>
    </row>
    <row r="470" spans="1:21">
      <c r="A470" t="s">
        <v>231</v>
      </c>
      <c r="B470">
        <v>9</v>
      </c>
      <c r="C470" t="str">
        <f t="shared" si="60"/>
        <v>test.TIFFFaxDecoder_9_</v>
      </c>
      <c r="D470">
        <v>11</v>
      </c>
      <c r="E470" s="4">
        <v>0.66666666666666663</v>
      </c>
      <c r="F470" s="4">
        <v>0.33062330623306235</v>
      </c>
      <c r="G470" s="4" t="str">
        <f t="shared" si="61"/>
        <v/>
      </c>
      <c r="H470" s="4">
        <f t="shared" si="62"/>
        <v>0.66666666666666663</v>
      </c>
      <c r="I470" s="4" t="str">
        <f t="shared" si="63"/>
        <v/>
      </c>
      <c r="J470" s="4" t="str">
        <f t="shared" si="64"/>
        <v/>
      </c>
      <c r="K470" s="4" t="str">
        <f t="shared" si="65"/>
        <v/>
      </c>
      <c r="L470" s="4" t="str">
        <f t="shared" si="66"/>
        <v/>
      </c>
      <c r="M470" s="4"/>
      <c r="N470" s="4"/>
      <c r="O470" s="4"/>
      <c r="P470" s="4"/>
      <c r="Q470" s="4"/>
      <c r="R470" s="4"/>
      <c r="S470" s="4"/>
      <c r="T470" s="4"/>
      <c r="U470" s="4"/>
    </row>
    <row r="471" spans="1:21">
      <c r="A471" t="s">
        <v>231</v>
      </c>
      <c r="B471">
        <v>9</v>
      </c>
      <c r="C471" t="str">
        <f t="shared" si="60"/>
        <v>test.TIFFFaxDecoder_9_</v>
      </c>
      <c r="D471">
        <v>12</v>
      </c>
      <c r="E471" s="4">
        <v>0.66666666666666663</v>
      </c>
      <c r="F471" s="4">
        <v>0.37262872628726285</v>
      </c>
      <c r="G471" s="4" t="str">
        <f t="shared" si="61"/>
        <v/>
      </c>
      <c r="H471" s="4">
        <f t="shared" si="62"/>
        <v>0.66666666666666663</v>
      </c>
      <c r="I471" s="4" t="str">
        <f t="shared" si="63"/>
        <v/>
      </c>
      <c r="J471" s="4" t="str">
        <f t="shared" si="64"/>
        <v/>
      </c>
      <c r="K471" s="4" t="str">
        <f t="shared" si="65"/>
        <v/>
      </c>
      <c r="L471" s="4" t="str">
        <f t="shared" si="66"/>
        <v/>
      </c>
      <c r="M471" s="4"/>
      <c r="N471" s="4"/>
      <c r="O471" s="4"/>
      <c r="P471" s="4"/>
      <c r="Q471" s="4"/>
      <c r="R471" s="4"/>
      <c r="S471" s="4"/>
      <c r="T471" s="4"/>
      <c r="U471" s="4"/>
    </row>
    <row r="472" spans="1:21">
      <c r="A472" t="s">
        <v>231</v>
      </c>
      <c r="B472">
        <v>9</v>
      </c>
      <c r="C472" t="str">
        <f t="shared" si="60"/>
        <v>test.TIFFFaxDecoder_9_</v>
      </c>
      <c r="D472">
        <v>13</v>
      </c>
      <c r="E472" s="4">
        <v>0.66666666666666663</v>
      </c>
      <c r="F472" s="4">
        <v>0.38211382113821141</v>
      </c>
      <c r="G472" s="4" t="str">
        <f t="shared" si="61"/>
        <v/>
      </c>
      <c r="H472" s="4">
        <f t="shared" si="62"/>
        <v>0.66666666666666663</v>
      </c>
      <c r="I472" s="4" t="str">
        <f t="shared" si="63"/>
        <v/>
      </c>
      <c r="J472" s="4" t="str">
        <f t="shared" si="64"/>
        <v/>
      </c>
      <c r="K472" s="4" t="str">
        <f t="shared" si="65"/>
        <v/>
      </c>
      <c r="L472" s="4" t="str">
        <f t="shared" si="66"/>
        <v/>
      </c>
      <c r="M472" s="4"/>
      <c r="N472" s="4"/>
      <c r="O472" s="4"/>
      <c r="P472" s="4"/>
      <c r="Q472" s="4"/>
      <c r="R472" s="4"/>
      <c r="S472" s="4"/>
      <c r="T472" s="4"/>
      <c r="U472" s="4"/>
    </row>
    <row r="473" spans="1:21">
      <c r="A473" t="s">
        <v>231</v>
      </c>
      <c r="B473">
        <v>9</v>
      </c>
      <c r="C473" t="str">
        <f t="shared" si="60"/>
        <v>test.TIFFFaxDecoder_9_</v>
      </c>
      <c r="D473">
        <v>14</v>
      </c>
      <c r="E473" s="4">
        <v>0.77777777777777779</v>
      </c>
      <c r="F473" s="4">
        <v>0.45121951219512196</v>
      </c>
      <c r="G473" s="4" t="str">
        <f t="shared" si="61"/>
        <v/>
      </c>
      <c r="H473" s="4" t="str">
        <f t="shared" si="62"/>
        <v/>
      </c>
      <c r="I473" s="4">
        <f t="shared" si="63"/>
        <v>0.77777777777777779</v>
      </c>
      <c r="J473" s="4" t="str">
        <f t="shared" si="64"/>
        <v/>
      </c>
      <c r="K473" s="4" t="str">
        <f t="shared" si="65"/>
        <v/>
      </c>
      <c r="L473" s="4" t="str">
        <f t="shared" si="66"/>
        <v/>
      </c>
      <c r="M473" s="4"/>
      <c r="N473" s="4"/>
      <c r="O473" s="4"/>
      <c r="P473" s="4"/>
      <c r="Q473" s="4"/>
      <c r="R473" s="4"/>
      <c r="S473" s="4"/>
      <c r="T473" s="4"/>
      <c r="U473" s="4"/>
    </row>
    <row r="474" spans="1:21">
      <c r="A474" t="s">
        <v>231</v>
      </c>
      <c r="B474">
        <v>9</v>
      </c>
      <c r="C474" t="str">
        <f t="shared" si="60"/>
        <v>test.TIFFFaxDecoder_9_</v>
      </c>
      <c r="D474">
        <v>15</v>
      </c>
      <c r="E474" s="4">
        <v>0.97222222222222221</v>
      </c>
      <c r="F474" s="4">
        <v>0.62601626016260159</v>
      </c>
      <c r="G474" s="4" t="str">
        <f t="shared" si="61"/>
        <v/>
      </c>
      <c r="H474" s="4" t="str">
        <f t="shared" si="62"/>
        <v/>
      </c>
      <c r="I474" s="4" t="str">
        <f t="shared" si="63"/>
        <v/>
      </c>
      <c r="J474" s="4">
        <f t="shared" si="64"/>
        <v>0.97222222222222221</v>
      </c>
      <c r="K474" s="4" t="str">
        <f t="shared" si="65"/>
        <v/>
      </c>
      <c r="L474" s="4" t="str">
        <f t="shared" si="66"/>
        <v/>
      </c>
      <c r="M474" s="4"/>
      <c r="N474" s="4"/>
      <c r="O474" s="4"/>
      <c r="P474" s="4"/>
      <c r="Q474" s="4"/>
      <c r="R474" s="4"/>
      <c r="S474" s="4"/>
      <c r="T474" s="4"/>
      <c r="U474" s="4"/>
    </row>
    <row r="475" spans="1:21">
      <c r="A475" t="s">
        <v>231</v>
      </c>
      <c r="B475">
        <v>9</v>
      </c>
      <c r="C475" t="str">
        <f t="shared" si="60"/>
        <v>test.TIFFFaxDecoder_9_</v>
      </c>
      <c r="D475">
        <v>16</v>
      </c>
      <c r="E475" s="4">
        <v>0.97222222222222221</v>
      </c>
      <c r="F475" s="4">
        <v>0.64092140921409213</v>
      </c>
      <c r="G475" s="4" t="str">
        <f t="shared" si="61"/>
        <v/>
      </c>
      <c r="H475" s="4" t="str">
        <f t="shared" si="62"/>
        <v/>
      </c>
      <c r="I475" s="4" t="str">
        <f t="shared" si="63"/>
        <v/>
      </c>
      <c r="J475" s="4">
        <f t="shared" si="64"/>
        <v>0.97222222222222221</v>
      </c>
      <c r="K475" s="4" t="str">
        <f t="shared" si="65"/>
        <v/>
      </c>
      <c r="L475" s="4" t="str">
        <f t="shared" si="66"/>
        <v/>
      </c>
      <c r="M475" s="4"/>
      <c r="N475" s="4"/>
      <c r="O475" s="4"/>
      <c r="P475" s="4"/>
      <c r="Q475" s="4"/>
      <c r="R475" s="4"/>
      <c r="S475" s="4"/>
      <c r="T475" s="4"/>
      <c r="U475" s="4"/>
    </row>
    <row r="476" spans="1:21">
      <c r="A476" t="s">
        <v>231</v>
      </c>
      <c r="B476">
        <v>9</v>
      </c>
      <c r="C476" t="str">
        <f t="shared" si="60"/>
        <v>test.TIFFFaxDecoder_9_</v>
      </c>
      <c r="D476">
        <v>17</v>
      </c>
      <c r="E476" s="4">
        <v>1</v>
      </c>
      <c r="F476" s="4">
        <v>0.68970189701897022</v>
      </c>
      <c r="G476" s="4" t="str">
        <f t="shared" si="61"/>
        <v/>
      </c>
      <c r="H476" s="4" t="str">
        <f t="shared" si="62"/>
        <v/>
      </c>
      <c r="I476" s="4" t="str">
        <f t="shared" si="63"/>
        <v/>
      </c>
      <c r="J476" s="4">
        <f t="shared" si="64"/>
        <v>1</v>
      </c>
      <c r="K476" s="4" t="str">
        <f t="shared" si="65"/>
        <v/>
      </c>
      <c r="L476" s="4" t="str">
        <f t="shared" si="66"/>
        <v/>
      </c>
      <c r="M476" s="4"/>
      <c r="N476" s="4"/>
      <c r="O476" s="4"/>
      <c r="P476" s="4"/>
      <c r="Q476" s="4"/>
      <c r="R476" s="4"/>
      <c r="S476" s="4"/>
      <c r="T476" s="4"/>
      <c r="U476" s="4"/>
    </row>
    <row r="477" spans="1:21">
      <c r="A477" t="s">
        <v>231</v>
      </c>
      <c r="B477">
        <v>9</v>
      </c>
      <c r="C477" t="str">
        <f t="shared" si="60"/>
        <v>test.TIFFFaxDecoder_9_</v>
      </c>
      <c r="D477">
        <v>18</v>
      </c>
      <c r="E477" s="4">
        <v>1</v>
      </c>
      <c r="F477" s="4">
        <v>0.70054200542005418</v>
      </c>
      <c r="G477" s="4" t="str">
        <f t="shared" si="61"/>
        <v/>
      </c>
      <c r="H477" s="4" t="str">
        <f t="shared" si="62"/>
        <v/>
      </c>
      <c r="I477" s="4" t="str">
        <f t="shared" si="63"/>
        <v/>
      </c>
      <c r="J477" s="4">
        <f t="shared" si="64"/>
        <v>1</v>
      </c>
      <c r="K477" s="4" t="str">
        <f t="shared" si="65"/>
        <v/>
      </c>
      <c r="L477" s="4" t="str">
        <f t="shared" si="66"/>
        <v/>
      </c>
      <c r="M477" s="4"/>
      <c r="N477" s="4"/>
      <c r="O477" s="4"/>
      <c r="P477" s="4"/>
      <c r="Q477" s="4"/>
      <c r="R477" s="4"/>
      <c r="S477" s="4"/>
      <c r="T477" s="4"/>
      <c r="U477" s="4"/>
    </row>
    <row r="478" spans="1:21">
      <c r="A478" t="s">
        <v>231</v>
      </c>
      <c r="B478">
        <v>10</v>
      </c>
      <c r="C478" t="str">
        <f t="shared" si="60"/>
        <v>test.TIFFFaxDecoder_10_</v>
      </c>
      <c r="D478">
        <v>1</v>
      </c>
      <c r="E478" s="4">
        <v>0.9</v>
      </c>
      <c r="F478" s="4">
        <v>0.95362663495838285</v>
      </c>
      <c r="G478" s="4" t="str">
        <f t="shared" si="61"/>
        <v/>
      </c>
      <c r="H478" s="4" t="str">
        <f t="shared" si="62"/>
        <v/>
      </c>
      <c r="I478" s="4" t="str">
        <f t="shared" si="63"/>
        <v/>
      </c>
      <c r="J478" s="4" t="str">
        <f t="shared" si="64"/>
        <v/>
      </c>
      <c r="K478" s="4">
        <f t="shared" si="65"/>
        <v>0.9</v>
      </c>
      <c r="L478" s="4" t="str">
        <f t="shared" si="66"/>
        <v/>
      </c>
      <c r="M478" s="4"/>
      <c r="N478" s="4"/>
      <c r="O478" s="4"/>
      <c r="P478" s="4"/>
      <c r="Q478" s="4"/>
      <c r="R478" s="4"/>
      <c r="S478" s="4"/>
      <c r="T478" s="4"/>
      <c r="U478" s="4"/>
    </row>
    <row r="479" spans="1:21">
      <c r="A479" t="s">
        <v>231</v>
      </c>
      <c r="B479">
        <v>10</v>
      </c>
      <c r="C479" t="str">
        <f t="shared" si="60"/>
        <v>test.TIFFFaxDecoder_10_</v>
      </c>
      <c r="D479">
        <v>2</v>
      </c>
      <c r="E479" s="4">
        <v>1</v>
      </c>
      <c r="F479" s="4">
        <v>1.7181926278240189</v>
      </c>
      <c r="G479" s="4" t="str">
        <f t="shared" si="61"/>
        <v/>
      </c>
      <c r="H479" s="4" t="str">
        <f t="shared" si="62"/>
        <v/>
      </c>
      <c r="I479" s="4" t="str">
        <f t="shared" si="63"/>
        <v/>
      </c>
      <c r="J479" s="4" t="str">
        <f t="shared" si="64"/>
        <v/>
      </c>
      <c r="K479" s="4" t="str">
        <f t="shared" si="65"/>
        <v/>
      </c>
      <c r="L479" s="4">
        <f t="shared" si="66"/>
        <v>1</v>
      </c>
      <c r="M479" s="4"/>
      <c r="N479" s="4"/>
      <c r="O479" s="4"/>
      <c r="P479" s="4"/>
      <c r="Q479" s="4"/>
      <c r="R479" s="4"/>
      <c r="S479" s="4"/>
      <c r="T479" s="4"/>
      <c r="U479" s="4"/>
    </row>
    <row r="480" spans="1:21">
      <c r="A480" t="s">
        <v>231</v>
      </c>
      <c r="B480">
        <v>10</v>
      </c>
      <c r="C480" t="str">
        <f t="shared" si="60"/>
        <v>test.TIFFFaxDecoder_10_</v>
      </c>
      <c r="D480">
        <v>3</v>
      </c>
      <c r="E480" s="4">
        <v>1</v>
      </c>
      <c r="F480" s="4">
        <v>1.727705112960761</v>
      </c>
      <c r="G480" s="4" t="str">
        <f t="shared" si="61"/>
        <v/>
      </c>
      <c r="H480" s="4" t="str">
        <f t="shared" si="62"/>
        <v/>
      </c>
      <c r="I480" s="4" t="str">
        <f t="shared" si="63"/>
        <v/>
      </c>
      <c r="J480" s="4" t="str">
        <f t="shared" si="64"/>
        <v/>
      </c>
      <c r="K480" s="4" t="str">
        <f t="shared" si="65"/>
        <v/>
      </c>
      <c r="L480" s="4">
        <f t="shared" si="66"/>
        <v>1</v>
      </c>
      <c r="M480" s="4"/>
      <c r="N480" s="4"/>
      <c r="O480" s="4"/>
      <c r="P480" s="4"/>
      <c r="Q480" s="4"/>
      <c r="R480" s="4"/>
      <c r="S480" s="4"/>
      <c r="T480" s="4"/>
      <c r="U480" s="4"/>
    </row>
    <row r="481" spans="1:21">
      <c r="A481" t="s">
        <v>231</v>
      </c>
      <c r="B481">
        <v>10</v>
      </c>
      <c r="C481" t="str">
        <f t="shared" si="60"/>
        <v>test.TIFFFaxDecoder_10_</v>
      </c>
      <c r="D481">
        <v>4</v>
      </c>
      <c r="E481" s="4">
        <v>1</v>
      </c>
      <c r="F481" s="4">
        <v>2.140309155766944</v>
      </c>
      <c r="G481" s="4" t="str">
        <f t="shared" si="61"/>
        <v/>
      </c>
      <c r="H481" s="4" t="str">
        <f t="shared" si="62"/>
        <v/>
      </c>
      <c r="I481" s="4" t="str">
        <f t="shared" si="63"/>
        <v/>
      </c>
      <c r="J481" s="4" t="str">
        <f t="shared" si="64"/>
        <v/>
      </c>
      <c r="K481" s="4" t="str">
        <f t="shared" si="65"/>
        <v/>
      </c>
      <c r="L481" s="4">
        <f t="shared" si="66"/>
        <v>1</v>
      </c>
      <c r="M481" s="4"/>
      <c r="N481" s="4"/>
      <c r="O481" s="4"/>
      <c r="P481" s="4"/>
      <c r="Q481" s="4"/>
      <c r="R481" s="4"/>
      <c r="S481" s="4"/>
      <c r="T481" s="4"/>
      <c r="U481" s="4"/>
    </row>
    <row r="482" spans="1:21">
      <c r="A482" t="s">
        <v>231</v>
      </c>
      <c r="B482">
        <v>11</v>
      </c>
      <c r="C482" t="str">
        <f t="shared" si="60"/>
        <v>test.TIFFFaxDecoder_11_</v>
      </c>
      <c r="D482">
        <v>1</v>
      </c>
      <c r="E482" s="4">
        <v>7.9545454545454544E-2</v>
      </c>
      <c r="F482" s="4">
        <v>0.11825860948667966</v>
      </c>
      <c r="G482" s="4">
        <f t="shared" si="61"/>
        <v>7.9545454545454544E-2</v>
      </c>
      <c r="H482" s="4" t="str">
        <f t="shared" si="62"/>
        <v/>
      </c>
      <c r="I482" s="4" t="str">
        <f t="shared" si="63"/>
        <v/>
      </c>
      <c r="J482" s="4" t="str">
        <f t="shared" si="64"/>
        <v/>
      </c>
      <c r="K482" s="4" t="str">
        <f t="shared" si="65"/>
        <v/>
      </c>
      <c r="L482" s="4" t="str">
        <f t="shared" si="66"/>
        <v/>
      </c>
      <c r="M482" s="4"/>
      <c r="N482" s="4"/>
      <c r="O482" s="4"/>
      <c r="P482" s="4"/>
      <c r="Q482" s="4"/>
      <c r="R482" s="4"/>
      <c r="S482" s="4"/>
      <c r="T482" s="4"/>
      <c r="U482" s="4"/>
    </row>
    <row r="483" spans="1:21">
      <c r="A483" t="s">
        <v>231</v>
      </c>
      <c r="B483">
        <v>11</v>
      </c>
      <c r="C483" t="str">
        <f t="shared" si="60"/>
        <v>test.TIFFFaxDecoder_11_</v>
      </c>
      <c r="D483">
        <v>2</v>
      </c>
      <c r="E483" s="4">
        <v>0.38636363636363635</v>
      </c>
      <c r="F483" s="4">
        <v>0.42170240415854449</v>
      </c>
      <c r="G483" s="4" t="str">
        <f t="shared" si="61"/>
        <v/>
      </c>
      <c r="H483" s="4" t="str">
        <f t="shared" si="62"/>
        <v/>
      </c>
      <c r="I483" s="4">
        <f t="shared" si="63"/>
        <v>0.38636363636363635</v>
      </c>
      <c r="J483" s="4" t="str">
        <f t="shared" si="64"/>
        <v/>
      </c>
      <c r="K483" s="4" t="str">
        <f t="shared" si="65"/>
        <v/>
      </c>
      <c r="L483" s="4" t="str">
        <f t="shared" si="66"/>
        <v/>
      </c>
      <c r="M483" s="4"/>
      <c r="N483" s="4"/>
      <c r="O483" s="4"/>
      <c r="P483" s="4"/>
      <c r="Q483" s="4"/>
      <c r="R483" s="4"/>
      <c r="S483" s="4"/>
      <c r="T483" s="4"/>
      <c r="U483" s="4"/>
    </row>
    <row r="484" spans="1:21">
      <c r="A484" t="s">
        <v>231</v>
      </c>
      <c r="B484">
        <v>11</v>
      </c>
      <c r="C484" t="str">
        <f t="shared" si="60"/>
        <v>test.TIFFFaxDecoder_11_</v>
      </c>
      <c r="D484">
        <v>3</v>
      </c>
      <c r="E484" s="4">
        <v>0.42045454545454547</v>
      </c>
      <c r="F484" s="4">
        <v>0.43599740090968159</v>
      </c>
      <c r="G484" s="4" t="str">
        <f t="shared" si="61"/>
        <v/>
      </c>
      <c r="H484" s="4" t="str">
        <f t="shared" si="62"/>
        <v/>
      </c>
      <c r="I484" s="4">
        <f t="shared" si="63"/>
        <v>0.42045454545454547</v>
      </c>
      <c r="J484" s="4" t="str">
        <f t="shared" si="64"/>
        <v/>
      </c>
      <c r="K484" s="4" t="str">
        <f t="shared" si="65"/>
        <v/>
      </c>
      <c r="L484" s="4" t="str">
        <f t="shared" si="66"/>
        <v/>
      </c>
      <c r="M484" s="4"/>
      <c r="N484" s="4"/>
      <c r="O484" s="4"/>
      <c r="P484" s="4"/>
      <c r="Q484" s="4"/>
      <c r="R484" s="4"/>
      <c r="S484" s="4"/>
      <c r="T484" s="4"/>
      <c r="U484" s="4"/>
    </row>
    <row r="485" spans="1:21">
      <c r="A485" t="s">
        <v>231</v>
      </c>
      <c r="B485">
        <v>11</v>
      </c>
      <c r="C485" t="str">
        <f t="shared" si="60"/>
        <v>test.TIFFFaxDecoder_11_</v>
      </c>
      <c r="D485">
        <v>4</v>
      </c>
      <c r="E485" s="4">
        <v>0.52272727272727271</v>
      </c>
      <c r="F485" s="4">
        <v>0.44639376218323584</v>
      </c>
      <c r="G485" s="4" t="str">
        <f t="shared" si="61"/>
        <v/>
      </c>
      <c r="H485" s="4" t="str">
        <f t="shared" si="62"/>
        <v/>
      </c>
      <c r="I485" s="4">
        <f t="shared" si="63"/>
        <v>0.52272727272727271</v>
      </c>
      <c r="J485" s="4" t="str">
        <f t="shared" si="64"/>
        <v/>
      </c>
      <c r="K485" s="4" t="str">
        <f t="shared" si="65"/>
        <v/>
      </c>
      <c r="L485" s="4" t="str">
        <f t="shared" si="66"/>
        <v/>
      </c>
      <c r="M485" s="4"/>
      <c r="N485" s="4"/>
      <c r="O485" s="4"/>
      <c r="P485" s="4"/>
      <c r="Q485" s="4"/>
      <c r="R485" s="4"/>
      <c r="S485" s="4"/>
      <c r="T485" s="4"/>
      <c r="U485" s="4"/>
    </row>
    <row r="486" spans="1:21">
      <c r="A486" t="s">
        <v>231</v>
      </c>
      <c r="B486">
        <v>11</v>
      </c>
      <c r="C486" t="str">
        <f t="shared" si="60"/>
        <v>test.TIFFFaxDecoder_11_</v>
      </c>
      <c r="D486">
        <v>5</v>
      </c>
      <c r="E486" s="4">
        <v>0.61363636363636365</v>
      </c>
      <c r="F486" s="4">
        <v>0.46328784925276151</v>
      </c>
      <c r="G486" s="4" t="str">
        <f t="shared" si="61"/>
        <v/>
      </c>
      <c r="H486" s="4" t="str">
        <f t="shared" si="62"/>
        <v/>
      </c>
      <c r="I486" s="4">
        <f t="shared" si="63"/>
        <v>0.61363636363636365</v>
      </c>
      <c r="J486" s="4" t="str">
        <f t="shared" si="64"/>
        <v/>
      </c>
      <c r="K486" s="4" t="str">
        <f t="shared" si="65"/>
        <v/>
      </c>
      <c r="L486" s="4" t="str">
        <f t="shared" si="66"/>
        <v/>
      </c>
      <c r="M486" s="4"/>
      <c r="N486" s="4"/>
      <c r="O486" s="4"/>
      <c r="P486" s="4"/>
      <c r="Q486" s="4"/>
      <c r="R486" s="4"/>
      <c r="S486" s="4"/>
      <c r="T486" s="4"/>
      <c r="U486" s="4"/>
    </row>
    <row r="487" spans="1:21">
      <c r="A487" t="s">
        <v>231</v>
      </c>
      <c r="B487">
        <v>11</v>
      </c>
      <c r="C487" t="str">
        <f t="shared" si="60"/>
        <v>test.TIFFFaxDecoder_11_</v>
      </c>
      <c r="D487">
        <v>6</v>
      </c>
      <c r="E487" s="4">
        <v>0.61363636363636365</v>
      </c>
      <c r="F487" s="4">
        <v>0.47043534762833006</v>
      </c>
      <c r="G487" s="4" t="str">
        <f t="shared" si="61"/>
        <v/>
      </c>
      <c r="H487" s="4" t="str">
        <f t="shared" si="62"/>
        <v/>
      </c>
      <c r="I487" s="4">
        <f t="shared" si="63"/>
        <v>0.61363636363636365</v>
      </c>
      <c r="J487" s="4" t="str">
        <f t="shared" si="64"/>
        <v/>
      </c>
      <c r="K487" s="4" t="str">
        <f t="shared" si="65"/>
        <v/>
      </c>
      <c r="L487" s="4" t="str">
        <f t="shared" si="66"/>
        <v/>
      </c>
      <c r="M487" s="4"/>
      <c r="N487" s="4"/>
      <c r="O487" s="4"/>
      <c r="P487" s="4"/>
      <c r="Q487" s="4"/>
      <c r="R487" s="4"/>
      <c r="S487" s="4"/>
      <c r="T487" s="4"/>
      <c r="U487" s="4"/>
    </row>
    <row r="488" spans="1:21">
      <c r="A488" t="s">
        <v>231</v>
      </c>
      <c r="B488">
        <v>11</v>
      </c>
      <c r="C488" t="str">
        <f t="shared" si="60"/>
        <v>test.TIFFFaxDecoder_11_</v>
      </c>
      <c r="D488">
        <v>7</v>
      </c>
      <c r="E488" s="4">
        <v>0.61363636363636365</v>
      </c>
      <c r="F488" s="4">
        <v>0.47628330084470433</v>
      </c>
      <c r="G488" s="4" t="str">
        <f t="shared" si="61"/>
        <v/>
      </c>
      <c r="H488" s="4" t="str">
        <f t="shared" si="62"/>
        <v/>
      </c>
      <c r="I488" s="4">
        <f t="shared" si="63"/>
        <v>0.61363636363636365</v>
      </c>
      <c r="J488" s="4" t="str">
        <f t="shared" si="64"/>
        <v/>
      </c>
      <c r="K488" s="4" t="str">
        <f t="shared" si="65"/>
        <v/>
      </c>
      <c r="L488" s="4" t="str">
        <f t="shared" si="66"/>
        <v/>
      </c>
      <c r="M488" s="4"/>
      <c r="N488" s="4"/>
      <c r="O488" s="4"/>
      <c r="P488" s="4"/>
      <c r="Q488" s="4"/>
      <c r="R488" s="4"/>
      <c r="S488" s="4"/>
      <c r="T488" s="4"/>
      <c r="U488" s="4"/>
    </row>
    <row r="489" spans="1:21">
      <c r="A489" t="s">
        <v>231</v>
      </c>
      <c r="B489">
        <v>11</v>
      </c>
      <c r="C489" t="str">
        <f t="shared" si="60"/>
        <v>test.TIFFFaxDecoder_11_</v>
      </c>
      <c r="D489">
        <v>8</v>
      </c>
      <c r="E489" s="4">
        <v>0.70454545454545459</v>
      </c>
      <c r="F489" s="4">
        <v>0.53151397011046131</v>
      </c>
      <c r="G489" s="4" t="str">
        <f t="shared" si="61"/>
        <v/>
      </c>
      <c r="H489" s="4" t="str">
        <f t="shared" si="62"/>
        <v/>
      </c>
      <c r="I489" s="4">
        <f t="shared" si="63"/>
        <v>0.70454545454545459</v>
      </c>
      <c r="J489" s="4" t="str">
        <f t="shared" si="64"/>
        <v/>
      </c>
      <c r="K489" s="4" t="str">
        <f t="shared" si="65"/>
        <v/>
      </c>
      <c r="L489" s="4" t="str">
        <f t="shared" si="66"/>
        <v/>
      </c>
      <c r="M489" s="4"/>
      <c r="N489" s="4"/>
      <c r="O489" s="4"/>
      <c r="P489" s="4"/>
      <c r="Q489" s="4"/>
      <c r="R489" s="4"/>
      <c r="S489" s="4"/>
      <c r="T489" s="4"/>
      <c r="U489" s="4"/>
    </row>
    <row r="490" spans="1:21">
      <c r="A490" t="s">
        <v>231</v>
      </c>
      <c r="B490">
        <v>11</v>
      </c>
      <c r="C490" t="str">
        <f t="shared" si="60"/>
        <v>test.TIFFFaxDecoder_11_</v>
      </c>
      <c r="D490">
        <v>9</v>
      </c>
      <c r="E490" s="4">
        <v>0.77272727272727271</v>
      </c>
      <c r="F490" s="4">
        <v>0.53476283300844707</v>
      </c>
      <c r="G490" s="4" t="str">
        <f t="shared" si="61"/>
        <v/>
      </c>
      <c r="H490" s="4" t="str">
        <f t="shared" si="62"/>
        <v/>
      </c>
      <c r="I490" s="4">
        <f t="shared" si="63"/>
        <v>0.77272727272727271</v>
      </c>
      <c r="J490" s="4" t="str">
        <f t="shared" si="64"/>
        <v/>
      </c>
      <c r="K490" s="4" t="str">
        <f t="shared" si="65"/>
        <v/>
      </c>
      <c r="L490" s="4" t="str">
        <f t="shared" si="66"/>
        <v/>
      </c>
      <c r="M490" s="4"/>
      <c r="N490" s="4"/>
      <c r="O490" s="4"/>
      <c r="P490" s="4"/>
      <c r="Q490" s="4"/>
      <c r="R490" s="4"/>
      <c r="S490" s="4"/>
      <c r="T490" s="4"/>
      <c r="U490" s="4"/>
    </row>
    <row r="491" spans="1:21">
      <c r="A491" t="s">
        <v>231</v>
      </c>
      <c r="B491">
        <v>11</v>
      </c>
      <c r="C491" t="str">
        <f t="shared" si="60"/>
        <v>test.TIFFFaxDecoder_11_</v>
      </c>
      <c r="D491">
        <v>10</v>
      </c>
      <c r="E491" s="4">
        <v>0.77272727272727271</v>
      </c>
      <c r="F491" s="4">
        <v>0.53541260558804415</v>
      </c>
      <c r="G491" s="4" t="str">
        <f t="shared" si="61"/>
        <v/>
      </c>
      <c r="H491" s="4" t="str">
        <f t="shared" si="62"/>
        <v/>
      </c>
      <c r="I491" s="4">
        <f t="shared" si="63"/>
        <v>0.77272727272727271</v>
      </c>
      <c r="J491" s="4" t="str">
        <f t="shared" si="64"/>
        <v/>
      </c>
      <c r="K491" s="4" t="str">
        <f t="shared" si="65"/>
        <v/>
      </c>
      <c r="L491" s="4" t="str">
        <f t="shared" si="66"/>
        <v/>
      </c>
      <c r="M491" s="4"/>
      <c r="N491" s="4"/>
      <c r="O491" s="4"/>
      <c r="P491" s="4"/>
      <c r="Q491" s="4"/>
      <c r="R491" s="4"/>
      <c r="S491" s="4"/>
      <c r="T491" s="4"/>
      <c r="U491" s="4"/>
    </row>
    <row r="492" spans="1:21">
      <c r="A492" t="s">
        <v>231</v>
      </c>
      <c r="B492">
        <v>11</v>
      </c>
      <c r="C492" t="str">
        <f t="shared" si="60"/>
        <v>test.TIFFFaxDecoder_11_</v>
      </c>
      <c r="D492">
        <v>11</v>
      </c>
      <c r="E492" s="4">
        <v>0.77272727272727271</v>
      </c>
      <c r="F492" s="4">
        <v>0.54191033138401556</v>
      </c>
      <c r="G492" s="4" t="str">
        <f t="shared" si="61"/>
        <v/>
      </c>
      <c r="H492" s="4" t="str">
        <f t="shared" si="62"/>
        <v/>
      </c>
      <c r="I492" s="4">
        <f t="shared" si="63"/>
        <v>0.77272727272727271</v>
      </c>
      <c r="J492" s="4" t="str">
        <f t="shared" si="64"/>
        <v/>
      </c>
      <c r="K492" s="4" t="str">
        <f t="shared" si="65"/>
        <v/>
      </c>
      <c r="L492" s="4" t="str">
        <f t="shared" si="66"/>
        <v/>
      </c>
      <c r="M492" s="4"/>
      <c r="N492" s="4"/>
      <c r="O492" s="4"/>
      <c r="P492" s="4"/>
      <c r="Q492" s="4"/>
      <c r="R492" s="4"/>
      <c r="S492" s="4"/>
      <c r="T492" s="4"/>
      <c r="U492" s="4"/>
    </row>
    <row r="493" spans="1:21">
      <c r="A493" t="s">
        <v>231</v>
      </c>
      <c r="B493">
        <v>11</v>
      </c>
      <c r="C493" t="str">
        <f t="shared" si="60"/>
        <v>test.TIFFFaxDecoder_11_</v>
      </c>
      <c r="D493">
        <v>12</v>
      </c>
      <c r="E493" s="4">
        <v>0.77272727272727271</v>
      </c>
      <c r="F493" s="4">
        <v>0.54450942170240413</v>
      </c>
      <c r="G493" s="4" t="str">
        <f t="shared" si="61"/>
        <v/>
      </c>
      <c r="H493" s="4" t="str">
        <f t="shared" si="62"/>
        <v/>
      </c>
      <c r="I493" s="4">
        <f t="shared" si="63"/>
        <v>0.77272727272727271</v>
      </c>
      <c r="J493" s="4" t="str">
        <f t="shared" si="64"/>
        <v/>
      </c>
      <c r="K493" s="4" t="str">
        <f t="shared" si="65"/>
        <v/>
      </c>
      <c r="L493" s="4" t="str">
        <f t="shared" si="66"/>
        <v/>
      </c>
      <c r="M493" s="4"/>
      <c r="N493" s="4"/>
      <c r="O493" s="4"/>
      <c r="P493" s="4"/>
      <c r="Q493" s="4"/>
      <c r="R493" s="4"/>
      <c r="S493" s="4"/>
      <c r="T493" s="4"/>
      <c r="U493" s="4"/>
    </row>
    <row r="494" spans="1:21">
      <c r="A494" t="s">
        <v>231</v>
      </c>
      <c r="B494">
        <v>11</v>
      </c>
      <c r="C494" t="str">
        <f t="shared" si="60"/>
        <v>test.TIFFFaxDecoder_11_</v>
      </c>
      <c r="D494">
        <v>13</v>
      </c>
      <c r="E494" s="4">
        <v>0.77272727272727271</v>
      </c>
      <c r="F494" s="4">
        <v>0.55230669265756982</v>
      </c>
      <c r="G494" s="4" t="str">
        <f t="shared" si="61"/>
        <v/>
      </c>
      <c r="H494" s="4" t="str">
        <f t="shared" si="62"/>
        <v/>
      </c>
      <c r="I494" s="4">
        <f t="shared" si="63"/>
        <v>0.77272727272727271</v>
      </c>
      <c r="J494" s="4" t="str">
        <f t="shared" si="64"/>
        <v/>
      </c>
      <c r="K494" s="4" t="str">
        <f t="shared" si="65"/>
        <v/>
      </c>
      <c r="L494" s="4" t="str">
        <f t="shared" si="66"/>
        <v/>
      </c>
      <c r="M494" s="4"/>
      <c r="N494" s="4"/>
      <c r="O494" s="4"/>
      <c r="P494" s="4"/>
      <c r="Q494" s="4"/>
      <c r="R494" s="4"/>
      <c r="S494" s="4"/>
      <c r="T494" s="4"/>
      <c r="U494" s="4"/>
    </row>
    <row r="495" spans="1:21">
      <c r="A495" t="s">
        <v>231</v>
      </c>
      <c r="B495">
        <v>11</v>
      </c>
      <c r="C495" t="str">
        <f t="shared" si="60"/>
        <v>test.TIFFFaxDecoder_11_</v>
      </c>
      <c r="D495">
        <v>14</v>
      </c>
      <c r="E495" s="4">
        <v>0.88636363636363635</v>
      </c>
      <c r="F495" s="4">
        <v>0.56465237166991555</v>
      </c>
      <c r="G495" s="4" t="str">
        <f t="shared" si="61"/>
        <v/>
      </c>
      <c r="H495" s="4" t="str">
        <f t="shared" si="62"/>
        <v/>
      </c>
      <c r="I495" s="4">
        <f t="shared" si="63"/>
        <v>0.88636363636363635</v>
      </c>
      <c r="J495" s="4" t="str">
        <f t="shared" si="64"/>
        <v/>
      </c>
      <c r="K495" s="4" t="str">
        <f t="shared" si="65"/>
        <v/>
      </c>
      <c r="L495" s="4" t="str">
        <f t="shared" si="66"/>
        <v/>
      </c>
      <c r="M495" s="4"/>
      <c r="N495" s="4"/>
      <c r="O495" s="4"/>
      <c r="P495" s="4"/>
      <c r="Q495" s="4"/>
      <c r="R495" s="4"/>
      <c r="S495" s="4"/>
      <c r="T495" s="4"/>
      <c r="U495" s="4"/>
    </row>
    <row r="496" spans="1:21">
      <c r="A496" t="s">
        <v>231</v>
      </c>
      <c r="B496">
        <v>11</v>
      </c>
      <c r="C496" t="str">
        <f t="shared" si="60"/>
        <v>test.TIFFFaxDecoder_11_</v>
      </c>
      <c r="D496">
        <v>15</v>
      </c>
      <c r="E496" s="4">
        <v>0.88636363636363635</v>
      </c>
      <c r="F496" s="4">
        <v>0.57244964262508125</v>
      </c>
      <c r="G496" s="4" t="str">
        <f t="shared" si="61"/>
        <v/>
      </c>
      <c r="H496" s="4" t="str">
        <f t="shared" si="62"/>
        <v/>
      </c>
      <c r="I496" s="4">
        <f t="shared" si="63"/>
        <v>0.88636363636363635</v>
      </c>
      <c r="J496" s="4" t="str">
        <f t="shared" si="64"/>
        <v/>
      </c>
      <c r="K496" s="4" t="str">
        <f t="shared" si="65"/>
        <v/>
      </c>
      <c r="L496" s="4" t="str">
        <f t="shared" si="66"/>
        <v/>
      </c>
      <c r="M496" s="4"/>
      <c r="N496" s="4"/>
      <c r="O496" s="4"/>
      <c r="P496" s="4"/>
      <c r="Q496" s="4"/>
      <c r="R496" s="4"/>
      <c r="S496" s="4"/>
      <c r="T496" s="4"/>
      <c r="U496" s="4"/>
    </row>
    <row r="497" spans="1:21">
      <c r="A497" t="s">
        <v>231</v>
      </c>
      <c r="B497">
        <v>11</v>
      </c>
      <c r="C497" t="str">
        <f t="shared" si="60"/>
        <v>test.TIFFFaxDecoder_11_</v>
      </c>
      <c r="D497">
        <v>16</v>
      </c>
      <c r="E497" s="4">
        <v>0.88636363636363635</v>
      </c>
      <c r="F497" s="4">
        <v>0.57959714100064974</v>
      </c>
      <c r="G497" s="4" t="str">
        <f t="shared" si="61"/>
        <v/>
      </c>
      <c r="H497" s="4" t="str">
        <f t="shared" si="62"/>
        <v/>
      </c>
      <c r="I497" s="4">
        <f t="shared" si="63"/>
        <v>0.88636363636363635</v>
      </c>
      <c r="J497" s="4" t="str">
        <f t="shared" si="64"/>
        <v/>
      </c>
      <c r="K497" s="4" t="str">
        <f t="shared" si="65"/>
        <v/>
      </c>
      <c r="L497" s="4" t="str">
        <f t="shared" si="66"/>
        <v/>
      </c>
      <c r="M497" s="4"/>
      <c r="N497" s="4"/>
      <c r="O497" s="4"/>
      <c r="P497" s="4"/>
      <c r="Q497" s="4"/>
      <c r="R497" s="4"/>
      <c r="S497" s="4"/>
      <c r="T497" s="4"/>
      <c r="U497" s="4"/>
    </row>
    <row r="498" spans="1:21">
      <c r="A498" t="s">
        <v>231</v>
      </c>
      <c r="B498">
        <v>11</v>
      </c>
      <c r="C498" t="str">
        <f t="shared" si="60"/>
        <v>test.TIFFFaxDecoder_11_</v>
      </c>
      <c r="D498">
        <v>17</v>
      </c>
      <c r="E498" s="4">
        <v>1</v>
      </c>
      <c r="F498" s="4">
        <v>0.58024691358024694</v>
      </c>
      <c r="G498" s="4" t="str">
        <f t="shared" si="61"/>
        <v/>
      </c>
      <c r="H498" s="4" t="str">
        <f t="shared" si="62"/>
        <v/>
      </c>
      <c r="I498" s="4">
        <f t="shared" si="63"/>
        <v>1</v>
      </c>
      <c r="J498" s="4" t="str">
        <f t="shared" si="64"/>
        <v/>
      </c>
      <c r="K498" s="4" t="str">
        <f t="shared" si="65"/>
        <v/>
      </c>
      <c r="L498" s="4" t="str">
        <f t="shared" si="66"/>
        <v/>
      </c>
      <c r="M498" s="4"/>
      <c r="N498" s="4"/>
      <c r="O498" s="4"/>
      <c r="P498" s="4"/>
      <c r="Q498" s="4"/>
      <c r="R498" s="4"/>
      <c r="S498" s="4"/>
      <c r="T498" s="4"/>
      <c r="U498" s="4"/>
    </row>
    <row r="499" spans="1:21">
      <c r="A499" t="s">
        <v>231</v>
      </c>
      <c r="B499">
        <v>11</v>
      </c>
      <c r="C499" t="str">
        <f t="shared" si="60"/>
        <v>test.TIFFFaxDecoder_11_</v>
      </c>
      <c r="D499">
        <v>18</v>
      </c>
      <c r="E499" s="4">
        <v>1</v>
      </c>
      <c r="F499" s="4">
        <v>0.58349577647823259</v>
      </c>
      <c r="G499" s="4" t="str">
        <f t="shared" si="61"/>
        <v/>
      </c>
      <c r="H499" s="4" t="str">
        <f t="shared" si="62"/>
        <v/>
      </c>
      <c r="I499" s="4">
        <f t="shared" si="63"/>
        <v>1</v>
      </c>
      <c r="J499" s="4" t="str">
        <f t="shared" si="64"/>
        <v/>
      </c>
      <c r="K499" s="4" t="str">
        <f t="shared" si="65"/>
        <v/>
      </c>
      <c r="L499" s="4" t="str">
        <f t="shared" si="66"/>
        <v/>
      </c>
      <c r="M499" s="4"/>
      <c r="N499" s="4"/>
      <c r="O499" s="4"/>
      <c r="P499" s="4"/>
      <c r="Q499" s="4"/>
      <c r="R499" s="4"/>
      <c r="S499" s="4"/>
      <c r="T499" s="4"/>
      <c r="U499" s="4"/>
    </row>
    <row r="500" spans="1:21">
      <c r="A500" t="s">
        <v>231</v>
      </c>
      <c r="B500">
        <v>11</v>
      </c>
      <c r="C500" t="str">
        <f t="shared" si="60"/>
        <v>test.TIFFFaxDecoder_11_</v>
      </c>
      <c r="D500">
        <v>19</v>
      </c>
      <c r="E500" s="4">
        <v>1</v>
      </c>
      <c r="F500" s="4">
        <v>0.59064327485380119</v>
      </c>
      <c r="G500" s="4" t="str">
        <f t="shared" si="61"/>
        <v/>
      </c>
      <c r="H500" s="4" t="str">
        <f t="shared" si="62"/>
        <v/>
      </c>
      <c r="I500" s="4">
        <f t="shared" si="63"/>
        <v>1</v>
      </c>
      <c r="J500" s="4" t="str">
        <f t="shared" si="64"/>
        <v/>
      </c>
      <c r="K500" s="4" t="str">
        <f t="shared" si="65"/>
        <v/>
      </c>
      <c r="L500" s="4" t="str">
        <f t="shared" si="66"/>
        <v/>
      </c>
      <c r="M500" s="4"/>
      <c r="N500" s="4"/>
      <c r="O500" s="4"/>
      <c r="P500" s="4"/>
      <c r="Q500" s="4"/>
      <c r="R500" s="4"/>
      <c r="S500" s="4"/>
      <c r="T500" s="4"/>
      <c r="U500" s="4"/>
    </row>
    <row r="501" spans="1:21">
      <c r="A501" t="s">
        <v>231</v>
      </c>
      <c r="B501">
        <v>12</v>
      </c>
      <c r="C501" t="str">
        <f t="shared" si="60"/>
        <v>test.TIFFFaxDecoder_12_</v>
      </c>
      <c r="D501">
        <v>1</v>
      </c>
      <c r="E501" s="4">
        <v>0.125</v>
      </c>
      <c r="F501" s="4">
        <v>0.19068736141906872</v>
      </c>
      <c r="G501" s="4">
        <f t="shared" si="61"/>
        <v>0.125</v>
      </c>
      <c r="H501" s="4" t="str">
        <f t="shared" si="62"/>
        <v/>
      </c>
      <c r="I501" s="4" t="str">
        <f t="shared" si="63"/>
        <v/>
      </c>
      <c r="J501" s="4" t="str">
        <f t="shared" si="64"/>
        <v/>
      </c>
      <c r="K501" s="4" t="str">
        <f t="shared" si="65"/>
        <v/>
      </c>
      <c r="L501" s="4" t="str">
        <f t="shared" si="66"/>
        <v/>
      </c>
      <c r="M501" s="4"/>
      <c r="N501" s="4"/>
      <c r="O501" s="4"/>
      <c r="P501" s="4"/>
      <c r="Q501" s="4"/>
      <c r="R501" s="4"/>
      <c r="S501" s="4"/>
      <c r="T501" s="4"/>
      <c r="U501" s="4"/>
    </row>
    <row r="502" spans="1:21">
      <c r="A502" t="s">
        <v>231</v>
      </c>
      <c r="B502">
        <v>12</v>
      </c>
      <c r="C502" t="str">
        <f t="shared" si="60"/>
        <v>test.TIFFFaxDecoder_12_</v>
      </c>
      <c r="D502">
        <v>2</v>
      </c>
      <c r="E502" s="4">
        <v>0.5178571428571429</v>
      </c>
      <c r="F502" s="4">
        <v>0.5432372505543237</v>
      </c>
      <c r="G502" s="4" t="str">
        <f t="shared" si="61"/>
        <v/>
      </c>
      <c r="H502" s="4" t="str">
        <f t="shared" si="62"/>
        <v/>
      </c>
      <c r="I502" s="4">
        <f t="shared" si="63"/>
        <v>0.5178571428571429</v>
      </c>
      <c r="J502" s="4" t="str">
        <f t="shared" si="64"/>
        <v/>
      </c>
      <c r="K502" s="4" t="str">
        <f t="shared" si="65"/>
        <v/>
      </c>
      <c r="L502" s="4" t="str">
        <f t="shared" si="66"/>
        <v/>
      </c>
      <c r="M502" s="4"/>
      <c r="N502" s="4"/>
      <c r="O502" s="4"/>
      <c r="P502" s="4"/>
      <c r="Q502" s="4"/>
      <c r="R502" s="4"/>
      <c r="S502" s="4"/>
      <c r="T502" s="4"/>
      <c r="U502" s="4"/>
    </row>
    <row r="503" spans="1:21">
      <c r="A503" t="s">
        <v>231</v>
      </c>
      <c r="B503">
        <v>12</v>
      </c>
      <c r="C503" t="str">
        <f t="shared" si="60"/>
        <v>test.TIFFFaxDecoder_12_</v>
      </c>
      <c r="D503">
        <v>3</v>
      </c>
      <c r="E503" s="4">
        <v>0.5714285714285714</v>
      </c>
      <c r="F503" s="4">
        <v>0.56984478935698446</v>
      </c>
      <c r="G503" s="4" t="str">
        <f t="shared" si="61"/>
        <v/>
      </c>
      <c r="H503" s="4" t="str">
        <f t="shared" si="62"/>
        <v/>
      </c>
      <c r="I503" s="4">
        <f t="shared" si="63"/>
        <v>0.5714285714285714</v>
      </c>
      <c r="J503" s="4" t="str">
        <f t="shared" si="64"/>
        <v/>
      </c>
      <c r="K503" s="4" t="str">
        <f t="shared" si="65"/>
        <v/>
      </c>
      <c r="L503" s="4" t="str">
        <f t="shared" si="66"/>
        <v/>
      </c>
      <c r="M503" s="4"/>
      <c r="N503" s="4"/>
      <c r="O503" s="4"/>
      <c r="P503" s="4"/>
      <c r="Q503" s="4"/>
      <c r="R503" s="4"/>
      <c r="S503" s="4"/>
      <c r="T503" s="4"/>
      <c r="U503" s="4"/>
    </row>
    <row r="504" spans="1:21">
      <c r="A504" t="s">
        <v>231</v>
      </c>
      <c r="B504">
        <v>12</v>
      </c>
      <c r="C504" t="str">
        <f t="shared" si="60"/>
        <v>test.TIFFFaxDecoder_12_</v>
      </c>
      <c r="D504">
        <v>4</v>
      </c>
      <c r="E504" s="4">
        <v>0.7678571428571429</v>
      </c>
      <c r="F504" s="4">
        <v>0.57095343680709532</v>
      </c>
      <c r="G504" s="4" t="str">
        <f t="shared" si="61"/>
        <v/>
      </c>
      <c r="H504" s="4" t="str">
        <f t="shared" si="62"/>
        <v/>
      </c>
      <c r="I504" s="4">
        <f t="shared" si="63"/>
        <v>0.7678571428571429</v>
      </c>
      <c r="J504" s="4" t="str">
        <f t="shared" si="64"/>
        <v/>
      </c>
      <c r="K504" s="4" t="str">
        <f t="shared" si="65"/>
        <v/>
      </c>
      <c r="L504" s="4" t="str">
        <f t="shared" si="66"/>
        <v/>
      </c>
      <c r="M504" s="4"/>
      <c r="N504" s="4"/>
      <c r="O504" s="4"/>
      <c r="P504" s="4"/>
      <c r="Q504" s="4"/>
      <c r="R504" s="4"/>
      <c r="S504" s="4"/>
      <c r="T504" s="4"/>
      <c r="U504" s="4"/>
    </row>
    <row r="505" spans="1:21">
      <c r="A505" t="s">
        <v>231</v>
      </c>
      <c r="B505">
        <v>12</v>
      </c>
      <c r="C505" t="str">
        <f t="shared" si="60"/>
        <v>test.TIFFFaxDecoder_12_</v>
      </c>
      <c r="D505">
        <v>5</v>
      </c>
      <c r="E505" s="4">
        <v>0.7678571428571429</v>
      </c>
      <c r="F505" s="4">
        <v>0.60088691796008864</v>
      </c>
      <c r="G505" s="4" t="str">
        <f t="shared" si="61"/>
        <v/>
      </c>
      <c r="H505" s="4" t="str">
        <f t="shared" si="62"/>
        <v/>
      </c>
      <c r="I505" s="4" t="str">
        <f t="shared" si="63"/>
        <v/>
      </c>
      <c r="J505" s="4">
        <f t="shared" si="64"/>
        <v>0.7678571428571429</v>
      </c>
      <c r="K505" s="4" t="str">
        <f t="shared" si="65"/>
        <v/>
      </c>
      <c r="L505" s="4" t="str">
        <f t="shared" si="66"/>
        <v/>
      </c>
      <c r="M505" s="4"/>
      <c r="N505" s="4"/>
      <c r="O505" s="4"/>
      <c r="P505" s="4"/>
      <c r="Q505" s="4"/>
      <c r="R505" s="4"/>
      <c r="S505" s="4"/>
      <c r="T505" s="4"/>
      <c r="U505" s="4"/>
    </row>
    <row r="506" spans="1:21">
      <c r="A506" t="s">
        <v>231</v>
      </c>
      <c r="B506">
        <v>12</v>
      </c>
      <c r="C506" t="str">
        <f t="shared" si="60"/>
        <v>test.TIFFFaxDecoder_12_</v>
      </c>
      <c r="D506">
        <v>6</v>
      </c>
      <c r="E506" s="4">
        <v>0.9464285714285714</v>
      </c>
      <c r="F506" s="4">
        <v>0.61529933481152999</v>
      </c>
      <c r="G506" s="4" t="str">
        <f t="shared" si="61"/>
        <v/>
      </c>
      <c r="H506" s="4" t="str">
        <f t="shared" si="62"/>
        <v/>
      </c>
      <c r="I506" s="4" t="str">
        <f t="shared" si="63"/>
        <v/>
      </c>
      <c r="J506" s="4">
        <f t="shared" si="64"/>
        <v>0.9464285714285714</v>
      </c>
      <c r="K506" s="4" t="str">
        <f t="shared" si="65"/>
        <v/>
      </c>
      <c r="L506" s="4" t="str">
        <f t="shared" si="66"/>
        <v/>
      </c>
      <c r="M506" s="4"/>
      <c r="N506" s="4"/>
      <c r="O506" s="4"/>
      <c r="P506" s="4"/>
      <c r="Q506" s="4"/>
      <c r="R506" s="4"/>
      <c r="S506" s="4"/>
      <c r="T506" s="4"/>
      <c r="U506" s="4"/>
    </row>
    <row r="507" spans="1:21">
      <c r="A507" t="s">
        <v>231</v>
      </c>
      <c r="B507">
        <v>12</v>
      </c>
      <c r="C507" t="str">
        <f t="shared" si="60"/>
        <v>test.TIFFFaxDecoder_12_</v>
      </c>
      <c r="D507">
        <v>7</v>
      </c>
      <c r="E507" s="4">
        <v>1</v>
      </c>
      <c r="F507" s="4">
        <v>0.62527716186252769</v>
      </c>
      <c r="G507" s="4" t="str">
        <f t="shared" si="61"/>
        <v/>
      </c>
      <c r="H507" s="4" t="str">
        <f t="shared" si="62"/>
        <v/>
      </c>
      <c r="I507" s="4" t="str">
        <f t="shared" si="63"/>
        <v/>
      </c>
      <c r="J507" s="4">
        <f t="shared" si="64"/>
        <v>1</v>
      </c>
      <c r="K507" s="4" t="str">
        <f t="shared" si="65"/>
        <v/>
      </c>
      <c r="L507" s="4" t="str">
        <f t="shared" si="66"/>
        <v/>
      </c>
      <c r="M507" s="4"/>
      <c r="N507" s="4"/>
      <c r="O507" s="4"/>
      <c r="P507" s="4"/>
      <c r="Q507" s="4"/>
      <c r="R507" s="4"/>
      <c r="S507" s="4"/>
      <c r="T507" s="4"/>
      <c r="U507" s="4"/>
    </row>
    <row r="508" spans="1:21">
      <c r="A508" t="s">
        <v>231</v>
      </c>
      <c r="B508">
        <v>12</v>
      </c>
      <c r="C508" t="str">
        <f t="shared" si="60"/>
        <v>test.TIFFFaxDecoder_12_</v>
      </c>
      <c r="D508">
        <v>8</v>
      </c>
      <c r="E508" s="4">
        <v>1</v>
      </c>
      <c r="F508" s="4">
        <v>0.65742793791574283</v>
      </c>
      <c r="G508" s="4" t="str">
        <f t="shared" si="61"/>
        <v/>
      </c>
      <c r="H508" s="4" t="str">
        <f t="shared" si="62"/>
        <v/>
      </c>
      <c r="I508" s="4" t="str">
        <f t="shared" si="63"/>
        <v/>
      </c>
      <c r="J508" s="4">
        <f t="shared" si="64"/>
        <v>1</v>
      </c>
      <c r="K508" s="4" t="str">
        <f t="shared" si="65"/>
        <v/>
      </c>
      <c r="L508" s="4" t="str">
        <f t="shared" si="66"/>
        <v/>
      </c>
      <c r="M508" s="4"/>
      <c r="N508" s="4"/>
      <c r="O508" s="4"/>
      <c r="P508" s="4"/>
      <c r="Q508" s="4"/>
      <c r="R508" s="4"/>
      <c r="S508" s="4"/>
      <c r="T508" s="4"/>
      <c r="U508" s="4"/>
    </row>
    <row r="509" spans="1:21">
      <c r="A509" t="s">
        <v>231</v>
      </c>
      <c r="B509">
        <v>12</v>
      </c>
      <c r="C509" t="str">
        <f t="shared" si="60"/>
        <v>test.TIFFFaxDecoder_12_</v>
      </c>
      <c r="D509">
        <v>9</v>
      </c>
      <c r="E509" s="4">
        <v>1</v>
      </c>
      <c r="F509" s="4">
        <v>0.66962305986696236</v>
      </c>
      <c r="G509" s="4" t="str">
        <f t="shared" si="61"/>
        <v/>
      </c>
      <c r="H509" s="4" t="str">
        <f t="shared" si="62"/>
        <v/>
      </c>
      <c r="I509" s="4" t="str">
        <f t="shared" si="63"/>
        <v/>
      </c>
      <c r="J509" s="4">
        <f t="shared" si="64"/>
        <v>1</v>
      </c>
      <c r="K509" s="4" t="str">
        <f t="shared" si="65"/>
        <v/>
      </c>
      <c r="L509" s="4" t="str">
        <f t="shared" si="66"/>
        <v/>
      </c>
      <c r="M509" s="4"/>
      <c r="N509" s="4"/>
      <c r="O509" s="4"/>
      <c r="P509" s="4"/>
      <c r="Q509" s="4"/>
      <c r="R509" s="4"/>
      <c r="S509" s="4"/>
      <c r="T509" s="4"/>
      <c r="U509" s="4"/>
    </row>
    <row r="510" spans="1:21">
      <c r="A510" t="s">
        <v>231</v>
      </c>
      <c r="B510">
        <v>13</v>
      </c>
      <c r="C510" t="str">
        <f t="shared" si="60"/>
        <v>test.TIFFFaxDecoder_13_</v>
      </c>
      <c r="D510">
        <v>1</v>
      </c>
      <c r="E510" s="4">
        <v>0.42857142857142855</v>
      </c>
      <c r="F510" s="4">
        <v>0.65662650602409633</v>
      </c>
      <c r="G510" s="4" t="str">
        <f t="shared" si="61"/>
        <v/>
      </c>
      <c r="H510" s="4" t="str">
        <f t="shared" si="62"/>
        <v/>
      </c>
      <c r="I510" s="4" t="str">
        <f t="shared" si="63"/>
        <v/>
      </c>
      <c r="J510" s="4">
        <f t="shared" si="64"/>
        <v>0.42857142857142855</v>
      </c>
      <c r="K510" s="4" t="str">
        <f t="shared" si="65"/>
        <v/>
      </c>
      <c r="L510" s="4" t="str">
        <f t="shared" si="66"/>
        <v/>
      </c>
      <c r="M510" s="4"/>
      <c r="N510" s="4"/>
      <c r="O510" s="4"/>
      <c r="P510" s="4"/>
      <c r="Q510" s="4"/>
      <c r="R510" s="4"/>
      <c r="S510" s="4"/>
      <c r="T510" s="4"/>
      <c r="U510" s="4"/>
    </row>
    <row r="511" spans="1:21">
      <c r="A511" t="s">
        <v>231</v>
      </c>
      <c r="B511">
        <v>13</v>
      </c>
      <c r="C511" t="str">
        <f t="shared" si="60"/>
        <v>test.TIFFFaxDecoder_13_</v>
      </c>
      <c r="D511">
        <v>2</v>
      </c>
      <c r="E511" s="4">
        <v>1</v>
      </c>
      <c r="F511" s="4">
        <v>0.97590361445783136</v>
      </c>
      <c r="G511" s="4" t="str">
        <f t="shared" si="61"/>
        <v/>
      </c>
      <c r="H511" s="4" t="str">
        <f t="shared" si="62"/>
        <v/>
      </c>
      <c r="I511" s="4" t="str">
        <f t="shared" si="63"/>
        <v/>
      </c>
      <c r="J511" s="4" t="str">
        <f t="shared" si="64"/>
        <v/>
      </c>
      <c r="K511" s="4">
        <f t="shared" si="65"/>
        <v>1</v>
      </c>
      <c r="L511" s="4" t="str">
        <f t="shared" si="66"/>
        <v/>
      </c>
      <c r="M511" s="4"/>
      <c r="N511" s="4"/>
      <c r="O511" s="4"/>
      <c r="P511" s="4"/>
      <c r="Q511" s="4"/>
      <c r="R511" s="4"/>
      <c r="S511" s="4"/>
      <c r="T511" s="4"/>
      <c r="U511" s="4"/>
    </row>
    <row r="512" spans="1:21">
      <c r="A512" t="s">
        <v>598</v>
      </c>
      <c r="B512">
        <v>2</v>
      </c>
      <c r="C512" t="str">
        <f t="shared" si="60"/>
        <v>test.TIFFFaxEncoder_2_</v>
      </c>
      <c r="D512">
        <v>1</v>
      </c>
      <c r="E512" s="4">
        <v>0.352112676056338</v>
      </c>
      <c r="F512" s="4">
        <v>0.30601092896174864</v>
      </c>
      <c r="G512" s="4" t="str">
        <f t="shared" si="61"/>
        <v/>
      </c>
      <c r="H512" s="4">
        <f t="shared" si="62"/>
        <v>0.352112676056338</v>
      </c>
      <c r="I512" s="4" t="str">
        <f t="shared" si="63"/>
        <v/>
      </c>
      <c r="J512" s="4" t="str">
        <f t="shared" si="64"/>
        <v/>
      </c>
      <c r="K512" s="4" t="str">
        <f t="shared" si="65"/>
        <v/>
      </c>
      <c r="L512" s="4" t="str">
        <f t="shared" si="66"/>
        <v/>
      </c>
      <c r="M512" s="4"/>
      <c r="N512" s="4"/>
      <c r="O512" s="4"/>
      <c r="P512" s="4"/>
      <c r="Q512" s="4"/>
      <c r="R512" s="4"/>
      <c r="S512" s="4"/>
      <c r="T512" s="4"/>
      <c r="U512" s="4"/>
    </row>
    <row r="513" spans="1:21">
      <c r="A513" t="s">
        <v>598</v>
      </c>
      <c r="B513">
        <v>2</v>
      </c>
      <c r="C513" t="str">
        <f t="shared" si="60"/>
        <v>test.TIFFFaxEncoder_2_</v>
      </c>
      <c r="D513">
        <v>2</v>
      </c>
      <c r="E513" s="4">
        <v>0.70422535211267601</v>
      </c>
      <c r="F513" s="4">
        <v>0.44972677595628413</v>
      </c>
      <c r="G513" s="4" t="str">
        <f t="shared" si="61"/>
        <v/>
      </c>
      <c r="H513" s="4" t="str">
        <f t="shared" si="62"/>
        <v/>
      </c>
      <c r="I513" s="4">
        <f t="shared" si="63"/>
        <v>0.70422535211267601</v>
      </c>
      <c r="J513" s="4" t="str">
        <f t="shared" si="64"/>
        <v/>
      </c>
      <c r="K513" s="4" t="str">
        <f t="shared" si="65"/>
        <v/>
      </c>
      <c r="L513" s="4" t="str">
        <f t="shared" si="66"/>
        <v/>
      </c>
      <c r="M513" s="4"/>
      <c r="N513" s="4"/>
      <c r="O513" s="4"/>
      <c r="P513" s="4"/>
      <c r="Q513" s="4"/>
      <c r="R513" s="4"/>
      <c r="S513" s="4"/>
      <c r="T513" s="4"/>
      <c r="U513" s="4"/>
    </row>
    <row r="514" spans="1:21">
      <c r="A514" t="s">
        <v>598</v>
      </c>
      <c r="B514">
        <v>2</v>
      </c>
      <c r="C514" t="str">
        <f t="shared" si="60"/>
        <v>test.TIFFFaxEncoder_2_</v>
      </c>
      <c r="D514">
        <v>3</v>
      </c>
      <c r="E514" s="4">
        <v>1</v>
      </c>
      <c r="F514" s="4">
        <v>0.6622950819672131</v>
      </c>
      <c r="G514" s="4" t="str">
        <f t="shared" si="61"/>
        <v/>
      </c>
      <c r="H514" s="4" t="str">
        <f t="shared" si="62"/>
        <v/>
      </c>
      <c r="I514" s="4" t="str">
        <f t="shared" si="63"/>
        <v/>
      </c>
      <c r="J514" s="4">
        <f t="shared" si="64"/>
        <v>1</v>
      </c>
      <c r="K514" s="4" t="str">
        <f t="shared" si="65"/>
        <v/>
      </c>
      <c r="L514" s="4" t="str">
        <f t="shared" si="66"/>
        <v/>
      </c>
      <c r="M514" s="4"/>
      <c r="N514" s="4"/>
      <c r="O514" s="4"/>
      <c r="P514" s="4"/>
      <c r="Q514" s="4"/>
      <c r="R514" s="4"/>
      <c r="S514" s="4"/>
      <c r="T514" s="4"/>
      <c r="U514" s="4"/>
    </row>
    <row r="515" spans="1:21">
      <c r="A515" t="s">
        <v>598</v>
      </c>
      <c r="B515">
        <v>6</v>
      </c>
      <c r="C515" t="str">
        <f t="shared" ref="C515:C522" si="67">CONCATENATE(A515, "_",B515,"_")</f>
        <v>test.TIFFFaxEncoder_6_</v>
      </c>
      <c r="D515">
        <v>1</v>
      </c>
      <c r="E515" s="4">
        <v>0.67741935483870963</v>
      </c>
      <c r="F515" s="4">
        <v>0.77135348226018396</v>
      </c>
      <c r="G515" s="4" t="str">
        <f t="shared" ref="G515:G522" si="68">IF($F515 &lt;= 0.2,$E515,"")</f>
        <v/>
      </c>
      <c r="H515" s="4" t="str">
        <f t="shared" ref="H515:H522" si="69">IF(AND($F515 &gt; 0.2,$F515 &lt;= 0.4),$E515,"")</f>
        <v/>
      </c>
      <c r="I515" s="4" t="str">
        <f t="shared" ref="I515:I522" si="70">IF(AND($F515 &gt; 0.4,$F515 &lt;= 0.6),$E515,"")</f>
        <v/>
      </c>
      <c r="J515" s="4">
        <f t="shared" ref="J515:J522" si="71">IF(AND($F515 &gt; 0.6,$F515 &lt;= 0.8),$E515,"")</f>
        <v>0.67741935483870963</v>
      </c>
      <c r="K515" s="4" t="str">
        <f t="shared" ref="K515:K522" si="72">IF(AND($F515 &gt; 0.8, $F515 &lt;=1.1),$E515,"")</f>
        <v/>
      </c>
      <c r="L515" s="4" t="str">
        <f t="shared" ref="L515:L522" si="73">IF(AND($F515 &gt; 1.1),$E515,"")</f>
        <v/>
      </c>
      <c r="M515" s="4"/>
      <c r="N515" s="4"/>
      <c r="O515" s="4"/>
      <c r="P515" s="4"/>
      <c r="Q515" s="4"/>
      <c r="R515" s="4"/>
      <c r="S515" s="4"/>
      <c r="T515" s="4"/>
      <c r="U515" s="4"/>
    </row>
    <row r="516" spans="1:21">
      <c r="A516" t="s">
        <v>598</v>
      </c>
      <c r="B516">
        <v>6</v>
      </c>
      <c r="C516" t="str">
        <f t="shared" si="67"/>
        <v>test.TIFFFaxEncoder_6_</v>
      </c>
      <c r="D516">
        <v>2</v>
      </c>
      <c r="E516" s="4">
        <v>0.74193548387096775</v>
      </c>
      <c r="F516" s="4">
        <v>0.77660972404730622</v>
      </c>
      <c r="G516" s="4" t="str">
        <f t="shared" si="68"/>
        <v/>
      </c>
      <c r="H516" s="4" t="str">
        <f t="shared" si="69"/>
        <v/>
      </c>
      <c r="I516" s="4" t="str">
        <f t="shared" si="70"/>
        <v/>
      </c>
      <c r="J516" s="4">
        <f t="shared" si="71"/>
        <v>0.74193548387096775</v>
      </c>
      <c r="K516" s="4" t="str">
        <f t="shared" si="72"/>
        <v/>
      </c>
      <c r="L516" s="4" t="str">
        <f t="shared" si="73"/>
        <v/>
      </c>
      <c r="M516" s="4"/>
      <c r="N516" s="4"/>
      <c r="O516" s="4"/>
      <c r="P516" s="4"/>
      <c r="Q516" s="4"/>
      <c r="R516" s="4"/>
      <c r="S516" s="4"/>
      <c r="T516" s="4"/>
      <c r="U516" s="4"/>
    </row>
    <row r="517" spans="1:21">
      <c r="A517" t="s">
        <v>598</v>
      </c>
      <c r="B517">
        <v>6</v>
      </c>
      <c r="C517" t="str">
        <f t="shared" si="67"/>
        <v>test.TIFFFaxEncoder_6_</v>
      </c>
      <c r="D517">
        <v>3</v>
      </c>
      <c r="E517" s="4">
        <v>0.93548387096774188</v>
      </c>
      <c r="F517" s="4">
        <v>0.88042049934296973</v>
      </c>
      <c r="G517" s="4" t="str">
        <f t="shared" si="68"/>
        <v/>
      </c>
      <c r="H517" s="4" t="str">
        <f t="shared" si="69"/>
        <v/>
      </c>
      <c r="I517" s="4" t="str">
        <f t="shared" si="70"/>
        <v/>
      </c>
      <c r="J517" s="4" t="str">
        <f t="shared" si="71"/>
        <v/>
      </c>
      <c r="K517" s="4">
        <f t="shared" si="72"/>
        <v>0.93548387096774188</v>
      </c>
      <c r="L517" s="4" t="str">
        <f t="shared" si="73"/>
        <v/>
      </c>
      <c r="M517" s="4"/>
      <c r="N517" s="4"/>
      <c r="O517" s="4"/>
      <c r="P517" s="4"/>
      <c r="Q517" s="4"/>
      <c r="R517" s="4"/>
      <c r="S517" s="4"/>
      <c r="T517" s="4"/>
      <c r="U517" s="4"/>
    </row>
    <row r="518" spans="1:21">
      <c r="A518" t="s">
        <v>598</v>
      </c>
      <c r="B518">
        <v>6</v>
      </c>
      <c r="C518" t="str">
        <f t="shared" si="67"/>
        <v>test.TIFFFaxEncoder_6_</v>
      </c>
      <c r="D518">
        <v>4</v>
      </c>
      <c r="E518" s="4">
        <v>1</v>
      </c>
      <c r="F518" s="4">
        <v>0.88173455978975035</v>
      </c>
      <c r="G518" s="4" t="str">
        <f t="shared" si="68"/>
        <v/>
      </c>
      <c r="H518" s="4" t="str">
        <f t="shared" si="69"/>
        <v/>
      </c>
      <c r="I518" s="4" t="str">
        <f t="shared" si="70"/>
        <v/>
      </c>
      <c r="J518" s="4" t="str">
        <f t="shared" si="71"/>
        <v/>
      </c>
      <c r="K518" s="4">
        <f t="shared" si="72"/>
        <v>1</v>
      </c>
      <c r="L518" s="4" t="str">
        <f t="shared" si="73"/>
        <v/>
      </c>
      <c r="M518" s="4"/>
      <c r="N518" s="4"/>
      <c r="O518" s="4"/>
      <c r="P518" s="4"/>
      <c r="Q518" s="4"/>
      <c r="R518" s="4"/>
      <c r="S518" s="4"/>
      <c r="T518" s="4"/>
      <c r="U518" s="4"/>
    </row>
    <row r="519" spans="1:21">
      <c r="A519" t="s">
        <v>598</v>
      </c>
      <c r="B519">
        <v>6</v>
      </c>
      <c r="C519" t="str">
        <f t="shared" si="67"/>
        <v>test.TIFFFaxEncoder_6_</v>
      </c>
      <c r="D519">
        <v>5</v>
      </c>
      <c r="E519" s="4">
        <v>1</v>
      </c>
      <c r="F519" s="4">
        <v>0.88567674113009198</v>
      </c>
      <c r="G519" s="4" t="str">
        <f t="shared" si="68"/>
        <v/>
      </c>
      <c r="H519" s="4" t="str">
        <f t="shared" si="69"/>
        <v/>
      </c>
      <c r="I519" s="4" t="str">
        <f t="shared" si="70"/>
        <v/>
      </c>
      <c r="J519" s="4" t="str">
        <f t="shared" si="71"/>
        <v/>
      </c>
      <c r="K519" s="4">
        <f t="shared" si="72"/>
        <v>1</v>
      </c>
      <c r="L519" s="4" t="str">
        <f t="shared" si="73"/>
        <v/>
      </c>
      <c r="M519" s="4"/>
      <c r="N519" s="4"/>
      <c r="O519" s="4"/>
      <c r="P519" s="4"/>
      <c r="Q519" s="4"/>
      <c r="R519" s="4"/>
      <c r="S519" s="4"/>
      <c r="T519" s="4"/>
      <c r="U519" s="4"/>
    </row>
    <row r="520" spans="1:21">
      <c r="A520" t="s">
        <v>598</v>
      </c>
      <c r="B520">
        <v>6</v>
      </c>
      <c r="C520" t="str">
        <f t="shared" si="67"/>
        <v>test.TIFFFaxEncoder_6_</v>
      </c>
      <c r="D520">
        <v>6</v>
      </c>
      <c r="E520" s="4">
        <v>1</v>
      </c>
      <c r="F520" s="4">
        <v>0.89618922470433637</v>
      </c>
      <c r="G520" s="4" t="str">
        <f t="shared" si="68"/>
        <v/>
      </c>
      <c r="H520" s="4" t="str">
        <f t="shared" si="69"/>
        <v/>
      </c>
      <c r="I520" s="4" t="str">
        <f t="shared" si="70"/>
        <v/>
      </c>
      <c r="J520" s="4" t="str">
        <f t="shared" si="71"/>
        <v/>
      </c>
      <c r="K520" s="4">
        <f t="shared" si="72"/>
        <v>1</v>
      </c>
      <c r="L520" s="4" t="str">
        <f t="shared" si="73"/>
        <v/>
      </c>
      <c r="M520" s="4"/>
      <c r="N520" s="4"/>
      <c r="O520" s="4"/>
      <c r="P520" s="4"/>
      <c r="Q520" s="4"/>
      <c r="R520" s="4"/>
      <c r="S520" s="4"/>
      <c r="T520" s="4"/>
      <c r="U520" s="4"/>
    </row>
    <row r="521" spans="1:21">
      <c r="A521" t="s">
        <v>598</v>
      </c>
      <c r="B521">
        <v>8</v>
      </c>
      <c r="C521" t="str">
        <f t="shared" si="67"/>
        <v>test.TIFFFaxEncoder_8_</v>
      </c>
      <c r="D521">
        <v>1</v>
      </c>
      <c r="E521" s="4">
        <v>0.93103448275862066</v>
      </c>
      <c r="F521" s="4">
        <v>0.98104265402843605</v>
      </c>
      <c r="G521" s="4" t="str">
        <f t="shared" si="68"/>
        <v/>
      </c>
      <c r="H521" s="4" t="str">
        <f t="shared" si="69"/>
        <v/>
      </c>
      <c r="I521" s="4" t="str">
        <f t="shared" si="70"/>
        <v/>
      </c>
      <c r="J521" s="4" t="str">
        <f t="shared" si="71"/>
        <v/>
      </c>
      <c r="K521" s="4">
        <f t="shared" si="72"/>
        <v>0.93103448275862066</v>
      </c>
      <c r="L521" s="4" t="str">
        <f t="shared" si="73"/>
        <v/>
      </c>
      <c r="M521" s="4"/>
      <c r="N521" s="4"/>
      <c r="O521" s="4"/>
      <c r="P521" s="4"/>
      <c r="Q521" s="4"/>
      <c r="R521" s="4"/>
      <c r="S521" s="4"/>
      <c r="T521" s="4"/>
      <c r="U521" s="4"/>
    </row>
    <row r="522" spans="1:21">
      <c r="A522" t="s">
        <v>598</v>
      </c>
      <c r="B522">
        <v>8</v>
      </c>
      <c r="C522" t="str">
        <f t="shared" si="67"/>
        <v>test.TIFFFaxEncoder_8_</v>
      </c>
      <c r="D522">
        <v>2</v>
      </c>
      <c r="E522" s="4">
        <v>1</v>
      </c>
      <c r="F522" s="4">
        <v>0.98222748815165872</v>
      </c>
      <c r="G522" s="4" t="str">
        <f t="shared" si="68"/>
        <v/>
      </c>
      <c r="H522" s="4" t="str">
        <f t="shared" si="69"/>
        <v/>
      </c>
      <c r="I522" s="4" t="str">
        <f t="shared" si="70"/>
        <v/>
      </c>
      <c r="J522" s="4" t="str">
        <f t="shared" si="71"/>
        <v/>
      </c>
      <c r="K522" s="4">
        <f t="shared" si="72"/>
        <v>1</v>
      </c>
      <c r="L522" s="4" t="str">
        <f t="shared" si="73"/>
        <v/>
      </c>
      <c r="M522" s="4"/>
      <c r="N522" s="4"/>
      <c r="O522" s="4"/>
      <c r="P522" s="4"/>
      <c r="Q522" s="4"/>
      <c r="R522" s="4"/>
      <c r="S522" s="4"/>
      <c r="T522" s="4"/>
      <c r="U522" s="4"/>
    </row>
    <row r="523" spans="1:21">
      <c r="E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1:21">
      <c r="E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1:21">
      <c r="E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1:21">
      <c r="E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1:21">
      <c r="E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1:21">
      <c r="E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5:21">
      <c r="E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5:21">
      <c r="E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5:21">
      <c r="E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5:21">
      <c r="E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5:21">
      <c r="E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5:21">
      <c r="E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5:21">
      <c r="E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5:21">
      <c r="E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5:21">
      <c r="E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5:21">
      <c r="E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5:21">
      <c r="E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5:21">
      <c r="E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2"/>
  <sheetViews>
    <sheetView topLeftCell="A249" workbookViewId="0">
      <selection activeCell="C251" sqref="C251"/>
    </sheetView>
  </sheetViews>
  <sheetFormatPr baseColWidth="10" defaultRowHeight="15" x14ac:dyDescent="0"/>
  <cols>
    <col min="1" max="1" width="25.33203125" bestFit="1" customWidth="1"/>
  </cols>
  <sheetData>
    <row r="1" spans="1:7">
      <c r="A1" t="s">
        <v>3</v>
      </c>
      <c r="B1" t="s">
        <v>5</v>
      </c>
      <c r="C1" t="s">
        <v>7</v>
      </c>
      <c r="D1" t="s">
        <v>186</v>
      </c>
      <c r="E1" t="s">
        <v>8</v>
      </c>
      <c r="F1" t="s">
        <v>187</v>
      </c>
      <c r="G1" t="s">
        <v>185</v>
      </c>
    </row>
    <row r="2" spans="1:7">
      <c r="A2" t="s">
        <v>188</v>
      </c>
      <c r="B2">
        <v>1</v>
      </c>
      <c r="C2" t="s">
        <v>0</v>
      </c>
      <c r="D2">
        <v>1</v>
      </c>
      <c r="E2">
        <v>5445</v>
      </c>
      <c r="F2">
        <v>3678</v>
      </c>
      <c r="G2" s="4">
        <f t="shared" ref="G2:G65" si="0">F2/E2</f>
        <v>0.67548209366391188</v>
      </c>
    </row>
    <row r="3" spans="1:7">
      <c r="A3" t="s">
        <v>188</v>
      </c>
      <c r="B3">
        <v>1</v>
      </c>
      <c r="C3" t="s">
        <v>1</v>
      </c>
      <c r="D3">
        <v>2</v>
      </c>
      <c r="E3">
        <v>5445</v>
      </c>
      <c r="F3">
        <v>3689</v>
      </c>
      <c r="G3" s="4">
        <f t="shared" si="0"/>
        <v>0.67750229568411391</v>
      </c>
    </row>
    <row r="4" spans="1:7">
      <c r="A4" t="s">
        <v>188</v>
      </c>
      <c r="B4">
        <v>1</v>
      </c>
      <c r="C4" t="s">
        <v>179</v>
      </c>
      <c r="D4">
        <v>3</v>
      </c>
      <c r="E4">
        <v>5445</v>
      </c>
      <c r="F4">
        <v>3693</v>
      </c>
      <c r="G4" s="4">
        <f t="shared" si="0"/>
        <v>0.67823691460055091</v>
      </c>
    </row>
    <row r="5" spans="1:7">
      <c r="A5" t="s">
        <v>188</v>
      </c>
      <c r="B5">
        <v>1</v>
      </c>
      <c r="C5" t="s">
        <v>180</v>
      </c>
      <c r="D5">
        <v>4</v>
      </c>
      <c r="E5">
        <v>5445</v>
      </c>
      <c r="F5">
        <v>3699</v>
      </c>
      <c r="G5" s="4">
        <f t="shared" si="0"/>
        <v>0.67933884297520664</v>
      </c>
    </row>
    <row r="6" spans="1:7">
      <c r="A6" t="s">
        <v>188</v>
      </c>
      <c r="B6">
        <v>2</v>
      </c>
      <c r="C6" t="s">
        <v>180</v>
      </c>
      <c r="D6">
        <v>1</v>
      </c>
      <c r="E6">
        <v>763</v>
      </c>
      <c r="F6">
        <v>326</v>
      </c>
      <c r="G6" s="4">
        <f t="shared" si="0"/>
        <v>0.42726081258191351</v>
      </c>
    </row>
    <row r="7" spans="1:7">
      <c r="A7" t="s">
        <v>188</v>
      </c>
      <c r="B7">
        <v>2</v>
      </c>
      <c r="C7" t="s">
        <v>189</v>
      </c>
      <c r="D7">
        <v>2</v>
      </c>
      <c r="E7">
        <v>763</v>
      </c>
      <c r="F7">
        <v>458</v>
      </c>
      <c r="G7" s="4">
        <f t="shared" si="0"/>
        <v>0.60026212319790306</v>
      </c>
    </row>
    <row r="8" spans="1:7">
      <c r="A8" t="s">
        <v>188</v>
      </c>
      <c r="B8">
        <v>2</v>
      </c>
      <c r="C8" t="s">
        <v>190</v>
      </c>
      <c r="D8">
        <v>3</v>
      </c>
      <c r="E8">
        <v>763</v>
      </c>
      <c r="F8">
        <v>495</v>
      </c>
      <c r="G8" s="4">
        <f t="shared" si="0"/>
        <v>0.64875491480996073</v>
      </c>
    </row>
    <row r="9" spans="1:7">
      <c r="A9" t="s">
        <v>188</v>
      </c>
      <c r="B9">
        <v>2</v>
      </c>
      <c r="C9" t="s">
        <v>191</v>
      </c>
      <c r="D9">
        <v>4</v>
      </c>
      <c r="E9">
        <v>763</v>
      </c>
      <c r="F9">
        <v>532</v>
      </c>
      <c r="G9" s="4">
        <f t="shared" si="0"/>
        <v>0.69724770642201839</v>
      </c>
    </row>
    <row r="10" spans="1:7">
      <c r="A10" t="s">
        <v>188</v>
      </c>
      <c r="B10">
        <v>2</v>
      </c>
      <c r="C10" t="s">
        <v>192</v>
      </c>
      <c r="D10">
        <v>5</v>
      </c>
      <c r="E10">
        <v>763</v>
      </c>
      <c r="F10">
        <v>582</v>
      </c>
      <c r="G10" s="4">
        <f t="shared" si="0"/>
        <v>0.76277850589777196</v>
      </c>
    </row>
    <row r="11" spans="1:7">
      <c r="A11" t="s">
        <v>188</v>
      </c>
      <c r="B11">
        <v>2</v>
      </c>
      <c r="C11" t="s">
        <v>193</v>
      </c>
      <c r="D11">
        <v>6</v>
      </c>
      <c r="E11">
        <v>763</v>
      </c>
      <c r="F11">
        <v>595</v>
      </c>
      <c r="G11" s="4">
        <f t="shared" si="0"/>
        <v>0.77981651376146788</v>
      </c>
    </row>
    <row r="12" spans="1:7">
      <c r="A12" t="s">
        <v>188</v>
      </c>
      <c r="B12">
        <v>2</v>
      </c>
      <c r="C12" t="s">
        <v>194</v>
      </c>
      <c r="D12">
        <v>7</v>
      </c>
      <c r="E12">
        <v>763</v>
      </c>
      <c r="F12">
        <v>601</v>
      </c>
      <c r="G12" s="4">
        <f t="shared" si="0"/>
        <v>0.78768020969855834</v>
      </c>
    </row>
    <row r="13" spans="1:7">
      <c r="A13" t="s">
        <v>188</v>
      </c>
      <c r="B13">
        <v>2</v>
      </c>
      <c r="C13" t="s">
        <v>197</v>
      </c>
      <c r="D13">
        <v>8</v>
      </c>
      <c r="E13">
        <v>763</v>
      </c>
      <c r="F13">
        <v>643</v>
      </c>
      <c r="G13" s="4">
        <f t="shared" si="0"/>
        <v>0.84272608125819137</v>
      </c>
    </row>
    <row r="14" spans="1:7">
      <c r="A14" t="s">
        <v>188</v>
      </c>
      <c r="B14">
        <v>2</v>
      </c>
      <c r="C14" t="s">
        <v>196</v>
      </c>
      <c r="D14">
        <v>9</v>
      </c>
      <c r="E14">
        <v>763</v>
      </c>
      <c r="F14">
        <v>654</v>
      </c>
      <c r="G14" s="4">
        <f t="shared" si="0"/>
        <v>0.8571428571428571</v>
      </c>
    </row>
    <row r="15" spans="1:7">
      <c r="A15" t="s">
        <v>188</v>
      </c>
      <c r="B15">
        <v>2</v>
      </c>
      <c r="C15" t="s">
        <v>195</v>
      </c>
      <c r="D15">
        <v>10</v>
      </c>
      <c r="E15">
        <v>763</v>
      </c>
      <c r="F15">
        <v>656</v>
      </c>
      <c r="G15" s="4">
        <f t="shared" si="0"/>
        <v>0.85976408912188729</v>
      </c>
    </row>
    <row r="16" spans="1:7">
      <c r="A16" t="s">
        <v>188</v>
      </c>
      <c r="B16">
        <v>2</v>
      </c>
      <c r="C16" t="s">
        <v>198</v>
      </c>
      <c r="D16">
        <v>11</v>
      </c>
      <c r="E16">
        <v>763</v>
      </c>
      <c r="F16">
        <v>666</v>
      </c>
      <c r="G16" s="4">
        <f t="shared" si="0"/>
        <v>0.87287024901703802</v>
      </c>
    </row>
    <row r="17" spans="1:7">
      <c r="A17" t="s">
        <v>188</v>
      </c>
      <c r="B17">
        <v>2</v>
      </c>
      <c r="C17" t="s">
        <v>200</v>
      </c>
      <c r="D17">
        <v>12</v>
      </c>
      <c r="E17">
        <v>763</v>
      </c>
      <c r="F17">
        <v>693</v>
      </c>
      <c r="G17" s="4">
        <f t="shared" si="0"/>
        <v>0.90825688073394495</v>
      </c>
    </row>
    <row r="18" spans="1:7">
      <c r="A18" t="s">
        <v>188</v>
      </c>
      <c r="B18">
        <v>2</v>
      </c>
      <c r="C18" t="s">
        <v>199</v>
      </c>
      <c r="D18">
        <v>13</v>
      </c>
      <c r="E18">
        <v>763</v>
      </c>
      <c r="F18">
        <v>702</v>
      </c>
      <c r="G18" s="4">
        <f t="shared" si="0"/>
        <v>0.92005242463958059</v>
      </c>
    </row>
    <row r="19" spans="1:7">
      <c r="A19" t="s">
        <v>188</v>
      </c>
      <c r="B19">
        <v>2</v>
      </c>
      <c r="C19" t="s">
        <v>201</v>
      </c>
      <c r="D19">
        <v>14</v>
      </c>
      <c r="E19">
        <v>763</v>
      </c>
      <c r="F19">
        <v>710</v>
      </c>
      <c r="G19" s="4">
        <f t="shared" si="0"/>
        <v>0.93053735255570114</v>
      </c>
    </row>
    <row r="20" spans="1:7">
      <c r="A20" t="s">
        <v>188</v>
      </c>
      <c r="B20">
        <v>2</v>
      </c>
      <c r="C20" t="s">
        <v>202</v>
      </c>
      <c r="D20">
        <v>15</v>
      </c>
      <c r="E20">
        <v>763</v>
      </c>
      <c r="F20">
        <v>758</v>
      </c>
      <c r="G20" s="4">
        <f t="shared" si="0"/>
        <v>0.99344692005242463</v>
      </c>
    </row>
    <row r="21" spans="1:7">
      <c r="A21" t="s">
        <v>188</v>
      </c>
      <c r="B21">
        <v>6</v>
      </c>
      <c r="C21" t="s">
        <v>205</v>
      </c>
      <c r="D21">
        <v>1</v>
      </c>
      <c r="E21">
        <v>423</v>
      </c>
      <c r="F21">
        <v>435</v>
      </c>
      <c r="G21" s="4">
        <f t="shared" si="0"/>
        <v>1.0283687943262412</v>
      </c>
    </row>
    <row r="22" spans="1:7">
      <c r="A22" t="s">
        <v>188</v>
      </c>
      <c r="B22">
        <v>6</v>
      </c>
      <c r="C22" t="s">
        <v>203</v>
      </c>
      <c r="D22">
        <v>2</v>
      </c>
      <c r="E22">
        <v>423</v>
      </c>
      <c r="F22">
        <v>742</v>
      </c>
      <c r="G22" s="4">
        <f t="shared" si="0"/>
        <v>1.7541371158392436</v>
      </c>
    </row>
    <row r="23" spans="1:7">
      <c r="A23" t="s">
        <v>188</v>
      </c>
      <c r="B23">
        <v>6</v>
      </c>
      <c r="C23" t="s">
        <v>179</v>
      </c>
      <c r="D23">
        <v>3</v>
      </c>
      <c r="E23">
        <v>423</v>
      </c>
      <c r="F23">
        <v>793</v>
      </c>
      <c r="G23" s="4">
        <f t="shared" si="0"/>
        <v>1.8747044917257683</v>
      </c>
    </row>
    <row r="24" spans="1:7">
      <c r="A24" t="s">
        <v>188</v>
      </c>
      <c r="B24">
        <v>6</v>
      </c>
      <c r="C24" t="s">
        <v>215</v>
      </c>
      <c r="D24">
        <v>4</v>
      </c>
      <c r="E24">
        <v>423</v>
      </c>
      <c r="F24">
        <v>1089</v>
      </c>
      <c r="G24" s="4">
        <f t="shared" si="0"/>
        <v>2.5744680851063828</v>
      </c>
    </row>
    <row r="25" spans="1:7">
      <c r="A25" t="s">
        <v>188</v>
      </c>
      <c r="B25">
        <v>6</v>
      </c>
      <c r="C25" t="s">
        <v>204</v>
      </c>
      <c r="D25">
        <v>5</v>
      </c>
      <c r="E25">
        <v>423</v>
      </c>
      <c r="F25">
        <v>1623</v>
      </c>
      <c r="G25" s="4">
        <f t="shared" si="0"/>
        <v>3.8368794326241136</v>
      </c>
    </row>
    <row r="26" spans="1:7">
      <c r="A26" t="s">
        <v>188</v>
      </c>
      <c r="B26">
        <v>9</v>
      </c>
      <c r="C26" t="s">
        <v>208</v>
      </c>
      <c r="D26">
        <v>1</v>
      </c>
      <c r="E26">
        <v>1400</v>
      </c>
      <c r="F26">
        <v>120</v>
      </c>
      <c r="G26" s="4">
        <f t="shared" si="0"/>
        <v>8.5714285714285715E-2</v>
      </c>
    </row>
    <row r="27" spans="1:7">
      <c r="A27" t="s">
        <v>188</v>
      </c>
      <c r="B27">
        <v>9</v>
      </c>
      <c r="C27" t="s">
        <v>207</v>
      </c>
      <c r="D27">
        <v>2</v>
      </c>
      <c r="E27">
        <v>1400</v>
      </c>
      <c r="F27">
        <v>121</v>
      </c>
      <c r="G27" s="4">
        <f t="shared" si="0"/>
        <v>8.6428571428571424E-2</v>
      </c>
    </row>
    <row r="28" spans="1:7">
      <c r="A28" t="s">
        <v>188</v>
      </c>
      <c r="B28">
        <v>9</v>
      </c>
      <c r="C28" t="s">
        <v>206</v>
      </c>
      <c r="D28">
        <v>3</v>
      </c>
      <c r="E28">
        <v>1400</v>
      </c>
      <c r="F28">
        <v>125</v>
      </c>
      <c r="G28" s="4">
        <f t="shared" si="0"/>
        <v>8.9285714285714288E-2</v>
      </c>
    </row>
    <row r="29" spans="1:7">
      <c r="A29" t="s">
        <v>188</v>
      </c>
      <c r="B29">
        <v>9</v>
      </c>
      <c r="C29" t="s">
        <v>180</v>
      </c>
      <c r="D29">
        <v>4</v>
      </c>
      <c r="E29">
        <v>1400</v>
      </c>
      <c r="F29">
        <v>241</v>
      </c>
      <c r="G29" s="4">
        <f t="shared" si="0"/>
        <v>0.17214285714285715</v>
      </c>
    </row>
    <row r="30" spans="1:7">
      <c r="A30" t="s">
        <v>188</v>
      </c>
      <c r="B30">
        <v>9</v>
      </c>
      <c r="C30" t="s">
        <v>209</v>
      </c>
      <c r="D30">
        <v>5</v>
      </c>
      <c r="E30">
        <v>1400</v>
      </c>
      <c r="F30">
        <v>242</v>
      </c>
      <c r="G30" s="4">
        <f t="shared" si="0"/>
        <v>0.17285714285714285</v>
      </c>
    </row>
    <row r="31" spans="1:7">
      <c r="A31" t="s">
        <v>188</v>
      </c>
      <c r="B31">
        <v>9</v>
      </c>
      <c r="C31" t="s">
        <v>210</v>
      </c>
      <c r="D31">
        <v>6</v>
      </c>
      <c r="E31">
        <v>1400</v>
      </c>
      <c r="F31">
        <v>486</v>
      </c>
      <c r="G31" s="4">
        <f t="shared" si="0"/>
        <v>0.34714285714285714</v>
      </c>
    </row>
    <row r="32" spans="1:7">
      <c r="A32" t="s">
        <v>188</v>
      </c>
      <c r="B32">
        <v>9</v>
      </c>
      <c r="C32" t="s">
        <v>212</v>
      </c>
      <c r="D32">
        <v>7</v>
      </c>
      <c r="E32">
        <v>1400</v>
      </c>
      <c r="F32">
        <v>498</v>
      </c>
      <c r="G32" s="4">
        <f t="shared" si="0"/>
        <v>0.35571428571428571</v>
      </c>
    </row>
    <row r="33" spans="1:7">
      <c r="A33" t="s">
        <v>188</v>
      </c>
      <c r="B33">
        <v>9</v>
      </c>
      <c r="C33" t="s">
        <v>211</v>
      </c>
      <c r="D33">
        <v>8</v>
      </c>
      <c r="E33">
        <v>1400</v>
      </c>
      <c r="F33">
        <v>501</v>
      </c>
      <c r="G33" s="4">
        <f t="shared" si="0"/>
        <v>0.35785714285714287</v>
      </c>
    </row>
    <row r="34" spans="1:7">
      <c r="A34" t="s">
        <v>188</v>
      </c>
      <c r="B34">
        <v>9</v>
      </c>
      <c r="C34" t="s">
        <v>213</v>
      </c>
      <c r="D34">
        <v>9</v>
      </c>
      <c r="E34">
        <v>1400</v>
      </c>
      <c r="F34">
        <v>562</v>
      </c>
      <c r="G34" s="4">
        <f t="shared" si="0"/>
        <v>0.40142857142857141</v>
      </c>
    </row>
    <row r="35" spans="1:7">
      <c r="A35" t="s">
        <v>188</v>
      </c>
      <c r="B35">
        <v>9</v>
      </c>
      <c r="C35" t="s">
        <v>214</v>
      </c>
      <c r="D35">
        <v>10</v>
      </c>
      <c r="E35">
        <v>1400</v>
      </c>
      <c r="F35">
        <v>566</v>
      </c>
      <c r="G35" s="4">
        <f t="shared" si="0"/>
        <v>0.4042857142857143</v>
      </c>
    </row>
    <row r="36" spans="1:7">
      <c r="A36" t="s">
        <v>219</v>
      </c>
      <c r="B36">
        <v>2</v>
      </c>
      <c r="C36" t="s">
        <v>2</v>
      </c>
      <c r="D36">
        <v>1</v>
      </c>
      <c r="E36">
        <v>744</v>
      </c>
      <c r="F36">
        <v>244</v>
      </c>
      <c r="G36" s="4">
        <f t="shared" si="0"/>
        <v>0.32795698924731181</v>
      </c>
    </row>
    <row r="37" spans="1:7">
      <c r="A37" t="s">
        <v>219</v>
      </c>
      <c r="B37">
        <v>2</v>
      </c>
      <c r="C37" t="s">
        <v>233</v>
      </c>
      <c r="D37">
        <v>2</v>
      </c>
      <c r="E37">
        <v>744</v>
      </c>
      <c r="F37">
        <v>514</v>
      </c>
      <c r="G37" s="4">
        <f t="shared" si="0"/>
        <v>0.69086021505376349</v>
      </c>
    </row>
    <row r="38" spans="1:7">
      <c r="A38" t="s">
        <v>219</v>
      </c>
      <c r="B38">
        <v>2</v>
      </c>
      <c r="C38" t="s">
        <v>0</v>
      </c>
      <c r="D38">
        <v>3</v>
      </c>
      <c r="E38">
        <v>744</v>
      </c>
      <c r="F38">
        <v>524</v>
      </c>
      <c r="G38" s="4">
        <f t="shared" si="0"/>
        <v>0.70430107526881724</v>
      </c>
    </row>
    <row r="39" spans="1:7">
      <c r="A39" t="s">
        <v>219</v>
      </c>
      <c r="B39">
        <v>2</v>
      </c>
      <c r="C39" t="s">
        <v>234</v>
      </c>
      <c r="D39">
        <v>4</v>
      </c>
      <c r="E39">
        <v>744</v>
      </c>
      <c r="F39">
        <v>739</v>
      </c>
      <c r="G39" s="4">
        <f t="shared" si="0"/>
        <v>0.99327956989247312</v>
      </c>
    </row>
    <row r="40" spans="1:7">
      <c r="A40" t="s">
        <v>219</v>
      </c>
      <c r="B40">
        <v>4</v>
      </c>
      <c r="C40" t="s">
        <v>2</v>
      </c>
      <c r="D40">
        <v>1</v>
      </c>
      <c r="E40">
        <v>751</v>
      </c>
      <c r="F40">
        <v>253</v>
      </c>
      <c r="G40" s="4">
        <f t="shared" si="0"/>
        <v>0.33688415446071907</v>
      </c>
    </row>
    <row r="41" spans="1:7">
      <c r="A41" t="s">
        <v>219</v>
      </c>
      <c r="B41">
        <v>4</v>
      </c>
      <c r="C41" t="s">
        <v>233</v>
      </c>
      <c r="D41">
        <v>2</v>
      </c>
      <c r="E41">
        <v>751</v>
      </c>
      <c r="F41">
        <v>508</v>
      </c>
      <c r="G41" s="4">
        <f t="shared" si="0"/>
        <v>0.67643142476697737</v>
      </c>
    </row>
    <row r="42" spans="1:7">
      <c r="A42" t="s">
        <v>219</v>
      </c>
      <c r="B42">
        <v>4</v>
      </c>
      <c r="C42" t="s">
        <v>0</v>
      </c>
      <c r="D42">
        <v>3</v>
      </c>
      <c r="E42">
        <v>751</v>
      </c>
      <c r="F42">
        <v>530</v>
      </c>
      <c r="G42" s="4">
        <f t="shared" si="0"/>
        <v>0.7057256990679095</v>
      </c>
    </row>
    <row r="43" spans="1:7">
      <c r="A43" t="s">
        <v>219</v>
      </c>
      <c r="B43">
        <v>4</v>
      </c>
      <c r="C43" t="s">
        <v>234</v>
      </c>
      <c r="D43">
        <v>4</v>
      </c>
      <c r="E43">
        <v>751</v>
      </c>
      <c r="F43">
        <v>739</v>
      </c>
      <c r="G43" s="4">
        <f t="shared" si="0"/>
        <v>0.98402130492676432</v>
      </c>
    </row>
    <row r="44" spans="1:7">
      <c r="A44" t="s">
        <v>219</v>
      </c>
      <c r="B44">
        <v>13</v>
      </c>
      <c r="C44" t="s">
        <v>203</v>
      </c>
      <c r="D44">
        <v>1</v>
      </c>
      <c r="E44">
        <v>243</v>
      </c>
      <c r="F44">
        <v>66</v>
      </c>
      <c r="G44" s="4">
        <f t="shared" si="0"/>
        <v>0.27160493827160492</v>
      </c>
    </row>
    <row r="45" spans="1:7">
      <c r="A45" t="s">
        <v>219</v>
      </c>
      <c r="B45">
        <v>13</v>
      </c>
      <c r="C45" t="s">
        <v>179</v>
      </c>
      <c r="D45">
        <v>2</v>
      </c>
      <c r="E45">
        <v>243</v>
      </c>
      <c r="F45">
        <v>124</v>
      </c>
      <c r="G45" s="4">
        <f t="shared" si="0"/>
        <v>0.51028806584362141</v>
      </c>
    </row>
    <row r="46" spans="1:7">
      <c r="A46" t="s">
        <v>219</v>
      </c>
      <c r="B46">
        <v>13</v>
      </c>
      <c r="C46" t="s">
        <v>204</v>
      </c>
      <c r="D46">
        <v>3</v>
      </c>
      <c r="E46">
        <v>243</v>
      </c>
      <c r="F46">
        <v>184</v>
      </c>
      <c r="G46" s="4">
        <f t="shared" si="0"/>
        <v>0.75720164609053497</v>
      </c>
    </row>
    <row r="47" spans="1:7">
      <c r="A47" t="s">
        <v>219</v>
      </c>
      <c r="B47">
        <v>13</v>
      </c>
      <c r="C47" t="s">
        <v>215</v>
      </c>
      <c r="D47">
        <v>4</v>
      </c>
      <c r="E47">
        <v>243</v>
      </c>
      <c r="F47">
        <v>239</v>
      </c>
      <c r="G47" s="4">
        <f t="shared" si="0"/>
        <v>0.98353909465020573</v>
      </c>
    </row>
    <row r="48" spans="1:7">
      <c r="A48" t="s">
        <v>219</v>
      </c>
      <c r="B48">
        <v>13</v>
      </c>
      <c r="C48" t="s">
        <v>205</v>
      </c>
      <c r="D48">
        <v>5</v>
      </c>
      <c r="E48">
        <v>243</v>
      </c>
      <c r="F48">
        <v>241</v>
      </c>
      <c r="G48" s="4">
        <f t="shared" si="0"/>
        <v>0.99176954732510292</v>
      </c>
    </row>
    <row r="49" spans="1:7">
      <c r="A49" t="s">
        <v>219</v>
      </c>
      <c r="B49">
        <v>16</v>
      </c>
      <c r="C49" t="s">
        <v>235</v>
      </c>
      <c r="D49">
        <v>1</v>
      </c>
      <c r="E49">
        <v>10504</v>
      </c>
      <c r="F49">
        <v>192</v>
      </c>
      <c r="G49" s="4">
        <f t="shared" si="0"/>
        <v>1.827875095201828E-2</v>
      </c>
    </row>
    <row r="50" spans="1:7">
      <c r="A50" t="s">
        <v>219</v>
      </c>
      <c r="B50">
        <v>16</v>
      </c>
      <c r="C50" t="s">
        <v>236</v>
      </c>
      <c r="D50">
        <v>2</v>
      </c>
      <c r="E50">
        <v>10504</v>
      </c>
      <c r="F50">
        <v>253</v>
      </c>
      <c r="G50" s="4">
        <f t="shared" si="0"/>
        <v>2.4086062452399085E-2</v>
      </c>
    </row>
    <row r="51" spans="1:7">
      <c r="A51" t="s">
        <v>219</v>
      </c>
      <c r="B51">
        <v>16</v>
      </c>
      <c r="C51" t="s">
        <v>238</v>
      </c>
      <c r="D51">
        <v>3</v>
      </c>
      <c r="E51">
        <v>10504</v>
      </c>
      <c r="F51">
        <v>9896</v>
      </c>
      <c r="G51" s="4">
        <f t="shared" si="0"/>
        <v>0.94211728865194211</v>
      </c>
    </row>
    <row r="52" spans="1:7">
      <c r="A52" t="s">
        <v>219</v>
      </c>
      <c r="B52">
        <v>16</v>
      </c>
      <c r="C52" t="s">
        <v>237</v>
      </c>
      <c r="D52">
        <v>4</v>
      </c>
      <c r="E52">
        <v>10504</v>
      </c>
      <c r="F52">
        <v>10079</v>
      </c>
      <c r="G52" s="4">
        <f t="shared" si="0"/>
        <v>0.95953922315308449</v>
      </c>
    </row>
    <row r="53" spans="1:7">
      <c r="A53" t="s">
        <v>219</v>
      </c>
      <c r="B53">
        <v>18</v>
      </c>
      <c r="C53" t="s">
        <v>2</v>
      </c>
      <c r="D53">
        <v>1</v>
      </c>
      <c r="E53">
        <v>5580</v>
      </c>
      <c r="F53">
        <v>140</v>
      </c>
      <c r="G53" s="4">
        <f t="shared" si="0"/>
        <v>2.5089605734767026E-2</v>
      </c>
    </row>
    <row r="54" spans="1:7">
      <c r="A54" t="s">
        <v>219</v>
      </c>
      <c r="B54">
        <v>18</v>
      </c>
      <c r="C54" t="s">
        <v>1</v>
      </c>
      <c r="D54">
        <v>2</v>
      </c>
      <c r="E54">
        <v>5580</v>
      </c>
      <c r="F54">
        <v>226</v>
      </c>
      <c r="G54" s="4">
        <f t="shared" si="0"/>
        <v>4.0501792114695338E-2</v>
      </c>
    </row>
    <row r="55" spans="1:7">
      <c r="A55" t="s">
        <v>219</v>
      </c>
      <c r="B55">
        <v>18</v>
      </c>
      <c r="C55" t="s">
        <v>239</v>
      </c>
      <c r="D55">
        <v>3</v>
      </c>
      <c r="E55">
        <v>5580</v>
      </c>
      <c r="F55">
        <v>485</v>
      </c>
      <c r="G55" s="4">
        <f t="shared" si="0"/>
        <v>8.6917562724014338E-2</v>
      </c>
    </row>
    <row r="56" spans="1:7">
      <c r="A56" t="s">
        <v>219</v>
      </c>
      <c r="B56">
        <v>18</v>
      </c>
      <c r="C56" t="s">
        <v>240</v>
      </c>
      <c r="D56">
        <v>4</v>
      </c>
      <c r="E56">
        <v>5580</v>
      </c>
      <c r="F56">
        <v>578</v>
      </c>
      <c r="G56" s="4">
        <f t="shared" si="0"/>
        <v>0.103584229390681</v>
      </c>
    </row>
    <row r="57" spans="1:7">
      <c r="A57" t="s">
        <v>219</v>
      </c>
      <c r="B57">
        <v>18</v>
      </c>
      <c r="C57" t="s">
        <v>241</v>
      </c>
      <c r="D57">
        <v>5</v>
      </c>
      <c r="E57">
        <v>5580</v>
      </c>
      <c r="F57">
        <v>791</v>
      </c>
      <c r="G57" s="4">
        <f t="shared" si="0"/>
        <v>0.14175627240143368</v>
      </c>
    </row>
    <row r="58" spans="1:7">
      <c r="A58" t="s">
        <v>219</v>
      </c>
      <c r="B58">
        <v>18</v>
      </c>
      <c r="C58" t="s">
        <v>245</v>
      </c>
      <c r="D58">
        <v>6</v>
      </c>
      <c r="E58">
        <v>5580</v>
      </c>
      <c r="F58">
        <v>835</v>
      </c>
      <c r="G58" s="4">
        <f t="shared" si="0"/>
        <v>0.1496415770609319</v>
      </c>
    </row>
    <row r="59" spans="1:7">
      <c r="A59" t="s">
        <v>219</v>
      </c>
      <c r="B59">
        <v>18</v>
      </c>
      <c r="C59" t="s">
        <v>244</v>
      </c>
      <c r="D59">
        <v>7</v>
      </c>
      <c r="E59">
        <v>5580</v>
      </c>
      <c r="F59">
        <v>838</v>
      </c>
      <c r="G59" s="4">
        <f t="shared" si="0"/>
        <v>0.15017921146953406</v>
      </c>
    </row>
    <row r="60" spans="1:7">
      <c r="A60" t="s">
        <v>219</v>
      </c>
      <c r="B60">
        <v>18</v>
      </c>
      <c r="C60" t="s">
        <v>242</v>
      </c>
      <c r="D60">
        <v>8</v>
      </c>
      <c r="E60">
        <v>5580</v>
      </c>
      <c r="F60">
        <v>844</v>
      </c>
      <c r="G60" s="4">
        <f t="shared" si="0"/>
        <v>0.15125448028673835</v>
      </c>
    </row>
    <row r="61" spans="1:7">
      <c r="A61" t="s">
        <v>219</v>
      </c>
      <c r="B61">
        <v>18</v>
      </c>
      <c r="C61" t="s">
        <v>243</v>
      </c>
      <c r="D61">
        <v>9</v>
      </c>
      <c r="E61">
        <v>5580</v>
      </c>
      <c r="F61">
        <v>862</v>
      </c>
      <c r="G61" s="4">
        <f t="shared" si="0"/>
        <v>0.15448028673835126</v>
      </c>
    </row>
    <row r="62" spans="1:7">
      <c r="A62" t="s">
        <v>219</v>
      </c>
      <c r="B62">
        <v>18</v>
      </c>
      <c r="C62" t="s">
        <v>246</v>
      </c>
      <c r="D62">
        <v>10</v>
      </c>
      <c r="E62">
        <v>5580</v>
      </c>
      <c r="F62">
        <v>872</v>
      </c>
      <c r="G62" s="4">
        <f t="shared" si="0"/>
        <v>0.15627240143369175</v>
      </c>
    </row>
    <row r="63" spans="1:7">
      <c r="A63" t="s">
        <v>219</v>
      </c>
      <c r="B63">
        <v>18</v>
      </c>
      <c r="C63" t="s">
        <v>248</v>
      </c>
      <c r="D63">
        <v>11</v>
      </c>
      <c r="E63">
        <v>5580</v>
      </c>
      <c r="F63">
        <v>883</v>
      </c>
      <c r="G63" s="4">
        <f t="shared" si="0"/>
        <v>0.15824372759856631</v>
      </c>
    </row>
    <row r="64" spans="1:7">
      <c r="A64" t="s">
        <v>219</v>
      </c>
      <c r="B64">
        <v>18</v>
      </c>
      <c r="C64" t="s">
        <v>249</v>
      </c>
      <c r="D64">
        <v>12</v>
      </c>
      <c r="E64">
        <v>5580</v>
      </c>
      <c r="F64">
        <v>884</v>
      </c>
      <c r="G64" s="4">
        <f t="shared" si="0"/>
        <v>0.15842293906810037</v>
      </c>
    </row>
    <row r="65" spans="1:7">
      <c r="A65" t="s">
        <v>219</v>
      </c>
      <c r="B65">
        <v>18</v>
      </c>
      <c r="C65" t="s">
        <v>247</v>
      </c>
      <c r="D65">
        <v>13</v>
      </c>
      <c r="E65">
        <v>5580</v>
      </c>
      <c r="F65">
        <v>895</v>
      </c>
      <c r="G65" s="4">
        <f t="shared" si="0"/>
        <v>0.1603942652329749</v>
      </c>
    </row>
    <row r="66" spans="1:7">
      <c r="A66" t="s">
        <v>219</v>
      </c>
      <c r="B66">
        <v>18</v>
      </c>
      <c r="C66" t="s">
        <v>250</v>
      </c>
      <c r="D66">
        <v>14</v>
      </c>
      <c r="E66">
        <v>5580</v>
      </c>
      <c r="F66">
        <v>902</v>
      </c>
      <c r="G66" s="4">
        <f t="shared" ref="G66:G129" si="1">F66/E66</f>
        <v>0.16164874551971326</v>
      </c>
    </row>
    <row r="67" spans="1:7">
      <c r="A67" t="s">
        <v>219</v>
      </c>
      <c r="B67">
        <v>18</v>
      </c>
      <c r="C67" t="s">
        <v>253</v>
      </c>
      <c r="D67">
        <v>15</v>
      </c>
      <c r="E67">
        <v>5580</v>
      </c>
      <c r="F67">
        <v>931</v>
      </c>
      <c r="G67" s="4">
        <f t="shared" si="1"/>
        <v>0.16684587813620072</v>
      </c>
    </row>
    <row r="68" spans="1:7">
      <c r="A68" t="s">
        <v>219</v>
      </c>
      <c r="B68">
        <v>18</v>
      </c>
      <c r="C68" t="s">
        <v>252</v>
      </c>
      <c r="D68">
        <v>16</v>
      </c>
      <c r="E68">
        <v>5580</v>
      </c>
      <c r="F68">
        <v>940</v>
      </c>
      <c r="G68" s="4">
        <f t="shared" si="1"/>
        <v>0.16845878136200718</v>
      </c>
    </row>
    <row r="69" spans="1:7">
      <c r="A69" t="s">
        <v>219</v>
      </c>
      <c r="B69">
        <v>18</v>
      </c>
      <c r="C69" t="s">
        <v>251</v>
      </c>
      <c r="D69">
        <v>17</v>
      </c>
      <c r="E69">
        <v>5580</v>
      </c>
      <c r="F69">
        <v>941</v>
      </c>
      <c r="G69" s="4">
        <f t="shared" si="1"/>
        <v>0.16863799283154121</v>
      </c>
    </row>
    <row r="70" spans="1:7">
      <c r="A70" t="s">
        <v>219</v>
      </c>
      <c r="B70">
        <v>18</v>
      </c>
      <c r="C70" t="s">
        <v>254</v>
      </c>
      <c r="D70">
        <v>18</v>
      </c>
      <c r="E70">
        <v>5580</v>
      </c>
      <c r="F70">
        <v>1000</v>
      </c>
      <c r="G70" s="4">
        <f t="shared" si="1"/>
        <v>0.17921146953405018</v>
      </c>
    </row>
    <row r="71" spans="1:7">
      <c r="A71" t="s">
        <v>219</v>
      </c>
      <c r="B71">
        <v>18</v>
      </c>
      <c r="C71" t="s">
        <v>255</v>
      </c>
      <c r="D71">
        <v>19</v>
      </c>
      <c r="E71">
        <v>5580</v>
      </c>
      <c r="F71">
        <v>1218</v>
      </c>
      <c r="G71" s="4">
        <f t="shared" si="1"/>
        <v>0.21827956989247313</v>
      </c>
    </row>
    <row r="72" spans="1:7">
      <c r="A72" t="s">
        <v>219</v>
      </c>
      <c r="B72">
        <v>18</v>
      </c>
      <c r="C72" t="s">
        <v>256</v>
      </c>
      <c r="D72">
        <v>20</v>
      </c>
      <c r="E72">
        <v>5580</v>
      </c>
      <c r="F72">
        <v>1253</v>
      </c>
      <c r="G72" s="4">
        <f t="shared" si="1"/>
        <v>0.22455197132616486</v>
      </c>
    </row>
    <row r="73" spans="1:7">
      <c r="A73" t="s">
        <v>219</v>
      </c>
      <c r="B73">
        <v>18</v>
      </c>
      <c r="C73" t="s">
        <v>257</v>
      </c>
      <c r="D73">
        <v>21</v>
      </c>
      <c r="E73">
        <v>5580</v>
      </c>
      <c r="F73">
        <v>1292</v>
      </c>
      <c r="G73" s="4">
        <f t="shared" si="1"/>
        <v>0.23154121863799282</v>
      </c>
    </row>
    <row r="74" spans="1:7">
      <c r="A74" t="s">
        <v>219</v>
      </c>
      <c r="B74">
        <v>18</v>
      </c>
      <c r="C74" t="s">
        <v>258</v>
      </c>
      <c r="D74">
        <v>22</v>
      </c>
      <c r="E74">
        <v>5580</v>
      </c>
      <c r="F74">
        <v>1312</v>
      </c>
      <c r="G74" s="4">
        <f t="shared" si="1"/>
        <v>0.23512544802867383</v>
      </c>
    </row>
    <row r="75" spans="1:7">
      <c r="A75" t="s">
        <v>219</v>
      </c>
      <c r="B75">
        <v>18</v>
      </c>
      <c r="C75" t="s">
        <v>259</v>
      </c>
      <c r="D75">
        <v>23</v>
      </c>
      <c r="E75">
        <v>5580</v>
      </c>
      <c r="F75">
        <v>1354</v>
      </c>
      <c r="G75" s="4">
        <f t="shared" si="1"/>
        <v>0.24265232974910395</v>
      </c>
    </row>
    <row r="76" spans="1:7">
      <c r="A76" t="s">
        <v>219</v>
      </c>
      <c r="B76">
        <v>18</v>
      </c>
      <c r="C76" t="s">
        <v>260</v>
      </c>
      <c r="D76">
        <v>24</v>
      </c>
      <c r="E76">
        <v>5580</v>
      </c>
      <c r="F76">
        <v>1355</v>
      </c>
      <c r="G76" s="4">
        <f t="shared" si="1"/>
        <v>0.24283154121863798</v>
      </c>
    </row>
    <row r="77" spans="1:7">
      <c r="A77" t="s">
        <v>219</v>
      </c>
      <c r="B77">
        <v>18</v>
      </c>
      <c r="C77" t="s">
        <v>261</v>
      </c>
      <c r="D77">
        <v>25</v>
      </c>
      <c r="E77">
        <v>5580</v>
      </c>
      <c r="F77">
        <v>1373</v>
      </c>
      <c r="G77" s="4">
        <f t="shared" si="1"/>
        <v>0.24605734767025089</v>
      </c>
    </row>
    <row r="78" spans="1:7">
      <c r="A78" t="s">
        <v>219</v>
      </c>
      <c r="B78">
        <v>18</v>
      </c>
      <c r="C78" t="s">
        <v>273</v>
      </c>
      <c r="D78">
        <v>26</v>
      </c>
      <c r="E78">
        <v>5580</v>
      </c>
      <c r="F78">
        <v>1403</v>
      </c>
      <c r="G78" s="4">
        <f t="shared" si="1"/>
        <v>0.25143369175627239</v>
      </c>
    </row>
    <row r="79" spans="1:7">
      <c r="A79" t="s">
        <v>219</v>
      </c>
      <c r="B79">
        <v>18</v>
      </c>
      <c r="C79" t="s">
        <v>267</v>
      </c>
      <c r="D79">
        <v>27</v>
      </c>
      <c r="E79">
        <v>5580</v>
      </c>
      <c r="F79">
        <v>1417</v>
      </c>
      <c r="G79" s="4">
        <f t="shared" si="1"/>
        <v>0.25394265232974911</v>
      </c>
    </row>
    <row r="80" spans="1:7">
      <c r="A80" t="s">
        <v>219</v>
      </c>
      <c r="B80">
        <v>18</v>
      </c>
      <c r="C80" t="s">
        <v>262</v>
      </c>
      <c r="D80">
        <v>28</v>
      </c>
      <c r="E80">
        <v>5580</v>
      </c>
      <c r="F80">
        <v>1420</v>
      </c>
      <c r="G80" s="4">
        <f t="shared" si="1"/>
        <v>0.25448028673835127</v>
      </c>
    </row>
    <row r="81" spans="1:7">
      <c r="A81" t="s">
        <v>219</v>
      </c>
      <c r="B81">
        <v>18</v>
      </c>
      <c r="C81" t="s">
        <v>269</v>
      </c>
      <c r="D81">
        <v>29</v>
      </c>
      <c r="E81">
        <v>5580</v>
      </c>
      <c r="F81">
        <v>1463</v>
      </c>
      <c r="G81" s="4">
        <f t="shared" si="1"/>
        <v>0.26218637992831539</v>
      </c>
    </row>
    <row r="82" spans="1:7">
      <c r="A82" t="s">
        <v>219</v>
      </c>
      <c r="B82">
        <v>18</v>
      </c>
      <c r="C82" t="s">
        <v>268</v>
      </c>
      <c r="D82">
        <v>30</v>
      </c>
      <c r="E82">
        <v>5580</v>
      </c>
      <c r="F82">
        <v>1466</v>
      </c>
      <c r="G82" s="4">
        <f t="shared" si="1"/>
        <v>0.26272401433691756</v>
      </c>
    </row>
    <row r="83" spans="1:7">
      <c r="A83" t="s">
        <v>219</v>
      </c>
      <c r="B83">
        <v>18</v>
      </c>
      <c r="C83" t="s">
        <v>264</v>
      </c>
      <c r="D83">
        <v>31</v>
      </c>
      <c r="E83">
        <v>5580</v>
      </c>
      <c r="F83">
        <v>1467</v>
      </c>
      <c r="G83" s="4">
        <f t="shared" si="1"/>
        <v>0.26290322580645159</v>
      </c>
    </row>
    <row r="84" spans="1:7">
      <c r="A84" t="s">
        <v>219</v>
      </c>
      <c r="B84">
        <v>18</v>
      </c>
      <c r="C84" t="s">
        <v>263</v>
      </c>
      <c r="D84">
        <v>32</v>
      </c>
      <c r="E84">
        <v>5580</v>
      </c>
      <c r="F84">
        <v>1468</v>
      </c>
      <c r="G84" s="4">
        <f t="shared" si="1"/>
        <v>0.26308243727598568</v>
      </c>
    </row>
    <row r="85" spans="1:7">
      <c r="A85" t="s">
        <v>219</v>
      </c>
      <c r="B85">
        <v>18</v>
      </c>
      <c r="C85" t="s">
        <v>265</v>
      </c>
      <c r="D85">
        <v>33</v>
      </c>
      <c r="E85">
        <v>5580</v>
      </c>
      <c r="F85">
        <v>1486</v>
      </c>
      <c r="G85" s="4">
        <f t="shared" si="1"/>
        <v>0.26630824372759859</v>
      </c>
    </row>
    <row r="86" spans="1:7">
      <c r="A86" t="s">
        <v>219</v>
      </c>
      <c r="B86">
        <v>18</v>
      </c>
      <c r="C86" t="s">
        <v>270</v>
      </c>
      <c r="D86">
        <v>34</v>
      </c>
      <c r="E86">
        <v>5580</v>
      </c>
      <c r="F86">
        <v>1497</v>
      </c>
      <c r="G86" s="4">
        <f t="shared" si="1"/>
        <v>0.26827956989247309</v>
      </c>
    </row>
    <row r="87" spans="1:7">
      <c r="A87" t="s">
        <v>219</v>
      </c>
      <c r="B87">
        <v>18</v>
      </c>
      <c r="C87" t="s">
        <v>274</v>
      </c>
      <c r="D87">
        <v>35</v>
      </c>
      <c r="E87">
        <v>5580</v>
      </c>
      <c r="F87">
        <v>1543</v>
      </c>
      <c r="G87" s="4">
        <f t="shared" si="1"/>
        <v>0.27652329749103943</v>
      </c>
    </row>
    <row r="88" spans="1:7">
      <c r="A88" t="s">
        <v>219</v>
      </c>
      <c r="B88">
        <v>18</v>
      </c>
      <c r="C88" t="s">
        <v>271</v>
      </c>
      <c r="D88">
        <v>36</v>
      </c>
      <c r="E88">
        <v>5580</v>
      </c>
      <c r="F88">
        <v>1554</v>
      </c>
      <c r="G88" s="4">
        <f t="shared" si="1"/>
        <v>0.27849462365591399</v>
      </c>
    </row>
    <row r="89" spans="1:7">
      <c r="A89" t="s">
        <v>219</v>
      </c>
      <c r="B89">
        <v>18</v>
      </c>
      <c r="C89" t="s">
        <v>266</v>
      </c>
      <c r="D89">
        <v>37</v>
      </c>
      <c r="E89">
        <v>5580</v>
      </c>
      <c r="F89">
        <v>1626</v>
      </c>
      <c r="G89" s="4">
        <f t="shared" si="1"/>
        <v>0.29139784946236558</v>
      </c>
    </row>
    <row r="90" spans="1:7">
      <c r="A90" t="s">
        <v>219</v>
      </c>
      <c r="B90">
        <v>18</v>
      </c>
      <c r="C90" t="s">
        <v>272</v>
      </c>
      <c r="D90">
        <v>38</v>
      </c>
      <c r="E90">
        <v>5580</v>
      </c>
      <c r="F90">
        <v>1637</v>
      </c>
      <c r="G90" s="4">
        <f t="shared" si="1"/>
        <v>0.29336917562724013</v>
      </c>
    </row>
    <row r="91" spans="1:7">
      <c r="A91" t="s">
        <v>219</v>
      </c>
      <c r="B91">
        <v>18</v>
      </c>
      <c r="C91" t="s">
        <v>275</v>
      </c>
      <c r="D91">
        <v>39</v>
      </c>
      <c r="E91">
        <v>5580</v>
      </c>
      <c r="F91">
        <v>1706</v>
      </c>
      <c r="G91" s="4">
        <f t="shared" si="1"/>
        <v>0.30573476702508962</v>
      </c>
    </row>
    <row r="92" spans="1:7">
      <c r="A92" t="s">
        <v>219</v>
      </c>
      <c r="B92">
        <v>18</v>
      </c>
      <c r="C92" t="s">
        <v>276</v>
      </c>
      <c r="D92">
        <v>40</v>
      </c>
      <c r="E92">
        <v>5580</v>
      </c>
      <c r="F92">
        <v>4973</v>
      </c>
      <c r="G92" s="4">
        <f t="shared" si="1"/>
        <v>0.89121863799283152</v>
      </c>
    </row>
    <row r="93" spans="1:7">
      <c r="A93" t="s">
        <v>219</v>
      </c>
      <c r="B93">
        <v>18</v>
      </c>
      <c r="C93" t="s">
        <v>278</v>
      </c>
      <c r="D93">
        <v>41</v>
      </c>
      <c r="E93">
        <v>5580</v>
      </c>
      <c r="F93">
        <v>4993</v>
      </c>
      <c r="G93" s="4">
        <f t="shared" si="1"/>
        <v>0.89480286738351256</v>
      </c>
    </row>
    <row r="94" spans="1:7">
      <c r="A94" t="s">
        <v>219</v>
      </c>
      <c r="B94">
        <v>18</v>
      </c>
      <c r="C94" t="s">
        <v>277</v>
      </c>
      <c r="D94">
        <v>42</v>
      </c>
      <c r="E94">
        <v>5580</v>
      </c>
      <c r="F94">
        <v>5029</v>
      </c>
      <c r="G94" s="4">
        <f t="shared" si="1"/>
        <v>0.90125448028673838</v>
      </c>
    </row>
    <row r="95" spans="1:7">
      <c r="A95" t="s">
        <v>219</v>
      </c>
      <c r="B95">
        <v>18</v>
      </c>
      <c r="C95" t="s">
        <v>282</v>
      </c>
      <c r="D95">
        <v>43</v>
      </c>
      <c r="E95">
        <v>5580</v>
      </c>
      <c r="F95">
        <v>5092</v>
      </c>
      <c r="G95" s="4">
        <f t="shared" si="1"/>
        <v>0.91254480286738349</v>
      </c>
    </row>
    <row r="96" spans="1:7">
      <c r="A96" t="s">
        <v>219</v>
      </c>
      <c r="B96">
        <v>18</v>
      </c>
      <c r="C96" t="s">
        <v>279</v>
      </c>
      <c r="D96">
        <v>44</v>
      </c>
      <c r="E96">
        <v>5580</v>
      </c>
      <c r="F96">
        <v>5155</v>
      </c>
      <c r="G96" s="4">
        <f t="shared" si="1"/>
        <v>0.9238351254480287</v>
      </c>
    </row>
    <row r="97" spans="1:7">
      <c r="A97" t="s">
        <v>219</v>
      </c>
      <c r="B97">
        <v>18</v>
      </c>
      <c r="C97" t="s">
        <v>281</v>
      </c>
      <c r="D97">
        <v>45</v>
      </c>
      <c r="E97">
        <v>5580</v>
      </c>
      <c r="F97">
        <v>5217</v>
      </c>
      <c r="G97" s="4">
        <f t="shared" si="1"/>
        <v>0.93494623655913978</v>
      </c>
    </row>
    <row r="98" spans="1:7">
      <c r="A98" t="s">
        <v>219</v>
      </c>
      <c r="B98">
        <v>18</v>
      </c>
      <c r="C98" t="s">
        <v>280</v>
      </c>
      <c r="D98">
        <v>46</v>
      </c>
      <c r="E98">
        <v>5580</v>
      </c>
      <c r="F98">
        <v>5224</v>
      </c>
      <c r="G98" s="4">
        <f t="shared" si="1"/>
        <v>0.93620071684587813</v>
      </c>
    </row>
    <row r="99" spans="1:7">
      <c r="A99" t="s">
        <v>219</v>
      </c>
      <c r="B99">
        <v>19</v>
      </c>
      <c r="C99" t="s">
        <v>2</v>
      </c>
      <c r="D99">
        <v>1</v>
      </c>
      <c r="E99">
        <v>4846</v>
      </c>
      <c r="F99">
        <v>136</v>
      </c>
      <c r="G99" s="4">
        <f t="shared" si="1"/>
        <v>2.8064382996285598E-2</v>
      </c>
    </row>
    <row r="100" spans="1:7">
      <c r="A100" t="s">
        <v>219</v>
      </c>
      <c r="B100">
        <v>19</v>
      </c>
      <c r="C100" t="s">
        <v>1</v>
      </c>
      <c r="D100">
        <v>2</v>
      </c>
      <c r="E100">
        <v>4846</v>
      </c>
      <c r="F100">
        <v>221</v>
      </c>
      <c r="G100" s="4">
        <f t="shared" si="1"/>
        <v>4.5604622368964093E-2</v>
      </c>
    </row>
    <row r="101" spans="1:7">
      <c r="A101" t="s">
        <v>219</v>
      </c>
      <c r="B101">
        <v>19</v>
      </c>
      <c r="C101" t="s">
        <v>239</v>
      </c>
      <c r="D101">
        <v>3</v>
      </c>
      <c r="E101">
        <v>4846</v>
      </c>
      <c r="F101">
        <v>1514</v>
      </c>
      <c r="G101" s="4">
        <f t="shared" si="1"/>
        <v>0.3124226165910029</v>
      </c>
    </row>
    <row r="102" spans="1:7">
      <c r="A102" t="s">
        <v>219</v>
      </c>
      <c r="B102">
        <v>19</v>
      </c>
      <c r="C102" t="s">
        <v>283</v>
      </c>
      <c r="D102">
        <v>4</v>
      </c>
      <c r="E102">
        <v>4846</v>
      </c>
      <c r="F102">
        <v>1606</v>
      </c>
      <c r="G102" s="4">
        <f t="shared" si="1"/>
        <v>0.33140734626496077</v>
      </c>
    </row>
    <row r="103" spans="1:7">
      <c r="A103" t="s">
        <v>219</v>
      </c>
      <c r="B103">
        <v>19</v>
      </c>
      <c r="C103" t="s">
        <v>284</v>
      </c>
      <c r="D103">
        <v>5</v>
      </c>
      <c r="E103">
        <v>4846</v>
      </c>
      <c r="F103">
        <v>1685</v>
      </c>
      <c r="G103" s="4">
        <f t="shared" si="1"/>
        <v>0.34770945109368551</v>
      </c>
    </row>
    <row r="104" spans="1:7">
      <c r="A104" t="s">
        <v>219</v>
      </c>
      <c r="B104">
        <v>19</v>
      </c>
      <c r="C104" t="s">
        <v>298</v>
      </c>
      <c r="D104">
        <v>6</v>
      </c>
      <c r="E104">
        <v>4846</v>
      </c>
      <c r="F104">
        <v>3947</v>
      </c>
      <c r="G104" s="4">
        <f t="shared" si="1"/>
        <v>0.81448617416425917</v>
      </c>
    </row>
    <row r="105" spans="1:7">
      <c r="A105" t="s">
        <v>219</v>
      </c>
      <c r="B105">
        <v>19</v>
      </c>
      <c r="C105" t="s">
        <v>285</v>
      </c>
      <c r="D105">
        <v>7</v>
      </c>
      <c r="E105">
        <v>4846</v>
      </c>
      <c r="F105">
        <v>4105</v>
      </c>
      <c r="G105" s="4">
        <f t="shared" si="1"/>
        <v>0.84709038382170865</v>
      </c>
    </row>
    <row r="106" spans="1:7">
      <c r="A106" t="s">
        <v>219</v>
      </c>
      <c r="B106">
        <v>19</v>
      </c>
      <c r="C106" t="s">
        <v>286</v>
      </c>
      <c r="D106">
        <v>8</v>
      </c>
      <c r="E106">
        <v>4846</v>
      </c>
      <c r="F106">
        <v>4241</v>
      </c>
      <c r="G106" s="4">
        <f t="shared" si="1"/>
        <v>0.8751547668179942</v>
      </c>
    </row>
    <row r="107" spans="1:7">
      <c r="A107" t="s">
        <v>219</v>
      </c>
      <c r="B107">
        <v>19</v>
      </c>
      <c r="C107" t="s">
        <v>287</v>
      </c>
      <c r="D107">
        <v>9</v>
      </c>
      <c r="E107">
        <v>4846</v>
      </c>
      <c r="F107">
        <v>4311</v>
      </c>
      <c r="G107" s="4">
        <f t="shared" si="1"/>
        <v>0.88959966983078831</v>
      </c>
    </row>
    <row r="108" spans="1:7">
      <c r="A108" t="s">
        <v>219</v>
      </c>
      <c r="B108">
        <v>19</v>
      </c>
      <c r="C108" t="s">
        <v>307</v>
      </c>
      <c r="D108">
        <v>10</v>
      </c>
      <c r="E108">
        <v>4846</v>
      </c>
      <c r="F108">
        <v>4329</v>
      </c>
      <c r="G108" s="4">
        <f t="shared" si="1"/>
        <v>0.89331407346264957</v>
      </c>
    </row>
    <row r="109" spans="1:7">
      <c r="A109" t="s">
        <v>219</v>
      </c>
      <c r="B109">
        <v>19</v>
      </c>
      <c r="C109" t="s">
        <v>300</v>
      </c>
      <c r="D109">
        <v>11</v>
      </c>
      <c r="E109">
        <v>4846</v>
      </c>
      <c r="F109">
        <v>4337</v>
      </c>
      <c r="G109" s="4">
        <f t="shared" si="1"/>
        <v>0.89496491952125468</v>
      </c>
    </row>
    <row r="110" spans="1:7">
      <c r="A110" t="s">
        <v>219</v>
      </c>
      <c r="B110">
        <v>19</v>
      </c>
      <c r="C110" t="s">
        <v>290</v>
      </c>
      <c r="D110">
        <v>12</v>
      </c>
      <c r="E110">
        <v>4846</v>
      </c>
      <c r="F110">
        <v>4348</v>
      </c>
      <c r="G110" s="4">
        <f t="shared" si="1"/>
        <v>0.89723483285183658</v>
      </c>
    </row>
    <row r="111" spans="1:7">
      <c r="A111" t="s">
        <v>219</v>
      </c>
      <c r="B111">
        <v>19</v>
      </c>
      <c r="C111" t="s">
        <v>292</v>
      </c>
      <c r="D111">
        <v>13</v>
      </c>
      <c r="E111">
        <v>4846</v>
      </c>
      <c r="F111">
        <v>4376</v>
      </c>
      <c r="G111" s="4">
        <f t="shared" si="1"/>
        <v>0.90301279405695423</v>
      </c>
    </row>
    <row r="112" spans="1:7">
      <c r="A112" t="s">
        <v>219</v>
      </c>
      <c r="B112">
        <v>19</v>
      </c>
      <c r="C112" t="s">
        <v>301</v>
      </c>
      <c r="D112">
        <v>14</v>
      </c>
      <c r="E112">
        <v>4846</v>
      </c>
      <c r="F112">
        <v>4380</v>
      </c>
      <c r="G112" s="4">
        <f t="shared" si="1"/>
        <v>0.90383821708625667</v>
      </c>
    </row>
    <row r="113" spans="1:7">
      <c r="A113" t="s">
        <v>219</v>
      </c>
      <c r="B113">
        <v>19</v>
      </c>
      <c r="C113" t="s">
        <v>302</v>
      </c>
      <c r="D113">
        <v>15</v>
      </c>
      <c r="E113">
        <v>4846</v>
      </c>
      <c r="F113">
        <v>4400</v>
      </c>
      <c r="G113" s="4">
        <f t="shared" si="1"/>
        <v>0.90796533223276932</v>
      </c>
    </row>
    <row r="114" spans="1:7">
      <c r="A114" t="s">
        <v>219</v>
      </c>
      <c r="B114">
        <v>19</v>
      </c>
      <c r="C114" t="s">
        <v>289</v>
      </c>
      <c r="D114">
        <v>16</v>
      </c>
      <c r="E114">
        <v>4846</v>
      </c>
      <c r="F114">
        <v>4405</v>
      </c>
      <c r="G114" s="4">
        <f t="shared" si="1"/>
        <v>0.9089971110193974</v>
      </c>
    </row>
    <row r="115" spans="1:7">
      <c r="A115" t="s">
        <v>219</v>
      </c>
      <c r="B115">
        <v>19</v>
      </c>
      <c r="C115" t="s">
        <v>294</v>
      </c>
      <c r="D115">
        <v>17</v>
      </c>
      <c r="E115">
        <v>4846</v>
      </c>
      <c r="F115">
        <v>4410</v>
      </c>
      <c r="G115" s="4">
        <f t="shared" si="1"/>
        <v>0.91002888980602559</v>
      </c>
    </row>
    <row r="116" spans="1:7">
      <c r="A116" t="s">
        <v>219</v>
      </c>
      <c r="B116">
        <v>19</v>
      </c>
      <c r="C116" t="s">
        <v>306</v>
      </c>
      <c r="D116">
        <v>18</v>
      </c>
      <c r="E116">
        <v>4846</v>
      </c>
      <c r="F116">
        <v>4411</v>
      </c>
      <c r="G116" s="4">
        <f t="shared" si="1"/>
        <v>0.91023524556335123</v>
      </c>
    </row>
    <row r="117" spans="1:7">
      <c r="A117" t="s">
        <v>219</v>
      </c>
      <c r="B117">
        <v>19</v>
      </c>
      <c r="C117" t="s">
        <v>295</v>
      </c>
      <c r="D117">
        <v>19</v>
      </c>
      <c r="E117">
        <v>4846</v>
      </c>
      <c r="F117">
        <v>4422</v>
      </c>
      <c r="G117" s="4">
        <f t="shared" si="1"/>
        <v>0.91250515889393313</v>
      </c>
    </row>
    <row r="118" spans="1:7">
      <c r="A118" t="s">
        <v>219</v>
      </c>
      <c r="B118">
        <v>19</v>
      </c>
      <c r="C118" t="s">
        <v>299</v>
      </c>
      <c r="D118">
        <v>20</v>
      </c>
      <c r="E118">
        <v>4846</v>
      </c>
      <c r="F118">
        <v>4423</v>
      </c>
      <c r="G118" s="4">
        <f t="shared" si="1"/>
        <v>0.91271151465125877</v>
      </c>
    </row>
    <row r="119" spans="1:7">
      <c r="A119" t="s">
        <v>219</v>
      </c>
      <c r="B119">
        <v>19</v>
      </c>
      <c r="C119" t="s">
        <v>291</v>
      </c>
      <c r="D119">
        <v>21</v>
      </c>
      <c r="E119">
        <v>4846</v>
      </c>
      <c r="F119">
        <v>4439</v>
      </c>
      <c r="G119" s="4">
        <f t="shared" si="1"/>
        <v>0.91601320676846887</v>
      </c>
    </row>
    <row r="120" spans="1:7">
      <c r="A120" t="s">
        <v>219</v>
      </c>
      <c r="B120">
        <v>19</v>
      </c>
      <c r="C120" t="s">
        <v>303</v>
      </c>
      <c r="D120">
        <v>22</v>
      </c>
      <c r="E120">
        <v>4846</v>
      </c>
      <c r="F120">
        <v>4445</v>
      </c>
      <c r="G120" s="4">
        <f t="shared" si="1"/>
        <v>0.91725134131242259</v>
      </c>
    </row>
    <row r="121" spans="1:7">
      <c r="A121" t="s">
        <v>219</v>
      </c>
      <c r="B121">
        <v>19</v>
      </c>
      <c r="C121" t="s">
        <v>288</v>
      </c>
      <c r="D121">
        <v>23</v>
      </c>
      <c r="E121">
        <v>4846</v>
      </c>
      <c r="F121">
        <v>4451</v>
      </c>
      <c r="G121" s="4">
        <f t="shared" si="1"/>
        <v>0.91848947585637641</v>
      </c>
    </row>
    <row r="122" spans="1:7">
      <c r="A122" t="s">
        <v>219</v>
      </c>
      <c r="B122">
        <v>19</v>
      </c>
      <c r="C122" t="s">
        <v>293</v>
      </c>
      <c r="D122">
        <v>24</v>
      </c>
      <c r="E122">
        <v>4846</v>
      </c>
      <c r="F122">
        <v>4481</v>
      </c>
      <c r="G122" s="4">
        <f t="shared" si="1"/>
        <v>0.92468014857614522</v>
      </c>
    </row>
    <row r="123" spans="1:7">
      <c r="A123" t="s">
        <v>219</v>
      </c>
      <c r="B123">
        <v>19</v>
      </c>
      <c r="C123" t="s">
        <v>304</v>
      </c>
      <c r="D123">
        <v>25</v>
      </c>
      <c r="E123">
        <v>4846</v>
      </c>
      <c r="F123">
        <v>4536</v>
      </c>
      <c r="G123" s="4">
        <f t="shared" si="1"/>
        <v>0.93602971522905487</v>
      </c>
    </row>
    <row r="124" spans="1:7">
      <c r="A124" t="s">
        <v>219</v>
      </c>
      <c r="B124">
        <v>19</v>
      </c>
      <c r="C124" t="s">
        <v>296</v>
      </c>
      <c r="D124">
        <v>26</v>
      </c>
      <c r="E124">
        <v>4846</v>
      </c>
      <c r="F124">
        <v>4577</v>
      </c>
      <c r="G124" s="4">
        <f t="shared" si="1"/>
        <v>0.9444903012794057</v>
      </c>
    </row>
    <row r="125" spans="1:7">
      <c r="A125" t="s">
        <v>219</v>
      </c>
      <c r="B125">
        <v>19</v>
      </c>
      <c r="C125" t="s">
        <v>297</v>
      </c>
      <c r="D125">
        <v>27</v>
      </c>
      <c r="E125">
        <v>4846</v>
      </c>
      <c r="F125">
        <v>4589</v>
      </c>
      <c r="G125" s="4">
        <f t="shared" si="1"/>
        <v>0.94696657036731324</v>
      </c>
    </row>
    <row r="126" spans="1:7">
      <c r="A126" t="s">
        <v>219</v>
      </c>
      <c r="B126">
        <v>19</v>
      </c>
      <c r="C126" t="s">
        <v>305</v>
      </c>
      <c r="D126">
        <v>28</v>
      </c>
      <c r="E126">
        <v>4846</v>
      </c>
      <c r="F126">
        <v>4648</v>
      </c>
      <c r="G126" s="4">
        <f t="shared" si="1"/>
        <v>0.95914156004952533</v>
      </c>
    </row>
    <row r="127" spans="1:7">
      <c r="A127" t="s">
        <v>219</v>
      </c>
      <c r="B127">
        <v>20</v>
      </c>
      <c r="C127" t="s">
        <v>308</v>
      </c>
      <c r="D127">
        <v>1</v>
      </c>
      <c r="E127">
        <v>3164</v>
      </c>
      <c r="F127">
        <v>382</v>
      </c>
      <c r="G127" s="4">
        <f t="shared" si="1"/>
        <v>0.12073324905183312</v>
      </c>
    </row>
    <row r="128" spans="1:7">
      <c r="A128" t="s">
        <v>219</v>
      </c>
      <c r="B128">
        <v>20</v>
      </c>
      <c r="C128" t="s">
        <v>309</v>
      </c>
      <c r="D128">
        <v>2</v>
      </c>
      <c r="E128">
        <v>3164</v>
      </c>
      <c r="F128">
        <v>431</v>
      </c>
      <c r="G128" s="4">
        <f t="shared" si="1"/>
        <v>0.13621997471554995</v>
      </c>
    </row>
    <row r="129" spans="1:7">
      <c r="A129" t="s">
        <v>219</v>
      </c>
      <c r="B129">
        <v>20</v>
      </c>
      <c r="C129" t="s">
        <v>310</v>
      </c>
      <c r="D129">
        <v>3</v>
      </c>
      <c r="E129">
        <v>3164</v>
      </c>
      <c r="F129">
        <v>439</v>
      </c>
      <c r="G129" s="4">
        <f t="shared" si="1"/>
        <v>0.13874841972187105</v>
      </c>
    </row>
    <row r="130" spans="1:7">
      <c r="A130" t="s">
        <v>219</v>
      </c>
      <c r="B130">
        <v>20</v>
      </c>
      <c r="C130" t="s">
        <v>311</v>
      </c>
      <c r="D130">
        <v>4</v>
      </c>
      <c r="E130">
        <v>3164</v>
      </c>
      <c r="F130">
        <v>454</v>
      </c>
      <c r="G130" s="4">
        <f t="shared" ref="G130:G193" si="2">F130/E130</f>
        <v>0.14348925410872312</v>
      </c>
    </row>
    <row r="131" spans="1:7">
      <c r="A131" t="s">
        <v>219</v>
      </c>
      <c r="B131">
        <v>20</v>
      </c>
      <c r="C131" t="s">
        <v>312</v>
      </c>
      <c r="D131">
        <v>5</v>
      </c>
      <c r="E131">
        <v>3164</v>
      </c>
      <c r="F131">
        <v>483</v>
      </c>
      <c r="G131" s="4">
        <f t="shared" si="2"/>
        <v>0.15265486725663716</v>
      </c>
    </row>
    <row r="132" spans="1:7">
      <c r="A132" t="s">
        <v>219</v>
      </c>
      <c r="B132">
        <v>20</v>
      </c>
      <c r="C132" t="s">
        <v>313</v>
      </c>
      <c r="D132">
        <v>6</v>
      </c>
      <c r="E132">
        <v>3164</v>
      </c>
      <c r="F132">
        <v>491</v>
      </c>
      <c r="G132" s="4">
        <f t="shared" si="2"/>
        <v>0.15518331226295828</v>
      </c>
    </row>
    <row r="133" spans="1:7">
      <c r="A133" t="s">
        <v>219</v>
      </c>
      <c r="B133">
        <v>20</v>
      </c>
      <c r="C133" t="s">
        <v>314</v>
      </c>
      <c r="D133">
        <v>7</v>
      </c>
      <c r="E133">
        <v>3164</v>
      </c>
      <c r="F133">
        <v>499</v>
      </c>
      <c r="G133" s="4">
        <f t="shared" si="2"/>
        <v>0.15771175726927938</v>
      </c>
    </row>
    <row r="134" spans="1:7">
      <c r="A134" t="s">
        <v>219</v>
      </c>
      <c r="B134">
        <v>20</v>
      </c>
      <c r="C134" t="s">
        <v>316</v>
      </c>
      <c r="D134">
        <v>8</v>
      </c>
      <c r="E134">
        <v>3164</v>
      </c>
      <c r="F134">
        <v>518</v>
      </c>
      <c r="G134" s="4">
        <f t="shared" si="2"/>
        <v>0.16371681415929204</v>
      </c>
    </row>
    <row r="135" spans="1:7">
      <c r="A135" t="s">
        <v>219</v>
      </c>
      <c r="B135">
        <v>20</v>
      </c>
      <c r="C135" t="s">
        <v>315</v>
      </c>
      <c r="D135">
        <v>9</v>
      </c>
      <c r="E135">
        <v>3164</v>
      </c>
      <c r="F135">
        <v>528</v>
      </c>
      <c r="G135" s="4">
        <f t="shared" si="2"/>
        <v>0.16687737041719342</v>
      </c>
    </row>
    <row r="136" spans="1:7">
      <c r="A136" t="s">
        <v>219</v>
      </c>
      <c r="B136">
        <v>20</v>
      </c>
      <c r="C136" t="s">
        <v>317</v>
      </c>
      <c r="D136">
        <v>10</v>
      </c>
      <c r="E136">
        <v>3164</v>
      </c>
      <c r="F136">
        <v>569</v>
      </c>
      <c r="G136" s="4">
        <f t="shared" si="2"/>
        <v>0.17983565107458913</v>
      </c>
    </row>
    <row r="137" spans="1:7">
      <c r="A137" t="s">
        <v>219</v>
      </c>
      <c r="B137">
        <v>20</v>
      </c>
      <c r="C137" t="s">
        <v>318</v>
      </c>
      <c r="D137">
        <v>11</v>
      </c>
      <c r="E137">
        <v>3164</v>
      </c>
      <c r="F137">
        <v>570</v>
      </c>
      <c r="G137" s="4">
        <f t="shared" si="2"/>
        <v>0.18015170670037928</v>
      </c>
    </row>
    <row r="138" spans="1:7">
      <c r="A138" t="s">
        <v>219</v>
      </c>
      <c r="B138">
        <v>20</v>
      </c>
      <c r="C138" t="s">
        <v>319</v>
      </c>
      <c r="D138">
        <v>12</v>
      </c>
      <c r="E138">
        <v>3164</v>
      </c>
      <c r="F138">
        <v>572</v>
      </c>
      <c r="G138" s="4">
        <f t="shared" si="2"/>
        <v>0.18078381795195955</v>
      </c>
    </row>
    <row r="139" spans="1:7">
      <c r="A139" t="s">
        <v>219</v>
      </c>
      <c r="B139">
        <v>20</v>
      </c>
      <c r="C139" t="s">
        <v>321</v>
      </c>
      <c r="D139">
        <v>13</v>
      </c>
      <c r="E139">
        <v>3164</v>
      </c>
      <c r="F139">
        <v>640</v>
      </c>
      <c r="G139" s="4">
        <f t="shared" si="2"/>
        <v>0.20227560050568899</v>
      </c>
    </row>
    <row r="140" spans="1:7">
      <c r="A140" t="s">
        <v>219</v>
      </c>
      <c r="B140">
        <v>20</v>
      </c>
      <c r="C140" t="s">
        <v>322</v>
      </c>
      <c r="D140">
        <v>14</v>
      </c>
      <c r="E140">
        <v>3164</v>
      </c>
      <c r="F140">
        <v>646</v>
      </c>
      <c r="G140" s="4">
        <f t="shared" si="2"/>
        <v>0.20417193426042984</v>
      </c>
    </row>
    <row r="141" spans="1:7">
      <c r="A141" t="s">
        <v>219</v>
      </c>
      <c r="B141">
        <v>20</v>
      </c>
      <c r="C141" t="s">
        <v>324</v>
      </c>
      <c r="D141">
        <v>15</v>
      </c>
      <c r="E141">
        <v>3164</v>
      </c>
      <c r="F141">
        <v>662</v>
      </c>
      <c r="G141" s="4">
        <f t="shared" si="2"/>
        <v>0.20922882427307207</v>
      </c>
    </row>
    <row r="142" spans="1:7">
      <c r="A142" t="s">
        <v>219</v>
      </c>
      <c r="B142">
        <v>20</v>
      </c>
      <c r="C142" t="s">
        <v>325</v>
      </c>
      <c r="D142">
        <v>16</v>
      </c>
      <c r="E142">
        <v>3164</v>
      </c>
      <c r="F142">
        <v>683</v>
      </c>
      <c r="G142" s="4">
        <f t="shared" si="2"/>
        <v>0.21586599241466498</v>
      </c>
    </row>
    <row r="143" spans="1:7">
      <c r="A143" t="s">
        <v>219</v>
      </c>
      <c r="B143">
        <v>20</v>
      </c>
      <c r="C143" t="s">
        <v>323</v>
      </c>
      <c r="D143">
        <v>17</v>
      </c>
      <c r="E143">
        <v>3164</v>
      </c>
      <c r="F143">
        <v>689</v>
      </c>
      <c r="G143" s="4">
        <f t="shared" si="2"/>
        <v>0.21776232616940583</v>
      </c>
    </row>
    <row r="144" spans="1:7">
      <c r="A144" t="s">
        <v>219</v>
      </c>
      <c r="B144">
        <v>20</v>
      </c>
      <c r="C144" t="s">
        <v>326</v>
      </c>
      <c r="D144">
        <v>18</v>
      </c>
      <c r="E144">
        <v>3164</v>
      </c>
      <c r="F144">
        <v>720</v>
      </c>
      <c r="G144" s="4">
        <f t="shared" si="2"/>
        <v>0.22756005056890014</v>
      </c>
    </row>
    <row r="145" spans="1:7">
      <c r="A145" t="s">
        <v>219</v>
      </c>
      <c r="B145">
        <v>20</v>
      </c>
      <c r="C145" t="s">
        <v>327</v>
      </c>
      <c r="D145">
        <v>19</v>
      </c>
      <c r="E145">
        <v>3164</v>
      </c>
      <c r="F145">
        <v>754</v>
      </c>
      <c r="G145" s="4">
        <f t="shared" si="2"/>
        <v>0.23830594184576487</v>
      </c>
    </row>
    <row r="146" spans="1:7">
      <c r="A146" t="s">
        <v>219</v>
      </c>
      <c r="B146">
        <v>20</v>
      </c>
      <c r="C146" t="s">
        <v>328</v>
      </c>
      <c r="D146">
        <v>20</v>
      </c>
      <c r="E146">
        <v>3164</v>
      </c>
      <c r="F146">
        <v>757</v>
      </c>
      <c r="G146" s="4">
        <f t="shared" si="2"/>
        <v>0.23925410872313527</v>
      </c>
    </row>
    <row r="147" spans="1:7">
      <c r="A147" t="s">
        <v>219</v>
      </c>
      <c r="B147">
        <v>20</v>
      </c>
      <c r="C147" t="s">
        <v>329</v>
      </c>
      <c r="D147">
        <v>21</v>
      </c>
      <c r="E147">
        <v>3164</v>
      </c>
      <c r="F147">
        <v>803</v>
      </c>
      <c r="G147" s="4">
        <f t="shared" si="2"/>
        <v>0.25379266750948165</v>
      </c>
    </row>
    <row r="148" spans="1:7">
      <c r="A148" t="s">
        <v>219</v>
      </c>
      <c r="B148">
        <v>20</v>
      </c>
      <c r="C148" t="s">
        <v>320</v>
      </c>
      <c r="D148">
        <v>22</v>
      </c>
      <c r="E148">
        <v>3164</v>
      </c>
      <c r="F148">
        <v>1255</v>
      </c>
      <c r="G148" s="4">
        <f t="shared" si="2"/>
        <v>0.3966498103666245</v>
      </c>
    </row>
    <row r="149" spans="1:7">
      <c r="A149" t="s">
        <v>219</v>
      </c>
      <c r="B149">
        <v>20</v>
      </c>
      <c r="C149" t="s">
        <v>332</v>
      </c>
      <c r="D149">
        <v>23</v>
      </c>
      <c r="E149">
        <v>3164</v>
      </c>
      <c r="F149">
        <v>2574</v>
      </c>
      <c r="G149" s="4">
        <f t="shared" si="2"/>
        <v>0.81352718078381792</v>
      </c>
    </row>
    <row r="150" spans="1:7">
      <c r="A150" t="s">
        <v>219</v>
      </c>
      <c r="B150">
        <v>20</v>
      </c>
      <c r="C150" t="s">
        <v>330</v>
      </c>
      <c r="D150">
        <v>24</v>
      </c>
      <c r="E150">
        <v>3164</v>
      </c>
      <c r="F150">
        <v>2578</v>
      </c>
      <c r="G150" s="4">
        <f t="shared" si="2"/>
        <v>0.81479140328697852</v>
      </c>
    </row>
    <row r="151" spans="1:7">
      <c r="A151" t="s">
        <v>219</v>
      </c>
      <c r="B151">
        <v>20</v>
      </c>
      <c r="C151" t="s">
        <v>331</v>
      </c>
      <c r="D151">
        <v>25</v>
      </c>
      <c r="E151">
        <v>3164</v>
      </c>
      <c r="F151">
        <v>2594</v>
      </c>
      <c r="G151" s="4">
        <f t="shared" si="2"/>
        <v>0.81984829329962072</v>
      </c>
    </row>
    <row r="152" spans="1:7">
      <c r="A152" t="s">
        <v>219</v>
      </c>
      <c r="B152">
        <v>20</v>
      </c>
      <c r="C152" t="s">
        <v>333</v>
      </c>
      <c r="D152">
        <v>26</v>
      </c>
      <c r="E152">
        <v>3164</v>
      </c>
      <c r="F152">
        <v>2628</v>
      </c>
      <c r="G152" s="4">
        <f t="shared" si="2"/>
        <v>0.83059418457648548</v>
      </c>
    </row>
    <row r="153" spans="1:7">
      <c r="A153" t="s">
        <v>219</v>
      </c>
      <c r="B153">
        <v>20</v>
      </c>
      <c r="C153" t="s">
        <v>334</v>
      </c>
      <c r="D153">
        <v>27</v>
      </c>
      <c r="E153">
        <v>3164</v>
      </c>
      <c r="F153">
        <v>2639</v>
      </c>
      <c r="G153" s="4">
        <f t="shared" si="2"/>
        <v>0.83407079646017701</v>
      </c>
    </row>
    <row r="154" spans="1:7">
      <c r="A154" t="s">
        <v>219</v>
      </c>
      <c r="B154">
        <v>20</v>
      </c>
      <c r="C154" t="s">
        <v>335</v>
      </c>
      <c r="D154">
        <v>28</v>
      </c>
      <c r="E154">
        <v>3164</v>
      </c>
      <c r="F154">
        <v>2654</v>
      </c>
      <c r="G154" s="4">
        <f t="shared" si="2"/>
        <v>0.83881163084702903</v>
      </c>
    </row>
    <row r="155" spans="1:7">
      <c r="A155" t="s">
        <v>219</v>
      </c>
      <c r="B155">
        <v>20</v>
      </c>
      <c r="C155" t="s">
        <v>336</v>
      </c>
      <c r="D155">
        <v>29</v>
      </c>
      <c r="E155">
        <v>3164</v>
      </c>
      <c r="F155">
        <v>2745</v>
      </c>
      <c r="G155" s="4">
        <f t="shared" si="2"/>
        <v>0.86757269279393168</v>
      </c>
    </row>
    <row r="156" spans="1:7">
      <c r="A156" t="s">
        <v>219</v>
      </c>
      <c r="B156">
        <v>20</v>
      </c>
      <c r="C156" t="s">
        <v>339</v>
      </c>
      <c r="D156">
        <v>30</v>
      </c>
      <c r="E156">
        <v>3164</v>
      </c>
      <c r="F156">
        <v>2791</v>
      </c>
      <c r="G156" s="4">
        <f t="shared" si="2"/>
        <v>0.88211125158027814</v>
      </c>
    </row>
    <row r="157" spans="1:7">
      <c r="A157" t="s">
        <v>219</v>
      </c>
      <c r="B157">
        <v>20</v>
      </c>
      <c r="C157" t="s">
        <v>338</v>
      </c>
      <c r="D157">
        <v>31</v>
      </c>
      <c r="E157">
        <v>3164</v>
      </c>
      <c r="F157">
        <v>2796</v>
      </c>
      <c r="G157" s="4">
        <f t="shared" si="2"/>
        <v>0.88369152970922882</v>
      </c>
    </row>
    <row r="158" spans="1:7">
      <c r="A158" t="s">
        <v>219</v>
      </c>
      <c r="B158">
        <v>20</v>
      </c>
      <c r="C158" t="s">
        <v>340</v>
      </c>
      <c r="D158">
        <v>32</v>
      </c>
      <c r="E158">
        <v>3164</v>
      </c>
      <c r="F158">
        <v>2894</v>
      </c>
      <c r="G158" s="4">
        <f t="shared" si="2"/>
        <v>0.91466498103666249</v>
      </c>
    </row>
    <row r="159" spans="1:7">
      <c r="A159" t="s">
        <v>219</v>
      </c>
      <c r="B159">
        <v>20</v>
      </c>
      <c r="C159" t="s">
        <v>337</v>
      </c>
      <c r="D159">
        <v>33</v>
      </c>
      <c r="E159">
        <v>3164</v>
      </c>
      <c r="F159">
        <v>3426</v>
      </c>
      <c r="G159" s="4">
        <f t="shared" si="2"/>
        <v>1.0828065739570165</v>
      </c>
    </row>
    <row r="160" spans="1:7">
      <c r="A160" t="s">
        <v>220</v>
      </c>
      <c r="B160">
        <v>2</v>
      </c>
      <c r="C160" t="s">
        <v>203</v>
      </c>
      <c r="D160">
        <v>1</v>
      </c>
      <c r="E160">
        <v>3100</v>
      </c>
      <c r="F160">
        <v>171</v>
      </c>
      <c r="G160" s="4">
        <f t="shared" si="2"/>
        <v>5.5161290322580644E-2</v>
      </c>
    </row>
    <row r="161" spans="1:7">
      <c r="A161" t="s">
        <v>220</v>
      </c>
      <c r="B161">
        <v>2</v>
      </c>
      <c r="C161" t="s">
        <v>341</v>
      </c>
      <c r="D161">
        <v>2</v>
      </c>
      <c r="E161">
        <v>3100</v>
      </c>
      <c r="F161">
        <v>1608</v>
      </c>
      <c r="G161" s="4">
        <f t="shared" si="2"/>
        <v>0.51870967741935481</v>
      </c>
    </row>
    <row r="162" spans="1:7">
      <c r="A162" t="s">
        <v>220</v>
      </c>
      <c r="B162">
        <v>2</v>
      </c>
      <c r="C162" t="s">
        <v>342</v>
      </c>
      <c r="D162">
        <v>3</v>
      </c>
      <c r="E162">
        <v>3100</v>
      </c>
      <c r="F162">
        <v>3085</v>
      </c>
      <c r="G162" s="4">
        <f t="shared" si="2"/>
        <v>0.99516129032258061</v>
      </c>
    </row>
    <row r="163" spans="1:7">
      <c r="A163" t="s">
        <v>220</v>
      </c>
      <c r="B163">
        <v>3</v>
      </c>
      <c r="C163" t="s">
        <v>343</v>
      </c>
      <c r="D163">
        <v>1</v>
      </c>
      <c r="E163">
        <v>1252</v>
      </c>
      <c r="F163">
        <v>1203</v>
      </c>
      <c r="G163" s="4">
        <f t="shared" si="2"/>
        <v>0.96086261980830667</v>
      </c>
    </row>
    <row r="164" spans="1:7">
      <c r="A164" t="s">
        <v>220</v>
      </c>
      <c r="B164">
        <v>3</v>
      </c>
      <c r="C164" t="s">
        <v>235</v>
      </c>
      <c r="D164">
        <v>2</v>
      </c>
      <c r="E164">
        <v>1252</v>
      </c>
      <c r="F164">
        <v>1227</v>
      </c>
      <c r="G164" s="4">
        <f t="shared" si="2"/>
        <v>0.98003194888178913</v>
      </c>
    </row>
    <row r="165" spans="1:7">
      <c r="A165" t="s">
        <v>220</v>
      </c>
      <c r="B165">
        <v>7</v>
      </c>
      <c r="C165" t="s">
        <v>343</v>
      </c>
      <c r="D165">
        <v>1</v>
      </c>
      <c r="E165">
        <v>1187</v>
      </c>
      <c r="F165">
        <v>1176</v>
      </c>
      <c r="G165" s="4">
        <f t="shared" si="2"/>
        <v>0.99073294018534119</v>
      </c>
    </row>
    <row r="166" spans="1:7">
      <c r="A166" t="s">
        <v>220</v>
      </c>
      <c r="B166">
        <v>7</v>
      </c>
      <c r="C166" t="s">
        <v>235</v>
      </c>
      <c r="D166">
        <v>2</v>
      </c>
      <c r="E166">
        <v>1187</v>
      </c>
      <c r="F166">
        <v>1195</v>
      </c>
      <c r="G166" s="4">
        <f t="shared" si="2"/>
        <v>1.0067396798652064</v>
      </c>
    </row>
    <row r="167" spans="1:7">
      <c r="A167" t="s">
        <v>220</v>
      </c>
      <c r="B167">
        <v>10</v>
      </c>
      <c r="C167" t="s">
        <v>344</v>
      </c>
      <c r="D167">
        <v>1</v>
      </c>
      <c r="E167">
        <v>10548</v>
      </c>
      <c r="F167">
        <v>1392</v>
      </c>
      <c r="G167" s="4">
        <f t="shared" si="2"/>
        <v>0.13196814562002276</v>
      </c>
    </row>
    <row r="168" spans="1:7">
      <c r="A168" t="s">
        <v>220</v>
      </c>
      <c r="B168">
        <v>10</v>
      </c>
      <c r="C168" t="s">
        <v>347</v>
      </c>
      <c r="D168">
        <v>2</v>
      </c>
      <c r="E168">
        <v>10548</v>
      </c>
      <c r="F168">
        <v>1407</v>
      </c>
      <c r="G168" s="4">
        <f t="shared" si="2"/>
        <v>0.13339021615472127</v>
      </c>
    </row>
    <row r="169" spans="1:7">
      <c r="A169" t="s">
        <v>220</v>
      </c>
      <c r="B169">
        <v>10</v>
      </c>
      <c r="C169" t="s">
        <v>346</v>
      </c>
      <c r="D169">
        <v>3</v>
      </c>
      <c r="E169">
        <v>10548</v>
      </c>
      <c r="F169">
        <v>1420</v>
      </c>
      <c r="G169" s="4">
        <f t="shared" si="2"/>
        <v>0.13462267728479332</v>
      </c>
    </row>
    <row r="170" spans="1:7">
      <c r="A170" t="s">
        <v>220</v>
      </c>
      <c r="B170">
        <v>10</v>
      </c>
      <c r="C170" t="s">
        <v>351</v>
      </c>
      <c r="D170">
        <v>4</v>
      </c>
      <c r="E170">
        <v>10548</v>
      </c>
      <c r="F170">
        <v>1425</v>
      </c>
      <c r="G170" s="4">
        <f t="shared" si="2"/>
        <v>0.13509670079635949</v>
      </c>
    </row>
    <row r="171" spans="1:7">
      <c r="A171" t="s">
        <v>220</v>
      </c>
      <c r="B171">
        <v>10</v>
      </c>
      <c r="C171" t="s">
        <v>345</v>
      </c>
      <c r="D171">
        <v>5</v>
      </c>
      <c r="E171">
        <v>10548</v>
      </c>
      <c r="F171">
        <v>1433</v>
      </c>
      <c r="G171" s="4">
        <f t="shared" si="2"/>
        <v>0.13585513841486538</v>
      </c>
    </row>
    <row r="172" spans="1:7">
      <c r="A172" t="s">
        <v>220</v>
      </c>
      <c r="B172">
        <v>10</v>
      </c>
      <c r="C172" t="s">
        <v>349</v>
      </c>
      <c r="D172">
        <v>6</v>
      </c>
      <c r="E172">
        <v>10548</v>
      </c>
      <c r="F172">
        <v>1439</v>
      </c>
      <c r="G172" s="4">
        <f t="shared" si="2"/>
        <v>0.13642396662874479</v>
      </c>
    </row>
    <row r="173" spans="1:7">
      <c r="A173" t="s">
        <v>220</v>
      </c>
      <c r="B173">
        <v>10</v>
      </c>
      <c r="C173" t="s">
        <v>350</v>
      </c>
      <c r="D173">
        <v>7</v>
      </c>
      <c r="E173">
        <v>10548</v>
      </c>
      <c r="F173">
        <v>1449</v>
      </c>
      <c r="G173" s="4">
        <f t="shared" si="2"/>
        <v>0.13737201365187712</v>
      </c>
    </row>
    <row r="174" spans="1:7">
      <c r="A174" t="s">
        <v>220</v>
      </c>
      <c r="B174">
        <v>10</v>
      </c>
      <c r="C174" t="s">
        <v>348</v>
      </c>
      <c r="D174">
        <v>8</v>
      </c>
      <c r="E174">
        <v>10548</v>
      </c>
      <c r="F174">
        <v>1471</v>
      </c>
      <c r="G174" s="4">
        <f t="shared" si="2"/>
        <v>0.1394577171027683</v>
      </c>
    </row>
    <row r="175" spans="1:7">
      <c r="A175" t="s">
        <v>220</v>
      </c>
      <c r="B175">
        <v>10</v>
      </c>
      <c r="C175" t="s">
        <v>355</v>
      </c>
      <c r="D175">
        <v>9</v>
      </c>
      <c r="E175">
        <v>10548</v>
      </c>
      <c r="F175">
        <v>1517</v>
      </c>
      <c r="G175" s="4">
        <f t="shared" si="2"/>
        <v>0.14381873340917709</v>
      </c>
    </row>
    <row r="176" spans="1:7">
      <c r="A176" t="s">
        <v>220</v>
      </c>
      <c r="B176">
        <v>10</v>
      </c>
      <c r="C176" t="s">
        <v>354</v>
      </c>
      <c r="D176">
        <v>10</v>
      </c>
      <c r="E176">
        <v>10548</v>
      </c>
      <c r="F176">
        <v>1529</v>
      </c>
      <c r="G176" s="4">
        <f t="shared" si="2"/>
        <v>0.1449563898369359</v>
      </c>
    </row>
    <row r="177" spans="1:7">
      <c r="A177" t="s">
        <v>220</v>
      </c>
      <c r="B177">
        <v>10</v>
      </c>
      <c r="C177" t="s">
        <v>356</v>
      </c>
      <c r="D177">
        <v>11</v>
      </c>
      <c r="E177">
        <v>10548</v>
      </c>
      <c r="F177">
        <v>1555</v>
      </c>
      <c r="G177" s="4">
        <f t="shared" si="2"/>
        <v>0.14742131209708001</v>
      </c>
    </row>
    <row r="178" spans="1:7">
      <c r="A178" t="s">
        <v>220</v>
      </c>
      <c r="B178">
        <v>10</v>
      </c>
      <c r="C178" t="s">
        <v>352</v>
      </c>
      <c r="D178">
        <v>12</v>
      </c>
      <c r="E178">
        <v>10548</v>
      </c>
      <c r="F178">
        <v>1560</v>
      </c>
      <c r="G178" s="4">
        <f t="shared" si="2"/>
        <v>0.14789533560864618</v>
      </c>
    </row>
    <row r="179" spans="1:7">
      <c r="A179" t="s">
        <v>220</v>
      </c>
      <c r="B179">
        <v>10</v>
      </c>
      <c r="C179" t="s">
        <v>353</v>
      </c>
      <c r="D179">
        <v>13</v>
      </c>
      <c r="E179">
        <v>10548</v>
      </c>
      <c r="F179">
        <v>1565</v>
      </c>
      <c r="G179" s="4">
        <f t="shared" si="2"/>
        <v>0.14836935912021237</v>
      </c>
    </row>
    <row r="180" spans="1:7">
      <c r="A180" t="s">
        <v>220</v>
      </c>
      <c r="B180">
        <v>10</v>
      </c>
      <c r="C180" t="s">
        <v>359</v>
      </c>
      <c r="D180">
        <v>14</v>
      </c>
      <c r="E180">
        <v>10548</v>
      </c>
      <c r="F180">
        <v>1567</v>
      </c>
      <c r="G180" s="4">
        <f t="shared" si="2"/>
        <v>0.14855896852483882</v>
      </c>
    </row>
    <row r="181" spans="1:7">
      <c r="A181" t="s">
        <v>220</v>
      </c>
      <c r="B181">
        <v>10</v>
      </c>
      <c r="C181" t="s">
        <v>358</v>
      </c>
      <c r="D181">
        <v>15</v>
      </c>
      <c r="E181">
        <v>10548</v>
      </c>
      <c r="F181">
        <v>1582</v>
      </c>
      <c r="G181" s="4">
        <f t="shared" si="2"/>
        <v>0.14998103905953736</v>
      </c>
    </row>
    <row r="182" spans="1:7">
      <c r="A182" t="s">
        <v>220</v>
      </c>
      <c r="B182">
        <v>10</v>
      </c>
      <c r="C182" t="s">
        <v>357</v>
      </c>
      <c r="D182">
        <v>16</v>
      </c>
      <c r="E182">
        <v>10548</v>
      </c>
      <c r="F182">
        <v>1586</v>
      </c>
      <c r="G182" s="4">
        <f t="shared" si="2"/>
        <v>0.15036025786879029</v>
      </c>
    </row>
    <row r="183" spans="1:7">
      <c r="A183" t="s">
        <v>220</v>
      </c>
      <c r="B183">
        <v>10</v>
      </c>
      <c r="C183" t="s">
        <v>362</v>
      </c>
      <c r="D183">
        <v>17</v>
      </c>
      <c r="E183">
        <v>10548</v>
      </c>
      <c r="F183">
        <v>1812</v>
      </c>
      <c r="G183" s="4">
        <f t="shared" si="2"/>
        <v>0.17178612059158135</v>
      </c>
    </row>
    <row r="184" spans="1:7">
      <c r="A184" t="s">
        <v>220</v>
      </c>
      <c r="B184">
        <v>10</v>
      </c>
      <c r="C184" t="s">
        <v>365</v>
      </c>
      <c r="D184">
        <v>18</v>
      </c>
      <c r="E184">
        <v>10548</v>
      </c>
      <c r="F184">
        <v>1943</v>
      </c>
      <c r="G184" s="4">
        <f t="shared" si="2"/>
        <v>0.18420553659461508</v>
      </c>
    </row>
    <row r="185" spans="1:7">
      <c r="A185" t="s">
        <v>220</v>
      </c>
      <c r="B185">
        <v>10</v>
      </c>
      <c r="C185" t="s">
        <v>368</v>
      </c>
      <c r="D185">
        <v>19</v>
      </c>
      <c r="E185">
        <v>10548</v>
      </c>
      <c r="F185">
        <v>2413</v>
      </c>
      <c r="G185" s="4">
        <f t="shared" si="2"/>
        <v>0.22876374668183541</v>
      </c>
    </row>
    <row r="186" spans="1:7">
      <c r="A186" t="s">
        <v>220</v>
      </c>
      <c r="B186">
        <v>10</v>
      </c>
      <c r="C186" t="s">
        <v>367</v>
      </c>
      <c r="D186">
        <v>20</v>
      </c>
      <c r="E186">
        <v>10548</v>
      </c>
      <c r="F186">
        <v>2445</v>
      </c>
      <c r="G186" s="4">
        <f t="shared" si="2"/>
        <v>0.23179749715585893</v>
      </c>
    </row>
    <row r="187" spans="1:7">
      <c r="A187" t="s">
        <v>220</v>
      </c>
      <c r="B187">
        <v>10</v>
      </c>
      <c r="C187" t="s">
        <v>366</v>
      </c>
      <c r="D187">
        <v>21</v>
      </c>
      <c r="E187">
        <v>10548</v>
      </c>
      <c r="F187">
        <v>2464</v>
      </c>
      <c r="G187" s="4">
        <f t="shared" si="2"/>
        <v>0.23359878649981039</v>
      </c>
    </row>
    <row r="188" spans="1:7">
      <c r="A188" t="s">
        <v>220</v>
      </c>
      <c r="B188">
        <v>10</v>
      </c>
      <c r="C188" t="s">
        <v>369</v>
      </c>
      <c r="D188">
        <v>22</v>
      </c>
      <c r="E188">
        <v>10548</v>
      </c>
      <c r="F188">
        <v>2487</v>
      </c>
      <c r="G188" s="4">
        <f t="shared" si="2"/>
        <v>0.23577929465301478</v>
      </c>
    </row>
    <row r="189" spans="1:7">
      <c r="A189" t="s">
        <v>220</v>
      </c>
      <c r="B189">
        <v>10</v>
      </c>
      <c r="C189" t="s">
        <v>372</v>
      </c>
      <c r="D189">
        <v>23</v>
      </c>
      <c r="E189">
        <v>10548</v>
      </c>
      <c r="F189">
        <v>2535</v>
      </c>
      <c r="G189" s="4">
        <f t="shared" si="2"/>
        <v>0.24032992036405007</v>
      </c>
    </row>
    <row r="190" spans="1:7">
      <c r="A190" t="s">
        <v>220</v>
      </c>
      <c r="B190">
        <v>10</v>
      </c>
      <c r="C190" t="s">
        <v>371</v>
      </c>
      <c r="D190">
        <v>24</v>
      </c>
      <c r="E190">
        <v>10548</v>
      </c>
      <c r="F190">
        <v>2555</v>
      </c>
      <c r="G190" s="4">
        <f t="shared" si="2"/>
        <v>0.24222601441031474</v>
      </c>
    </row>
    <row r="191" spans="1:7">
      <c r="A191" t="s">
        <v>220</v>
      </c>
      <c r="B191">
        <v>10</v>
      </c>
      <c r="C191" t="s">
        <v>373</v>
      </c>
      <c r="D191">
        <v>25</v>
      </c>
      <c r="E191">
        <v>10548</v>
      </c>
      <c r="F191">
        <v>2565</v>
      </c>
      <c r="G191" s="4">
        <f t="shared" si="2"/>
        <v>0.24317406143344711</v>
      </c>
    </row>
    <row r="192" spans="1:7">
      <c r="A192" t="s">
        <v>220</v>
      </c>
      <c r="B192">
        <v>10</v>
      </c>
      <c r="C192" t="s">
        <v>370</v>
      </c>
      <c r="D192">
        <v>26</v>
      </c>
      <c r="E192">
        <v>10548</v>
      </c>
      <c r="F192">
        <v>2581</v>
      </c>
      <c r="G192" s="4">
        <f t="shared" si="2"/>
        <v>0.24469093667045885</v>
      </c>
    </row>
    <row r="193" spans="1:7">
      <c r="A193" t="s">
        <v>220</v>
      </c>
      <c r="B193">
        <v>10</v>
      </c>
      <c r="C193" t="s">
        <v>360</v>
      </c>
      <c r="D193">
        <v>27</v>
      </c>
      <c r="E193">
        <v>10548</v>
      </c>
      <c r="F193">
        <v>3020</v>
      </c>
      <c r="G193" s="4">
        <f t="shared" si="2"/>
        <v>0.28631020098596888</v>
      </c>
    </row>
    <row r="194" spans="1:7">
      <c r="A194" t="s">
        <v>220</v>
      </c>
      <c r="B194">
        <v>10</v>
      </c>
      <c r="C194" t="s">
        <v>361</v>
      </c>
      <c r="D194">
        <v>28</v>
      </c>
      <c r="E194">
        <v>10548</v>
      </c>
      <c r="F194">
        <v>3023</v>
      </c>
      <c r="G194" s="4">
        <f t="shared" ref="G194:G257" si="3">F194/E194</f>
        <v>0.28659461509290862</v>
      </c>
    </row>
    <row r="195" spans="1:7">
      <c r="A195" t="s">
        <v>220</v>
      </c>
      <c r="B195">
        <v>10</v>
      </c>
      <c r="C195" t="s">
        <v>363</v>
      </c>
      <c r="D195">
        <v>29</v>
      </c>
      <c r="E195">
        <v>10548</v>
      </c>
      <c r="F195">
        <v>3130</v>
      </c>
      <c r="G195" s="4">
        <f t="shared" si="3"/>
        <v>0.29673871824042475</v>
      </c>
    </row>
    <row r="196" spans="1:7">
      <c r="A196" t="s">
        <v>220</v>
      </c>
      <c r="B196">
        <v>10</v>
      </c>
      <c r="C196" t="s">
        <v>364</v>
      </c>
      <c r="D196">
        <v>30</v>
      </c>
      <c r="E196">
        <v>10548</v>
      </c>
      <c r="F196">
        <v>3167</v>
      </c>
      <c r="G196" s="4">
        <f t="shared" si="3"/>
        <v>0.30024649222601441</v>
      </c>
    </row>
    <row r="197" spans="1:7">
      <c r="A197" t="s">
        <v>220</v>
      </c>
      <c r="B197">
        <v>10</v>
      </c>
      <c r="C197" t="s">
        <v>374</v>
      </c>
      <c r="D197">
        <v>31</v>
      </c>
      <c r="E197">
        <v>10548</v>
      </c>
      <c r="F197">
        <v>4283</v>
      </c>
      <c r="G197" s="4">
        <f t="shared" si="3"/>
        <v>0.40604854000758439</v>
      </c>
    </row>
    <row r="198" spans="1:7">
      <c r="A198" t="s">
        <v>220</v>
      </c>
      <c r="B198">
        <v>10</v>
      </c>
      <c r="C198" t="s">
        <v>375</v>
      </c>
      <c r="D198">
        <v>32</v>
      </c>
      <c r="E198">
        <v>10548</v>
      </c>
      <c r="F198">
        <v>4449</v>
      </c>
      <c r="G198" s="4">
        <f t="shared" si="3"/>
        <v>0.42178612059158133</v>
      </c>
    </row>
    <row r="199" spans="1:7">
      <c r="A199" t="s">
        <v>220</v>
      </c>
      <c r="B199">
        <v>11</v>
      </c>
      <c r="C199" t="s">
        <v>2</v>
      </c>
      <c r="D199">
        <v>1</v>
      </c>
      <c r="E199">
        <v>4761</v>
      </c>
      <c r="F199">
        <v>99</v>
      </c>
      <c r="G199" s="4">
        <f t="shared" si="3"/>
        <v>2.0793950850661626E-2</v>
      </c>
    </row>
    <row r="200" spans="1:7">
      <c r="A200" t="s">
        <v>220</v>
      </c>
      <c r="B200">
        <v>11</v>
      </c>
      <c r="C200" t="s">
        <v>376</v>
      </c>
      <c r="D200">
        <v>2</v>
      </c>
      <c r="E200">
        <v>4761</v>
      </c>
      <c r="F200">
        <v>1948</v>
      </c>
      <c r="G200" s="4">
        <f t="shared" si="3"/>
        <v>0.4091577399705944</v>
      </c>
    </row>
    <row r="201" spans="1:7">
      <c r="A201" t="s">
        <v>220</v>
      </c>
      <c r="B201">
        <v>11</v>
      </c>
      <c r="C201" t="s">
        <v>377</v>
      </c>
      <c r="D201">
        <v>3</v>
      </c>
      <c r="E201">
        <v>4761</v>
      </c>
      <c r="F201">
        <v>2070</v>
      </c>
      <c r="G201" s="4">
        <f t="shared" si="3"/>
        <v>0.43478260869565216</v>
      </c>
    </row>
    <row r="202" spans="1:7">
      <c r="A202" t="s">
        <v>220</v>
      </c>
      <c r="B202">
        <v>11</v>
      </c>
      <c r="C202" t="s">
        <v>378</v>
      </c>
      <c r="D202">
        <v>4</v>
      </c>
      <c r="E202">
        <v>4761</v>
      </c>
      <c r="F202">
        <v>2462</v>
      </c>
      <c r="G202" s="4">
        <f t="shared" si="3"/>
        <v>0.51711825246796894</v>
      </c>
    </row>
    <row r="203" spans="1:7">
      <c r="A203" t="s">
        <v>220</v>
      </c>
      <c r="B203">
        <v>11</v>
      </c>
      <c r="C203" t="s">
        <v>379</v>
      </c>
      <c r="D203">
        <v>5</v>
      </c>
      <c r="E203">
        <v>4761</v>
      </c>
      <c r="F203">
        <v>2486</v>
      </c>
      <c r="G203" s="4">
        <f t="shared" si="3"/>
        <v>0.52215921024994749</v>
      </c>
    </row>
    <row r="204" spans="1:7">
      <c r="A204" t="s">
        <v>220</v>
      </c>
      <c r="B204">
        <v>11</v>
      </c>
      <c r="C204" t="s">
        <v>380</v>
      </c>
      <c r="D204">
        <v>6</v>
      </c>
      <c r="E204">
        <v>4761</v>
      </c>
      <c r="F204">
        <v>2523</v>
      </c>
      <c r="G204" s="4">
        <f t="shared" si="3"/>
        <v>0.52993068683049782</v>
      </c>
    </row>
    <row r="205" spans="1:7">
      <c r="A205" t="s">
        <v>220</v>
      </c>
      <c r="B205">
        <v>11</v>
      </c>
      <c r="C205" t="s">
        <v>381</v>
      </c>
      <c r="D205">
        <v>7</v>
      </c>
      <c r="E205">
        <v>4761</v>
      </c>
      <c r="F205">
        <v>2578</v>
      </c>
      <c r="G205" s="4">
        <f t="shared" si="3"/>
        <v>0.54148288174753201</v>
      </c>
    </row>
    <row r="206" spans="1:7">
      <c r="A206" t="s">
        <v>220</v>
      </c>
      <c r="B206">
        <v>11</v>
      </c>
      <c r="C206" t="s">
        <v>382</v>
      </c>
      <c r="D206">
        <v>8</v>
      </c>
      <c r="E206">
        <v>4761</v>
      </c>
      <c r="F206">
        <v>2586</v>
      </c>
      <c r="G206" s="4">
        <f t="shared" si="3"/>
        <v>0.5431632010081916</v>
      </c>
    </row>
    <row r="207" spans="1:7">
      <c r="A207" t="s">
        <v>220</v>
      </c>
      <c r="B207">
        <v>11</v>
      </c>
      <c r="C207" t="s">
        <v>383</v>
      </c>
      <c r="D207">
        <v>9</v>
      </c>
      <c r="E207">
        <v>4761</v>
      </c>
      <c r="F207">
        <v>2612</v>
      </c>
      <c r="G207" s="4">
        <f t="shared" si="3"/>
        <v>0.54862423860533505</v>
      </c>
    </row>
    <row r="208" spans="1:7">
      <c r="A208" t="s">
        <v>220</v>
      </c>
      <c r="B208">
        <v>11</v>
      </c>
      <c r="C208" t="s">
        <v>384</v>
      </c>
      <c r="D208">
        <v>10</v>
      </c>
      <c r="E208">
        <v>4761</v>
      </c>
      <c r="F208">
        <v>2677</v>
      </c>
      <c r="G208" s="4">
        <f t="shared" si="3"/>
        <v>0.56227683259819361</v>
      </c>
    </row>
    <row r="209" spans="1:7">
      <c r="A209" t="s">
        <v>220</v>
      </c>
      <c r="B209">
        <v>11</v>
      </c>
      <c r="C209" t="s">
        <v>385</v>
      </c>
      <c r="D209">
        <v>11</v>
      </c>
      <c r="E209">
        <v>4761</v>
      </c>
      <c r="F209">
        <v>2723</v>
      </c>
      <c r="G209" s="4">
        <f t="shared" si="3"/>
        <v>0.57193866834698592</v>
      </c>
    </row>
    <row r="210" spans="1:7">
      <c r="A210" t="s">
        <v>220</v>
      </c>
      <c r="B210">
        <v>11</v>
      </c>
      <c r="C210" t="s">
        <v>386</v>
      </c>
      <c r="D210">
        <v>12</v>
      </c>
      <c r="E210">
        <v>4761</v>
      </c>
      <c r="F210">
        <v>4600</v>
      </c>
      <c r="G210" s="4">
        <f t="shared" si="3"/>
        <v>0.96618357487922701</v>
      </c>
    </row>
    <row r="211" spans="1:7">
      <c r="A211" t="s">
        <v>220</v>
      </c>
      <c r="B211">
        <v>11</v>
      </c>
      <c r="C211" t="s">
        <v>387</v>
      </c>
      <c r="D211">
        <v>13</v>
      </c>
      <c r="E211">
        <v>4761</v>
      </c>
      <c r="F211">
        <v>4804</v>
      </c>
      <c r="G211" s="4">
        <f t="shared" si="3"/>
        <v>1.0090317160260449</v>
      </c>
    </row>
    <row r="212" spans="1:7">
      <c r="A212" t="s">
        <v>220</v>
      </c>
      <c r="B212">
        <v>12</v>
      </c>
      <c r="C212" t="s">
        <v>2</v>
      </c>
      <c r="D212">
        <v>1</v>
      </c>
      <c r="E212">
        <v>3013</v>
      </c>
      <c r="F212">
        <v>87</v>
      </c>
      <c r="G212" s="4">
        <f t="shared" si="3"/>
        <v>2.8874875539329572E-2</v>
      </c>
    </row>
    <row r="213" spans="1:7">
      <c r="A213" t="s">
        <v>220</v>
      </c>
      <c r="B213">
        <v>12</v>
      </c>
      <c r="C213" t="s">
        <v>388</v>
      </c>
      <c r="D213">
        <v>2</v>
      </c>
      <c r="E213">
        <v>3013</v>
      </c>
      <c r="F213">
        <v>1810</v>
      </c>
      <c r="G213" s="4">
        <f t="shared" si="3"/>
        <v>0.60073016926651179</v>
      </c>
    </row>
    <row r="214" spans="1:7">
      <c r="A214" t="s">
        <v>220</v>
      </c>
      <c r="B214">
        <v>12</v>
      </c>
      <c r="C214" t="s">
        <v>389</v>
      </c>
      <c r="D214">
        <v>3</v>
      </c>
      <c r="E214">
        <v>3013</v>
      </c>
      <c r="F214">
        <v>1931</v>
      </c>
      <c r="G214" s="4">
        <f t="shared" si="3"/>
        <v>0.64088947892465986</v>
      </c>
    </row>
    <row r="215" spans="1:7">
      <c r="A215" t="s">
        <v>220</v>
      </c>
      <c r="B215">
        <v>12</v>
      </c>
      <c r="C215" t="s">
        <v>390</v>
      </c>
      <c r="D215">
        <v>4</v>
      </c>
      <c r="E215">
        <v>3013</v>
      </c>
      <c r="F215">
        <v>2033</v>
      </c>
      <c r="G215" s="4">
        <f t="shared" si="3"/>
        <v>0.6747427812811152</v>
      </c>
    </row>
    <row r="216" spans="1:7">
      <c r="A216" t="s">
        <v>220</v>
      </c>
      <c r="B216">
        <v>12</v>
      </c>
      <c r="C216" t="s">
        <v>391</v>
      </c>
      <c r="D216">
        <v>5</v>
      </c>
      <c r="E216">
        <v>3013</v>
      </c>
      <c r="F216">
        <v>2158</v>
      </c>
      <c r="G216" s="4">
        <f t="shared" si="3"/>
        <v>0.71622967142383009</v>
      </c>
    </row>
    <row r="217" spans="1:7">
      <c r="A217" t="s">
        <v>220</v>
      </c>
      <c r="B217">
        <v>12</v>
      </c>
      <c r="C217" t="s">
        <v>392</v>
      </c>
      <c r="D217">
        <v>6</v>
      </c>
      <c r="E217">
        <v>3013</v>
      </c>
      <c r="F217">
        <v>2175</v>
      </c>
      <c r="G217" s="4">
        <f t="shared" si="3"/>
        <v>0.72187188848323924</v>
      </c>
    </row>
    <row r="218" spans="1:7">
      <c r="A218" t="s">
        <v>220</v>
      </c>
      <c r="B218">
        <v>12</v>
      </c>
      <c r="C218" t="s">
        <v>393</v>
      </c>
      <c r="D218">
        <v>7</v>
      </c>
      <c r="E218">
        <v>3013</v>
      </c>
      <c r="F218">
        <v>2191</v>
      </c>
      <c r="G218" s="4">
        <f t="shared" si="3"/>
        <v>0.72718221042150677</v>
      </c>
    </row>
    <row r="219" spans="1:7">
      <c r="A219" t="s">
        <v>220</v>
      </c>
      <c r="B219">
        <v>12</v>
      </c>
      <c r="C219" t="s">
        <v>394</v>
      </c>
      <c r="D219">
        <v>8</v>
      </c>
      <c r="E219">
        <v>3013</v>
      </c>
      <c r="F219">
        <v>2269</v>
      </c>
      <c r="G219" s="4">
        <f t="shared" si="3"/>
        <v>0.75307002987056093</v>
      </c>
    </row>
    <row r="220" spans="1:7">
      <c r="A220" t="s">
        <v>220</v>
      </c>
      <c r="B220">
        <v>12</v>
      </c>
      <c r="C220" t="s">
        <v>401</v>
      </c>
      <c r="D220">
        <v>9</v>
      </c>
      <c r="E220">
        <v>3013</v>
      </c>
      <c r="F220">
        <v>2301</v>
      </c>
      <c r="G220" s="4">
        <f t="shared" si="3"/>
        <v>0.76369067374709587</v>
      </c>
    </row>
    <row r="221" spans="1:7">
      <c r="A221" t="s">
        <v>220</v>
      </c>
      <c r="B221">
        <v>12</v>
      </c>
      <c r="C221" t="s">
        <v>395</v>
      </c>
      <c r="D221">
        <v>10</v>
      </c>
      <c r="E221">
        <v>3013</v>
      </c>
      <c r="F221">
        <v>2428</v>
      </c>
      <c r="G221" s="4">
        <f t="shared" si="3"/>
        <v>0.80584135413209423</v>
      </c>
    </row>
    <row r="222" spans="1:7">
      <c r="A222" t="s">
        <v>220</v>
      </c>
      <c r="B222">
        <v>12</v>
      </c>
      <c r="C222" t="s">
        <v>396</v>
      </c>
      <c r="D222">
        <v>11</v>
      </c>
      <c r="E222">
        <v>3013</v>
      </c>
      <c r="F222">
        <v>2463</v>
      </c>
      <c r="G222" s="4">
        <f t="shared" si="3"/>
        <v>0.81745768337205438</v>
      </c>
    </row>
    <row r="223" spans="1:7">
      <c r="A223" t="s">
        <v>220</v>
      </c>
      <c r="B223">
        <v>12</v>
      </c>
      <c r="C223" t="s">
        <v>397</v>
      </c>
      <c r="D223">
        <v>12</v>
      </c>
      <c r="E223">
        <v>3013</v>
      </c>
      <c r="F223">
        <v>2571</v>
      </c>
      <c r="G223" s="4">
        <f t="shared" si="3"/>
        <v>0.85330235645536012</v>
      </c>
    </row>
    <row r="224" spans="1:7">
      <c r="A224" t="s">
        <v>220</v>
      </c>
      <c r="B224">
        <v>12</v>
      </c>
      <c r="C224" t="s">
        <v>399</v>
      </c>
      <c r="D224">
        <v>13</v>
      </c>
      <c r="E224">
        <v>3013</v>
      </c>
      <c r="F224">
        <v>2591</v>
      </c>
      <c r="G224" s="4">
        <f t="shared" si="3"/>
        <v>0.85994025887819447</v>
      </c>
    </row>
    <row r="225" spans="1:7">
      <c r="A225" t="s">
        <v>220</v>
      </c>
      <c r="B225">
        <v>12</v>
      </c>
      <c r="C225" t="s">
        <v>398</v>
      </c>
      <c r="D225">
        <v>14</v>
      </c>
      <c r="E225">
        <v>3013</v>
      </c>
      <c r="F225">
        <v>2603</v>
      </c>
      <c r="G225" s="4">
        <f t="shared" si="3"/>
        <v>0.86392300033189517</v>
      </c>
    </row>
    <row r="226" spans="1:7">
      <c r="A226" t="s">
        <v>220</v>
      </c>
      <c r="B226">
        <v>12</v>
      </c>
      <c r="C226" t="s">
        <v>400</v>
      </c>
      <c r="D226">
        <v>15</v>
      </c>
      <c r="E226">
        <v>3013</v>
      </c>
      <c r="F226">
        <v>2721</v>
      </c>
      <c r="G226" s="4">
        <f t="shared" si="3"/>
        <v>0.90308662462661804</v>
      </c>
    </row>
    <row r="227" spans="1:7">
      <c r="A227" t="s">
        <v>220</v>
      </c>
      <c r="B227">
        <v>12</v>
      </c>
      <c r="C227" t="s">
        <v>402</v>
      </c>
      <c r="D227">
        <v>16</v>
      </c>
      <c r="E227">
        <v>3013</v>
      </c>
      <c r="F227">
        <v>2791</v>
      </c>
      <c r="G227" s="4">
        <f t="shared" si="3"/>
        <v>0.92631928310653833</v>
      </c>
    </row>
    <row r="228" spans="1:7">
      <c r="A228" t="s">
        <v>220</v>
      </c>
      <c r="B228">
        <v>12</v>
      </c>
      <c r="C228" t="s">
        <v>403</v>
      </c>
      <c r="D228">
        <v>17</v>
      </c>
      <c r="E228">
        <v>3013</v>
      </c>
      <c r="F228">
        <v>2957</v>
      </c>
      <c r="G228" s="4">
        <f t="shared" si="3"/>
        <v>0.98141387321606377</v>
      </c>
    </row>
    <row r="229" spans="1:7">
      <c r="A229" t="s">
        <v>221</v>
      </c>
      <c r="B229">
        <v>1</v>
      </c>
      <c r="C229" t="s">
        <v>404</v>
      </c>
      <c r="D229">
        <v>1</v>
      </c>
      <c r="E229">
        <v>2907</v>
      </c>
      <c r="F229">
        <v>881</v>
      </c>
      <c r="G229" s="4">
        <f t="shared" si="3"/>
        <v>0.30306157550739593</v>
      </c>
    </row>
    <row r="230" spans="1:7">
      <c r="A230" t="s">
        <v>221</v>
      </c>
      <c r="B230">
        <v>1</v>
      </c>
      <c r="C230" t="s">
        <v>405</v>
      </c>
      <c r="D230">
        <v>2</v>
      </c>
      <c r="E230">
        <v>2907</v>
      </c>
      <c r="F230">
        <v>1074</v>
      </c>
      <c r="G230" s="4">
        <f t="shared" si="3"/>
        <v>0.36945304437564497</v>
      </c>
    </row>
    <row r="231" spans="1:7">
      <c r="A231" t="s">
        <v>221</v>
      </c>
      <c r="B231">
        <v>1</v>
      </c>
      <c r="C231" t="s">
        <v>407</v>
      </c>
      <c r="D231">
        <v>3</v>
      </c>
      <c r="E231">
        <v>2907</v>
      </c>
      <c r="F231">
        <v>1114</v>
      </c>
      <c r="G231" s="4">
        <f t="shared" si="3"/>
        <v>0.38321293429652564</v>
      </c>
    </row>
    <row r="232" spans="1:7">
      <c r="A232" t="s">
        <v>221</v>
      </c>
      <c r="B232">
        <v>1</v>
      </c>
      <c r="C232" t="s">
        <v>406</v>
      </c>
      <c r="D232">
        <v>4</v>
      </c>
      <c r="E232">
        <v>2907</v>
      </c>
      <c r="F232">
        <v>1140</v>
      </c>
      <c r="G232" s="4">
        <f t="shared" si="3"/>
        <v>0.39215686274509803</v>
      </c>
    </row>
    <row r="233" spans="1:7">
      <c r="A233" t="s">
        <v>221</v>
      </c>
      <c r="B233">
        <v>1</v>
      </c>
      <c r="C233" t="s">
        <v>408</v>
      </c>
      <c r="D233">
        <v>5</v>
      </c>
      <c r="E233">
        <v>2907</v>
      </c>
      <c r="F233">
        <v>1885</v>
      </c>
      <c r="G233" s="4">
        <f t="shared" si="3"/>
        <v>0.64843481252149981</v>
      </c>
    </row>
    <row r="234" spans="1:7">
      <c r="A234" t="s">
        <v>221</v>
      </c>
      <c r="B234">
        <v>1</v>
      </c>
      <c r="C234" t="s">
        <v>409</v>
      </c>
      <c r="D234">
        <v>6</v>
      </c>
      <c r="E234">
        <v>2907</v>
      </c>
      <c r="F234">
        <v>1937</v>
      </c>
      <c r="G234" s="4">
        <f t="shared" si="3"/>
        <v>0.6663226694186446</v>
      </c>
    </row>
    <row r="235" spans="1:7">
      <c r="A235" t="s">
        <v>221</v>
      </c>
      <c r="B235">
        <v>1</v>
      </c>
      <c r="C235" t="s">
        <v>410</v>
      </c>
      <c r="D235">
        <v>7</v>
      </c>
      <c r="E235">
        <v>2907</v>
      </c>
      <c r="F235">
        <v>1950</v>
      </c>
      <c r="G235" s="4">
        <f t="shared" si="3"/>
        <v>0.6707946336429309</v>
      </c>
    </row>
    <row r="236" spans="1:7">
      <c r="A236" t="s">
        <v>222</v>
      </c>
      <c r="B236">
        <v>1</v>
      </c>
      <c r="C236" t="s">
        <v>411</v>
      </c>
      <c r="D236">
        <v>1</v>
      </c>
      <c r="E236">
        <v>8402</v>
      </c>
      <c r="F236">
        <v>369</v>
      </c>
      <c r="G236" s="4">
        <f t="shared" si="3"/>
        <v>4.3918114734587003E-2</v>
      </c>
    </row>
    <row r="237" spans="1:7">
      <c r="A237" t="s">
        <v>222</v>
      </c>
      <c r="B237">
        <v>1</v>
      </c>
      <c r="C237" t="s">
        <v>412</v>
      </c>
      <c r="D237">
        <v>2</v>
      </c>
      <c r="E237">
        <v>8402</v>
      </c>
      <c r="F237">
        <v>410</v>
      </c>
      <c r="G237" s="4">
        <f t="shared" si="3"/>
        <v>4.8797905260652225E-2</v>
      </c>
    </row>
    <row r="238" spans="1:7">
      <c r="A238" t="s">
        <v>222</v>
      </c>
      <c r="B238">
        <v>1</v>
      </c>
      <c r="C238" t="s">
        <v>413</v>
      </c>
      <c r="D238">
        <v>3</v>
      </c>
      <c r="E238">
        <v>8402</v>
      </c>
      <c r="F238">
        <v>449</v>
      </c>
      <c r="G238" s="4">
        <f t="shared" si="3"/>
        <v>5.3439657224470367E-2</v>
      </c>
    </row>
    <row r="239" spans="1:7">
      <c r="A239" t="s">
        <v>222</v>
      </c>
      <c r="B239">
        <v>1</v>
      </c>
      <c r="C239" t="s">
        <v>414</v>
      </c>
      <c r="D239">
        <v>4</v>
      </c>
      <c r="E239">
        <v>8402</v>
      </c>
      <c r="F239">
        <v>483</v>
      </c>
      <c r="G239" s="4">
        <f t="shared" si="3"/>
        <v>5.7486312782670794E-2</v>
      </c>
    </row>
    <row r="240" spans="1:7">
      <c r="A240" t="s">
        <v>222</v>
      </c>
      <c r="B240">
        <v>1</v>
      </c>
      <c r="C240" t="s">
        <v>415</v>
      </c>
      <c r="D240">
        <v>5</v>
      </c>
      <c r="E240">
        <v>8402</v>
      </c>
      <c r="F240">
        <v>496</v>
      </c>
      <c r="G240" s="4">
        <f t="shared" si="3"/>
        <v>5.9033563437276837E-2</v>
      </c>
    </row>
    <row r="241" spans="1:7">
      <c r="A241" t="s">
        <v>222</v>
      </c>
      <c r="B241">
        <v>1</v>
      </c>
      <c r="C241" t="s">
        <v>416</v>
      </c>
      <c r="D241">
        <v>6</v>
      </c>
      <c r="E241">
        <v>8402</v>
      </c>
      <c r="F241">
        <v>506</v>
      </c>
      <c r="G241" s="4">
        <f t="shared" si="3"/>
        <v>6.0223756248512256E-2</v>
      </c>
    </row>
    <row r="242" spans="1:7">
      <c r="A242" t="s">
        <v>222</v>
      </c>
      <c r="B242">
        <v>1</v>
      </c>
      <c r="C242" t="s">
        <v>417</v>
      </c>
      <c r="D242">
        <v>7</v>
      </c>
      <c r="E242">
        <v>8402</v>
      </c>
      <c r="F242">
        <v>527</v>
      </c>
      <c r="G242" s="4">
        <f t="shared" si="3"/>
        <v>6.2723161152106646E-2</v>
      </c>
    </row>
    <row r="243" spans="1:7">
      <c r="A243" t="s">
        <v>222</v>
      </c>
      <c r="B243">
        <v>1</v>
      </c>
      <c r="C243" t="s">
        <v>418</v>
      </c>
      <c r="D243">
        <v>8</v>
      </c>
      <c r="E243">
        <v>8402</v>
      </c>
      <c r="F243">
        <v>547</v>
      </c>
      <c r="G243" s="4">
        <f t="shared" si="3"/>
        <v>6.5103546774577484E-2</v>
      </c>
    </row>
    <row r="244" spans="1:7">
      <c r="A244" t="s">
        <v>222</v>
      </c>
      <c r="B244">
        <v>1</v>
      </c>
      <c r="C244" t="s">
        <v>419</v>
      </c>
      <c r="D244">
        <v>9</v>
      </c>
      <c r="E244">
        <v>8402</v>
      </c>
      <c r="F244">
        <v>591</v>
      </c>
      <c r="G244" s="4">
        <f t="shared" si="3"/>
        <v>7.0340395144013329E-2</v>
      </c>
    </row>
    <row r="245" spans="1:7">
      <c r="A245" t="s">
        <v>222</v>
      </c>
      <c r="B245">
        <v>1</v>
      </c>
      <c r="C245" t="s">
        <v>420</v>
      </c>
      <c r="D245">
        <v>10</v>
      </c>
      <c r="E245">
        <v>8402</v>
      </c>
      <c r="F245">
        <v>592</v>
      </c>
      <c r="G245" s="4">
        <f t="shared" si="3"/>
        <v>7.0459414425136868E-2</v>
      </c>
    </row>
    <row r="246" spans="1:7">
      <c r="A246" t="s">
        <v>222</v>
      </c>
      <c r="B246">
        <v>1</v>
      </c>
      <c r="C246" t="s">
        <v>422</v>
      </c>
      <c r="D246">
        <v>11</v>
      </c>
      <c r="E246">
        <v>8402</v>
      </c>
      <c r="F246">
        <v>622</v>
      </c>
      <c r="G246" s="4">
        <f t="shared" si="3"/>
        <v>7.4029992858843138E-2</v>
      </c>
    </row>
    <row r="247" spans="1:7">
      <c r="A247" t="s">
        <v>222</v>
      </c>
      <c r="B247">
        <v>1</v>
      </c>
      <c r="C247" t="s">
        <v>425</v>
      </c>
      <c r="D247">
        <v>12</v>
      </c>
      <c r="E247">
        <v>8402</v>
      </c>
      <c r="F247">
        <v>630</v>
      </c>
      <c r="G247" s="4">
        <f t="shared" si="3"/>
        <v>7.4982147107831465E-2</v>
      </c>
    </row>
    <row r="248" spans="1:7">
      <c r="A248" t="s">
        <v>222</v>
      </c>
      <c r="B248">
        <v>1</v>
      </c>
      <c r="C248" t="s">
        <v>421</v>
      </c>
      <c r="D248">
        <v>13</v>
      </c>
      <c r="E248">
        <v>8402</v>
      </c>
      <c r="F248">
        <v>632</v>
      </c>
      <c r="G248" s="4">
        <f t="shared" si="3"/>
        <v>7.5220185670078557E-2</v>
      </c>
    </row>
    <row r="249" spans="1:7">
      <c r="A249" t="s">
        <v>222</v>
      </c>
      <c r="B249">
        <v>1</v>
      </c>
      <c r="C249" t="s">
        <v>424</v>
      </c>
      <c r="D249">
        <v>14</v>
      </c>
      <c r="E249">
        <v>8402</v>
      </c>
      <c r="F249">
        <v>670</v>
      </c>
      <c r="G249" s="4">
        <f t="shared" si="3"/>
        <v>7.9742918352773154E-2</v>
      </c>
    </row>
    <row r="250" spans="1:7">
      <c r="A250" t="s">
        <v>222</v>
      </c>
      <c r="B250">
        <v>1</v>
      </c>
      <c r="C250" t="s">
        <v>423</v>
      </c>
      <c r="D250">
        <v>15</v>
      </c>
      <c r="E250">
        <v>8402</v>
      </c>
      <c r="F250">
        <v>682</v>
      </c>
      <c r="G250" s="4">
        <f t="shared" si="3"/>
        <v>8.1171149726255651E-2</v>
      </c>
    </row>
    <row r="251" spans="1:7">
      <c r="A251" t="s">
        <v>222</v>
      </c>
      <c r="B251">
        <v>1</v>
      </c>
      <c r="C251" t="s">
        <v>426</v>
      </c>
      <c r="D251">
        <v>16</v>
      </c>
      <c r="E251">
        <v>8402</v>
      </c>
      <c r="F251">
        <v>8068</v>
      </c>
      <c r="G251" s="4">
        <f t="shared" si="3"/>
        <v>0.960247560104737</v>
      </c>
    </row>
    <row r="252" spans="1:7">
      <c r="A252" t="s">
        <v>222</v>
      </c>
      <c r="B252">
        <v>3</v>
      </c>
      <c r="C252" t="s">
        <v>427</v>
      </c>
      <c r="D252">
        <v>1</v>
      </c>
      <c r="E252">
        <v>15539</v>
      </c>
      <c r="F252">
        <v>13155</v>
      </c>
      <c r="G252" s="4">
        <f t="shared" si="3"/>
        <v>0.84657957397515926</v>
      </c>
    </row>
    <row r="253" spans="1:7">
      <c r="A253" t="s">
        <v>222</v>
      </c>
      <c r="B253">
        <v>3</v>
      </c>
      <c r="C253" t="s">
        <v>428</v>
      </c>
      <c r="D253">
        <v>2</v>
      </c>
      <c r="E253">
        <v>15539</v>
      </c>
      <c r="F253">
        <v>14430</v>
      </c>
      <c r="G253" s="4">
        <f t="shared" si="3"/>
        <v>0.92863118604800821</v>
      </c>
    </row>
    <row r="254" spans="1:7">
      <c r="A254" t="s">
        <v>222</v>
      </c>
      <c r="B254">
        <v>3</v>
      </c>
      <c r="C254" t="s">
        <v>429</v>
      </c>
      <c r="D254">
        <v>3</v>
      </c>
      <c r="E254">
        <v>15539</v>
      </c>
      <c r="F254">
        <v>16596</v>
      </c>
      <c r="G254" s="4">
        <f t="shared" si="3"/>
        <v>1.0680223952635304</v>
      </c>
    </row>
    <row r="255" spans="1:7">
      <c r="A255" t="s">
        <v>222</v>
      </c>
      <c r="B255">
        <v>4</v>
      </c>
      <c r="C255" t="s">
        <v>430</v>
      </c>
      <c r="D255">
        <v>1</v>
      </c>
      <c r="E255">
        <v>3613</v>
      </c>
      <c r="F255">
        <v>3103</v>
      </c>
      <c r="G255" s="4">
        <f t="shared" si="3"/>
        <v>0.85884306670357047</v>
      </c>
    </row>
    <row r="256" spans="1:7">
      <c r="A256" t="s">
        <v>222</v>
      </c>
      <c r="B256">
        <v>4</v>
      </c>
      <c r="C256" t="s">
        <v>431</v>
      </c>
      <c r="D256">
        <v>2</v>
      </c>
      <c r="E256">
        <v>3613</v>
      </c>
      <c r="F256">
        <v>3114</v>
      </c>
      <c r="G256" s="4">
        <f t="shared" si="3"/>
        <v>0.86188762800996399</v>
      </c>
    </row>
    <row r="257" spans="1:7">
      <c r="A257" t="s">
        <v>222</v>
      </c>
      <c r="B257">
        <v>4</v>
      </c>
      <c r="C257" t="s">
        <v>432</v>
      </c>
      <c r="D257">
        <v>3</v>
      </c>
      <c r="E257">
        <v>3613</v>
      </c>
      <c r="F257">
        <v>3182</v>
      </c>
      <c r="G257" s="4">
        <f t="shared" si="3"/>
        <v>0.88070855244948798</v>
      </c>
    </row>
    <row r="258" spans="1:7">
      <c r="A258" t="s">
        <v>222</v>
      </c>
      <c r="B258">
        <v>4</v>
      </c>
      <c r="C258" t="s">
        <v>437</v>
      </c>
      <c r="D258">
        <v>4</v>
      </c>
      <c r="E258">
        <v>3613</v>
      </c>
      <c r="F258">
        <v>3197</v>
      </c>
      <c r="G258" s="4">
        <f t="shared" ref="G258:G321" si="4">F258/E258</f>
        <v>0.88486022695820643</v>
      </c>
    </row>
    <row r="259" spans="1:7">
      <c r="A259" t="s">
        <v>222</v>
      </c>
      <c r="B259">
        <v>4</v>
      </c>
      <c r="C259" t="s">
        <v>436</v>
      </c>
      <c r="D259">
        <v>5</v>
      </c>
      <c r="E259">
        <v>3613</v>
      </c>
      <c r="F259">
        <v>3220</v>
      </c>
      <c r="G259" s="4">
        <f t="shared" si="4"/>
        <v>0.89122612787157485</v>
      </c>
    </row>
    <row r="260" spans="1:7">
      <c r="A260" t="s">
        <v>222</v>
      </c>
      <c r="B260">
        <v>4</v>
      </c>
      <c r="C260" t="s">
        <v>438</v>
      </c>
      <c r="D260">
        <v>6</v>
      </c>
      <c r="E260">
        <v>3613</v>
      </c>
      <c r="F260">
        <v>3273</v>
      </c>
      <c r="G260" s="4">
        <f t="shared" si="4"/>
        <v>0.90589537780238027</v>
      </c>
    </row>
    <row r="261" spans="1:7">
      <c r="A261" t="s">
        <v>222</v>
      </c>
      <c r="B261">
        <v>4</v>
      </c>
      <c r="C261" t="s">
        <v>433</v>
      </c>
      <c r="D261">
        <v>7</v>
      </c>
      <c r="E261">
        <v>3613</v>
      </c>
      <c r="F261">
        <v>3435</v>
      </c>
      <c r="G261" s="4">
        <f t="shared" si="4"/>
        <v>0.95073346249654023</v>
      </c>
    </row>
    <row r="262" spans="1:7">
      <c r="A262" t="s">
        <v>222</v>
      </c>
      <c r="B262">
        <v>4</v>
      </c>
      <c r="C262" t="s">
        <v>435</v>
      </c>
      <c r="D262">
        <v>8</v>
      </c>
      <c r="E262">
        <v>3613</v>
      </c>
      <c r="F262">
        <v>3455</v>
      </c>
      <c r="G262" s="4">
        <f t="shared" si="4"/>
        <v>0.95626902850816498</v>
      </c>
    </row>
    <row r="263" spans="1:7">
      <c r="A263" t="s">
        <v>222</v>
      </c>
      <c r="B263">
        <v>4</v>
      </c>
      <c r="C263" t="s">
        <v>434</v>
      </c>
      <c r="D263">
        <v>9</v>
      </c>
      <c r="E263">
        <v>3613</v>
      </c>
      <c r="F263">
        <v>3456</v>
      </c>
      <c r="G263" s="4">
        <f t="shared" si="4"/>
        <v>0.95654580680874624</v>
      </c>
    </row>
    <row r="264" spans="1:7">
      <c r="A264" t="s">
        <v>222</v>
      </c>
      <c r="B264">
        <v>6</v>
      </c>
      <c r="C264" t="s">
        <v>439</v>
      </c>
      <c r="D264">
        <v>1</v>
      </c>
      <c r="E264">
        <v>5546</v>
      </c>
      <c r="F264">
        <v>3054</v>
      </c>
      <c r="G264" s="4">
        <f t="shared" si="4"/>
        <v>0.55066714749368917</v>
      </c>
    </row>
    <row r="265" spans="1:7">
      <c r="A265" t="s">
        <v>222</v>
      </c>
      <c r="B265">
        <v>6</v>
      </c>
      <c r="C265" t="s">
        <v>440</v>
      </c>
      <c r="D265">
        <v>2</v>
      </c>
      <c r="E265">
        <v>5546</v>
      </c>
      <c r="F265">
        <v>3684</v>
      </c>
      <c r="G265" s="4">
        <f t="shared" si="4"/>
        <v>0.66426253155427339</v>
      </c>
    </row>
    <row r="266" spans="1:7">
      <c r="A266" t="s">
        <v>222</v>
      </c>
      <c r="B266">
        <v>7</v>
      </c>
      <c r="C266" t="s">
        <v>203</v>
      </c>
      <c r="D266">
        <v>1</v>
      </c>
      <c r="E266">
        <v>944</v>
      </c>
      <c r="F266">
        <v>78</v>
      </c>
      <c r="G266" s="4">
        <f t="shared" si="4"/>
        <v>8.2627118644067798E-2</v>
      </c>
    </row>
    <row r="267" spans="1:7">
      <c r="A267" t="s">
        <v>222</v>
      </c>
      <c r="B267">
        <v>7</v>
      </c>
      <c r="C267" t="s">
        <v>179</v>
      </c>
      <c r="D267">
        <v>2</v>
      </c>
      <c r="E267">
        <v>944</v>
      </c>
      <c r="F267">
        <v>134</v>
      </c>
      <c r="G267" s="4">
        <f t="shared" si="4"/>
        <v>0.14194915254237289</v>
      </c>
    </row>
    <row r="268" spans="1:7">
      <c r="A268" t="s">
        <v>222</v>
      </c>
      <c r="B268">
        <v>7</v>
      </c>
      <c r="C268" t="s">
        <v>204</v>
      </c>
      <c r="D268">
        <v>3</v>
      </c>
      <c r="E268">
        <v>944</v>
      </c>
      <c r="F268">
        <v>163</v>
      </c>
      <c r="G268" s="4">
        <f t="shared" si="4"/>
        <v>0.17266949152542374</v>
      </c>
    </row>
    <row r="269" spans="1:7">
      <c r="A269" t="s">
        <v>222</v>
      </c>
      <c r="B269">
        <v>7</v>
      </c>
      <c r="C269" t="s">
        <v>215</v>
      </c>
      <c r="D269">
        <v>4</v>
      </c>
      <c r="E269">
        <v>944</v>
      </c>
      <c r="F269">
        <v>197</v>
      </c>
      <c r="G269" s="4">
        <f t="shared" si="4"/>
        <v>0.2086864406779661</v>
      </c>
    </row>
    <row r="270" spans="1:7">
      <c r="A270" t="s">
        <v>222</v>
      </c>
      <c r="B270">
        <v>7</v>
      </c>
      <c r="C270" t="s">
        <v>441</v>
      </c>
      <c r="D270">
        <v>5</v>
      </c>
      <c r="E270">
        <v>944</v>
      </c>
      <c r="F270">
        <v>370</v>
      </c>
      <c r="G270" s="4">
        <f t="shared" si="4"/>
        <v>0.39194915254237289</v>
      </c>
    </row>
    <row r="271" spans="1:7">
      <c r="A271" t="s">
        <v>222</v>
      </c>
      <c r="B271">
        <v>7</v>
      </c>
      <c r="C271" t="s">
        <v>442</v>
      </c>
      <c r="D271">
        <v>6</v>
      </c>
      <c r="E271">
        <v>944</v>
      </c>
      <c r="F271">
        <v>935</v>
      </c>
      <c r="G271" s="4">
        <f t="shared" si="4"/>
        <v>0.99046610169491522</v>
      </c>
    </row>
    <row r="272" spans="1:7">
      <c r="A272" t="s">
        <v>222</v>
      </c>
      <c r="B272">
        <v>7</v>
      </c>
      <c r="C272" t="s">
        <v>443</v>
      </c>
      <c r="D272">
        <v>7</v>
      </c>
      <c r="E272">
        <v>944</v>
      </c>
      <c r="F272">
        <v>2126</v>
      </c>
      <c r="G272" s="4">
        <f t="shared" si="4"/>
        <v>2.2521186440677967</v>
      </c>
    </row>
    <row r="273" spans="1:7">
      <c r="A273" t="s">
        <v>223</v>
      </c>
      <c r="B273">
        <v>3</v>
      </c>
      <c r="C273" t="s">
        <v>2</v>
      </c>
      <c r="D273">
        <v>1</v>
      </c>
      <c r="E273">
        <v>3381</v>
      </c>
      <c r="F273">
        <v>335</v>
      </c>
      <c r="G273" s="4">
        <f t="shared" si="4"/>
        <v>9.9083111505471749E-2</v>
      </c>
    </row>
    <row r="274" spans="1:7">
      <c r="A274" t="s">
        <v>223</v>
      </c>
      <c r="B274">
        <v>3</v>
      </c>
      <c r="C274" t="s">
        <v>444</v>
      </c>
      <c r="D274">
        <v>2</v>
      </c>
      <c r="E274">
        <v>3381</v>
      </c>
      <c r="F274">
        <v>2256</v>
      </c>
      <c r="G274" s="4">
        <f t="shared" si="4"/>
        <v>0.6672582076308784</v>
      </c>
    </row>
    <row r="275" spans="1:7">
      <c r="A275" t="s">
        <v>223</v>
      </c>
      <c r="B275">
        <v>3</v>
      </c>
      <c r="C275" t="s">
        <v>445</v>
      </c>
      <c r="D275">
        <v>3</v>
      </c>
      <c r="E275">
        <v>3381</v>
      </c>
      <c r="F275">
        <v>2312</v>
      </c>
      <c r="G275" s="4">
        <f t="shared" si="4"/>
        <v>0.683821354628808</v>
      </c>
    </row>
    <row r="276" spans="1:7">
      <c r="A276" t="s">
        <v>223</v>
      </c>
      <c r="B276">
        <v>7</v>
      </c>
      <c r="C276" t="s">
        <v>235</v>
      </c>
      <c r="D276">
        <v>1</v>
      </c>
      <c r="E276">
        <v>3076</v>
      </c>
      <c r="F276">
        <v>49</v>
      </c>
      <c r="G276" s="4">
        <f t="shared" si="4"/>
        <v>1.5929778933680104E-2</v>
      </c>
    </row>
    <row r="277" spans="1:7">
      <c r="A277" t="s">
        <v>223</v>
      </c>
      <c r="B277">
        <v>7</v>
      </c>
      <c r="C277" t="s">
        <v>236</v>
      </c>
      <c r="D277">
        <v>2</v>
      </c>
      <c r="E277">
        <v>3076</v>
      </c>
      <c r="F277">
        <v>106</v>
      </c>
      <c r="G277" s="4">
        <f t="shared" si="4"/>
        <v>3.4460338101430427E-2</v>
      </c>
    </row>
    <row r="278" spans="1:7">
      <c r="A278" t="s">
        <v>223</v>
      </c>
      <c r="B278">
        <v>7</v>
      </c>
      <c r="C278" t="s">
        <v>446</v>
      </c>
      <c r="D278">
        <v>3</v>
      </c>
      <c r="E278">
        <v>3076</v>
      </c>
      <c r="F278">
        <v>279</v>
      </c>
      <c r="G278" s="4">
        <f t="shared" si="4"/>
        <v>9.0702210663198959E-2</v>
      </c>
    </row>
    <row r="279" spans="1:7">
      <c r="A279" t="s">
        <v>223</v>
      </c>
      <c r="B279">
        <v>7</v>
      </c>
      <c r="C279" t="s">
        <v>447</v>
      </c>
      <c r="D279">
        <v>4</v>
      </c>
      <c r="E279">
        <v>3076</v>
      </c>
      <c r="F279">
        <v>413</v>
      </c>
      <c r="G279" s="4">
        <f t="shared" si="4"/>
        <v>0.13426527958387516</v>
      </c>
    </row>
    <row r="280" spans="1:7">
      <c r="A280" t="s">
        <v>223</v>
      </c>
      <c r="B280">
        <v>7</v>
      </c>
      <c r="C280" t="s">
        <v>448</v>
      </c>
      <c r="D280">
        <v>5</v>
      </c>
      <c r="E280">
        <v>3076</v>
      </c>
      <c r="F280">
        <v>422</v>
      </c>
      <c r="G280" s="4">
        <f t="shared" si="4"/>
        <v>0.13719115734720416</v>
      </c>
    </row>
    <row r="281" spans="1:7">
      <c r="A281" t="s">
        <v>223</v>
      </c>
      <c r="B281">
        <v>7</v>
      </c>
      <c r="C281" t="s">
        <v>449</v>
      </c>
      <c r="D281">
        <v>6</v>
      </c>
      <c r="E281">
        <v>3076</v>
      </c>
      <c r="F281">
        <v>2955</v>
      </c>
      <c r="G281" s="4">
        <f t="shared" si="4"/>
        <v>0.96066319895968788</v>
      </c>
    </row>
    <row r="282" spans="1:7">
      <c r="A282" t="s">
        <v>223</v>
      </c>
      <c r="B282">
        <v>8</v>
      </c>
      <c r="C282" t="s">
        <v>2</v>
      </c>
      <c r="D282">
        <v>1</v>
      </c>
      <c r="E282">
        <v>2806</v>
      </c>
      <c r="F282">
        <v>147</v>
      </c>
      <c r="G282" s="4">
        <f t="shared" si="4"/>
        <v>5.238774055595153E-2</v>
      </c>
    </row>
    <row r="283" spans="1:7">
      <c r="A283" t="s">
        <v>223</v>
      </c>
      <c r="B283">
        <v>8</v>
      </c>
      <c r="C283" t="s">
        <v>233</v>
      </c>
      <c r="D283">
        <v>2</v>
      </c>
      <c r="E283">
        <v>2806</v>
      </c>
      <c r="F283">
        <v>357</v>
      </c>
      <c r="G283" s="4">
        <f t="shared" si="4"/>
        <v>0.12722736992159658</v>
      </c>
    </row>
    <row r="284" spans="1:7">
      <c r="A284" t="s">
        <v>223</v>
      </c>
      <c r="B284">
        <v>8</v>
      </c>
      <c r="C284" t="s">
        <v>234</v>
      </c>
      <c r="D284">
        <v>3</v>
      </c>
      <c r="E284">
        <v>2806</v>
      </c>
      <c r="F284">
        <v>419</v>
      </c>
      <c r="G284" s="4">
        <f t="shared" si="4"/>
        <v>0.14932287954383464</v>
      </c>
    </row>
    <row r="285" spans="1:7">
      <c r="A285" t="s">
        <v>223</v>
      </c>
      <c r="B285">
        <v>8</v>
      </c>
      <c r="C285" t="s">
        <v>450</v>
      </c>
      <c r="D285">
        <v>4</v>
      </c>
      <c r="E285">
        <v>2806</v>
      </c>
      <c r="F285">
        <v>495</v>
      </c>
      <c r="G285" s="4">
        <f t="shared" si="4"/>
        <v>0.17640769779044904</v>
      </c>
    </row>
    <row r="286" spans="1:7">
      <c r="A286" t="s">
        <v>223</v>
      </c>
      <c r="B286">
        <v>8</v>
      </c>
      <c r="C286" t="s">
        <v>451</v>
      </c>
      <c r="D286">
        <v>5</v>
      </c>
      <c r="E286">
        <v>2806</v>
      </c>
      <c r="F286">
        <v>512</v>
      </c>
      <c r="G286" s="4">
        <f t="shared" si="4"/>
        <v>0.18246614397719174</v>
      </c>
    </row>
    <row r="287" spans="1:7">
      <c r="A287" t="s">
        <v>223</v>
      </c>
      <c r="B287">
        <v>8</v>
      </c>
      <c r="C287" t="s">
        <v>452</v>
      </c>
      <c r="D287">
        <v>6</v>
      </c>
      <c r="E287">
        <v>2806</v>
      </c>
      <c r="F287">
        <v>2082</v>
      </c>
      <c r="G287" s="4">
        <f t="shared" si="4"/>
        <v>0.74198146828225231</v>
      </c>
    </row>
    <row r="288" spans="1:7">
      <c r="A288" t="s">
        <v>223</v>
      </c>
      <c r="B288">
        <v>8</v>
      </c>
      <c r="C288" t="s">
        <v>454</v>
      </c>
      <c r="D288">
        <v>7</v>
      </c>
      <c r="E288">
        <v>2806</v>
      </c>
      <c r="F288">
        <v>2174</v>
      </c>
      <c r="G288" s="4">
        <f t="shared" si="4"/>
        <v>0.77476835352815399</v>
      </c>
    </row>
    <row r="289" spans="1:7">
      <c r="A289" t="s">
        <v>223</v>
      </c>
      <c r="B289">
        <v>8</v>
      </c>
      <c r="C289" t="s">
        <v>453</v>
      </c>
      <c r="D289">
        <v>8</v>
      </c>
      <c r="E289">
        <v>2806</v>
      </c>
      <c r="F289">
        <v>2189</v>
      </c>
      <c r="G289" s="4">
        <f t="shared" si="4"/>
        <v>0.78011404133998574</v>
      </c>
    </row>
    <row r="290" spans="1:7">
      <c r="A290" t="s">
        <v>223</v>
      </c>
      <c r="B290">
        <v>8</v>
      </c>
      <c r="C290" t="s">
        <v>455</v>
      </c>
      <c r="D290">
        <v>9</v>
      </c>
      <c r="E290">
        <v>2806</v>
      </c>
      <c r="F290">
        <v>2318</v>
      </c>
      <c r="G290" s="4">
        <f t="shared" si="4"/>
        <v>0.82608695652173914</v>
      </c>
    </row>
    <row r="291" spans="1:7">
      <c r="A291" t="s">
        <v>223</v>
      </c>
      <c r="B291">
        <v>8</v>
      </c>
      <c r="C291" t="s">
        <v>456</v>
      </c>
      <c r="D291">
        <v>10</v>
      </c>
      <c r="E291">
        <v>2806</v>
      </c>
      <c r="F291">
        <v>2422</v>
      </c>
      <c r="G291" s="4">
        <f t="shared" si="4"/>
        <v>0.86315039201710619</v>
      </c>
    </row>
    <row r="292" spans="1:7">
      <c r="A292" t="s">
        <v>223</v>
      </c>
      <c r="B292">
        <v>8</v>
      </c>
      <c r="C292" t="s">
        <v>457</v>
      </c>
      <c r="D292">
        <v>11</v>
      </c>
      <c r="E292">
        <v>2806</v>
      </c>
      <c r="F292">
        <v>2635</v>
      </c>
      <c r="G292" s="4">
        <f t="shared" si="4"/>
        <v>0.9390591589451176</v>
      </c>
    </row>
    <row r="293" spans="1:7">
      <c r="A293" t="s">
        <v>223</v>
      </c>
      <c r="B293">
        <v>9</v>
      </c>
      <c r="C293" t="s">
        <v>2</v>
      </c>
      <c r="D293">
        <v>1</v>
      </c>
      <c r="E293">
        <v>1814</v>
      </c>
      <c r="F293">
        <v>137</v>
      </c>
      <c r="G293" s="4">
        <f t="shared" si="4"/>
        <v>7.5523704520396917E-2</v>
      </c>
    </row>
    <row r="294" spans="1:7">
      <c r="A294" t="s">
        <v>223</v>
      </c>
      <c r="B294">
        <v>9</v>
      </c>
      <c r="C294" t="s">
        <v>1</v>
      </c>
      <c r="D294">
        <v>2</v>
      </c>
      <c r="E294">
        <v>1814</v>
      </c>
      <c r="F294">
        <v>214</v>
      </c>
      <c r="G294" s="4">
        <f t="shared" si="4"/>
        <v>0.11797133406835722</v>
      </c>
    </row>
    <row r="295" spans="1:7">
      <c r="A295" t="s">
        <v>223</v>
      </c>
      <c r="B295">
        <v>9</v>
      </c>
      <c r="C295" t="s">
        <v>458</v>
      </c>
      <c r="D295">
        <v>3</v>
      </c>
      <c r="E295">
        <v>1814</v>
      </c>
      <c r="F295">
        <v>477</v>
      </c>
      <c r="G295" s="4">
        <f t="shared" si="4"/>
        <v>0.26295479603087102</v>
      </c>
    </row>
    <row r="296" spans="1:7">
      <c r="A296" t="s">
        <v>223</v>
      </c>
      <c r="B296">
        <v>9</v>
      </c>
      <c r="C296" t="s">
        <v>459</v>
      </c>
      <c r="D296">
        <v>4</v>
      </c>
      <c r="E296">
        <v>1814</v>
      </c>
      <c r="F296">
        <v>498</v>
      </c>
      <c r="G296" s="4">
        <f t="shared" si="4"/>
        <v>0.27453142227122379</v>
      </c>
    </row>
    <row r="297" spans="1:7">
      <c r="A297" t="s">
        <v>223</v>
      </c>
      <c r="B297">
        <v>9</v>
      </c>
      <c r="C297" t="s">
        <v>460</v>
      </c>
      <c r="D297">
        <v>5</v>
      </c>
      <c r="E297">
        <v>1814</v>
      </c>
      <c r="F297">
        <v>1780</v>
      </c>
      <c r="G297" s="4">
        <f t="shared" si="4"/>
        <v>0.98125689084895262</v>
      </c>
    </row>
    <row r="298" spans="1:7">
      <c r="A298" t="s">
        <v>223</v>
      </c>
      <c r="B298">
        <v>10</v>
      </c>
      <c r="C298" t="s">
        <v>2</v>
      </c>
      <c r="D298">
        <v>1</v>
      </c>
      <c r="E298">
        <v>789</v>
      </c>
      <c r="F298">
        <v>67</v>
      </c>
      <c r="G298" s="4">
        <f t="shared" si="4"/>
        <v>8.4917617237008872E-2</v>
      </c>
    </row>
    <row r="299" spans="1:7">
      <c r="A299" t="s">
        <v>223</v>
      </c>
      <c r="B299">
        <v>10</v>
      </c>
      <c r="C299" t="s">
        <v>233</v>
      </c>
      <c r="D299">
        <v>2</v>
      </c>
      <c r="E299">
        <v>789</v>
      </c>
      <c r="F299">
        <v>263</v>
      </c>
      <c r="G299" s="4">
        <f t="shared" si="4"/>
        <v>0.33333333333333331</v>
      </c>
    </row>
    <row r="300" spans="1:7">
      <c r="A300" t="s">
        <v>223</v>
      </c>
      <c r="B300">
        <v>10</v>
      </c>
      <c r="C300" t="s">
        <v>459</v>
      </c>
      <c r="D300">
        <v>3</v>
      </c>
      <c r="E300">
        <v>789</v>
      </c>
      <c r="F300">
        <v>388</v>
      </c>
      <c r="G300" s="4">
        <f t="shared" si="4"/>
        <v>0.49176172370088722</v>
      </c>
    </row>
    <row r="301" spans="1:7">
      <c r="A301" t="s">
        <v>223</v>
      </c>
      <c r="B301">
        <v>10</v>
      </c>
      <c r="C301" t="s">
        <v>461</v>
      </c>
      <c r="D301">
        <v>4</v>
      </c>
      <c r="E301">
        <v>789</v>
      </c>
      <c r="F301">
        <v>445</v>
      </c>
      <c r="G301" s="4">
        <f t="shared" si="4"/>
        <v>0.56400506970849174</v>
      </c>
    </row>
    <row r="302" spans="1:7">
      <c r="A302" t="s">
        <v>223</v>
      </c>
      <c r="B302">
        <v>10</v>
      </c>
      <c r="C302" t="s">
        <v>462</v>
      </c>
      <c r="D302">
        <v>5</v>
      </c>
      <c r="E302">
        <v>789</v>
      </c>
      <c r="F302">
        <v>520</v>
      </c>
      <c r="G302" s="4">
        <f t="shared" si="4"/>
        <v>0.65906210392902409</v>
      </c>
    </row>
    <row r="303" spans="1:7">
      <c r="A303" t="s">
        <v>223</v>
      </c>
      <c r="B303">
        <v>10</v>
      </c>
      <c r="C303" t="s">
        <v>464</v>
      </c>
      <c r="D303">
        <v>6</v>
      </c>
      <c r="E303">
        <v>789</v>
      </c>
      <c r="F303">
        <v>565</v>
      </c>
      <c r="G303" s="4">
        <f t="shared" si="4"/>
        <v>0.71609632446134353</v>
      </c>
    </row>
    <row r="304" spans="1:7">
      <c r="A304" t="s">
        <v>223</v>
      </c>
      <c r="B304">
        <v>10</v>
      </c>
      <c r="C304" t="s">
        <v>465</v>
      </c>
      <c r="D304">
        <v>7</v>
      </c>
      <c r="E304">
        <v>789</v>
      </c>
      <c r="F304">
        <v>572</v>
      </c>
      <c r="G304" s="4">
        <f t="shared" si="4"/>
        <v>0.72496831432192654</v>
      </c>
    </row>
    <row r="305" spans="1:7">
      <c r="A305" t="s">
        <v>223</v>
      </c>
      <c r="B305">
        <v>10</v>
      </c>
      <c r="C305" t="s">
        <v>463</v>
      </c>
      <c r="D305">
        <v>8</v>
      </c>
      <c r="E305">
        <v>789</v>
      </c>
      <c r="F305">
        <v>577</v>
      </c>
      <c r="G305" s="4">
        <f t="shared" si="4"/>
        <v>0.7313054499366286</v>
      </c>
    </row>
    <row r="306" spans="1:7">
      <c r="A306" t="s">
        <v>223</v>
      </c>
      <c r="B306">
        <v>10</v>
      </c>
      <c r="C306" t="s">
        <v>466</v>
      </c>
      <c r="D306">
        <v>9</v>
      </c>
      <c r="E306">
        <v>789</v>
      </c>
      <c r="F306">
        <v>623</v>
      </c>
      <c r="G306" s="4">
        <f t="shared" si="4"/>
        <v>0.78960709759188852</v>
      </c>
    </row>
    <row r="307" spans="1:7">
      <c r="A307" t="s">
        <v>223</v>
      </c>
      <c r="B307">
        <v>10</v>
      </c>
      <c r="C307" t="s">
        <v>467</v>
      </c>
      <c r="D307">
        <v>10</v>
      </c>
      <c r="E307">
        <v>789</v>
      </c>
      <c r="F307">
        <v>631</v>
      </c>
      <c r="G307" s="4">
        <f t="shared" si="4"/>
        <v>0.7997465145754119</v>
      </c>
    </row>
    <row r="308" spans="1:7">
      <c r="A308" t="s">
        <v>223</v>
      </c>
      <c r="B308">
        <v>10</v>
      </c>
      <c r="C308" t="s">
        <v>468</v>
      </c>
      <c r="D308">
        <v>11</v>
      </c>
      <c r="E308">
        <v>789</v>
      </c>
      <c r="F308">
        <v>634</v>
      </c>
      <c r="G308" s="4">
        <f t="shared" si="4"/>
        <v>0.80354879594423323</v>
      </c>
    </row>
    <row r="309" spans="1:7">
      <c r="A309" t="s">
        <v>223</v>
      </c>
      <c r="B309">
        <v>10</v>
      </c>
      <c r="C309" t="s">
        <v>469</v>
      </c>
      <c r="D309">
        <v>12</v>
      </c>
      <c r="E309">
        <v>789</v>
      </c>
      <c r="F309">
        <v>635</v>
      </c>
      <c r="G309" s="4">
        <f t="shared" si="4"/>
        <v>0.8048162230671736</v>
      </c>
    </row>
    <row r="310" spans="1:7">
      <c r="A310" t="s">
        <v>223</v>
      </c>
      <c r="B310">
        <v>10</v>
      </c>
      <c r="C310" t="s">
        <v>470</v>
      </c>
      <c r="D310">
        <v>13</v>
      </c>
      <c r="E310">
        <v>789</v>
      </c>
      <c r="F310">
        <v>644</v>
      </c>
      <c r="G310" s="4">
        <f t="shared" si="4"/>
        <v>0.81622306717363746</v>
      </c>
    </row>
    <row r="311" spans="1:7">
      <c r="A311" t="s">
        <v>223</v>
      </c>
      <c r="B311">
        <v>10</v>
      </c>
      <c r="C311" t="s">
        <v>471</v>
      </c>
      <c r="D311">
        <v>14</v>
      </c>
      <c r="E311">
        <v>789</v>
      </c>
      <c r="F311">
        <v>647</v>
      </c>
      <c r="G311" s="4">
        <f t="shared" si="4"/>
        <v>0.82002534854245879</v>
      </c>
    </row>
    <row r="312" spans="1:7">
      <c r="A312" t="s">
        <v>223</v>
      </c>
      <c r="B312">
        <v>10</v>
      </c>
      <c r="C312" t="s">
        <v>475</v>
      </c>
      <c r="D312">
        <v>15</v>
      </c>
      <c r="E312">
        <v>789</v>
      </c>
      <c r="F312">
        <v>681</v>
      </c>
      <c r="G312" s="4">
        <f t="shared" si="4"/>
        <v>0.86311787072243351</v>
      </c>
    </row>
    <row r="313" spans="1:7">
      <c r="A313" t="s">
        <v>223</v>
      </c>
      <c r="B313">
        <v>10</v>
      </c>
      <c r="C313" t="s">
        <v>476</v>
      </c>
      <c r="D313">
        <v>16</v>
      </c>
      <c r="E313">
        <v>789</v>
      </c>
      <c r="F313">
        <v>687</v>
      </c>
      <c r="G313" s="4">
        <f t="shared" si="4"/>
        <v>0.87072243346007605</v>
      </c>
    </row>
    <row r="314" spans="1:7">
      <c r="A314" t="s">
        <v>223</v>
      </c>
      <c r="B314">
        <v>10</v>
      </c>
      <c r="C314" t="s">
        <v>479</v>
      </c>
      <c r="D314">
        <v>17</v>
      </c>
      <c r="E314">
        <v>789</v>
      </c>
      <c r="F314">
        <v>693</v>
      </c>
      <c r="G314" s="4">
        <f t="shared" si="4"/>
        <v>0.87832699619771859</v>
      </c>
    </row>
    <row r="315" spans="1:7">
      <c r="A315" t="s">
        <v>223</v>
      </c>
      <c r="B315">
        <v>10</v>
      </c>
      <c r="C315" t="s">
        <v>480</v>
      </c>
      <c r="D315">
        <v>18</v>
      </c>
      <c r="E315">
        <v>789</v>
      </c>
      <c r="F315">
        <v>694</v>
      </c>
      <c r="G315" s="4">
        <f t="shared" si="4"/>
        <v>0.87959442332065907</v>
      </c>
    </row>
    <row r="316" spans="1:7">
      <c r="A316" t="s">
        <v>223</v>
      </c>
      <c r="B316">
        <v>10</v>
      </c>
      <c r="C316" t="s">
        <v>478</v>
      </c>
      <c r="D316">
        <v>19</v>
      </c>
      <c r="E316">
        <v>789</v>
      </c>
      <c r="F316">
        <v>695</v>
      </c>
      <c r="G316" s="4">
        <f t="shared" si="4"/>
        <v>0.88086185044359955</v>
      </c>
    </row>
    <row r="317" spans="1:7">
      <c r="A317" t="s">
        <v>223</v>
      </c>
      <c r="B317">
        <v>10</v>
      </c>
      <c r="C317" t="s">
        <v>472</v>
      </c>
      <c r="D317">
        <v>20</v>
      </c>
      <c r="E317">
        <v>789</v>
      </c>
      <c r="F317">
        <v>698</v>
      </c>
      <c r="G317" s="4">
        <f t="shared" si="4"/>
        <v>0.88466413181242076</v>
      </c>
    </row>
    <row r="318" spans="1:7">
      <c r="A318" t="s">
        <v>223</v>
      </c>
      <c r="B318">
        <v>10</v>
      </c>
      <c r="C318" t="s">
        <v>474</v>
      </c>
      <c r="D318">
        <v>21</v>
      </c>
      <c r="E318">
        <v>789</v>
      </c>
      <c r="F318">
        <v>707</v>
      </c>
      <c r="G318" s="4">
        <f t="shared" si="4"/>
        <v>0.89607097591888463</v>
      </c>
    </row>
    <row r="319" spans="1:7">
      <c r="A319" t="s">
        <v>223</v>
      </c>
      <c r="B319">
        <v>10</v>
      </c>
      <c r="C319" t="s">
        <v>473</v>
      </c>
      <c r="D319">
        <v>22</v>
      </c>
      <c r="E319">
        <v>789</v>
      </c>
      <c r="F319">
        <v>708</v>
      </c>
      <c r="G319" s="4">
        <f t="shared" si="4"/>
        <v>0.89733840304182511</v>
      </c>
    </row>
    <row r="320" spans="1:7">
      <c r="A320" t="s">
        <v>223</v>
      </c>
      <c r="B320">
        <v>10</v>
      </c>
      <c r="C320" t="s">
        <v>477</v>
      </c>
      <c r="D320">
        <v>23</v>
      </c>
      <c r="E320">
        <v>789</v>
      </c>
      <c r="F320">
        <v>714</v>
      </c>
      <c r="G320" s="4">
        <f t="shared" si="4"/>
        <v>0.90494296577946765</v>
      </c>
    </row>
    <row r="321" spans="1:7">
      <c r="A321" t="s">
        <v>223</v>
      </c>
      <c r="B321">
        <v>10</v>
      </c>
      <c r="C321" t="s">
        <v>486</v>
      </c>
      <c r="D321">
        <v>24</v>
      </c>
      <c r="E321">
        <v>789</v>
      </c>
      <c r="F321">
        <v>729</v>
      </c>
      <c r="G321" s="4">
        <f t="shared" si="4"/>
        <v>0.92395437262357416</v>
      </c>
    </row>
    <row r="322" spans="1:7">
      <c r="A322" t="s">
        <v>223</v>
      </c>
      <c r="B322">
        <v>10</v>
      </c>
      <c r="C322" t="s">
        <v>487</v>
      </c>
      <c r="D322">
        <v>25</v>
      </c>
      <c r="E322">
        <v>789</v>
      </c>
      <c r="F322">
        <v>734</v>
      </c>
      <c r="G322" s="4">
        <f t="shared" ref="G322:G385" si="5">F322/E322</f>
        <v>0.93029150823827633</v>
      </c>
    </row>
    <row r="323" spans="1:7">
      <c r="A323" t="s">
        <v>223</v>
      </c>
      <c r="B323">
        <v>10</v>
      </c>
      <c r="C323" t="s">
        <v>482</v>
      </c>
      <c r="D323">
        <v>26</v>
      </c>
      <c r="E323">
        <v>789</v>
      </c>
      <c r="F323">
        <v>737</v>
      </c>
      <c r="G323" s="4">
        <f t="shared" si="5"/>
        <v>0.93409378960709755</v>
      </c>
    </row>
    <row r="324" spans="1:7">
      <c r="A324" t="s">
        <v>223</v>
      </c>
      <c r="B324">
        <v>10</v>
      </c>
      <c r="C324" t="s">
        <v>483</v>
      </c>
      <c r="D324">
        <v>27</v>
      </c>
      <c r="E324">
        <v>789</v>
      </c>
      <c r="F324">
        <v>739</v>
      </c>
      <c r="G324" s="4">
        <f t="shared" si="5"/>
        <v>0.9366286438529785</v>
      </c>
    </row>
    <row r="325" spans="1:7">
      <c r="A325" t="s">
        <v>223</v>
      </c>
      <c r="B325">
        <v>10</v>
      </c>
      <c r="C325" t="s">
        <v>484</v>
      </c>
      <c r="D325">
        <v>28</v>
      </c>
      <c r="E325">
        <v>789</v>
      </c>
      <c r="F325">
        <v>740</v>
      </c>
      <c r="G325" s="4">
        <f t="shared" si="5"/>
        <v>0.93789607097591887</v>
      </c>
    </row>
    <row r="326" spans="1:7">
      <c r="A326" t="s">
        <v>223</v>
      </c>
      <c r="B326">
        <v>10</v>
      </c>
      <c r="C326" t="s">
        <v>485</v>
      </c>
      <c r="D326">
        <v>29</v>
      </c>
      <c r="E326">
        <v>789</v>
      </c>
      <c r="F326">
        <v>747</v>
      </c>
      <c r="G326" s="4">
        <f t="shared" si="5"/>
        <v>0.94676806083650189</v>
      </c>
    </row>
    <row r="327" spans="1:7">
      <c r="A327" t="s">
        <v>223</v>
      </c>
      <c r="B327">
        <v>10</v>
      </c>
      <c r="C327" t="s">
        <v>481</v>
      </c>
      <c r="D327">
        <v>30</v>
      </c>
      <c r="E327">
        <v>789</v>
      </c>
      <c r="F327">
        <v>752</v>
      </c>
      <c r="G327" s="4">
        <f t="shared" si="5"/>
        <v>0.95310519645120406</v>
      </c>
    </row>
    <row r="328" spans="1:7">
      <c r="A328" t="s">
        <v>223</v>
      </c>
      <c r="B328">
        <v>10</v>
      </c>
      <c r="C328" t="s">
        <v>488</v>
      </c>
      <c r="D328">
        <v>31</v>
      </c>
      <c r="E328">
        <v>789</v>
      </c>
      <c r="F328">
        <v>796</v>
      </c>
      <c r="G328" s="4">
        <f t="shared" si="5"/>
        <v>1.0088719898605829</v>
      </c>
    </row>
    <row r="329" spans="1:7">
      <c r="A329" t="s">
        <v>223</v>
      </c>
      <c r="B329">
        <v>10</v>
      </c>
      <c r="C329" t="s">
        <v>489</v>
      </c>
      <c r="D329">
        <v>32</v>
      </c>
      <c r="E329">
        <v>789</v>
      </c>
      <c r="F329">
        <v>802</v>
      </c>
      <c r="G329" s="4">
        <f t="shared" si="5"/>
        <v>1.0164765525982256</v>
      </c>
    </row>
    <row r="330" spans="1:7">
      <c r="A330" t="s">
        <v>224</v>
      </c>
      <c r="B330">
        <v>3</v>
      </c>
      <c r="C330" t="s">
        <v>343</v>
      </c>
      <c r="D330">
        <v>1</v>
      </c>
      <c r="E330">
        <v>20293</v>
      </c>
      <c r="F330">
        <v>19156</v>
      </c>
      <c r="G330" s="4">
        <f t="shared" si="5"/>
        <v>0.94397082737889915</v>
      </c>
    </row>
    <row r="331" spans="1:7">
      <c r="A331" t="s">
        <v>224</v>
      </c>
      <c r="B331">
        <v>3</v>
      </c>
      <c r="C331" t="s">
        <v>235</v>
      </c>
      <c r="D331">
        <v>2</v>
      </c>
      <c r="E331">
        <v>20293</v>
      </c>
      <c r="F331">
        <v>22041</v>
      </c>
      <c r="G331" s="4">
        <f t="shared" si="5"/>
        <v>1.0861380771694673</v>
      </c>
    </row>
    <row r="332" spans="1:7">
      <c r="A332" t="s">
        <v>225</v>
      </c>
      <c r="B332">
        <v>2</v>
      </c>
      <c r="C332" t="s">
        <v>211</v>
      </c>
      <c r="D332">
        <v>1</v>
      </c>
      <c r="E332">
        <v>2650</v>
      </c>
      <c r="F332">
        <v>494</v>
      </c>
      <c r="G332" s="4">
        <f t="shared" si="5"/>
        <v>0.18641509433962264</v>
      </c>
    </row>
    <row r="333" spans="1:7">
      <c r="A333" t="s">
        <v>225</v>
      </c>
      <c r="B333">
        <v>2</v>
      </c>
      <c r="C333" t="s">
        <v>490</v>
      </c>
      <c r="D333">
        <v>2</v>
      </c>
      <c r="E333">
        <v>2650</v>
      </c>
      <c r="F333">
        <v>495</v>
      </c>
      <c r="G333" s="4">
        <f t="shared" si="5"/>
        <v>0.18679245283018867</v>
      </c>
    </row>
    <row r="334" spans="1:7">
      <c r="A334" t="s">
        <v>225</v>
      </c>
      <c r="B334">
        <v>2</v>
      </c>
      <c r="C334" t="s">
        <v>491</v>
      </c>
      <c r="D334">
        <v>3</v>
      </c>
      <c r="E334">
        <v>2650</v>
      </c>
      <c r="F334">
        <v>570</v>
      </c>
      <c r="G334" s="4">
        <f t="shared" si="5"/>
        <v>0.21509433962264152</v>
      </c>
    </row>
    <row r="335" spans="1:7">
      <c r="A335" t="s">
        <v>225</v>
      </c>
      <c r="B335">
        <v>2</v>
      </c>
      <c r="C335" t="s">
        <v>492</v>
      </c>
      <c r="D335">
        <v>4</v>
      </c>
      <c r="E335">
        <v>2650</v>
      </c>
      <c r="F335">
        <v>602</v>
      </c>
      <c r="G335" s="4">
        <f t="shared" si="5"/>
        <v>0.22716981132075473</v>
      </c>
    </row>
    <row r="336" spans="1:7">
      <c r="A336" t="s">
        <v>225</v>
      </c>
      <c r="B336">
        <v>2</v>
      </c>
      <c r="C336" t="s">
        <v>493</v>
      </c>
      <c r="D336">
        <v>5</v>
      </c>
      <c r="E336">
        <v>2650</v>
      </c>
      <c r="F336">
        <v>665</v>
      </c>
      <c r="G336" s="4">
        <f t="shared" si="5"/>
        <v>0.25094339622641509</v>
      </c>
    </row>
    <row r="337" spans="1:7">
      <c r="A337" t="s">
        <v>225</v>
      </c>
      <c r="B337">
        <v>2</v>
      </c>
      <c r="C337" t="s">
        <v>495</v>
      </c>
      <c r="D337">
        <v>6</v>
      </c>
      <c r="E337">
        <v>2650</v>
      </c>
      <c r="F337">
        <v>703</v>
      </c>
      <c r="G337" s="4">
        <f t="shared" si="5"/>
        <v>0.26528301886792455</v>
      </c>
    </row>
    <row r="338" spans="1:7">
      <c r="A338" t="s">
        <v>225</v>
      </c>
      <c r="B338">
        <v>2</v>
      </c>
      <c r="C338" t="s">
        <v>494</v>
      </c>
      <c r="D338">
        <v>7</v>
      </c>
      <c r="E338">
        <v>2650</v>
      </c>
      <c r="F338">
        <v>741</v>
      </c>
      <c r="G338" s="4">
        <f t="shared" si="5"/>
        <v>0.27962264150943394</v>
      </c>
    </row>
    <row r="339" spans="1:7">
      <c r="A339" t="s">
        <v>225</v>
      </c>
      <c r="B339">
        <v>2</v>
      </c>
      <c r="C339" t="s">
        <v>496</v>
      </c>
      <c r="D339">
        <v>8</v>
      </c>
      <c r="E339">
        <v>2650</v>
      </c>
      <c r="F339">
        <v>791</v>
      </c>
      <c r="G339" s="4">
        <f t="shared" si="5"/>
        <v>0.29849056603773583</v>
      </c>
    </row>
    <row r="340" spans="1:7">
      <c r="A340" t="s">
        <v>225</v>
      </c>
      <c r="B340">
        <v>2</v>
      </c>
      <c r="C340" t="s">
        <v>497</v>
      </c>
      <c r="D340">
        <v>9</v>
      </c>
      <c r="E340">
        <v>2650</v>
      </c>
      <c r="F340">
        <v>799</v>
      </c>
      <c r="G340" s="4">
        <f t="shared" si="5"/>
        <v>0.30150943396226415</v>
      </c>
    </row>
    <row r="341" spans="1:7">
      <c r="A341" t="s">
        <v>225</v>
      </c>
      <c r="B341">
        <v>2</v>
      </c>
      <c r="C341" t="s">
        <v>498</v>
      </c>
      <c r="D341">
        <v>10</v>
      </c>
      <c r="E341">
        <v>2650</v>
      </c>
      <c r="F341">
        <v>801</v>
      </c>
      <c r="G341" s="4">
        <f t="shared" si="5"/>
        <v>0.3022641509433962</v>
      </c>
    </row>
    <row r="342" spans="1:7">
      <c r="A342" t="s">
        <v>225</v>
      </c>
      <c r="B342">
        <v>2</v>
      </c>
      <c r="C342" t="s">
        <v>499</v>
      </c>
      <c r="D342">
        <v>11</v>
      </c>
      <c r="E342">
        <v>2650</v>
      </c>
      <c r="F342">
        <v>887</v>
      </c>
      <c r="G342" s="4">
        <f t="shared" si="5"/>
        <v>0.33471698113207549</v>
      </c>
    </row>
    <row r="343" spans="1:7">
      <c r="A343" t="s">
        <v>225</v>
      </c>
      <c r="B343">
        <v>2</v>
      </c>
      <c r="C343" t="s">
        <v>500</v>
      </c>
      <c r="D343">
        <v>12</v>
      </c>
      <c r="E343">
        <v>2650</v>
      </c>
      <c r="F343">
        <v>959</v>
      </c>
      <c r="G343" s="4">
        <f t="shared" si="5"/>
        <v>0.36188679245283017</v>
      </c>
    </row>
    <row r="344" spans="1:7">
      <c r="A344" t="s">
        <v>225</v>
      </c>
      <c r="B344">
        <v>2</v>
      </c>
      <c r="C344" t="s">
        <v>501</v>
      </c>
      <c r="D344">
        <v>13</v>
      </c>
      <c r="E344">
        <v>2650</v>
      </c>
      <c r="F344">
        <v>1045</v>
      </c>
      <c r="G344" s="4">
        <f t="shared" si="5"/>
        <v>0.39433962264150946</v>
      </c>
    </row>
    <row r="345" spans="1:7">
      <c r="A345" t="s">
        <v>225</v>
      </c>
      <c r="B345">
        <v>2</v>
      </c>
      <c r="C345" t="s">
        <v>502</v>
      </c>
      <c r="D345">
        <v>14</v>
      </c>
      <c r="E345">
        <v>2650</v>
      </c>
      <c r="F345">
        <v>1184</v>
      </c>
      <c r="G345" s="4">
        <f t="shared" si="5"/>
        <v>0.4467924528301887</v>
      </c>
    </row>
    <row r="346" spans="1:7">
      <c r="A346" t="s">
        <v>225</v>
      </c>
      <c r="B346">
        <v>3</v>
      </c>
      <c r="C346" t="s">
        <v>439</v>
      </c>
      <c r="D346">
        <v>1</v>
      </c>
      <c r="E346">
        <v>6991</v>
      </c>
      <c r="F346">
        <v>534</v>
      </c>
      <c r="G346" s="4">
        <f t="shared" si="5"/>
        <v>7.638392218566728E-2</v>
      </c>
    </row>
    <row r="347" spans="1:7">
      <c r="A347" t="s">
        <v>225</v>
      </c>
      <c r="B347">
        <v>3</v>
      </c>
      <c r="C347" t="s">
        <v>504</v>
      </c>
      <c r="D347">
        <v>2</v>
      </c>
      <c r="E347">
        <v>6991</v>
      </c>
      <c r="F347">
        <v>1722</v>
      </c>
      <c r="G347" s="4">
        <f t="shared" si="5"/>
        <v>0.24631669289085967</v>
      </c>
    </row>
    <row r="348" spans="1:7">
      <c r="A348" t="s">
        <v>225</v>
      </c>
      <c r="B348">
        <v>3</v>
      </c>
      <c r="C348" t="s">
        <v>505</v>
      </c>
      <c r="D348">
        <v>3</v>
      </c>
      <c r="E348">
        <v>6991</v>
      </c>
      <c r="F348">
        <v>1723</v>
      </c>
      <c r="G348" s="4">
        <f t="shared" si="5"/>
        <v>0.24645973394364182</v>
      </c>
    </row>
    <row r="349" spans="1:7">
      <c r="A349" t="s">
        <v>225</v>
      </c>
      <c r="B349">
        <v>3</v>
      </c>
      <c r="C349" t="s">
        <v>503</v>
      </c>
      <c r="D349">
        <v>4</v>
      </c>
      <c r="E349">
        <v>6991</v>
      </c>
      <c r="F349">
        <v>2154</v>
      </c>
      <c r="G349" s="4">
        <f t="shared" si="5"/>
        <v>0.30811042769274782</v>
      </c>
    </row>
    <row r="350" spans="1:7">
      <c r="A350" t="s">
        <v>225</v>
      </c>
      <c r="B350">
        <v>3</v>
      </c>
      <c r="C350" t="s">
        <v>506</v>
      </c>
      <c r="D350">
        <v>5</v>
      </c>
      <c r="E350">
        <v>6991</v>
      </c>
      <c r="F350">
        <v>2481</v>
      </c>
      <c r="G350" s="4">
        <f t="shared" si="5"/>
        <v>0.35488485195251035</v>
      </c>
    </row>
    <row r="351" spans="1:7">
      <c r="A351" t="s">
        <v>225</v>
      </c>
      <c r="B351">
        <v>3</v>
      </c>
      <c r="C351" t="s">
        <v>507</v>
      </c>
      <c r="D351">
        <v>6</v>
      </c>
      <c r="E351">
        <v>6991</v>
      </c>
      <c r="F351">
        <v>4046</v>
      </c>
      <c r="G351" s="4">
        <f t="shared" si="5"/>
        <v>0.57874409955657269</v>
      </c>
    </row>
    <row r="352" spans="1:7">
      <c r="A352" t="s">
        <v>225</v>
      </c>
      <c r="B352">
        <v>4</v>
      </c>
      <c r="C352" t="s">
        <v>439</v>
      </c>
      <c r="D352">
        <v>1</v>
      </c>
      <c r="E352">
        <v>17999</v>
      </c>
      <c r="F352">
        <v>563</v>
      </c>
      <c r="G352" s="4">
        <f t="shared" si="5"/>
        <v>3.1279515528640479E-2</v>
      </c>
    </row>
    <row r="353" spans="1:7">
      <c r="A353" t="s">
        <v>225</v>
      </c>
      <c r="B353">
        <v>4</v>
      </c>
      <c r="C353" t="s">
        <v>508</v>
      </c>
      <c r="D353">
        <v>2</v>
      </c>
      <c r="E353">
        <v>17999</v>
      </c>
      <c r="F353">
        <v>1665</v>
      </c>
      <c r="G353" s="4">
        <f t="shared" si="5"/>
        <v>9.2505139174398579E-2</v>
      </c>
    </row>
    <row r="354" spans="1:7">
      <c r="A354" t="s">
        <v>225</v>
      </c>
      <c r="B354">
        <v>4</v>
      </c>
      <c r="C354" t="s">
        <v>505</v>
      </c>
      <c r="D354">
        <v>3</v>
      </c>
      <c r="E354">
        <v>17999</v>
      </c>
      <c r="F354">
        <v>1786</v>
      </c>
      <c r="G354" s="4">
        <f t="shared" si="5"/>
        <v>9.9227734874159673E-2</v>
      </c>
    </row>
    <row r="355" spans="1:7">
      <c r="A355" t="s">
        <v>225</v>
      </c>
      <c r="B355">
        <v>4</v>
      </c>
      <c r="C355" t="s">
        <v>504</v>
      </c>
      <c r="D355">
        <v>4</v>
      </c>
      <c r="E355">
        <v>17999</v>
      </c>
      <c r="F355">
        <v>2438</v>
      </c>
      <c r="G355" s="4">
        <f t="shared" si="5"/>
        <v>0.1354519695538641</v>
      </c>
    </row>
    <row r="356" spans="1:7">
      <c r="A356" t="s">
        <v>225</v>
      </c>
      <c r="B356">
        <v>4</v>
      </c>
      <c r="C356" t="s">
        <v>506</v>
      </c>
      <c r="D356">
        <v>5</v>
      </c>
      <c r="E356">
        <v>17999</v>
      </c>
      <c r="F356">
        <v>3197</v>
      </c>
      <c r="G356" s="4">
        <f t="shared" si="5"/>
        <v>0.17762097894327464</v>
      </c>
    </row>
    <row r="357" spans="1:7">
      <c r="A357" t="s">
        <v>225</v>
      </c>
      <c r="B357">
        <v>4</v>
      </c>
      <c r="C357" t="s">
        <v>507</v>
      </c>
      <c r="D357">
        <v>6</v>
      </c>
      <c r="E357">
        <v>17999</v>
      </c>
      <c r="F357">
        <v>3364</v>
      </c>
      <c r="G357" s="4">
        <f t="shared" si="5"/>
        <v>0.18689927218178787</v>
      </c>
    </row>
    <row r="358" spans="1:7">
      <c r="A358" t="s">
        <v>225</v>
      </c>
      <c r="B358">
        <v>4</v>
      </c>
      <c r="C358" t="s">
        <v>509</v>
      </c>
      <c r="D358">
        <v>7</v>
      </c>
      <c r="E358">
        <v>17999</v>
      </c>
      <c r="F358">
        <v>3945</v>
      </c>
      <c r="G358" s="4">
        <f t="shared" si="5"/>
        <v>0.2191788432690705</v>
      </c>
    </row>
    <row r="359" spans="1:7">
      <c r="A359" t="s">
        <v>225</v>
      </c>
      <c r="B359">
        <v>4</v>
      </c>
      <c r="C359" t="s">
        <v>510</v>
      </c>
      <c r="D359">
        <v>8</v>
      </c>
      <c r="E359">
        <v>17999</v>
      </c>
      <c r="F359">
        <v>4232</v>
      </c>
      <c r="G359" s="4">
        <f t="shared" si="5"/>
        <v>0.23512417356519807</v>
      </c>
    </row>
    <row r="360" spans="1:7">
      <c r="A360" t="s">
        <v>225</v>
      </c>
      <c r="B360">
        <v>4</v>
      </c>
      <c r="C360" t="s">
        <v>511</v>
      </c>
      <c r="D360">
        <v>9</v>
      </c>
      <c r="E360">
        <v>17999</v>
      </c>
      <c r="F360">
        <v>4648</v>
      </c>
      <c r="G360" s="4">
        <f t="shared" si="5"/>
        <v>0.258236568698261</v>
      </c>
    </row>
    <row r="361" spans="1:7">
      <c r="A361" t="s">
        <v>225</v>
      </c>
      <c r="B361">
        <v>5</v>
      </c>
      <c r="C361" t="s">
        <v>203</v>
      </c>
      <c r="D361">
        <v>1</v>
      </c>
      <c r="E361">
        <v>686</v>
      </c>
      <c r="F361">
        <v>370</v>
      </c>
      <c r="G361" s="4">
        <f t="shared" si="5"/>
        <v>0.53935860058309038</v>
      </c>
    </row>
    <row r="362" spans="1:7">
      <c r="A362" t="s">
        <v>225</v>
      </c>
      <c r="B362">
        <v>5</v>
      </c>
      <c r="C362" t="s">
        <v>179</v>
      </c>
      <c r="D362">
        <v>2</v>
      </c>
      <c r="E362">
        <v>686</v>
      </c>
      <c r="F362">
        <v>517</v>
      </c>
      <c r="G362" s="4">
        <f t="shared" si="5"/>
        <v>0.75364431486880468</v>
      </c>
    </row>
    <row r="363" spans="1:7">
      <c r="A363" t="s">
        <v>225</v>
      </c>
      <c r="B363">
        <v>5</v>
      </c>
      <c r="C363" t="s">
        <v>204</v>
      </c>
      <c r="D363">
        <v>3</v>
      </c>
      <c r="E363">
        <v>686</v>
      </c>
      <c r="F363">
        <v>564</v>
      </c>
      <c r="G363" s="4">
        <f t="shared" si="5"/>
        <v>0.82215743440233235</v>
      </c>
    </row>
    <row r="364" spans="1:7">
      <c r="A364" t="s">
        <v>225</v>
      </c>
      <c r="B364">
        <v>5</v>
      </c>
      <c r="C364" t="s">
        <v>215</v>
      </c>
      <c r="D364">
        <v>4</v>
      </c>
      <c r="E364">
        <v>686</v>
      </c>
      <c r="F364">
        <v>599</v>
      </c>
      <c r="G364" s="4">
        <f t="shared" si="5"/>
        <v>0.87317784256559772</v>
      </c>
    </row>
    <row r="365" spans="1:7">
      <c r="A365" t="s">
        <v>225</v>
      </c>
      <c r="B365">
        <v>5</v>
      </c>
      <c r="C365" t="s">
        <v>443</v>
      </c>
      <c r="D365">
        <v>5</v>
      </c>
      <c r="E365">
        <v>686</v>
      </c>
      <c r="F365">
        <v>638</v>
      </c>
      <c r="G365" s="4">
        <f t="shared" si="5"/>
        <v>0.93002915451895041</v>
      </c>
    </row>
    <row r="366" spans="1:7">
      <c r="A366" t="s">
        <v>225</v>
      </c>
      <c r="B366">
        <v>5</v>
      </c>
      <c r="C366" t="s">
        <v>512</v>
      </c>
      <c r="D366">
        <v>6</v>
      </c>
      <c r="E366">
        <v>686</v>
      </c>
      <c r="F366">
        <v>686</v>
      </c>
      <c r="G366" s="4">
        <f t="shared" si="5"/>
        <v>1</v>
      </c>
    </row>
    <row r="367" spans="1:7">
      <c r="A367" t="s">
        <v>225</v>
      </c>
      <c r="B367">
        <v>6</v>
      </c>
      <c r="C367" t="s">
        <v>515</v>
      </c>
      <c r="D367">
        <v>1</v>
      </c>
      <c r="E367">
        <v>727</v>
      </c>
      <c r="F367">
        <v>92</v>
      </c>
      <c r="G367" s="4">
        <f t="shared" si="5"/>
        <v>0.12654745529573591</v>
      </c>
    </row>
    <row r="368" spans="1:7">
      <c r="A368" t="s">
        <v>225</v>
      </c>
      <c r="B368">
        <v>6</v>
      </c>
      <c r="C368" t="s">
        <v>513</v>
      </c>
      <c r="D368">
        <v>2</v>
      </c>
      <c r="E368">
        <v>727</v>
      </c>
      <c r="F368">
        <v>235</v>
      </c>
      <c r="G368" s="4">
        <f t="shared" si="5"/>
        <v>0.32324621733149933</v>
      </c>
    </row>
    <row r="369" spans="1:7">
      <c r="A369" t="s">
        <v>225</v>
      </c>
      <c r="B369">
        <v>6</v>
      </c>
      <c r="C369" t="s">
        <v>514</v>
      </c>
      <c r="D369">
        <v>3</v>
      </c>
      <c r="E369">
        <v>727</v>
      </c>
      <c r="F369">
        <v>329</v>
      </c>
      <c r="G369" s="4">
        <f t="shared" si="5"/>
        <v>0.45254470426409904</v>
      </c>
    </row>
    <row r="370" spans="1:7">
      <c r="A370" t="s">
        <v>225</v>
      </c>
      <c r="B370">
        <v>6</v>
      </c>
      <c r="C370" t="s">
        <v>521</v>
      </c>
      <c r="D370">
        <v>4</v>
      </c>
      <c r="E370">
        <v>727</v>
      </c>
      <c r="F370">
        <v>402</v>
      </c>
      <c r="G370" s="4">
        <f t="shared" si="5"/>
        <v>0.55295735900962861</v>
      </c>
    </row>
    <row r="371" spans="1:7">
      <c r="A371" t="s">
        <v>225</v>
      </c>
      <c r="B371">
        <v>6</v>
      </c>
      <c r="C371" t="s">
        <v>518</v>
      </c>
      <c r="D371">
        <v>5</v>
      </c>
      <c r="E371">
        <v>727</v>
      </c>
      <c r="F371">
        <v>465</v>
      </c>
      <c r="G371" s="4">
        <f t="shared" si="5"/>
        <v>0.63961485557083908</v>
      </c>
    </row>
    <row r="372" spans="1:7">
      <c r="A372" t="s">
        <v>225</v>
      </c>
      <c r="B372">
        <v>6</v>
      </c>
      <c r="C372" t="s">
        <v>519</v>
      </c>
      <c r="D372">
        <v>6</v>
      </c>
      <c r="E372">
        <v>727</v>
      </c>
      <c r="F372">
        <v>566</v>
      </c>
      <c r="G372" s="4">
        <f t="shared" si="5"/>
        <v>0.77854195323246222</v>
      </c>
    </row>
    <row r="373" spans="1:7">
      <c r="A373" t="s">
        <v>225</v>
      </c>
      <c r="B373">
        <v>6</v>
      </c>
      <c r="C373" t="s">
        <v>520</v>
      </c>
      <c r="D373">
        <v>7</v>
      </c>
      <c r="E373">
        <v>727</v>
      </c>
      <c r="F373">
        <v>653</v>
      </c>
      <c r="G373" s="4">
        <f t="shared" si="5"/>
        <v>0.8982118294360385</v>
      </c>
    </row>
    <row r="374" spans="1:7">
      <c r="A374" t="s">
        <v>225</v>
      </c>
      <c r="B374">
        <v>6</v>
      </c>
      <c r="C374" t="s">
        <v>516</v>
      </c>
      <c r="D374">
        <v>8</v>
      </c>
      <c r="E374">
        <v>727</v>
      </c>
      <c r="F374">
        <v>1026</v>
      </c>
      <c r="G374" s="4">
        <f t="shared" si="5"/>
        <v>1.4112792297111416</v>
      </c>
    </row>
    <row r="375" spans="1:7">
      <c r="A375" t="s">
        <v>225</v>
      </c>
      <c r="B375">
        <v>6</v>
      </c>
      <c r="C375" t="s">
        <v>522</v>
      </c>
      <c r="D375">
        <v>9</v>
      </c>
      <c r="E375">
        <v>727</v>
      </c>
      <c r="F375">
        <v>1361</v>
      </c>
      <c r="G375" s="4">
        <f t="shared" si="5"/>
        <v>1.8720770288858322</v>
      </c>
    </row>
    <row r="376" spans="1:7">
      <c r="A376" t="s">
        <v>225</v>
      </c>
      <c r="B376">
        <v>6</v>
      </c>
      <c r="C376" t="s">
        <v>517</v>
      </c>
      <c r="D376">
        <v>10</v>
      </c>
      <c r="E376">
        <v>727</v>
      </c>
      <c r="F376">
        <v>1791</v>
      </c>
      <c r="G376" s="4">
        <f t="shared" si="5"/>
        <v>2.4635488308115545</v>
      </c>
    </row>
    <row r="377" spans="1:7">
      <c r="A377" t="s">
        <v>225</v>
      </c>
      <c r="B377">
        <v>7</v>
      </c>
      <c r="C377" t="s">
        <v>528</v>
      </c>
      <c r="D377">
        <v>1</v>
      </c>
      <c r="E377">
        <v>2501</v>
      </c>
      <c r="F377">
        <v>715</v>
      </c>
      <c r="G377" s="4">
        <f t="shared" si="5"/>
        <v>0.28588564574170333</v>
      </c>
    </row>
    <row r="378" spans="1:7">
      <c r="A378" t="s">
        <v>225</v>
      </c>
      <c r="B378">
        <v>7</v>
      </c>
      <c r="C378" t="s">
        <v>525</v>
      </c>
      <c r="D378">
        <v>2</v>
      </c>
      <c r="E378">
        <v>2501</v>
      </c>
      <c r="F378">
        <v>718</v>
      </c>
      <c r="G378" s="4">
        <f t="shared" si="5"/>
        <v>0.28708516593362654</v>
      </c>
    </row>
    <row r="379" spans="1:7">
      <c r="A379" t="s">
        <v>225</v>
      </c>
      <c r="B379">
        <v>7</v>
      </c>
      <c r="C379" t="s">
        <v>523</v>
      </c>
      <c r="D379">
        <v>3</v>
      </c>
      <c r="E379">
        <v>2501</v>
      </c>
      <c r="F379">
        <v>745</v>
      </c>
      <c r="G379" s="4">
        <f t="shared" si="5"/>
        <v>0.29788084766093564</v>
      </c>
    </row>
    <row r="380" spans="1:7">
      <c r="A380" t="s">
        <v>225</v>
      </c>
      <c r="B380">
        <v>7</v>
      </c>
      <c r="C380" t="s">
        <v>526</v>
      </c>
      <c r="D380">
        <v>4</v>
      </c>
      <c r="E380">
        <v>2501</v>
      </c>
      <c r="F380">
        <v>753</v>
      </c>
      <c r="G380" s="4">
        <f t="shared" si="5"/>
        <v>0.3010795681727309</v>
      </c>
    </row>
    <row r="381" spans="1:7">
      <c r="A381" t="s">
        <v>225</v>
      </c>
      <c r="B381">
        <v>7</v>
      </c>
      <c r="C381" t="s">
        <v>524</v>
      </c>
      <c r="D381">
        <v>5</v>
      </c>
      <c r="E381">
        <v>2501</v>
      </c>
      <c r="F381">
        <v>784</v>
      </c>
      <c r="G381" s="4">
        <f t="shared" si="5"/>
        <v>0.31347461015593764</v>
      </c>
    </row>
    <row r="382" spans="1:7">
      <c r="A382" t="s">
        <v>225</v>
      </c>
      <c r="B382">
        <v>7</v>
      </c>
      <c r="C382" t="s">
        <v>527</v>
      </c>
      <c r="D382">
        <v>6</v>
      </c>
      <c r="E382">
        <v>2501</v>
      </c>
      <c r="F382">
        <v>786</v>
      </c>
      <c r="G382" s="4">
        <f t="shared" si="5"/>
        <v>0.31427429028388643</v>
      </c>
    </row>
    <row r="383" spans="1:7">
      <c r="A383" t="s">
        <v>225</v>
      </c>
      <c r="B383">
        <v>7</v>
      </c>
      <c r="C383" t="s">
        <v>529</v>
      </c>
      <c r="D383">
        <v>7</v>
      </c>
      <c r="E383">
        <v>2501</v>
      </c>
      <c r="F383">
        <v>799</v>
      </c>
      <c r="G383" s="4">
        <f t="shared" si="5"/>
        <v>0.31947221111555379</v>
      </c>
    </row>
    <row r="384" spans="1:7">
      <c r="A384" t="s">
        <v>225</v>
      </c>
      <c r="B384">
        <v>7</v>
      </c>
      <c r="C384" t="s">
        <v>530</v>
      </c>
      <c r="D384">
        <v>8</v>
      </c>
      <c r="E384">
        <v>2501</v>
      </c>
      <c r="F384">
        <v>860</v>
      </c>
      <c r="G384" s="4">
        <f t="shared" si="5"/>
        <v>0.34386245501799279</v>
      </c>
    </row>
    <row r="385" spans="1:7">
      <c r="A385" t="s">
        <v>225</v>
      </c>
      <c r="B385">
        <v>7</v>
      </c>
      <c r="C385" t="s">
        <v>531</v>
      </c>
      <c r="D385">
        <v>9</v>
      </c>
      <c r="E385">
        <v>2501</v>
      </c>
      <c r="F385">
        <v>988</v>
      </c>
      <c r="G385" s="4">
        <f t="shared" si="5"/>
        <v>0.3950419832067173</v>
      </c>
    </row>
    <row r="386" spans="1:7">
      <c r="A386" t="s">
        <v>225</v>
      </c>
      <c r="B386">
        <v>7</v>
      </c>
      <c r="C386" t="s">
        <v>532</v>
      </c>
      <c r="D386">
        <v>10</v>
      </c>
      <c r="E386">
        <v>2501</v>
      </c>
      <c r="F386">
        <v>1097</v>
      </c>
      <c r="G386" s="4">
        <f t="shared" ref="G386:G449" si="6">F386/E386</f>
        <v>0.43862455017992802</v>
      </c>
    </row>
    <row r="387" spans="1:7">
      <c r="A387" t="s">
        <v>225</v>
      </c>
      <c r="B387">
        <v>8</v>
      </c>
      <c r="C387" t="s">
        <v>439</v>
      </c>
      <c r="D387">
        <v>1</v>
      </c>
      <c r="E387">
        <v>7197</v>
      </c>
      <c r="F387">
        <v>537</v>
      </c>
      <c r="G387" s="4">
        <f t="shared" si="6"/>
        <v>7.4614422676115053E-2</v>
      </c>
    </row>
    <row r="388" spans="1:7">
      <c r="A388" t="s">
        <v>225</v>
      </c>
      <c r="B388">
        <v>8</v>
      </c>
      <c r="C388" t="s">
        <v>533</v>
      </c>
      <c r="D388">
        <v>2</v>
      </c>
      <c r="E388">
        <v>7197</v>
      </c>
      <c r="F388">
        <v>1491</v>
      </c>
      <c r="G388" s="4">
        <f t="shared" si="6"/>
        <v>0.20716965402250939</v>
      </c>
    </row>
    <row r="389" spans="1:7">
      <c r="A389" t="s">
        <v>225</v>
      </c>
      <c r="B389">
        <v>8</v>
      </c>
      <c r="C389" t="s">
        <v>505</v>
      </c>
      <c r="D389">
        <v>3</v>
      </c>
      <c r="E389">
        <v>7197</v>
      </c>
      <c r="F389">
        <v>1596</v>
      </c>
      <c r="G389" s="4">
        <f t="shared" si="6"/>
        <v>0.22175906627761569</v>
      </c>
    </row>
    <row r="390" spans="1:7">
      <c r="A390" t="s">
        <v>225</v>
      </c>
      <c r="B390">
        <v>8</v>
      </c>
      <c r="C390" t="s">
        <v>534</v>
      </c>
      <c r="D390">
        <v>4</v>
      </c>
      <c r="E390">
        <v>7197</v>
      </c>
      <c r="F390">
        <v>1802</v>
      </c>
      <c r="G390" s="4">
        <f t="shared" si="6"/>
        <v>0.25038210365430041</v>
      </c>
    </row>
    <row r="391" spans="1:7">
      <c r="A391" t="s">
        <v>225</v>
      </c>
      <c r="B391">
        <v>8</v>
      </c>
      <c r="C391" t="s">
        <v>535</v>
      </c>
      <c r="D391">
        <v>5</v>
      </c>
      <c r="E391">
        <v>7197</v>
      </c>
      <c r="F391">
        <v>2016</v>
      </c>
      <c r="G391" s="4">
        <f t="shared" si="6"/>
        <v>0.28011671529804083</v>
      </c>
    </row>
    <row r="392" spans="1:7">
      <c r="A392" t="s">
        <v>225</v>
      </c>
      <c r="B392">
        <v>8</v>
      </c>
      <c r="C392" t="s">
        <v>536</v>
      </c>
      <c r="D392">
        <v>6</v>
      </c>
      <c r="E392">
        <v>7197</v>
      </c>
      <c r="F392">
        <v>3969</v>
      </c>
      <c r="G392" s="4">
        <f t="shared" si="6"/>
        <v>0.55147978324301794</v>
      </c>
    </row>
    <row r="393" spans="1:7">
      <c r="A393" t="s">
        <v>225</v>
      </c>
      <c r="B393">
        <v>9</v>
      </c>
      <c r="C393" t="s">
        <v>439</v>
      </c>
      <c r="D393">
        <v>1</v>
      </c>
      <c r="E393">
        <v>16175</v>
      </c>
      <c r="F393">
        <v>549</v>
      </c>
      <c r="G393" s="4">
        <f t="shared" si="6"/>
        <v>3.3941267387944361E-2</v>
      </c>
    </row>
    <row r="394" spans="1:7">
      <c r="A394" t="s">
        <v>225</v>
      </c>
      <c r="B394">
        <v>9</v>
      </c>
      <c r="C394" t="s">
        <v>537</v>
      </c>
      <c r="D394">
        <v>2</v>
      </c>
      <c r="E394">
        <v>16175</v>
      </c>
      <c r="F394">
        <v>1677</v>
      </c>
      <c r="G394" s="4">
        <f t="shared" si="6"/>
        <v>0.10367851622874807</v>
      </c>
    </row>
    <row r="395" spans="1:7">
      <c r="A395" t="s">
        <v>225</v>
      </c>
      <c r="B395">
        <v>9</v>
      </c>
      <c r="C395" t="s">
        <v>534</v>
      </c>
      <c r="D395">
        <v>3</v>
      </c>
      <c r="E395">
        <v>16175</v>
      </c>
      <c r="F395">
        <v>1873</v>
      </c>
      <c r="G395" s="4">
        <f t="shared" si="6"/>
        <v>0.11579598145285935</v>
      </c>
    </row>
    <row r="396" spans="1:7">
      <c r="A396" t="s">
        <v>225</v>
      </c>
      <c r="B396">
        <v>9</v>
      </c>
      <c r="C396" t="s">
        <v>535</v>
      </c>
      <c r="D396">
        <v>4</v>
      </c>
      <c r="E396">
        <v>16175</v>
      </c>
      <c r="F396">
        <v>2070</v>
      </c>
      <c r="G396" s="4">
        <f t="shared" si="6"/>
        <v>0.12797527047913446</v>
      </c>
    </row>
    <row r="397" spans="1:7">
      <c r="A397" t="s">
        <v>225</v>
      </c>
      <c r="B397">
        <v>9</v>
      </c>
      <c r="C397" t="s">
        <v>505</v>
      </c>
      <c r="D397">
        <v>5</v>
      </c>
      <c r="E397">
        <v>16175</v>
      </c>
      <c r="F397">
        <v>2314</v>
      </c>
      <c r="G397" s="4">
        <f t="shared" si="6"/>
        <v>0.14306027820710973</v>
      </c>
    </row>
    <row r="398" spans="1:7">
      <c r="A398" t="s">
        <v>225</v>
      </c>
      <c r="B398">
        <v>9</v>
      </c>
      <c r="C398" t="s">
        <v>538</v>
      </c>
      <c r="D398">
        <v>6</v>
      </c>
      <c r="E398">
        <v>16175</v>
      </c>
      <c r="F398">
        <v>3824</v>
      </c>
      <c r="G398" s="4">
        <f t="shared" si="6"/>
        <v>0.23641421947449767</v>
      </c>
    </row>
    <row r="399" spans="1:7">
      <c r="A399" t="s">
        <v>225</v>
      </c>
      <c r="B399">
        <v>9</v>
      </c>
      <c r="C399" t="s">
        <v>536</v>
      </c>
      <c r="D399">
        <v>7</v>
      </c>
      <c r="E399">
        <v>16175</v>
      </c>
      <c r="F399">
        <v>4097</v>
      </c>
      <c r="G399" s="4">
        <f t="shared" si="6"/>
        <v>0.25329211746522412</v>
      </c>
    </row>
    <row r="400" spans="1:7">
      <c r="A400" t="s">
        <v>225</v>
      </c>
      <c r="B400">
        <v>9</v>
      </c>
      <c r="C400" t="s">
        <v>539</v>
      </c>
      <c r="D400">
        <v>8</v>
      </c>
      <c r="E400">
        <v>16175</v>
      </c>
      <c r="F400">
        <v>4340</v>
      </c>
      <c r="G400" s="4">
        <f t="shared" si="6"/>
        <v>0.26831530139103554</v>
      </c>
    </row>
    <row r="401" spans="1:7">
      <c r="A401" t="s">
        <v>225</v>
      </c>
      <c r="B401">
        <v>9</v>
      </c>
      <c r="C401" t="s">
        <v>540</v>
      </c>
      <c r="D401">
        <v>9</v>
      </c>
      <c r="E401">
        <v>16175</v>
      </c>
      <c r="F401">
        <v>4600</v>
      </c>
      <c r="G401" s="4">
        <f t="shared" si="6"/>
        <v>0.28438948995363217</v>
      </c>
    </row>
    <row r="402" spans="1:7">
      <c r="A402" t="s">
        <v>225</v>
      </c>
      <c r="B402">
        <v>11</v>
      </c>
      <c r="C402" t="s">
        <v>2</v>
      </c>
      <c r="D402">
        <v>1</v>
      </c>
      <c r="E402">
        <v>4294</v>
      </c>
      <c r="F402">
        <v>278</v>
      </c>
      <c r="G402" s="4">
        <f t="shared" si="6"/>
        <v>6.4741499767116906E-2</v>
      </c>
    </row>
    <row r="403" spans="1:7">
      <c r="A403" t="s">
        <v>225</v>
      </c>
      <c r="B403">
        <v>11</v>
      </c>
      <c r="C403" t="s">
        <v>203</v>
      </c>
      <c r="D403">
        <v>2</v>
      </c>
      <c r="E403">
        <v>4294</v>
      </c>
      <c r="F403">
        <v>4937</v>
      </c>
      <c r="G403" s="4">
        <f t="shared" si="6"/>
        <v>1.1497438285980437</v>
      </c>
    </row>
    <row r="404" spans="1:7">
      <c r="A404" t="s">
        <v>225</v>
      </c>
      <c r="B404">
        <v>13</v>
      </c>
      <c r="C404" t="s">
        <v>203</v>
      </c>
      <c r="D404">
        <v>1</v>
      </c>
      <c r="E404">
        <v>17446</v>
      </c>
      <c r="F404">
        <v>1297</v>
      </c>
      <c r="G404" s="4">
        <f t="shared" si="6"/>
        <v>7.4343689097787463E-2</v>
      </c>
    </row>
    <row r="405" spans="1:7">
      <c r="A405" t="s">
        <v>225</v>
      </c>
      <c r="B405">
        <v>13</v>
      </c>
      <c r="C405" t="s">
        <v>179</v>
      </c>
      <c r="D405">
        <v>2</v>
      </c>
      <c r="E405">
        <v>17446</v>
      </c>
      <c r="F405">
        <v>1492</v>
      </c>
      <c r="G405" s="4">
        <f t="shared" si="6"/>
        <v>8.552103634070847E-2</v>
      </c>
    </row>
    <row r="406" spans="1:7">
      <c r="A406" t="s">
        <v>225</v>
      </c>
      <c r="B406">
        <v>13</v>
      </c>
      <c r="C406" t="s">
        <v>541</v>
      </c>
      <c r="D406">
        <v>3</v>
      </c>
      <c r="E406">
        <v>17446</v>
      </c>
      <c r="F406">
        <v>2243</v>
      </c>
      <c r="G406" s="4">
        <f t="shared" si="6"/>
        <v>0.1285681531583171</v>
      </c>
    </row>
    <row r="407" spans="1:7">
      <c r="A407" t="s">
        <v>225</v>
      </c>
      <c r="B407">
        <v>13</v>
      </c>
      <c r="C407" t="s">
        <v>204</v>
      </c>
      <c r="D407">
        <v>4</v>
      </c>
      <c r="E407">
        <v>17446</v>
      </c>
      <c r="F407">
        <v>17600</v>
      </c>
      <c r="G407" s="4">
        <f t="shared" si="6"/>
        <v>1.0088272383354351</v>
      </c>
    </row>
    <row r="408" spans="1:7">
      <c r="A408" t="s">
        <v>225</v>
      </c>
      <c r="B408">
        <v>14</v>
      </c>
      <c r="C408" t="s">
        <v>203</v>
      </c>
      <c r="D408">
        <v>1</v>
      </c>
      <c r="E408">
        <v>41505</v>
      </c>
      <c r="F408">
        <v>2109</v>
      </c>
      <c r="G408" s="4">
        <f t="shared" si="6"/>
        <v>5.081315504156126E-2</v>
      </c>
    </row>
    <row r="409" spans="1:7">
      <c r="A409" t="s">
        <v>225</v>
      </c>
      <c r="B409">
        <v>14</v>
      </c>
      <c r="C409" t="s">
        <v>541</v>
      </c>
      <c r="D409">
        <v>2</v>
      </c>
      <c r="E409">
        <v>41505</v>
      </c>
      <c r="F409">
        <v>2163</v>
      </c>
      <c r="G409" s="4">
        <f t="shared" si="6"/>
        <v>5.2114203108059268E-2</v>
      </c>
    </row>
    <row r="410" spans="1:7">
      <c r="A410" t="s">
        <v>225</v>
      </c>
      <c r="B410">
        <v>14</v>
      </c>
      <c r="C410" t="s">
        <v>179</v>
      </c>
      <c r="D410">
        <v>3</v>
      </c>
      <c r="E410">
        <v>41505</v>
      </c>
      <c r="F410">
        <v>2197</v>
      </c>
      <c r="G410" s="4">
        <f t="shared" si="6"/>
        <v>5.2933381520298757E-2</v>
      </c>
    </row>
    <row r="411" spans="1:7">
      <c r="A411" t="s">
        <v>225</v>
      </c>
      <c r="B411">
        <v>14</v>
      </c>
      <c r="C411" t="s">
        <v>686</v>
      </c>
      <c r="D411">
        <v>4</v>
      </c>
      <c r="E411">
        <v>41505</v>
      </c>
      <c r="F411">
        <v>18325</v>
      </c>
      <c r="G411" s="4">
        <f t="shared" si="6"/>
        <v>0.44151307071437174</v>
      </c>
    </row>
    <row r="412" spans="1:7">
      <c r="A412" t="s">
        <v>225</v>
      </c>
      <c r="B412">
        <v>14</v>
      </c>
      <c r="C412" t="s">
        <v>689</v>
      </c>
      <c r="D412">
        <v>5</v>
      </c>
      <c r="E412">
        <v>41505</v>
      </c>
      <c r="F412">
        <v>18327</v>
      </c>
      <c r="G412" s="4">
        <f t="shared" si="6"/>
        <v>0.44156125767979759</v>
      </c>
    </row>
    <row r="413" spans="1:7">
      <c r="A413" t="s">
        <v>225</v>
      </c>
      <c r="B413">
        <v>14</v>
      </c>
      <c r="C413" t="s">
        <v>687</v>
      </c>
      <c r="D413">
        <v>6</v>
      </c>
      <c r="E413">
        <v>41505</v>
      </c>
      <c r="F413">
        <v>18574</v>
      </c>
      <c r="G413" s="4">
        <f t="shared" si="6"/>
        <v>0.44751234790989036</v>
      </c>
    </row>
    <row r="414" spans="1:7">
      <c r="A414" t="s">
        <v>225</v>
      </c>
      <c r="B414">
        <v>14</v>
      </c>
      <c r="C414" t="s">
        <v>688</v>
      </c>
      <c r="D414">
        <v>7</v>
      </c>
      <c r="E414">
        <v>41505</v>
      </c>
      <c r="F414">
        <v>18741</v>
      </c>
      <c r="G414" s="4">
        <f t="shared" si="6"/>
        <v>0.45153595952294906</v>
      </c>
    </row>
    <row r="415" spans="1:7">
      <c r="A415" t="s">
        <v>225</v>
      </c>
      <c r="B415">
        <v>14</v>
      </c>
      <c r="C415" t="s">
        <v>690</v>
      </c>
      <c r="D415">
        <v>8</v>
      </c>
      <c r="E415">
        <v>41505</v>
      </c>
      <c r="F415">
        <v>19028</v>
      </c>
      <c r="G415" s="4">
        <f t="shared" si="6"/>
        <v>0.45845078906155884</v>
      </c>
    </row>
    <row r="416" spans="1:7">
      <c r="A416" t="s">
        <v>225</v>
      </c>
      <c r="B416">
        <v>14</v>
      </c>
      <c r="C416" t="s">
        <v>685</v>
      </c>
      <c r="D416">
        <v>9</v>
      </c>
      <c r="E416">
        <v>41505</v>
      </c>
      <c r="F416">
        <v>19178</v>
      </c>
      <c r="G416" s="4">
        <f t="shared" si="6"/>
        <v>0.46206481146849776</v>
      </c>
    </row>
    <row r="417" spans="1:7">
      <c r="A417" t="s">
        <v>225</v>
      </c>
      <c r="B417">
        <v>14</v>
      </c>
      <c r="C417" t="s">
        <v>691</v>
      </c>
      <c r="D417">
        <v>10</v>
      </c>
      <c r="E417">
        <v>41505</v>
      </c>
      <c r="F417">
        <v>32228</v>
      </c>
      <c r="G417" s="4">
        <f t="shared" si="6"/>
        <v>0.7764847608721841</v>
      </c>
    </row>
    <row r="418" spans="1:7">
      <c r="A418" t="s">
        <v>225</v>
      </c>
      <c r="B418">
        <v>14</v>
      </c>
      <c r="C418" t="s">
        <v>692</v>
      </c>
      <c r="D418">
        <v>11</v>
      </c>
      <c r="E418">
        <v>41505</v>
      </c>
      <c r="F418">
        <v>32646</v>
      </c>
      <c r="G418" s="4">
        <f t="shared" si="6"/>
        <v>0.78655583664618722</v>
      </c>
    </row>
    <row r="419" spans="1:7">
      <c r="A419" t="s">
        <v>225</v>
      </c>
      <c r="B419">
        <v>15</v>
      </c>
      <c r="C419" t="s">
        <v>203</v>
      </c>
      <c r="D419">
        <v>1</v>
      </c>
      <c r="E419">
        <v>12223</v>
      </c>
      <c r="F419">
        <v>747</v>
      </c>
      <c r="G419" s="4">
        <f t="shared" si="6"/>
        <v>6.1114292726826475E-2</v>
      </c>
    </row>
    <row r="420" spans="1:7">
      <c r="A420" t="s">
        <v>225</v>
      </c>
      <c r="B420">
        <v>15</v>
      </c>
      <c r="C420" t="s">
        <v>179</v>
      </c>
      <c r="D420">
        <v>2</v>
      </c>
      <c r="E420">
        <v>12223</v>
      </c>
      <c r="F420">
        <v>859</v>
      </c>
      <c r="G420" s="4">
        <f t="shared" si="6"/>
        <v>7.0277345987073553E-2</v>
      </c>
    </row>
    <row r="421" spans="1:7">
      <c r="A421" t="s">
        <v>225</v>
      </c>
      <c r="B421">
        <v>15</v>
      </c>
      <c r="C421" t="s">
        <v>541</v>
      </c>
      <c r="D421">
        <v>3</v>
      </c>
      <c r="E421">
        <v>12223</v>
      </c>
      <c r="F421">
        <v>1561</v>
      </c>
      <c r="G421" s="4">
        <f t="shared" si="6"/>
        <v>0.12771005481469361</v>
      </c>
    </row>
    <row r="422" spans="1:7">
      <c r="A422" t="s">
        <v>225</v>
      </c>
      <c r="B422">
        <v>15</v>
      </c>
      <c r="C422" t="s">
        <v>204</v>
      </c>
      <c r="D422">
        <v>4</v>
      </c>
      <c r="E422">
        <v>12223</v>
      </c>
      <c r="F422">
        <v>12905</v>
      </c>
      <c r="G422" s="4">
        <f t="shared" si="6"/>
        <v>1.0557964493168617</v>
      </c>
    </row>
    <row r="423" spans="1:7">
      <c r="A423" t="s">
        <v>225</v>
      </c>
      <c r="B423">
        <v>16</v>
      </c>
      <c r="C423" t="s">
        <v>203</v>
      </c>
      <c r="D423">
        <v>1</v>
      </c>
      <c r="E423">
        <v>22468</v>
      </c>
      <c r="F423">
        <v>929</v>
      </c>
      <c r="G423" s="4">
        <f t="shared" si="6"/>
        <v>4.1347694498842798E-2</v>
      </c>
    </row>
    <row r="424" spans="1:7">
      <c r="A424" t="s">
        <v>225</v>
      </c>
      <c r="B424">
        <v>16</v>
      </c>
      <c r="C424" t="s">
        <v>179</v>
      </c>
      <c r="D424">
        <v>2</v>
      </c>
      <c r="E424">
        <v>22468</v>
      </c>
      <c r="F424">
        <v>992</v>
      </c>
      <c r="G424" s="4">
        <f t="shared" si="6"/>
        <v>4.4151682392736334E-2</v>
      </c>
    </row>
    <row r="425" spans="1:7">
      <c r="A425" t="s">
        <v>225</v>
      </c>
      <c r="B425">
        <v>16</v>
      </c>
      <c r="C425" t="s">
        <v>541</v>
      </c>
      <c r="D425">
        <v>3</v>
      </c>
      <c r="E425">
        <v>22468</v>
      </c>
      <c r="F425">
        <v>1052</v>
      </c>
      <c r="G425" s="4">
        <f t="shared" si="6"/>
        <v>4.6822147053587324E-2</v>
      </c>
    </row>
    <row r="426" spans="1:7">
      <c r="A426" t="s">
        <v>225</v>
      </c>
      <c r="B426">
        <v>16</v>
      </c>
      <c r="C426" t="s">
        <v>204</v>
      </c>
      <c r="D426">
        <v>4</v>
      </c>
      <c r="E426">
        <v>22468</v>
      </c>
      <c r="F426">
        <v>22474</v>
      </c>
      <c r="G426" s="4">
        <f t="shared" si="6"/>
        <v>1.000267046466085</v>
      </c>
    </row>
    <row r="427" spans="1:7">
      <c r="A427" t="s">
        <v>225</v>
      </c>
      <c r="B427">
        <v>20</v>
      </c>
      <c r="C427" t="s">
        <v>203</v>
      </c>
      <c r="D427">
        <v>1</v>
      </c>
      <c r="E427">
        <v>1911</v>
      </c>
      <c r="F427">
        <v>1069</v>
      </c>
      <c r="G427" s="4">
        <f t="shared" si="6"/>
        <v>0.5593929879644165</v>
      </c>
    </row>
    <row r="428" spans="1:7">
      <c r="A428" t="s">
        <v>225</v>
      </c>
      <c r="B428">
        <v>20</v>
      </c>
      <c r="C428" t="s">
        <v>2</v>
      </c>
      <c r="D428">
        <v>2</v>
      </c>
      <c r="E428">
        <v>1911</v>
      </c>
      <c r="F428">
        <v>1087</v>
      </c>
      <c r="G428" s="4">
        <f t="shared" si="6"/>
        <v>0.56881214024071169</v>
      </c>
    </row>
    <row r="429" spans="1:7">
      <c r="A429" t="s">
        <v>225</v>
      </c>
      <c r="B429">
        <v>21</v>
      </c>
      <c r="C429" t="s">
        <v>203</v>
      </c>
      <c r="D429">
        <v>1</v>
      </c>
      <c r="E429">
        <v>7356</v>
      </c>
      <c r="F429">
        <v>3792</v>
      </c>
      <c r="G429" s="4">
        <f t="shared" si="6"/>
        <v>0.51549755301794453</v>
      </c>
    </row>
    <row r="430" spans="1:7">
      <c r="A430" t="s">
        <v>225</v>
      </c>
      <c r="B430">
        <v>21</v>
      </c>
      <c r="C430" t="s">
        <v>2</v>
      </c>
      <c r="D430">
        <v>2</v>
      </c>
      <c r="E430">
        <v>7356</v>
      </c>
      <c r="F430">
        <v>3813</v>
      </c>
      <c r="G430" s="4">
        <f t="shared" si="6"/>
        <v>0.51835236541598695</v>
      </c>
    </row>
    <row r="431" spans="1:7">
      <c r="A431" t="s">
        <v>227</v>
      </c>
      <c r="B431">
        <v>0</v>
      </c>
      <c r="C431" t="s">
        <v>2</v>
      </c>
      <c r="D431">
        <v>1</v>
      </c>
      <c r="E431">
        <v>148</v>
      </c>
      <c r="F431">
        <v>68</v>
      </c>
      <c r="G431" s="4">
        <f t="shared" si="6"/>
        <v>0.45945945945945948</v>
      </c>
    </row>
    <row r="432" spans="1:7">
      <c r="A432" t="s">
        <v>227</v>
      </c>
      <c r="B432">
        <v>0</v>
      </c>
      <c r="C432" t="s">
        <v>233</v>
      </c>
      <c r="D432">
        <v>2</v>
      </c>
      <c r="E432">
        <v>148</v>
      </c>
      <c r="F432">
        <v>110</v>
      </c>
      <c r="G432" s="4">
        <f t="shared" si="6"/>
        <v>0.7432432432432432</v>
      </c>
    </row>
    <row r="433" spans="1:7">
      <c r="A433" t="s">
        <v>227</v>
      </c>
      <c r="B433">
        <v>0</v>
      </c>
      <c r="C433" t="s">
        <v>234</v>
      </c>
      <c r="D433">
        <v>3</v>
      </c>
      <c r="E433">
        <v>148</v>
      </c>
      <c r="F433">
        <v>141</v>
      </c>
      <c r="G433" s="4">
        <f t="shared" si="6"/>
        <v>0.95270270270270274</v>
      </c>
    </row>
    <row r="434" spans="1:7">
      <c r="A434" t="s">
        <v>227</v>
      </c>
      <c r="B434">
        <v>0</v>
      </c>
      <c r="C434" t="s">
        <v>0</v>
      </c>
      <c r="D434">
        <v>4</v>
      </c>
      <c r="E434">
        <v>148</v>
      </c>
      <c r="F434">
        <v>763</v>
      </c>
      <c r="G434" s="4">
        <f t="shared" si="6"/>
        <v>5.1554054054054053</v>
      </c>
    </row>
    <row r="435" spans="1:7">
      <c r="A435" t="s">
        <v>227</v>
      </c>
      <c r="B435">
        <v>1</v>
      </c>
      <c r="C435" t="s">
        <v>544</v>
      </c>
      <c r="D435">
        <v>1</v>
      </c>
      <c r="E435">
        <v>8718</v>
      </c>
      <c r="F435">
        <v>578</v>
      </c>
      <c r="G435" s="4">
        <f t="shared" si="6"/>
        <v>6.6299610002294104E-2</v>
      </c>
    </row>
    <row r="436" spans="1:7">
      <c r="A436" t="s">
        <v>227</v>
      </c>
      <c r="B436">
        <v>1</v>
      </c>
      <c r="C436" t="s">
        <v>2</v>
      </c>
      <c r="D436">
        <v>2</v>
      </c>
      <c r="E436">
        <v>8718</v>
      </c>
      <c r="F436">
        <v>1113</v>
      </c>
      <c r="G436" s="4">
        <f t="shared" si="6"/>
        <v>0.1276668960770819</v>
      </c>
    </row>
    <row r="437" spans="1:7">
      <c r="A437" t="s">
        <v>227</v>
      </c>
      <c r="B437">
        <v>1</v>
      </c>
      <c r="C437" t="s">
        <v>545</v>
      </c>
      <c r="D437">
        <v>3</v>
      </c>
      <c r="E437">
        <v>8718</v>
      </c>
      <c r="F437">
        <v>1667</v>
      </c>
      <c r="G437" s="4">
        <f t="shared" si="6"/>
        <v>0.19121358109658179</v>
      </c>
    </row>
    <row r="438" spans="1:7">
      <c r="A438" t="s">
        <v>227</v>
      </c>
      <c r="B438">
        <v>1</v>
      </c>
      <c r="C438" t="s">
        <v>546</v>
      </c>
      <c r="D438">
        <v>4</v>
      </c>
      <c r="E438">
        <v>8718</v>
      </c>
      <c r="F438">
        <v>3331</v>
      </c>
      <c r="G438" s="4">
        <f t="shared" si="6"/>
        <v>0.38208304657031428</v>
      </c>
    </row>
    <row r="439" spans="1:7">
      <c r="A439" t="s">
        <v>228</v>
      </c>
      <c r="B439">
        <v>1</v>
      </c>
      <c r="C439" t="s">
        <v>206</v>
      </c>
      <c r="D439">
        <v>1</v>
      </c>
      <c r="E439">
        <v>3394</v>
      </c>
      <c r="F439">
        <v>389</v>
      </c>
      <c r="G439" s="4">
        <f t="shared" si="6"/>
        <v>0.11461402474955805</v>
      </c>
    </row>
    <row r="440" spans="1:7">
      <c r="A440" t="s">
        <v>228</v>
      </c>
      <c r="B440">
        <v>1</v>
      </c>
      <c r="C440" t="s">
        <v>547</v>
      </c>
      <c r="D440">
        <v>2</v>
      </c>
      <c r="E440">
        <v>3394</v>
      </c>
      <c r="F440">
        <v>400</v>
      </c>
      <c r="G440" s="4">
        <f t="shared" si="6"/>
        <v>0.11785503830288745</v>
      </c>
    </row>
    <row r="441" spans="1:7">
      <c r="A441" t="s">
        <v>228</v>
      </c>
      <c r="B441">
        <v>1</v>
      </c>
      <c r="C441" t="s">
        <v>491</v>
      </c>
      <c r="D441">
        <v>3</v>
      </c>
      <c r="E441">
        <v>3394</v>
      </c>
      <c r="F441">
        <v>786</v>
      </c>
      <c r="G441" s="4">
        <f t="shared" si="6"/>
        <v>0.23158515026517384</v>
      </c>
    </row>
    <row r="442" spans="1:7">
      <c r="A442" t="s">
        <v>228</v>
      </c>
      <c r="B442">
        <v>1</v>
      </c>
      <c r="C442" t="s">
        <v>548</v>
      </c>
      <c r="D442">
        <v>4</v>
      </c>
      <c r="E442">
        <v>3394</v>
      </c>
      <c r="F442">
        <v>810</v>
      </c>
      <c r="G442" s="4">
        <f t="shared" si="6"/>
        <v>0.23865645256334708</v>
      </c>
    </row>
    <row r="443" spans="1:7">
      <c r="A443" t="s">
        <v>228</v>
      </c>
      <c r="B443">
        <v>1</v>
      </c>
      <c r="C443" t="s">
        <v>549</v>
      </c>
      <c r="D443">
        <v>5</v>
      </c>
      <c r="E443">
        <v>3394</v>
      </c>
      <c r="F443">
        <v>849</v>
      </c>
      <c r="G443" s="4">
        <f t="shared" si="6"/>
        <v>0.2501473187978786</v>
      </c>
    </row>
    <row r="444" spans="1:7">
      <c r="A444" t="s">
        <v>228</v>
      </c>
      <c r="B444">
        <v>1</v>
      </c>
      <c r="C444" t="s">
        <v>550</v>
      </c>
      <c r="D444">
        <v>6</v>
      </c>
      <c r="E444">
        <v>3394</v>
      </c>
      <c r="F444">
        <v>852</v>
      </c>
      <c r="G444" s="4">
        <f t="shared" si="6"/>
        <v>0.25103123158515028</v>
      </c>
    </row>
    <row r="445" spans="1:7">
      <c r="A445" t="s">
        <v>228</v>
      </c>
      <c r="B445">
        <v>1</v>
      </c>
      <c r="C445" t="s">
        <v>204</v>
      </c>
      <c r="D445">
        <v>7</v>
      </c>
      <c r="E445">
        <v>3394</v>
      </c>
      <c r="F445">
        <v>860</v>
      </c>
      <c r="G445" s="4">
        <f t="shared" si="6"/>
        <v>0.253388332351208</v>
      </c>
    </row>
    <row r="446" spans="1:7">
      <c r="A446" t="s">
        <v>228</v>
      </c>
      <c r="B446">
        <v>1</v>
      </c>
      <c r="C446" t="s">
        <v>541</v>
      </c>
      <c r="D446">
        <v>8</v>
      </c>
      <c r="E446">
        <v>3394</v>
      </c>
      <c r="F446">
        <v>1003</v>
      </c>
      <c r="G446" s="4">
        <f t="shared" si="6"/>
        <v>0.29552150854449027</v>
      </c>
    </row>
    <row r="447" spans="1:7">
      <c r="A447" t="s">
        <v>230</v>
      </c>
      <c r="B447">
        <v>1</v>
      </c>
      <c r="C447" t="s">
        <v>445</v>
      </c>
      <c r="D447">
        <v>1</v>
      </c>
      <c r="E447">
        <v>15887</v>
      </c>
      <c r="F447">
        <v>3721</v>
      </c>
      <c r="G447" s="4">
        <f t="shared" si="6"/>
        <v>0.23421665512683326</v>
      </c>
    </row>
    <row r="448" spans="1:7">
      <c r="A448" t="s">
        <v>230</v>
      </c>
      <c r="B448">
        <v>1</v>
      </c>
      <c r="C448" t="s">
        <v>551</v>
      </c>
      <c r="D448">
        <v>2</v>
      </c>
      <c r="E448">
        <v>15887</v>
      </c>
      <c r="F448">
        <v>3964</v>
      </c>
      <c r="G448" s="4">
        <f t="shared" si="6"/>
        <v>0.24951217976962295</v>
      </c>
    </row>
    <row r="449" spans="1:7">
      <c r="A449" t="s">
        <v>230</v>
      </c>
      <c r="B449">
        <v>1</v>
      </c>
      <c r="C449" t="s">
        <v>552</v>
      </c>
      <c r="D449">
        <v>3</v>
      </c>
      <c r="E449">
        <v>15887</v>
      </c>
      <c r="F449">
        <v>4226</v>
      </c>
      <c r="G449" s="4">
        <f t="shared" si="6"/>
        <v>0.26600365078365962</v>
      </c>
    </row>
    <row r="450" spans="1:7">
      <c r="A450" t="s">
        <v>230</v>
      </c>
      <c r="B450">
        <v>1</v>
      </c>
      <c r="C450" t="s">
        <v>2</v>
      </c>
      <c r="D450">
        <v>4</v>
      </c>
      <c r="E450">
        <v>15887</v>
      </c>
      <c r="F450">
        <v>4268</v>
      </c>
      <c r="G450" s="4">
        <f t="shared" ref="G450:G513" si="7">F450/E450</f>
        <v>0.26864732170957384</v>
      </c>
    </row>
    <row r="451" spans="1:7">
      <c r="A451" t="s">
        <v>230</v>
      </c>
      <c r="B451">
        <v>1</v>
      </c>
      <c r="C451" t="s">
        <v>553</v>
      </c>
      <c r="D451">
        <v>5</v>
      </c>
      <c r="E451">
        <v>15887</v>
      </c>
      <c r="F451">
        <v>4416</v>
      </c>
      <c r="G451" s="4">
        <f t="shared" si="7"/>
        <v>0.27796311449612893</v>
      </c>
    </row>
    <row r="452" spans="1:7">
      <c r="A452" t="s">
        <v>231</v>
      </c>
      <c r="B452">
        <v>5</v>
      </c>
      <c r="C452" t="s">
        <v>554</v>
      </c>
      <c r="D452">
        <v>1</v>
      </c>
      <c r="E452">
        <v>15647</v>
      </c>
      <c r="F452">
        <v>2991</v>
      </c>
      <c r="G452" s="4">
        <f t="shared" si="7"/>
        <v>0.19115485396561641</v>
      </c>
    </row>
    <row r="453" spans="1:7">
      <c r="A453" t="s">
        <v>231</v>
      </c>
      <c r="B453">
        <v>5</v>
      </c>
      <c r="C453" t="s">
        <v>2</v>
      </c>
      <c r="D453">
        <v>2</v>
      </c>
      <c r="E453">
        <v>15647</v>
      </c>
      <c r="F453">
        <v>3166</v>
      </c>
      <c r="G453" s="4">
        <f t="shared" si="7"/>
        <v>0.2023391065379945</v>
      </c>
    </row>
    <row r="454" spans="1:7">
      <c r="A454" t="s">
        <v>231</v>
      </c>
      <c r="B454">
        <v>5</v>
      </c>
      <c r="C454" t="s">
        <v>545</v>
      </c>
      <c r="D454">
        <v>3</v>
      </c>
      <c r="E454">
        <v>15647</v>
      </c>
      <c r="F454">
        <v>4453</v>
      </c>
      <c r="G454" s="4">
        <f t="shared" si="7"/>
        <v>0.28459129545599793</v>
      </c>
    </row>
    <row r="455" spans="1:7">
      <c r="A455" t="s">
        <v>231</v>
      </c>
      <c r="B455">
        <v>5</v>
      </c>
      <c r="C455" t="s">
        <v>555</v>
      </c>
      <c r="D455">
        <v>4</v>
      </c>
      <c r="E455">
        <v>15647</v>
      </c>
      <c r="F455">
        <v>6870</v>
      </c>
      <c r="G455" s="4">
        <f t="shared" si="7"/>
        <v>0.43906180098421421</v>
      </c>
    </row>
    <row r="456" spans="1:7">
      <c r="A456" t="s">
        <v>231</v>
      </c>
      <c r="B456">
        <v>5</v>
      </c>
      <c r="C456" t="s">
        <v>556</v>
      </c>
      <c r="D456">
        <v>5</v>
      </c>
      <c r="E456">
        <v>15647</v>
      </c>
      <c r="F456">
        <v>10196</v>
      </c>
      <c r="G456" s="4">
        <f t="shared" si="7"/>
        <v>0.65162650987409731</v>
      </c>
    </row>
    <row r="457" spans="1:7">
      <c r="A457" t="s">
        <v>231</v>
      </c>
      <c r="B457">
        <v>7</v>
      </c>
      <c r="C457" t="s">
        <v>1</v>
      </c>
      <c r="D457">
        <v>1</v>
      </c>
      <c r="E457">
        <v>712</v>
      </c>
      <c r="F457">
        <v>211</v>
      </c>
      <c r="G457" s="4">
        <f t="shared" si="7"/>
        <v>0.29634831460674155</v>
      </c>
    </row>
    <row r="458" spans="1:7">
      <c r="A458" t="s">
        <v>231</v>
      </c>
      <c r="B458">
        <v>7</v>
      </c>
      <c r="C458" t="s">
        <v>2</v>
      </c>
      <c r="D458">
        <v>2</v>
      </c>
      <c r="E458">
        <v>712</v>
      </c>
      <c r="F458">
        <v>377</v>
      </c>
      <c r="G458" s="4">
        <f t="shared" si="7"/>
        <v>0.5294943820224719</v>
      </c>
    </row>
    <row r="459" spans="1:7">
      <c r="A459" t="s">
        <v>231</v>
      </c>
      <c r="B459">
        <v>7</v>
      </c>
      <c r="C459" t="s">
        <v>0</v>
      </c>
      <c r="D459">
        <v>3</v>
      </c>
      <c r="E459">
        <v>712</v>
      </c>
      <c r="F459">
        <v>599</v>
      </c>
      <c r="G459" s="4">
        <f t="shared" si="7"/>
        <v>0.8412921348314607</v>
      </c>
    </row>
    <row r="460" spans="1:7">
      <c r="A460" t="s">
        <v>231</v>
      </c>
      <c r="B460">
        <v>9</v>
      </c>
      <c r="C460" t="s">
        <v>557</v>
      </c>
      <c r="D460">
        <v>1</v>
      </c>
      <c r="E460">
        <v>738</v>
      </c>
      <c r="F460">
        <v>183</v>
      </c>
      <c r="G460" s="4">
        <f t="shared" si="7"/>
        <v>0.24796747967479674</v>
      </c>
    </row>
    <row r="461" spans="1:7">
      <c r="A461" t="s">
        <v>231</v>
      </c>
      <c r="B461">
        <v>9</v>
      </c>
      <c r="C461" t="s">
        <v>558</v>
      </c>
      <c r="D461">
        <v>2</v>
      </c>
      <c r="E461">
        <v>738</v>
      </c>
      <c r="F461">
        <v>185</v>
      </c>
      <c r="G461" s="4">
        <f t="shared" si="7"/>
        <v>0.25067750677506773</v>
      </c>
    </row>
    <row r="462" spans="1:7">
      <c r="A462" t="s">
        <v>231</v>
      </c>
      <c r="B462">
        <v>9</v>
      </c>
      <c r="C462" t="s">
        <v>559</v>
      </c>
      <c r="D462">
        <v>3</v>
      </c>
      <c r="E462">
        <v>738</v>
      </c>
      <c r="F462">
        <v>188</v>
      </c>
      <c r="G462" s="4">
        <f t="shared" si="7"/>
        <v>0.25474254742547425</v>
      </c>
    </row>
    <row r="463" spans="1:7">
      <c r="A463" t="s">
        <v>231</v>
      </c>
      <c r="B463">
        <v>9</v>
      </c>
      <c r="C463" t="s">
        <v>560</v>
      </c>
      <c r="D463">
        <v>4</v>
      </c>
      <c r="E463">
        <v>738</v>
      </c>
      <c r="F463">
        <v>215</v>
      </c>
      <c r="G463" s="4">
        <f t="shared" si="7"/>
        <v>0.29132791327913277</v>
      </c>
    </row>
    <row r="464" spans="1:7">
      <c r="A464" t="s">
        <v>231</v>
      </c>
      <c r="B464">
        <v>9</v>
      </c>
      <c r="C464" t="s">
        <v>565</v>
      </c>
      <c r="D464">
        <v>5</v>
      </c>
      <c r="E464">
        <v>738</v>
      </c>
      <c r="F464">
        <v>234</v>
      </c>
      <c r="G464" s="4">
        <f t="shared" si="7"/>
        <v>0.31707317073170732</v>
      </c>
    </row>
    <row r="465" spans="1:7">
      <c r="A465" t="s">
        <v>231</v>
      </c>
      <c r="B465">
        <v>9</v>
      </c>
      <c r="C465" t="s">
        <v>563</v>
      </c>
      <c r="D465">
        <v>6</v>
      </c>
      <c r="E465">
        <v>738</v>
      </c>
      <c r="F465">
        <v>236</v>
      </c>
      <c r="G465" s="4">
        <f t="shared" si="7"/>
        <v>0.31978319783197834</v>
      </c>
    </row>
    <row r="466" spans="1:7">
      <c r="A466" t="s">
        <v>231</v>
      </c>
      <c r="B466">
        <v>9</v>
      </c>
      <c r="C466" t="s">
        <v>561</v>
      </c>
      <c r="D466">
        <v>7</v>
      </c>
      <c r="E466">
        <v>738</v>
      </c>
      <c r="F466">
        <v>237</v>
      </c>
      <c r="G466" s="4">
        <f t="shared" si="7"/>
        <v>0.32113821138211385</v>
      </c>
    </row>
    <row r="467" spans="1:7">
      <c r="A467" t="s">
        <v>231</v>
      </c>
      <c r="B467">
        <v>9</v>
      </c>
      <c r="C467" t="s">
        <v>566</v>
      </c>
      <c r="D467">
        <v>8</v>
      </c>
      <c r="E467">
        <v>738</v>
      </c>
      <c r="F467">
        <v>241</v>
      </c>
      <c r="G467" s="4">
        <f t="shared" si="7"/>
        <v>0.32655826558265583</v>
      </c>
    </row>
    <row r="468" spans="1:7">
      <c r="A468" t="s">
        <v>231</v>
      </c>
      <c r="B468">
        <v>9</v>
      </c>
      <c r="C468" t="s">
        <v>562</v>
      </c>
      <c r="D468">
        <v>9</v>
      </c>
      <c r="E468">
        <v>738</v>
      </c>
      <c r="F468">
        <v>242</v>
      </c>
      <c r="G468" s="4">
        <f t="shared" si="7"/>
        <v>0.32791327913279134</v>
      </c>
    </row>
    <row r="469" spans="1:7">
      <c r="A469" t="s">
        <v>231</v>
      </c>
      <c r="B469">
        <v>9</v>
      </c>
      <c r="C469" t="s">
        <v>564</v>
      </c>
      <c r="D469">
        <v>10</v>
      </c>
      <c r="E469">
        <v>738</v>
      </c>
      <c r="F469">
        <v>243</v>
      </c>
      <c r="G469" s="4">
        <f t="shared" si="7"/>
        <v>0.32926829268292684</v>
      </c>
    </row>
    <row r="470" spans="1:7">
      <c r="A470" t="s">
        <v>231</v>
      </c>
      <c r="B470">
        <v>9</v>
      </c>
      <c r="C470" t="s">
        <v>205</v>
      </c>
      <c r="D470">
        <v>11</v>
      </c>
      <c r="E470">
        <v>738</v>
      </c>
      <c r="F470">
        <v>244</v>
      </c>
      <c r="G470" s="4">
        <f t="shared" si="7"/>
        <v>0.33062330623306235</v>
      </c>
    </row>
    <row r="471" spans="1:7">
      <c r="A471" t="s">
        <v>231</v>
      </c>
      <c r="B471">
        <v>9</v>
      </c>
      <c r="C471" t="s">
        <v>567</v>
      </c>
      <c r="D471">
        <v>12</v>
      </c>
      <c r="E471">
        <v>738</v>
      </c>
      <c r="F471">
        <v>275</v>
      </c>
      <c r="G471" s="4">
        <f t="shared" si="7"/>
        <v>0.37262872628726285</v>
      </c>
    </row>
    <row r="472" spans="1:7">
      <c r="A472" t="s">
        <v>231</v>
      </c>
      <c r="B472">
        <v>9</v>
      </c>
      <c r="C472" t="s">
        <v>568</v>
      </c>
      <c r="D472">
        <v>13</v>
      </c>
      <c r="E472">
        <v>738</v>
      </c>
      <c r="F472">
        <v>282</v>
      </c>
      <c r="G472" s="4">
        <f t="shared" si="7"/>
        <v>0.38211382113821141</v>
      </c>
    </row>
    <row r="473" spans="1:7">
      <c r="A473" t="s">
        <v>231</v>
      </c>
      <c r="B473">
        <v>9</v>
      </c>
      <c r="C473" t="s">
        <v>569</v>
      </c>
      <c r="D473">
        <v>14</v>
      </c>
      <c r="E473">
        <v>738</v>
      </c>
      <c r="F473">
        <v>333</v>
      </c>
      <c r="G473" s="4">
        <f t="shared" si="7"/>
        <v>0.45121951219512196</v>
      </c>
    </row>
    <row r="474" spans="1:7">
      <c r="A474" t="s">
        <v>231</v>
      </c>
      <c r="B474">
        <v>9</v>
      </c>
      <c r="C474" t="s">
        <v>571</v>
      </c>
      <c r="D474">
        <v>15</v>
      </c>
      <c r="E474">
        <v>738</v>
      </c>
      <c r="F474">
        <v>462</v>
      </c>
      <c r="G474" s="4">
        <f t="shared" si="7"/>
        <v>0.62601626016260159</v>
      </c>
    </row>
    <row r="475" spans="1:7">
      <c r="A475" t="s">
        <v>231</v>
      </c>
      <c r="B475">
        <v>9</v>
      </c>
      <c r="C475" t="s">
        <v>570</v>
      </c>
      <c r="D475">
        <v>16</v>
      </c>
      <c r="E475">
        <v>738</v>
      </c>
      <c r="F475">
        <v>473</v>
      </c>
      <c r="G475" s="4">
        <f t="shared" si="7"/>
        <v>0.64092140921409213</v>
      </c>
    </row>
    <row r="476" spans="1:7">
      <c r="A476" t="s">
        <v>231</v>
      </c>
      <c r="B476">
        <v>9</v>
      </c>
      <c r="C476" t="s">
        <v>572</v>
      </c>
      <c r="D476">
        <v>17</v>
      </c>
      <c r="E476">
        <v>738</v>
      </c>
      <c r="F476">
        <v>509</v>
      </c>
      <c r="G476" s="4">
        <f t="shared" si="7"/>
        <v>0.68970189701897022</v>
      </c>
    </row>
    <row r="477" spans="1:7">
      <c r="A477" t="s">
        <v>231</v>
      </c>
      <c r="B477">
        <v>9</v>
      </c>
      <c r="C477" t="s">
        <v>573</v>
      </c>
      <c r="D477">
        <v>18</v>
      </c>
      <c r="E477">
        <v>738</v>
      </c>
      <c r="F477">
        <v>517</v>
      </c>
      <c r="G477" s="4">
        <f t="shared" si="7"/>
        <v>0.70054200542005418</v>
      </c>
    </row>
    <row r="478" spans="1:7">
      <c r="A478" t="s">
        <v>231</v>
      </c>
      <c r="B478">
        <v>10</v>
      </c>
      <c r="C478" t="s">
        <v>179</v>
      </c>
      <c r="D478">
        <v>1</v>
      </c>
      <c r="E478">
        <v>841</v>
      </c>
      <c r="F478">
        <v>802</v>
      </c>
      <c r="G478" s="4">
        <f t="shared" si="7"/>
        <v>0.95362663495838285</v>
      </c>
    </row>
    <row r="479" spans="1:7">
      <c r="A479" t="s">
        <v>231</v>
      </c>
      <c r="B479">
        <v>10</v>
      </c>
      <c r="C479" t="s">
        <v>1</v>
      </c>
      <c r="D479">
        <v>2</v>
      </c>
      <c r="E479">
        <v>841</v>
      </c>
      <c r="F479">
        <v>1445</v>
      </c>
      <c r="G479" s="4">
        <f t="shared" si="7"/>
        <v>1.7181926278240189</v>
      </c>
    </row>
    <row r="480" spans="1:7">
      <c r="A480" t="s">
        <v>231</v>
      </c>
      <c r="B480">
        <v>10</v>
      </c>
      <c r="C480" t="s">
        <v>0</v>
      </c>
      <c r="D480">
        <v>3</v>
      </c>
      <c r="E480">
        <v>841</v>
      </c>
      <c r="F480">
        <v>1453</v>
      </c>
      <c r="G480" s="4">
        <f t="shared" si="7"/>
        <v>1.727705112960761</v>
      </c>
    </row>
    <row r="481" spans="1:7">
      <c r="A481" t="s">
        <v>231</v>
      </c>
      <c r="B481">
        <v>10</v>
      </c>
      <c r="C481" t="s">
        <v>180</v>
      </c>
      <c r="D481">
        <v>4</v>
      </c>
      <c r="E481">
        <v>841</v>
      </c>
      <c r="F481">
        <v>1800</v>
      </c>
      <c r="G481" s="4">
        <f t="shared" si="7"/>
        <v>2.140309155766944</v>
      </c>
    </row>
    <row r="482" spans="1:7">
      <c r="A482" t="s">
        <v>231</v>
      </c>
      <c r="B482">
        <v>11</v>
      </c>
      <c r="C482" t="s">
        <v>542</v>
      </c>
      <c r="D482">
        <v>1</v>
      </c>
      <c r="E482">
        <v>1539</v>
      </c>
      <c r="F482">
        <v>182</v>
      </c>
      <c r="G482" s="4">
        <f t="shared" si="7"/>
        <v>0.11825860948667966</v>
      </c>
    </row>
    <row r="483" spans="1:7">
      <c r="A483" t="s">
        <v>231</v>
      </c>
      <c r="B483">
        <v>11</v>
      </c>
      <c r="C483" t="s">
        <v>574</v>
      </c>
      <c r="D483">
        <v>2</v>
      </c>
      <c r="E483">
        <v>1539</v>
      </c>
      <c r="F483">
        <v>649</v>
      </c>
      <c r="G483" s="4">
        <f t="shared" si="7"/>
        <v>0.42170240415854449</v>
      </c>
    </row>
    <row r="484" spans="1:7">
      <c r="A484" t="s">
        <v>231</v>
      </c>
      <c r="B484">
        <v>11</v>
      </c>
      <c r="C484" t="s">
        <v>576</v>
      </c>
      <c r="D484">
        <v>3</v>
      </c>
      <c r="E484">
        <v>1539</v>
      </c>
      <c r="F484">
        <v>671</v>
      </c>
      <c r="G484" s="4">
        <f t="shared" si="7"/>
        <v>0.43599740090968159</v>
      </c>
    </row>
    <row r="485" spans="1:7">
      <c r="A485" t="s">
        <v>231</v>
      </c>
      <c r="B485">
        <v>11</v>
      </c>
      <c r="C485" t="s">
        <v>575</v>
      </c>
      <c r="D485">
        <v>4</v>
      </c>
      <c r="E485">
        <v>1539</v>
      </c>
      <c r="F485">
        <v>687</v>
      </c>
      <c r="G485" s="4">
        <f t="shared" si="7"/>
        <v>0.44639376218323584</v>
      </c>
    </row>
    <row r="486" spans="1:7">
      <c r="A486" t="s">
        <v>231</v>
      </c>
      <c r="B486">
        <v>11</v>
      </c>
      <c r="C486" t="s">
        <v>577</v>
      </c>
      <c r="D486">
        <v>5</v>
      </c>
      <c r="E486">
        <v>1539</v>
      </c>
      <c r="F486">
        <v>713</v>
      </c>
      <c r="G486" s="4">
        <f t="shared" si="7"/>
        <v>0.46328784925276151</v>
      </c>
    </row>
    <row r="487" spans="1:7">
      <c r="A487" t="s">
        <v>231</v>
      </c>
      <c r="B487">
        <v>11</v>
      </c>
      <c r="C487" t="s">
        <v>543</v>
      </c>
      <c r="D487">
        <v>6</v>
      </c>
      <c r="E487">
        <v>1539</v>
      </c>
      <c r="F487">
        <v>724</v>
      </c>
      <c r="G487" s="4">
        <f t="shared" si="7"/>
        <v>0.47043534762833006</v>
      </c>
    </row>
    <row r="488" spans="1:7">
      <c r="A488" t="s">
        <v>231</v>
      </c>
      <c r="B488">
        <v>11</v>
      </c>
      <c r="C488" t="s">
        <v>578</v>
      </c>
      <c r="D488">
        <v>7</v>
      </c>
      <c r="E488">
        <v>1539</v>
      </c>
      <c r="F488">
        <v>733</v>
      </c>
      <c r="G488" s="4">
        <f t="shared" si="7"/>
        <v>0.47628330084470433</v>
      </c>
    </row>
    <row r="489" spans="1:7">
      <c r="A489" t="s">
        <v>231</v>
      </c>
      <c r="B489">
        <v>11</v>
      </c>
      <c r="C489" t="s">
        <v>579</v>
      </c>
      <c r="D489">
        <v>8</v>
      </c>
      <c r="E489">
        <v>1539</v>
      </c>
      <c r="F489">
        <v>818</v>
      </c>
      <c r="G489" s="4">
        <f t="shared" si="7"/>
        <v>0.53151397011046131</v>
      </c>
    </row>
    <row r="490" spans="1:7">
      <c r="A490" t="s">
        <v>231</v>
      </c>
      <c r="B490">
        <v>11</v>
      </c>
      <c r="C490" t="s">
        <v>580</v>
      </c>
      <c r="D490">
        <v>9</v>
      </c>
      <c r="E490">
        <v>1539</v>
      </c>
      <c r="F490">
        <v>823</v>
      </c>
      <c r="G490" s="4">
        <f t="shared" si="7"/>
        <v>0.53476283300844707</v>
      </c>
    </row>
    <row r="491" spans="1:7">
      <c r="A491" t="s">
        <v>231</v>
      </c>
      <c r="B491">
        <v>11</v>
      </c>
      <c r="C491" t="s">
        <v>581</v>
      </c>
      <c r="D491">
        <v>10</v>
      </c>
      <c r="E491">
        <v>1539</v>
      </c>
      <c r="F491">
        <v>824</v>
      </c>
      <c r="G491" s="4">
        <f t="shared" si="7"/>
        <v>0.53541260558804415</v>
      </c>
    </row>
    <row r="492" spans="1:7">
      <c r="A492" t="s">
        <v>231</v>
      </c>
      <c r="B492">
        <v>11</v>
      </c>
      <c r="C492" t="s">
        <v>583</v>
      </c>
      <c r="D492">
        <v>11</v>
      </c>
      <c r="E492">
        <v>1539</v>
      </c>
      <c r="F492">
        <v>834</v>
      </c>
      <c r="G492" s="4">
        <f t="shared" si="7"/>
        <v>0.54191033138401556</v>
      </c>
    </row>
    <row r="493" spans="1:7">
      <c r="A493" t="s">
        <v>231</v>
      </c>
      <c r="B493">
        <v>11</v>
      </c>
      <c r="C493" t="s">
        <v>585</v>
      </c>
      <c r="D493">
        <v>12</v>
      </c>
      <c r="E493">
        <v>1539</v>
      </c>
      <c r="F493">
        <v>838</v>
      </c>
      <c r="G493" s="4">
        <f t="shared" si="7"/>
        <v>0.54450942170240413</v>
      </c>
    </row>
    <row r="494" spans="1:7">
      <c r="A494" t="s">
        <v>231</v>
      </c>
      <c r="B494">
        <v>11</v>
      </c>
      <c r="C494" t="s">
        <v>582</v>
      </c>
      <c r="D494">
        <v>13</v>
      </c>
      <c r="E494">
        <v>1539</v>
      </c>
      <c r="F494">
        <v>850</v>
      </c>
      <c r="G494" s="4">
        <f t="shared" si="7"/>
        <v>0.55230669265756982</v>
      </c>
    </row>
    <row r="495" spans="1:7">
      <c r="A495" t="s">
        <v>231</v>
      </c>
      <c r="B495">
        <v>11</v>
      </c>
      <c r="C495" t="s">
        <v>584</v>
      </c>
      <c r="D495">
        <v>14</v>
      </c>
      <c r="E495">
        <v>1539</v>
      </c>
      <c r="F495">
        <v>869</v>
      </c>
      <c r="G495" s="4">
        <f t="shared" si="7"/>
        <v>0.56465237166991555</v>
      </c>
    </row>
    <row r="496" spans="1:7">
      <c r="A496" t="s">
        <v>231</v>
      </c>
      <c r="B496">
        <v>11</v>
      </c>
      <c r="C496" t="s">
        <v>589</v>
      </c>
      <c r="D496">
        <v>15</v>
      </c>
      <c r="E496">
        <v>1539</v>
      </c>
      <c r="F496">
        <v>881</v>
      </c>
      <c r="G496" s="4">
        <f t="shared" si="7"/>
        <v>0.57244964262508125</v>
      </c>
    </row>
    <row r="497" spans="1:7">
      <c r="A497" t="s">
        <v>231</v>
      </c>
      <c r="B497">
        <v>11</v>
      </c>
      <c r="C497" t="s">
        <v>590</v>
      </c>
      <c r="D497">
        <v>16</v>
      </c>
      <c r="E497">
        <v>1539</v>
      </c>
      <c r="F497">
        <v>892</v>
      </c>
      <c r="G497" s="4">
        <f t="shared" si="7"/>
        <v>0.57959714100064974</v>
      </c>
    </row>
    <row r="498" spans="1:7">
      <c r="A498" t="s">
        <v>231</v>
      </c>
      <c r="B498">
        <v>11</v>
      </c>
      <c r="C498" t="s">
        <v>586</v>
      </c>
      <c r="D498">
        <v>17</v>
      </c>
      <c r="E498">
        <v>1539</v>
      </c>
      <c r="F498">
        <v>893</v>
      </c>
      <c r="G498" s="4">
        <f t="shared" si="7"/>
        <v>0.58024691358024694</v>
      </c>
    </row>
    <row r="499" spans="1:7">
      <c r="A499" t="s">
        <v>231</v>
      </c>
      <c r="B499">
        <v>11</v>
      </c>
      <c r="C499" t="s">
        <v>587</v>
      </c>
      <c r="D499">
        <v>18</v>
      </c>
      <c r="E499">
        <v>1539</v>
      </c>
      <c r="F499">
        <v>898</v>
      </c>
      <c r="G499" s="4">
        <f t="shared" si="7"/>
        <v>0.58349577647823259</v>
      </c>
    </row>
    <row r="500" spans="1:7">
      <c r="A500" t="s">
        <v>231</v>
      </c>
      <c r="B500">
        <v>11</v>
      </c>
      <c r="C500" t="s">
        <v>588</v>
      </c>
      <c r="D500">
        <v>19</v>
      </c>
      <c r="E500">
        <v>1539</v>
      </c>
      <c r="F500">
        <v>909</v>
      </c>
      <c r="G500" s="4">
        <f t="shared" si="7"/>
        <v>0.59064327485380119</v>
      </c>
    </row>
    <row r="501" spans="1:7">
      <c r="A501" t="s">
        <v>231</v>
      </c>
      <c r="B501">
        <v>12</v>
      </c>
      <c r="C501" t="s">
        <v>591</v>
      </c>
      <c r="D501">
        <v>1</v>
      </c>
      <c r="E501">
        <v>902</v>
      </c>
      <c r="F501">
        <v>172</v>
      </c>
      <c r="G501" s="4">
        <f t="shared" si="7"/>
        <v>0.19068736141906872</v>
      </c>
    </row>
    <row r="502" spans="1:7">
      <c r="A502" t="s">
        <v>231</v>
      </c>
      <c r="B502">
        <v>12</v>
      </c>
      <c r="C502" t="s">
        <v>592</v>
      </c>
      <c r="D502">
        <v>2</v>
      </c>
      <c r="E502">
        <v>902</v>
      </c>
      <c r="F502">
        <v>490</v>
      </c>
      <c r="G502" s="4">
        <f t="shared" si="7"/>
        <v>0.5432372505543237</v>
      </c>
    </row>
    <row r="503" spans="1:7">
      <c r="A503" t="s">
        <v>231</v>
      </c>
      <c r="B503">
        <v>12</v>
      </c>
      <c r="C503" t="s">
        <v>593</v>
      </c>
      <c r="D503">
        <v>3</v>
      </c>
      <c r="E503">
        <v>902</v>
      </c>
      <c r="F503">
        <v>514</v>
      </c>
      <c r="G503" s="4">
        <f t="shared" si="7"/>
        <v>0.56984478935698446</v>
      </c>
    </row>
    <row r="504" spans="1:7">
      <c r="A504" t="s">
        <v>231</v>
      </c>
      <c r="B504">
        <v>12</v>
      </c>
      <c r="C504" t="s">
        <v>594</v>
      </c>
      <c r="D504">
        <v>4</v>
      </c>
      <c r="E504">
        <v>902</v>
      </c>
      <c r="F504">
        <v>515</v>
      </c>
      <c r="G504" s="4">
        <f t="shared" si="7"/>
        <v>0.57095343680709532</v>
      </c>
    </row>
    <row r="505" spans="1:7">
      <c r="A505" t="s">
        <v>231</v>
      </c>
      <c r="B505">
        <v>12</v>
      </c>
      <c r="C505" t="s">
        <v>558</v>
      </c>
      <c r="D505">
        <v>5</v>
      </c>
      <c r="E505">
        <v>902</v>
      </c>
      <c r="F505">
        <v>542</v>
      </c>
      <c r="G505" s="4">
        <f t="shared" si="7"/>
        <v>0.60088691796008864</v>
      </c>
    </row>
    <row r="506" spans="1:7">
      <c r="A506" t="s">
        <v>231</v>
      </c>
      <c r="B506">
        <v>12</v>
      </c>
      <c r="C506" t="s">
        <v>197</v>
      </c>
      <c r="D506">
        <v>6</v>
      </c>
      <c r="E506">
        <v>902</v>
      </c>
      <c r="F506">
        <v>555</v>
      </c>
      <c r="G506" s="4">
        <f t="shared" si="7"/>
        <v>0.61529933481152999</v>
      </c>
    </row>
    <row r="507" spans="1:7">
      <c r="A507" t="s">
        <v>231</v>
      </c>
      <c r="B507">
        <v>12</v>
      </c>
      <c r="C507" t="s">
        <v>595</v>
      </c>
      <c r="D507">
        <v>7</v>
      </c>
      <c r="E507">
        <v>902</v>
      </c>
      <c r="F507">
        <v>564</v>
      </c>
      <c r="G507" s="4">
        <f t="shared" si="7"/>
        <v>0.62527716186252769</v>
      </c>
    </row>
    <row r="508" spans="1:7">
      <c r="A508" t="s">
        <v>231</v>
      </c>
      <c r="B508">
        <v>12</v>
      </c>
      <c r="C508" t="s">
        <v>597</v>
      </c>
      <c r="D508">
        <v>8</v>
      </c>
      <c r="E508">
        <v>902</v>
      </c>
      <c r="F508">
        <v>593</v>
      </c>
      <c r="G508" s="4">
        <f t="shared" si="7"/>
        <v>0.65742793791574283</v>
      </c>
    </row>
    <row r="509" spans="1:7">
      <c r="A509" t="s">
        <v>231</v>
      </c>
      <c r="B509">
        <v>12</v>
      </c>
      <c r="C509" t="s">
        <v>596</v>
      </c>
      <c r="D509">
        <v>9</v>
      </c>
      <c r="E509">
        <v>902</v>
      </c>
      <c r="F509">
        <v>604</v>
      </c>
      <c r="G509" s="4">
        <f t="shared" si="7"/>
        <v>0.66962305986696236</v>
      </c>
    </row>
    <row r="510" spans="1:7">
      <c r="A510" t="s">
        <v>231</v>
      </c>
      <c r="B510">
        <v>13</v>
      </c>
      <c r="C510" t="s">
        <v>203</v>
      </c>
      <c r="D510">
        <v>1</v>
      </c>
      <c r="E510">
        <v>166</v>
      </c>
      <c r="F510">
        <v>109</v>
      </c>
      <c r="G510" s="4">
        <f t="shared" si="7"/>
        <v>0.65662650602409633</v>
      </c>
    </row>
    <row r="511" spans="1:7">
      <c r="A511" t="s">
        <v>231</v>
      </c>
      <c r="B511">
        <v>13</v>
      </c>
      <c r="C511" t="s">
        <v>2</v>
      </c>
      <c r="D511">
        <v>2</v>
      </c>
      <c r="E511">
        <v>166</v>
      </c>
      <c r="F511">
        <v>162</v>
      </c>
      <c r="G511" s="4">
        <f t="shared" si="7"/>
        <v>0.97590361445783136</v>
      </c>
    </row>
    <row r="512" spans="1:7">
      <c r="A512" t="s">
        <v>598</v>
      </c>
      <c r="B512">
        <v>2</v>
      </c>
      <c r="C512" t="s">
        <v>693</v>
      </c>
      <c r="D512">
        <v>1</v>
      </c>
      <c r="E512">
        <v>1830</v>
      </c>
      <c r="F512">
        <v>560</v>
      </c>
      <c r="G512" s="4">
        <f t="shared" si="7"/>
        <v>0.30601092896174864</v>
      </c>
    </row>
    <row r="513" spans="1:7">
      <c r="A513" t="s">
        <v>598</v>
      </c>
      <c r="B513">
        <v>2</v>
      </c>
      <c r="C513" t="s">
        <v>235</v>
      </c>
      <c r="D513">
        <v>2</v>
      </c>
      <c r="E513">
        <v>1830</v>
      </c>
      <c r="F513">
        <v>823</v>
      </c>
      <c r="G513" s="4">
        <f t="shared" si="7"/>
        <v>0.44972677595628413</v>
      </c>
    </row>
    <row r="514" spans="1:7">
      <c r="A514" t="s">
        <v>598</v>
      </c>
      <c r="B514">
        <v>2</v>
      </c>
      <c r="C514" t="s">
        <v>694</v>
      </c>
      <c r="D514">
        <v>3</v>
      </c>
      <c r="E514">
        <v>1830</v>
      </c>
      <c r="F514">
        <v>1212</v>
      </c>
      <c r="G514" s="4">
        <f t="shared" ref="G514:G522" si="8">F514/E514</f>
        <v>0.6622950819672131</v>
      </c>
    </row>
    <row r="515" spans="1:7">
      <c r="A515" t="s">
        <v>598</v>
      </c>
      <c r="B515">
        <v>6</v>
      </c>
      <c r="C515" t="s">
        <v>599</v>
      </c>
      <c r="D515">
        <v>1</v>
      </c>
      <c r="E515">
        <v>761</v>
      </c>
      <c r="F515">
        <v>587</v>
      </c>
      <c r="G515" s="4">
        <f t="shared" si="8"/>
        <v>0.77135348226018396</v>
      </c>
    </row>
    <row r="516" spans="1:7">
      <c r="A516" t="s">
        <v>598</v>
      </c>
      <c r="B516">
        <v>6</v>
      </c>
      <c r="C516" t="s">
        <v>236</v>
      </c>
      <c r="D516">
        <v>2</v>
      </c>
      <c r="E516">
        <v>761</v>
      </c>
      <c r="F516">
        <v>591</v>
      </c>
      <c r="G516" s="4">
        <f t="shared" si="8"/>
        <v>0.77660972404730622</v>
      </c>
    </row>
    <row r="517" spans="1:7">
      <c r="A517" t="s">
        <v>598</v>
      </c>
      <c r="B517">
        <v>6</v>
      </c>
      <c r="C517" t="s">
        <v>446</v>
      </c>
      <c r="D517">
        <v>3</v>
      </c>
      <c r="E517">
        <v>761</v>
      </c>
      <c r="F517">
        <v>670</v>
      </c>
      <c r="G517" s="4">
        <f t="shared" si="8"/>
        <v>0.88042049934296973</v>
      </c>
    </row>
    <row r="518" spans="1:7">
      <c r="A518" t="s">
        <v>598</v>
      </c>
      <c r="B518">
        <v>6</v>
      </c>
      <c r="C518" t="s">
        <v>600</v>
      </c>
      <c r="D518">
        <v>4</v>
      </c>
      <c r="E518">
        <v>761</v>
      </c>
      <c r="F518">
        <v>671</v>
      </c>
      <c r="G518" s="4">
        <f t="shared" si="8"/>
        <v>0.88173455978975035</v>
      </c>
    </row>
    <row r="519" spans="1:7">
      <c r="A519" t="s">
        <v>598</v>
      </c>
      <c r="B519">
        <v>6</v>
      </c>
      <c r="C519" t="s">
        <v>601</v>
      </c>
      <c r="D519">
        <v>5</v>
      </c>
      <c r="E519">
        <v>761</v>
      </c>
      <c r="F519">
        <v>674</v>
      </c>
      <c r="G519" s="4">
        <f t="shared" si="8"/>
        <v>0.88567674113009198</v>
      </c>
    </row>
    <row r="520" spans="1:7">
      <c r="A520" t="s">
        <v>598</v>
      </c>
      <c r="B520">
        <v>6</v>
      </c>
      <c r="C520" t="s">
        <v>602</v>
      </c>
      <c r="D520">
        <v>6</v>
      </c>
      <c r="E520">
        <v>761</v>
      </c>
      <c r="F520">
        <v>682</v>
      </c>
      <c r="G520" s="4">
        <f t="shared" si="8"/>
        <v>0.89618922470433637</v>
      </c>
    </row>
    <row r="521" spans="1:7">
      <c r="A521" t="s">
        <v>598</v>
      </c>
      <c r="B521">
        <v>8</v>
      </c>
      <c r="C521" t="s">
        <v>2</v>
      </c>
      <c r="D521">
        <v>1</v>
      </c>
      <c r="E521">
        <v>844</v>
      </c>
      <c r="F521">
        <v>828</v>
      </c>
      <c r="G521" s="4">
        <f t="shared" si="8"/>
        <v>0.98104265402843605</v>
      </c>
    </row>
    <row r="522" spans="1:7">
      <c r="A522" t="s">
        <v>598</v>
      </c>
      <c r="B522">
        <v>8</v>
      </c>
      <c r="C522" t="s">
        <v>203</v>
      </c>
      <c r="D522">
        <v>2</v>
      </c>
      <c r="E522">
        <v>844</v>
      </c>
      <c r="F522">
        <v>829</v>
      </c>
      <c r="G522" s="4">
        <f t="shared" si="8"/>
        <v>0.98222748815165872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0"/>
  <sheetViews>
    <sheetView topLeftCell="I1" workbookViewId="0">
      <selection activeCell="P2" sqref="P2:V8"/>
    </sheetView>
  </sheetViews>
  <sheetFormatPr baseColWidth="10" defaultRowHeight="15" x14ac:dyDescent="0"/>
  <cols>
    <col min="1" max="1" width="25.33203125" bestFit="1" customWidth="1"/>
    <col min="3" max="3" width="28.5" bestFit="1" customWidth="1"/>
    <col min="6" max="7" width="10.83203125" style="4"/>
    <col min="24" max="24" width="14" customWidth="1"/>
    <col min="35" max="35" width="13" bestFit="1" customWidth="1"/>
  </cols>
  <sheetData>
    <row r="1" spans="1:81">
      <c r="A1" t="s">
        <v>3</v>
      </c>
      <c r="B1" t="s">
        <v>5</v>
      </c>
      <c r="C1" t="s">
        <v>608</v>
      </c>
      <c r="D1" t="s">
        <v>186</v>
      </c>
      <c r="E1" t="s">
        <v>232</v>
      </c>
      <c r="F1" s="4" t="s">
        <v>695</v>
      </c>
      <c r="G1" s="4" t="s">
        <v>604</v>
      </c>
      <c r="H1" t="s">
        <v>605</v>
      </c>
      <c r="I1" t="s">
        <v>606</v>
      </c>
      <c r="J1" t="s">
        <v>681</v>
      </c>
      <c r="K1" s="7" t="s">
        <v>607</v>
      </c>
      <c r="L1" s="7" t="s">
        <v>682</v>
      </c>
      <c r="M1" s="7"/>
      <c r="N1" s="7"/>
      <c r="O1" s="7"/>
      <c r="P1" s="7"/>
      <c r="Q1" s="7" t="s">
        <v>680</v>
      </c>
      <c r="R1" s="7"/>
      <c r="S1" s="7"/>
      <c r="T1" s="7"/>
      <c r="U1" s="7"/>
      <c r="W1" t="s">
        <v>182</v>
      </c>
      <c r="X1" t="s">
        <v>608</v>
      </c>
      <c r="Y1" t="s">
        <v>608</v>
      </c>
      <c r="Z1" t="s">
        <v>608</v>
      </c>
      <c r="AA1" t="s">
        <v>608</v>
      </c>
      <c r="AB1" t="s">
        <v>608</v>
      </c>
      <c r="AC1" t="s">
        <v>608</v>
      </c>
      <c r="AD1" t="s">
        <v>608</v>
      </c>
      <c r="AE1" t="s">
        <v>608</v>
      </c>
      <c r="AF1" t="s">
        <v>608</v>
      </c>
      <c r="AG1" t="s">
        <v>608</v>
      </c>
      <c r="AH1" t="s">
        <v>608</v>
      </c>
      <c r="AI1" t="s">
        <v>608</v>
      </c>
      <c r="AJ1" t="s">
        <v>608</v>
      </c>
      <c r="AK1" t="s">
        <v>608</v>
      </c>
      <c r="AL1" t="s">
        <v>608</v>
      </c>
      <c r="AM1" t="s">
        <v>608</v>
      </c>
      <c r="AN1" t="s">
        <v>608</v>
      </c>
      <c r="AO1" t="s">
        <v>608</v>
      </c>
      <c r="AP1" t="s">
        <v>608</v>
      </c>
      <c r="AQ1" t="s">
        <v>608</v>
      </c>
      <c r="AR1" t="s">
        <v>608</v>
      </c>
      <c r="AS1" t="s">
        <v>608</v>
      </c>
      <c r="AT1" t="s">
        <v>608</v>
      </c>
      <c r="AU1" t="s">
        <v>608</v>
      </c>
      <c r="AV1" t="s">
        <v>608</v>
      </c>
      <c r="AW1" t="s">
        <v>608</v>
      </c>
      <c r="AX1" t="s">
        <v>608</v>
      </c>
      <c r="AY1" t="s">
        <v>608</v>
      </c>
      <c r="AZ1" t="s">
        <v>608</v>
      </c>
      <c r="BA1" t="s">
        <v>608</v>
      </c>
      <c r="BB1" t="s">
        <v>608</v>
      </c>
      <c r="BC1" t="s">
        <v>608</v>
      </c>
      <c r="BD1" t="s">
        <v>608</v>
      </c>
      <c r="BE1" t="s">
        <v>608</v>
      </c>
      <c r="BF1" t="s">
        <v>608</v>
      </c>
      <c r="BG1" t="s">
        <v>608</v>
      </c>
      <c r="BH1" t="s">
        <v>608</v>
      </c>
      <c r="BI1" t="s">
        <v>608</v>
      </c>
      <c r="BJ1" t="s">
        <v>608</v>
      </c>
      <c r="BK1" t="s">
        <v>608</v>
      </c>
      <c r="BL1" t="s">
        <v>608</v>
      </c>
      <c r="BM1" t="s">
        <v>608</v>
      </c>
      <c r="BN1" t="s">
        <v>608</v>
      </c>
      <c r="BO1" t="s">
        <v>608</v>
      </c>
      <c r="BP1" t="s">
        <v>608</v>
      </c>
      <c r="BQ1" t="s">
        <v>608</v>
      </c>
      <c r="BR1" t="s">
        <v>608</v>
      </c>
      <c r="BS1" t="s">
        <v>608</v>
      </c>
      <c r="BT1" t="s">
        <v>608</v>
      </c>
      <c r="BU1" t="s">
        <v>608</v>
      </c>
      <c r="BV1" t="s">
        <v>608</v>
      </c>
      <c r="BW1" t="s">
        <v>608</v>
      </c>
      <c r="BX1" t="s">
        <v>608</v>
      </c>
      <c r="BY1" t="s">
        <v>608</v>
      </c>
      <c r="BZ1" t="s">
        <v>608</v>
      </c>
      <c r="CA1" t="s">
        <v>608</v>
      </c>
      <c r="CB1" t="s">
        <v>608</v>
      </c>
      <c r="CC1" t="s">
        <v>608</v>
      </c>
    </row>
    <row r="2" spans="1:81">
      <c r="A2" t="s">
        <v>188</v>
      </c>
      <c r="B2">
        <v>1</v>
      </c>
      <c r="C2" t="str">
        <f>CONCATENATE(A2, "_",B2,"_")</f>
        <v>test.BallonFactory_1_</v>
      </c>
      <c r="D2">
        <v>1</v>
      </c>
      <c r="E2" s="4">
        <v>0.90196078431372551</v>
      </c>
      <c r="F2" s="4">
        <v>0.97936793843130832</v>
      </c>
      <c r="G2" s="4" t="str">
        <f>IF($F2 &lt;= 0.2,$E2,"")</f>
        <v/>
      </c>
      <c r="H2" s="4" t="str">
        <f>IF(AND($F2 &gt; 0.2,$F2 &lt;= 0.4),$E2,"")</f>
        <v/>
      </c>
      <c r="I2" s="4" t="str">
        <f>IF(AND($F2 &gt; 0.4,$F2 &lt;= 0.6),$E2,"")</f>
        <v/>
      </c>
      <c r="J2" s="4" t="str">
        <f>IF(AND($F2 &gt; 0.6,$F2 &lt;= 0.8),$E2,"")</f>
        <v/>
      </c>
      <c r="K2" s="4">
        <f>IF(AND($F2 &gt; 0.8, $F2 &lt;=1.1),$E2,"")</f>
        <v>0.90196078431372551</v>
      </c>
      <c r="L2" s="4" t="str">
        <f>IF(AND($F2 &gt; 1.1),$E2,"")</f>
        <v/>
      </c>
      <c r="M2" s="4"/>
      <c r="N2" s="4" t="s">
        <v>683</v>
      </c>
      <c r="O2" s="4" t="s">
        <v>614</v>
      </c>
      <c r="P2" s="4" t="s">
        <v>679</v>
      </c>
      <c r="Q2" s="4">
        <v>0</v>
      </c>
      <c r="R2" s="4" t="s">
        <v>613</v>
      </c>
      <c r="S2" s="4" t="s">
        <v>612</v>
      </c>
      <c r="T2" s="4" t="s">
        <v>611</v>
      </c>
      <c r="U2" s="4" t="s">
        <v>610</v>
      </c>
      <c r="V2" t="s">
        <v>609</v>
      </c>
      <c r="W2">
        <f>COUNTA(X2:CC2)</f>
        <v>58</v>
      </c>
      <c r="X2" t="s">
        <v>619</v>
      </c>
      <c r="Y2" t="s">
        <v>620</v>
      </c>
      <c r="Z2" t="s">
        <v>621</v>
      </c>
      <c r="AA2" t="s">
        <v>622</v>
      </c>
      <c r="AB2" t="s">
        <v>623</v>
      </c>
      <c r="AC2" t="s">
        <v>624</v>
      </c>
      <c r="AD2" t="s">
        <v>625</v>
      </c>
      <c r="AE2" t="s">
        <v>626</v>
      </c>
      <c r="AF2" t="s">
        <v>627</v>
      </c>
      <c r="AG2" t="s">
        <v>628</v>
      </c>
      <c r="AH2" t="s">
        <v>629</v>
      </c>
      <c r="AI2" t="s">
        <v>617</v>
      </c>
      <c r="AJ2" t="s">
        <v>616</v>
      </c>
      <c r="AK2" t="s">
        <v>684</v>
      </c>
      <c r="AL2" t="s">
        <v>618</v>
      </c>
      <c r="AM2" t="s">
        <v>630</v>
      </c>
      <c r="AN2" t="s">
        <v>631</v>
      </c>
      <c r="AO2" t="s">
        <v>632</v>
      </c>
      <c r="AP2" t="s">
        <v>633</v>
      </c>
      <c r="AQ2" t="s">
        <v>634</v>
      </c>
      <c r="AR2" t="s">
        <v>635</v>
      </c>
      <c r="AS2" t="s">
        <v>636</v>
      </c>
      <c r="AT2" t="s">
        <v>637</v>
      </c>
      <c r="AU2" t="s">
        <v>638</v>
      </c>
      <c r="AV2" t="s">
        <v>639</v>
      </c>
      <c r="AW2" t="s">
        <v>640</v>
      </c>
      <c r="AX2" t="s">
        <v>641</v>
      </c>
      <c r="AY2" t="s">
        <v>642</v>
      </c>
      <c r="AZ2" t="s">
        <v>643</v>
      </c>
      <c r="BA2" t="s">
        <v>644</v>
      </c>
      <c r="BB2" t="s">
        <v>645</v>
      </c>
      <c r="BC2" t="s">
        <v>646</v>
      </c>
      <c r="BD2" t="s">
        <v>647</v>
      </c>
      <c r="BE2" t="s">
        <v>648</v>
      </c>
      <c r="BF2" t="s">
        <v>649</v>
      </c>
      <c r="BG2" t="s">
        <v>650</v>
      </c>
      <c r="BH2" t="s">
        <v>651</v>
      </c>
      <c r="BI2" t="s">
        <v>653</v>
      </c>
      <c r="BJ2" t="s">
        <v>654</v>
      </c>
      <c r="BK2" t="s">
        <v>696</v>
      </c>
      <c r="BL2" t="s">
        <v>655</v>
      </c>
      <c r="BM2" t="s">
        <v>656</v>
      </c>
      <c r="BN2" t="s">
        <v>657</v>
      </c>
      <c r="BO2" t="s">
        <v>658</v>
      </c>
      <c r="BP2" t="s">
        <v>661</v>
      </c>
      <c r="BQ2" t="s">
        <v>662</v>
      </c>
      <c r="BR2" t="s">
        <v>663</v>
      </c>
      <c r="BS2" t="s">
        <v>665</v>
      </c>
      <c r="BT2" t="s">
        <v>667</v>
      </c>
      <c r="BU2" t="s">
        <v>668</v>
      </c>
      <c r="BV2" t="s">
        <v>670</v>
      </c>
      <c r="BW2" t="s">
        <v>671</v>
      </c>
      <c r="BX2" t="s">
        <v>672</v>
      </c>
      <c r="BY2" t="s">
        <v>673</v>
      </c>
      <c r="BZ2" t="s">
        <v>674</v>
      </c>
      <c r="CA2" t="s">
        <v>675</v>
      </c>
      <c r="CB2" t="s">
        <v>676</v>
      </c>
      <c r="CC2" t="s">
        <v>677</v>
      </c>
    </row>
    <row r="3" spans="1:81">
      <c r="A3" t="s">
        <v>188</v>
      </c>
      <c r="B3">
        <v>1</v>
      </c>
      <c r="C3" t="str">
        <f t="shared" ref="C3:C66" si="0">CONCATENATE(A3, "_",B3,"_")</f>
        <v>test.BallonFactory_1_</v>
      </c>
      <c r="D3">
        <v>2</v>
      </c>
      <c r="E3" s="4">
        <v>0.96078431372549022</v>
      </c>
      <c r="F3" s="4">
        <v>0.98477157360406087</v>
      </c>
      <c r="G3" s="4" t="str">
        <f t="shared" ref="G3:G66" si="1">IF($F3 &lt;= 0.2,$E3,"")</f>
        <v/>
      </c>
      <c r="H3" s="4" t="str">
        <f t="shared" ref="H3:H66" si="2">IF(AND($F3 &gt; 0.2,$F3 &lt;= 0.4),$E3,"")</f>
        <v/>
      </c>
      <c r="I3" s="4" t="str">
        <f t="shared" ref="I3:I66" si="3">IF(AND($F3 &gt; 0.4,$F3 &lt;= 0.6),$E3,"")</f>
        <v/>
      </c>
      <c r="J3" s="4" t="str">
        <f t="shared" ref="J3:J66" si="4">IF(AND($F3 &gt; 0.6,$F3 &lt;= 0.8),$E3,"")</f>
        <v/>
      </c>
      <c r="K3" s="4">
        <f t="shared" ref="K3:K66" si="5">IF(AND($F3 &gt; 0.8, $F3 &lt;=1.1),$E3,"")</f>
        <v>0.96078431372549022</v>
      </c>
      <c r="L3" s="4" t="str">
        <f t="shared" ref="L3:L66" si="6">IF(AND($F3 &gt; 1.1),$E3,"")</f>
        <v/>
      </c>
      <c r="M3" s="4"/>
      <c r="N3" s="4">
        <f>SUM(T3:V3)/64</f>
        <v>9.375E-2</v>
      </c>
      <c r="O3" s="4">
        <f>SUM(Q3:V3)</f>
        <v>58</v>
      </c>
      <c r="P3" t="s">
        <v>604</v>
      </c>
      <c r="Q3" s="8">
        <f t="shared" ref="Q3:Q8" si="7">COUNTIF($X3:$CC3,"=0")</f>
        <v>25</v>
      </c>
      <c r="R3" s="8">
        <f t="shared" ref="R3:R8" si="8">COUNTIFS($X3:$CC3,"&gt;0",$X3:$CC3,"&lt;0.25")</f>
        <v>23</v>
      </c>
      <c r="S3" s="8">
        <f t="shared" ref="S3:S8" si="9">COUNTIFS($X3:$CC3,"&gt;=0.25",$X3:$CC3,"&lt;0.5")</f>
        <v>4</v>
      </c>
      <c r="T3" s="8">
        <f t="shared" ref="T3:T8" si="10">COUNTIFS($X3:$CC3,"&gt;=0.5",$X3:$CC3,"&lt;0.75")</f>
        <v>5</v>
      </c>
      <c r="U3" s="8">
        <f t="shared" ref="U3:U8" si="11">COUNTIFS($X3:$CC3,"&gt;=0.75",$X3:$CC3,"&lt;1")</f>
        <v>1</v>
      </c>
      <c r="V3" s="8">
        <f t="shared" ref="V3:V8" si="12">COUNTIF($X3:$CC3,"=1")</f>
        <v>0</v>
      </c>
      <c r="W3" t="s">
        <v>604</v>
      </c>
      <c r="X3">
        <f t="shared" ref="X3:CC3" si="13">DMAX($A$1:$L$540,$W3,X$1:X$2)</f>
        <v>0</v>
      </c>
      <c r="Y3">
        <f t="shared" si="13"/>
        <v>0</v>
      </c>
      <c r="Z3">
        <f t="shared" si="13"/>
        <v>0.1111111111111111</v>
      </c>
      <c r="AA3">
        <f t="shared" si="13"/>
        <v>0.2391304347826087</v>
      </c>
      <c r="AB3">
        <f t="shared" si="13"/>
        <v>0</v>
      </c>
      <c r="AC3">
        <f t="shared" si="13"/>
        <v>0</v>
      </c>
      <c r="AD3">
        <f t="shared" si="13"/>
        <v>0</v>
      </c>
      <c r="AE3">
        <f t="shared" si="13"/>
        <v>3.2786885245901641E-2</v>
      </c>
      <c r="AF3">
        <f t="shared" si="13"/>
        <v>0.75886524822695034</v>
      </c>
      <c r="AG3">
        <f t="shared" si="13"/>
        <v>4.7244094488188976E-2</v>
      </c>
      <c r="AH3">
        <f t="shared" si="13"/>
        <v>0.70297029702970293</v>
      </c>
      <c r="AI3">
        <f t="shared" si="13"/>
        <v>4.4642857142857144E-2</v>
      </c>
      <c r="AJ3">
        <f t="shared" si="13"/>
        <v>0</v>
      </c>
      <c r="AK3">
        <f t="shared" si="13"/>
        <v>0</v>
      </c>
      <c r="AL3">
        <f t="shared" si="13"/>
        <v>0.58620689655172409</v>
      </c>
      <c r="AM3">
        <f t="shared" si="13"/>
        <v>5.208333333333333E-3</v>
      </c>
      <c r="AN3">
        <f t="shared" si="13"/>
        <v>8.4745762711864406E-3</v>
      </c>
      <c r="AO3">
        <f t="shared" si="13"/>
        <v>0</v>
      </c>
      <c r="AP3">
        <f t="shared" si="13"/>
        <v>0.26190476190476192</v>
      </c>
      <c r="AQ3">
        <f t="shared" si="13"/>
        <v>0</v>
      </c>
      <c r="AR3">
        <f t="shared" si="13"/>
        <v>0</v>
      </c>
      <c r="AS3">
        <f t="shared" si="13"/>
        <v>0</v>
      </c>
      <c r="AT3">
        <f t="shared" si="13"/>
        <v>0.11627906976744186</v>
      </c>
      <c r="AU3">
        <f t="shared" si="13"/>
        <v>9.6774193548387094E-2</v>
      </c>
      <c r="AV3">
        <f t="shared" si="13"/>
        <v>0.5178571428571429</v>
      </c>
      <c r="AW3">
        <f t="shared" si="13"/>
        <v>0.36046511627906974</v>
      </c>
      <c r="AX3">
        <f t="shared" si="13"/>
        <v>0.19565217391304349</v>
      </c>
      <c r="AY3">
        <f t="shared" si="13"/>
        <v>3.3333333333333333E-2</v>
      </c>
      <c r="AZ3">
        <f t="shared" si="13"/>
        <v>0</v>
      </c>
      <c r="BA3">
        <f t="shared" si="13"/>
        <v>0.23214285714285715</v>
      </c>
      <c r="BB3">
        <f t="shared" si="13"/>
        <v>0.16</v>
      </c>
      <c r="BC3">
        <f t="shared" si="13"/>
        <v>0.56617647058823528</v>
      </c>
      <c r="BD3">
        <f t="shared" si="13"/>
        <v>0</v>
      </c>
      <c r="BE3">
        <f t="shared" si="13"/>
        <v>0.14285714285714285</v>
      </c>
      <c r="BF3">
        <f t="shared" si="13"/>
        <v>0</v>
      </c>
      <c r="BG3">
        <f t="shared" si="13"/>
        <v>0.1728395061728395</v>
      </c>
      <c r="BH3">
        <f t="shared" si="13"/>
        <v>0.55426356589147285</v>
      </c>
      <c r="BI3">
        <f t="shared" si="13"/>
        <v>0.33962264150943394</v>
      </c>
      <c r="BJ3">
        <f t="shared" si="13"/>
        <v>6.7842605156037995E-3</v>
      </c>
      <c r="BK3">
        <f t="shared" si="13"/>
        <v>5.2192066805845511E-3</v>
      </c>
      <c r="BL3">
        <f t="shared" si="13"/>
        <v>1.050420168067227E-2</v>
      </c>
      <c r="BM3">
        <f t="shared" si="13"/>
        <v>8.2372322899505763E-3</v>
      </c>
      <c r="BN3">
        <f t="shared" si="13"/>
        <v>0</v>
      </c>
      <c r="BO3">
        <f t="shared" si="13"/>
        <v>0</v>
      </c>
      <c r="BP3">
        <f t="shared" si="13"/>
        <v>0</v>
      </c>
      <c r="BQ3">
        <f t="shared" si="13"/>
        <v>9.7345132743362831E-2</v>
      </c>
      <c r="BR3">
        <f t="shared" si="13"/>
        <v>0.18085106382978725</v>
      </c>
      <c r="BS3">
        <f t="shared" si="13"/>
        <v>0</v>
      </c>
      <c r="BT3">
        <f t="shared" si="13"/>
        <v>0.31707317073170732</v>
      </c>
      <c r="BU3">
        <f t="shared" si="13"/>
        <v>0</v>
      </c>
      <c r="BV3">
        <f t="shared" si="13"/>
        <v>0</v>
      </c>
      <c r="BW3">
        <f t="shared" si="13"/>
        <v>0</v>
      </c>
      <c r="BX3">
        <f t="shared" si="13"/>
        <v>7.9545454545454544E-2</v>
      </c>
      <c r="BY3">
        <f t="shared" si="13"/>
        <v>0.125</v>
      </c>
      <c r="BZ3">
        <f t="shared" si="13"/>
        <v>0</v>
      </c>
      <c r="CA3">
        <f t="shared" si="13"/>
        <v>0</v>
      </c>
      <c r="CB3">
        <f t="shared" si="13"/>
        <v>0</v>
      </c>
      <c r="CC3">
        <f t="shared" si="13"/>
        <v>0</v>
      </c>
    </row>
    <row r="4" spans="1:81">
      <c r="A4" t="s">
        <v>188</v>
      </c>
      <c r="B4">
        <v>1</v>
      </c>
      <c r="C4" t="str">
        <f t="shared" si="0"/>
        <v>test.BallonFactory_1_</v>
      </c>
      <c r="D4">
        <v>3</v>
      </c>
      <c r="E4" s="4">
        <v>1</v>
      </c>
      <c r="F4" s="4">
        <v>0.99083019485835921</v>
      </c>
      <c r="G4" s="4" t="str">
        <f t="shared" si="1"/>
        <v/>
      </c>
      <c r="H4" s="4" t="str">
        <f t="shared" si="2"/>
        <v/>
      </c>
      <c r="I4" s="4" t="str">
        <f t="shared" si="3"/>
        <v/>
      </c>
      <c r="J4" s="4" t="str">
        <f t="shared" si="4"/>
        <v/>
      </c>
      <c r="K4" s="4">
        <f t="shared" si="5"/>
        <v>1</v>
      </c>
      <c r="L4" s="4" t="str">
        <f t="shared" si="6"/>
        <v/>
      </c>
      <c r="M4" s="4"/>
      <c r="N4" s="4">
        <f t="shared" ref="N4:N7" si="14">SUM(T4:V4)/64</f>
        <v>0.25</v>
      </c>
      <c r="O4" s="4">
        <f>SUM(Q4:V4)</f>
        <v>58</v>
      </c>
      <c r="P4" t="s">
        <v>605</v>
      </c>
      <c r="Q4" s="8">
        <f t="shared" si="7"/>
        <v>16</v>
      </c>
      <c r="R4" s="8">
        <f t="shared" si="8"/>
        <v>16</v>
      </c>
      <c r="S4" s="8">
        <f t="shared" si="9"/>
        <v>10</v>
      </c>
      <c r="T4" s="8">
        <f t="shared" si="10"/>
        <v>6</v>
      </c>
      <c r="U4" s="8">
        <f t="shared" si="11"/>
        <v>4</v>
      </c>
      <c r="V4" s="8">
        <f t="shared" si="12"/>
        <v>6</v>
      </c>
      <c r="W4" t="s">
        <v>605</v>
      </c>
      <c r="X4">
        <f t="shared" ref="X4:CC8" si="15">IF(X3&lt;DMAX($A$1:$L$540,$W4,X$1:X$2),DMAX($A$1:$L$540,$W4,X$1:X$2),X3)</f>
        <v>0</v>
      </c>
      <c r="Y4">
        <f t="shared" si="15"/>
        <v>0</v>
      </c>
      <c r="Z4">
        <f t="shared" si="15"/>
        <v>0.27777777777777779</v>
      </c>
      <c r="AA4">
        <f t="shared" si="15"/>
        <v>0.91304347826086951</v>
      </c>
      <c r="AB4">
        <f t="shared" si="15"/>
        <v>0.19354838709677419</v>
      </c>
      <c r="AC4">
        <f t="shared" si="15"/>
        <v>0.19354838709677419</v>
      </c>
      <c r="AD4">
        <f t="shared" si="15"/>
        <v>0.125</v>
      </c>
      <c r="AE4">
        <f t="shared" si="15"/>
        <v>3.2786885245901641E-2</v>
      </c>
      <c r="AF4">
        <f t="shared" si="15"/>
        <v>0.75886524822695034</v>
      </c>
      <c r="AG4">
        <f t="shared" si="15"/>
        <v>0.73228346456692917</v>
      </c>
      <c r="AH4">
        <f t="shared" si="15"/>
        <v>0.70297029702970293</v>
      </c>
      <c r="AI4">
        <f t="shared" si="15"/>
        <v>4.4642857142857144E-2</v>
      </c>
      <c r="AJ4">
        <f t="shared" si="15"/>
        <v>0</v>
      </c>
      <c r="AK4">
        <f t="shared" si="15"/>
        <v>0</v>
      </c>
      <c r="AL4">
        <f t="shared" si="15"/>
        <v>1</v>
      </c>
      <c r="AM4">
        <f t="shared" si="15"/>
        <v>5.208333333333333E-3</v>
      </c>
      <c r="AN4">
        <f t="shared" si="15"/>
        <v>8.4745762711864406E-3</v>
      </c>
      <c r="AO4">
        <f t="shared" si="15"/>
        <v>0.20454545454545456</v>
      </c>
      <c r="AP4">
        <f t="shared" si="15"/>
        <v>0.26190476190476192</v>
      </c>
      <c r="AQ4">
        <f t="shared" si="15"/>
        <v>0</v>
      </c>
      <c r="AR4">
        <f t="shared" si="15"/>
        <v>0</v>
      </c>
      <c r="AS4">
        <f t="shared" si="15"/>
        <v>0</v>
      </c>
      <c r="AT4">
        <f t="shared" si="15"/>
        <v>0.2558139534883721</v>
      </c>
      <c r="AU4">
        <f t="shared" si="15"/>
        <v>9.6774193548387094E-2</v>
      </c>
      <c r="AV4">
        <f t="shared" si="15"/>
        <v>0.5178571428571429</v>
      </c>
      <c r="AW4">
        <f t="shared" si="15"/>
        <v>0.36046511627906974</v>
      </c>
      <c r="AX4">
        <f t="shared" si="15"/>
        <v>0.45652173913043476</v>
      </c>
      <c r="AY4">
        <f t="shared" si="15"/>
        <v>0.2</v>
      </c>
      <c r="AZ4">
        <f t="shared" si="15"/>
        <v>0</v>
      </c>
      <c r="BA4">
        <f t="shared" si="15"/>
        <v>1</v>
      </c>
      <c r="BB4">
        <f t="shared" si="15"/>
        <v>0.88571428571428568</v>
      </c>
      <c r="BC4">
        <f t="shared" si="15"/>
        <v>1</v>
      </c>
      <c r="BD4">
        <f t="shared" si="15"/>
        <v>0</v>
      </c>
      <c r="BE4">
        <f t="shared" si="15"/>
        <v>0.47619047619047616</v>
      </c>
      <c r="BF4">
        <f t="shared" si="15"/>
        <v>0.73333333333333328</v>
      </c>
      <c r="BG4">
        <f t="shared" si="15"/>
        <v>0.86419753086419748</v>
      </c>
      <c r="BH4">
        <f t="shared" si="15"/>
        <v>1</v>
      </c>
      <c r="BI4">
        <f t="shared" si="15"/>
        <v>0.33962264150943394</v>
      </c>
      <c r="BJ4">
        <f t="shared" si="15"/>
        <v>6.7842605156037995E-3</v>
      </c>
      <c r="BK4">
        <f t="shared" si="15"/>
        <v>5.2192066805845511E-3</v>
      </c>
      <c r="BL4">
        <f t="shared" si="15"/>
        <v>1.050420168067227E-2</v>
      </c>
      <c r="BM4">
        <f t="shared" si="15"/>
        <v>8.2372322899505763E-3</v>
      </c>
      <c r="BN4">
        <f t="shared" si="15"/>
        <v>0</v>
      </c>
      <c r="BO4">
        <f t="shared" si="15"/>
        <v>0</v>
      </c>
      <c r="BP4">
        <f t="shared" si="15"/>
        <v>0</v>
      </c>
      <c r="BQ4">
        <f t="shared" si="15"/>
        <v>0.51327433628318586</v>
      </c>
      <c r="BR4">
        <f t="shared" si="15"/>
        <v>1</v>
      </c>
      <c r="BS4">
        <f t="shared" si="15"/>
        <v>1</v>
      </c>
      <c r="BT4">
        <f t="shared" si="15"/>
        <v>0.44715447154471544</v>
      </c>
      <c r="BU4">
        <f t="shared" si="15"/>
        <v>0.30303030303030304</v>
      </c>
      <c r="BV4">
        <f t="shared" si="15"/>
        <v>0.66666666666666663</v>
      </c>
      <c r="BW4">
        <f t="shared" si="15"/>
        <v>0</v>
      </c>
      <c r="BX4">
        <f t="shared" si="15"/>
        <v>7.9545454545454544E-2</v>
      </c>
      <c r="BY4">
        <f t="shared" si="15"/>
        <v>0.125</v>
      </c>
      <c r="BZ4">
        <f t="shared" si="15"/>
        <v>0</v>
      </c>
      <c r="CA4">
        <f t="shared" si="15"/>
        <v>0.352112676056338</v>
      </c>
      <c r="CB4">
        <f t="shared" si="15"/>
        <v>0</v>
      </c>
      <c r="CC4">
        <f t="shared" si="15"/>
        <v>0</v>
      </c>
    </row>
    <row r="5" spans="1:81">
      <c r="A5" t="s">
        <v>188</v>
      </c>
      <c r="B5">
        <v>1</v>
      </c>
      <c r="C5" t="str">
        <f t="shared" si="0"/>
        <v>test.BallonFactory_1_</v>
      </c>
      <c r="D5">
        <v>4</v>
      </c>
      <c r="E5" s="4">
        <v>1</v>
      </c>
      <c r="F5" s="4">
        <v>0.9921401670214508</v>
      </c>
      <c r="G5" s="4" t="str">
        <f t="shared" si="1"/>
        <v/>
      </c>
      <c r="H5" s="4" t="str">
        <f t="shared" si="2"/>
        <v/>
      </c>
      <c r="I5" s="4" t="str">
        <f t="shared" si="3"/>
        <v/>
      </c>
      <c r="J5" s="4" t="str">
        <f t="shared" si="4"/>
        <v/>
      </c>
      <c r="K5" s="4">
        <f t="shared" si="5"/>
        <v>1</v>
      </c>
      <c r="L5" s="4" t="str">
        <f t="shared" si="6"/>
        <v/>
      </c>
      <c r="M5" s="4">
        <f>SUM(R5:V5)/64</f>
        <v>0.734375</v>
      </c>
      <c r="N5" s="4">
        <f t="shared" si="14"/>
        <v>0.453125</v>
      </c>
      <c r="O5" s="4">
        <f t="shared" ref="O5:O7" si="16">SUM(Q5:V5)</f>
        <v>58</v>
      </c>
      <c r="P5" t="s">
        <v>606</v>
      </c>
      <c r="Q5" s="8">
        <f t="shared" si="7"/>
        <v>11</v>
      </c>
      <c r="R5" s="8">
        <f t="shared" si="8"/>
        <v>8</v>
      </c>
      <c r="S5" s="8">
        <f t="shared" si="9"/>
        <v>10</v>
      </c>
      <c r="T5" s="8">
        <f t="shared" si="10"/>
        <v>12</v>
      </c>
      <c r="U5" s="8">
        <f t="shared" si="11"/>
        <v>3</v>
      </c>
      <c r="V5" s="8">
        <f t="shared" si="12"/>
        <v>14</v>
      </c>
      <c r="W5" t="s">
        <v>606</v>
      </c>
      <c r="X5">
        <f t="shared" si="15"/>
        <v>0</v>
      </c>
      <c r="Y5">
        <f t="shared" si="15"/>
        <v>0.5757575757575758</v>
      </c>
      <c r="Z5">
        <f t="shared" si="15"/>
        <v>0.27777777777777779</v>
      </c>
      <c r="AA5">
        <f t="shared" si="15"/>
        <v>1</v>
      </c>
      <c r="AB5">
        <f t="shared" si="15"/>
        <v>0.19354838709677419</v>
      </c>
      <c r="AC5">
        <f t="shared" si="15"/>
        <v>0.19354838709677419</v>
      </c>
      <c r="AD5">
        <f t="shared" si="15"/>
        <v>0.375</v>
      </c>
      <c r="AE5">
        <f t="shared" si="15"/>
        <v>3.2786885245901641E-2</v>
      </c>
      <c r="AF5">
        <f t="shared" si="15"/>
        <v>0.75886524822695034</v>
      </c>
      <c r="AG5">
        <f t="shared" si="15"/>
        <v>0.73228346456692917</v>
      </c>
      <c r="AH5">
        <f t="shared" si="15"/>
        <v>1</v>
      </c>
      <c r="AI5">
        <f t="shared" si="15"/>
        <v>0.5</v>
      </c>
      <c r="AJ5">
        <f t="shared" si="15"/>
        <v>0</v>
      </c>
      <c r="AK5">
        <f t="shared" si="15"/>
        <v>0</v>
      </c>
      <c r="AL5">
        <f t="shared" si="15"/>
        <v>1</v>
      </c>
      <c r="AM5">
        <f t="shared" si="15"/>
        <v>0.97916666666666663</v>
      </c>
      <c r="AN5">
        <f t="shared" si="15"/>
        <v>0.52542372881355937</v>
      </c>
      <c r="AO5">
        <f t="shared" si="15"/>
        <v>0.38636363636363635</v>
      </c>
      <c r="AP5">
        <f t="shared" si="15"/>
        <v>0.26190476190476192</v>
      </c>
      <c r="AQ5">
        <f t="shared" si="15"/>
        <v>0</v>
      </c>
      <c r="AR5">
        <f t="shared" si="15"/>
        <v>0</v>
      </c>
      <c r="AS5">
        <f t="shared" si="15"/>
        <v>0</v>
      </c>
      <c r="AT5">
        <f t="shared" si="15"/>
        <v>0.2558139534883721</v>
      </c>
      <c r="AU5">
        <f t="shared" si="15"/>
        <v>9.6774193548387094E-2</v>
      </c>
      <c r="AV5">
        <f t="shared" si="15"/>
        <v>0.5178571428571429</v>
      </c>
      <c r="AW5">
        <f t="shared" si="15"/>
        <v>0.36046511627906974</v>
      </c>
      <c r="AX5">
        <f t="shared" si="15"/>
        <v>0.45652173913043476</v>
      </c>
      <c r="AY5">
        <f t="shared" si="15"/>
        <v>0.43333333333333335</v>
      </c>
      <c r="AZ5">
        <f t="shared" si="15"/>
        <v>0</v>
      </c>
      <c r="BA5">
        <f t="shared" si="15"/>
        <v>1</v>
      </c>
      <c r="BB5">
        <f t="shared" si="15"/>
        <v>1</v>
      </c>
      <c r="BC5">
        <f t="shared" si="15"/>
        <v>1</v>
      </c>
      <c r="BD5">
        <f t="shared" si="15"/>
        <v>0.36363636363636365</v>
      </c>
      <c r="BE5">
        <f t="shared" si="15"/>
        <v>0.66666666666666663</v>
      </c>
      <c r="BF5">
        <f t="shared" si="15"/>
        <v>1</v>
      </c>
      <c r="BG5">
        <f t="shared" si="15"/>
        <v>1</v>
      </c>
      <c r="BH5">
        <f t="shared" si="15"/>
        <v>1</v>
      </c>
      <c r="BI5">
        <f t="shared" si="15"/>
        <v>0.33962264150943394</v>
      </c>
      <c r="BJ5">
        <f t="shared" si="15"/>
        <v>6.7842605156037995E-3</v>
      </c>
      <c r="BK5">
        <f t="shared" si="15"/>
        <v>0.58872651356993733</v>
      </c>
      <c r="BL5">
        <f t="shared" si="15"/>
        <v>1.050420168067227E-2</v>
      </c>
      <c r="BM5">
        <f t="shared" si="15"/>
        <v>8.2372322899505763E-3</v>
      </c>
      <c r="BN5">
        <f t="shared" si="15"/>
        <v>1</v>
      </c>
      <c r="BO5">
        <f t="shared" si="15"/>
        <v>1</v>
      </c>
      <c r="BP5">
        <f t="shared" si="15"/>
        <v>0.1</v>
      </c>
      <c r="BQ5">
        <f t="shared" si="15"/>
        <v>0.51327433628318586</v>
      </c>
      <c r="BR5">
        <f t="shared" si="15"/>
        <v>1</v>
      </c>
      <c r="BS5">
        <f t="shared" si="15"/>
        <v>1</v>
      </c>
      <c r="BT5">
        <f t="shared" si="15"/>
        <v>0.57723577235772361</v>
      </c>
      <c r="BU5">
        <f t="shared" si="15"/>
        <v>0.66666666666666663</v>
      </c>
      <c r="BV5">
        <f t="shared" si="15"/>
        <v>0.77777777777777779</v>
      </c>
      <c r="BW5">
        <f t="shared" si="15"/>
        <v>0</v>
      </c>
      <c r="BX5">
        <f t="shared" si="15"/>
        <v>1</v>
      </c>
      <c r="BY5">
        <f t="shared" si="15"/>
        <v>0.5714285714285714</v>
      </c>
      <c r="BZ5">
        <f t="shared" si="15"/>
        <v>0</v>
      </c>
      <c r="CA5">
        <f t="shared" si="15"/>
        <v>0.70422535211267601</v>
      </c>
      <c r="CB5">
        <f t="shared" si="15"/>
        <v>0</v>
      </c>
      <c r="CC5">
        <f t="shared" si="15"/>
        <v>0</v>
      </c>
    </row>
    <row r="6" spans="1:81">
      <c r="A6" t="s">
        <v>188</v>
      </c>
      <c r="B6">
        <v>2</v>
      </c>
      <c r="C6" t="str">
        <f t="shared" si="0"/>
        <v>test.BallonFactory_2_</v>
      </c>
      <c r="D6">
        <v>1</v>
      </c>
      <c r="E6" s="4">
        <v>0.33333333333333331</v>
      </c>
      <c r="F6" s="4">
        <v>0.41804979253112035</v>
      </c>
      <c r="G6" s="4" t="str">
        <f t="shared" si="1"/>
        <v/>
      </c>
      <c r="H6" s="4" t="str">
        <f t="shared" si="2"/>
        <v/>
      </c>
      <c r="I6" s="4">
        <f t="shared" si="3"/>
        <v>0.33333333333333331</v>
      </c>
      <c r="J6" s="4" t="str">
        <f t="shared" si="4"/>
        <v/>
      </c>
      <c r="K6" s="4" t="str">
        <f t="shared" si="5"/>
        <v/>
      </c>
      <c r="L6" s="4" t="str">
        <f t="shared" si="6"/>
        <v/>
      </c>
      <c r="M6" s="4">
        <f>25/64</f>
        <v>0.390625</v>
      </c>
      <c r="N6" s="4">
        <f>SUM(T6:V6)/64</f>
        <v>0.640625</v>
      </c>
      <c r="O6" s="4">
        <f t="shared" si="16"/>
        <v>58</v>
      </c>
      <c r="P6" t="s">
        <v>681</v>
      </c>
      <c r="Q6" s="8">
        <f t="shared" si="7"/>
        <v>7</v>
      </c>
      <c r="R6" s="8">
        <f t="shared" si="8"/>
        <v>4</v>
      </c>
      <c r="S6" s="8">
        <f t="shared" si="9"/>
        <v>6</v>
      </c>
      <c r="T6" s="8">
        <f t="shared" si="10"/>
        <v>9</v>
      </c>
      <c r="U6" s="8">
        <f t="shared" si="11"/>
        <v>8</v>
      </c>
      <c r="V6" s="8">
        <f t="shared" si="12"/>
        <v>24</v>
      </c>
      <c r="W6" t="s">
        <v>681</v>
      </c>
      <c r="X6">
        <f t="shared" si="15"/>
        <v>0</v>
      </c>
      <c r="Y6">
        <f t="shared" si="15"/>
        <v>0.96969696969696972</v>
      </c>
      <c r="Z6">
        <f t="shared" si="15"/>
        <v>0.61111111111111116</v>
      </c>
      <c r="AA6">
        <f t="shared" si="15"/>
        <v>1</v>
      </c>
      <c r="AB6">
        <f t="shared" si="15"/>
        <v>0.93548387096774188</v>
      </c>
      <c r="AC6">
        <f t="shared" si="15"/>
        <v>0.93548387096774188</v>
      </c>
      <c r="AD6">
        <f t="shared" si="15"/>
        <v>0.625</v>
      </c>
      <c r="AE6">
        <f t="shared" si="15"/>
        <v>3.2786885245901641E-2</v>
      </c>
      <c r="AF6">
        <f t="shared" si="15"/>
        <v>0.75886524822695034</v>
      </c>
      <c r="AG6">
        <f t="shared" si="15"/>
        <v>0.73228346456692917</v>
      </c>
      <c r="AH6">
        <f t="shared" si="15"/>
        <v>1</v>
      </c>
      <c r="AI6">
        <f t="shared" si="15"/>
        <v>0.5</v>
      </c>
      <c r="AJ6">
        <f t="shared" si="15"/>
        <v>0</v>
      </c>
      <c r="AK6">
        <f t="shared" si="15"/>
        <v>0</v>
      </c>
      <c r="AL6">
        <f t="shared" si="15"/>
        <v>1</v>
      </c>
      <c r="AM6">
        <f t="shared" si="15"/>
        <v>0.97916666666666663</v>
      </c>
      <c r="AN6">
        <f t="shared" si="15"/>
        <v>1</v>
      </c>
      <c r="AO6">
        <f t="shared" si="15"/>
        <v>0.38636363636363635</v>
      </c>
      <c r="AP6">
        <f t="shared" si="15"/>
        <v>0.26190476190476192</v>
      </c>
      <c r="AQ6">
        <f t="shared" si="15"/>
        <v>0.84036144578313254</v>
      </c>
      <c r="AR6">
        <f t="shared" si="15"/>
        <v>0</v>
      </c>
      <c r="AS6">
        <f t="shared" si="15"/>
        <v>1</v>
      </c>
      <c r="AT6">
        <f t="shared" si="15"/>
        <v>0.2558139534883721</v>
      </c>
      <c r="AU6">
        <f t="shared" si="15"/>
        <v>1</v>
      </c>
      <c r="AV6">
        <f t="shared" si="15"/>
        <v>0.5178571428571429</v>
      </c>
      <c r="AW6">
        <f t="shared" si="15"/>
        <v>0.91860465116279066</v>
      </c>
      <c r="AX6">
        <f t="shared" si="15"/>
        <v>0.45652173913043476</v>
      </c>
      <c r="AY6">
        <f t="shared" si="15"/>
        <v>0.96666666666666667</v>
      </c>
      <c r="AZ6">
        <f t="shared" si="15"/>
        <v>0</v>
      </c>
      <c r="BA6">
        <f t="shared" si="15"/>
        <v>1</v>
      </c>
      <c r="BB6">
        <f t="shared" si="15"/>
        <v>1</v>
      </c>
      <c r="BC6">
        <f t="shared" si="15"/>
        <v>1</v>
      </c>
      <c r="BD6">
        <f t="shared" si="15"/>
        <v>0.68181818181818177</v>
      </c>
      <c r="BE6">
        <f t="shared" si="15"/>
        <v>1</v>
      </c>
      <c r="BF6">
        <f t="shared" si="15"/>
        <v>1</v>
      </c>
      <c r="BG6">
        <f t="shared" si="15"/>
        <v>1</v>
      </c>
      <c r="BH6">
        <f t="shared" si="15"/>
        <v>1</v>
      </c>
      <c r="BI6">
        <f t="shared" si="15"/>
        <v>0.33962264150943394</v>
      </c>
      <c r="BJ6">
        <f t="shared" si="15"/>
        <v>6.7842605156037995E-3</v>
      </c>
      <c r="BK6">
        <f t="shared" si="15"/>
        <v>1</v>
      </c>
      <c r="BL6">
        <f t="shared" si="15"/>
        <v>1.050420168067227E-2</v>
      </c>
      <c r="BM6">
        <f t="shared" si="15"/>
        <v>8.2372322899505763E-3</v>
      </c>
      <c r="BN6">
        <f t="shared" si="15"/>
        <v>1</v>
      </c>
      <c r="BO6">
        <f t="shared" si="15"/>
        <v>1</v>
      </c>
      <c r="BP6">
        <f t="shared" si="15"/>
        <v>0.6</v>
      </c>
      <c r="BQ6">
        <f t="shared" si="15"/>
        <v>1</v>
      </c>
      <c r="BR6">
        <f t="shared" si="15"/>
        <v>1</v>
      </c>
      <c r="BS6">
        <f t="shared" si="15"/>
        <v>1</v>
      </c>
      <c r="BT6">
        <f t="shared" si="15"/>
        <v>1</v>
      </c>
      <c r="BU6">
        <f t="shared" si="15"/>
        <v>0.66666666666666663</v>
      </c>
      <c r="BV6">
        <f t="shared" si="15"/>
        <v>1</v>
      </c>
      <c r="BW6">
        <f t="shared" si="15"/>
        <v>0</v>
      </c>
      <c r="BX6">
        <f t="shared" si="15"/>
        <v>1</v>
      </c>
      <c r="BY6">
        <f t="shared" si="15"/>
        <v>1</v>
      </c>
      <c r="BZ6">
        <f t="shared" si="15"/>
        <v>0.42857142857142855</v>
      </c>
      <c r="CA6">
        <f t="shared" si="15"/>
        <v>1</v>
      </c>
      <c r="CB6">
        <f t="shared" si="15"/>
        <v>0.74193548387096775</v>
      </c>
      <c r="CC6">
        <f t="shared" si="15"/>
        <v>0</v>
      </c>
    </row>
    <row r="7" spans="1:81">
      <c r="A7" t="s">
        <v>188</v>
      </c>
      <c r="B7">
        <v>2</v>
      </c>
      <c r="C7" t="str">
        <f t="shared" si="0"/>
        <v>test.BallonFactory_2_</v>
      </c>
      <c r="D7">
        <v>2</v>
      </c>
      <c r="E7" s="4">
        <v>0.5757575757575758</v>
      </c>
      <c r="F7" s="4">
        <v>0.5840248962655602</v>
      </c>
      <c r="G7" s="4" t="str">
        <f t="shared" si="1"/>
        <v/>
      </c>
      <c r="H7" s="4" t="str">
        <f t="shared" si="2"/>
        <v/>
      </c>
      <c r="I7" s="4">
        <f t="shared" si="3"/>
        <v>0.5757575757575758</v>
      </c>
      <c r="J7" s="4" t="str">
        <f t="shared" si="4"/>
        <v/>
      </c>
      <c r="K7" s="4" t="str">
        <f t="shared" si="5"/>
        <v/>
      </c>
      <c r="L7" s="4" t="str">
        <f t="shared" si="6"/>
        <v/>
      </c>
      <c r="M7" s="4"/>
      <c r="N7" s="4">
        <f t="shared" si="14"/>
        <v>0.90625</v>
      </c>
      <c r="O7" s="4">
        <f t="shared" si="16"/>
        <v>58</v>
      </c>
      <c r="P7" s="7" t="s">
        <v>607</v>
      </c>
      <c r="Q7" s="8">
        <f t="shared" si="7"/>
        <v>0</v>
      </c>
      <c r="R7" s="8">
        <f t="shared" si="8"/>
        <v>0</v>
      </c>
      <c r="S7" s="8">
        <f t="shared" si="9"/>
        <v>0</v>
      </c>
      <c r="T7" s="8">
        <f t="shared" si="10"/>
        <v>0</v>
      </c>
      <c r="U7" s="8">
        <f t="shared" si="11"/>
        <v>1</v>
      </c>
      <c r="V7" s="8">
        <f t="shared" si="12"/>
        <v>57</v>
      </c>
      <c r="W7" s="7" t="s">
        <v>607</v>
      </c>
      <c r="X7">
        <f t="shared" si="15"/>
        <v>1</v>
      </c>
      <c r="Y7">
        <f t="shared" si="15"/>
        <v>1</v>
      </c>
      <c r="Z7">
        <f t="shared" si="15"/>
        <v>0.88888888888888884</v>
      </c>
      <c r="AA7">
        <f t="shared" si="15"/>
        <v>1</v>
      </c>
      <c r="AB7">
        <f t="shared" si="15"/>
        <v>1</v>
      </c>
      <c r="AC7">
        <f t="shared" si="15"/>
        <v>1</v>
      </c>
      <c r="AD7">
        <f t="shared" si="15"/>
        <v>1</v>
      </c>
      <c r="AE7">
        <f t="shared" si="15"/>
        <v>1</v>
      </c>
      <c r="AF7">
        <f t="shared" si="15"/>
        <v>1</v>
      </c>
      <c r="AG7">
        <f t="shared" si="15"/>
        <v>1</v>
      </c>
      <c r="AH7">
        <f t="shared" si="15"/>
        <v>1</v>
      </c>
      <c r="AI7">
        <f t="shared" si="15"/>
        <v>1</v>
      </c>
      <c r="AJ7">
        <f t="shared" si="15"/>
        <v>1</v>
      </c>
      <c r="AK7">
        <f t="shared" si="15"/>
        <v>1</v>
      </c>
      <c r="AL7">
        <f t="shared" si="15"/>
        <v>1</v>
      </c>
      <c r="AM7">
        <f t="shared" si="15"/>
        <v>1</v>
      </c>
      <c r="AN7">
        <f t="shared" si="15"/>
        <v>1</v>
      </c>
      <c r="AO7">
        <f t="shared" si="15"/>
        <v>1</v>
      </c>
      <c r="AP7">
        <f t="shared" si="15"/>
        <v>1</v>
      </c>
      <c r="AQ7">
        <f t="shared" si="15"/>
        <v>1</v>
      </c>
      <c r="AR7">
        <f t="shared" si="15"/>
        <v>1</v>
      </c>
      <c r="AS7">
        <f t="shared" si="15"/>
        <v>1</v>
      </c>
      <c r="AT7">
        <f t="shared" si="15"/>
        <v>1</v>
      </c>
      <c r="AU7">
        <f t="shared" si="15"/>
        <v>1</v>
      </c>
      <c r="AV7">
        <f t="shared" si="15"/>
        <v>1</v>
      </c>
      <c r="AW7">
        <f t="shared" si="15"/>
        <v>1</v>
      </c>
      <c r="AX7">
        <f t="shared" si="15"/>
        <v>1</v>
      </c>
      <c r="AY7">
        <f t="shared" si="15"/>
        <v>1</v>
      </c>
      <c r="AZ7">
        <f t="shared" si="15"/>
        <v>1</v>
      </c>
      <c r="BA7">
        <f t="shared" si="15"/>
        <v>1</v>
      </c>
      <c r="BB7">
        <f t="shared" si="15"/>
        <v>1</v>
      </c>
      <c r="BC7">
        <f t="shared" si="15"/>
        <v>1</v>
      </c>
      <c r="BD7">
        <f t="shared" si="15"/>
        <v>1</v>
      </c>
      <c r="BE7">
        <f t="shared" si="15"/>
        <v>1</v>
      </c>
      <c r="BF7">
        <f t="shared" si="15"/>
        <v>1</v>
      </c>
      <c r="BG7">
        <f t="shared" si="15"/>
        <v>1</v>
      </c>
      <c r="BH7">
        <f t="shared" si="15"/>
        <v>1</v>
      </c>
      <c r="BI7">
        <f t="shared" si="15"/>
        <v>1</v>
      </c>
      <c r="BJ7">
        <f t="shared" si="15"/>
        <v>1</v>
      </c>
      <c r="BK7">
        <f t="shared" si="15"/>
        <v>1</v>
      </c>
      <c r="BL7">
        <f t="shared" si="15"/>
        <v>1</v>
      </c>
      <c r="BM7">
        <f t="shared" si="15"/>
        <v>1</v>
      </c>
      <c r="BN7">
        <f t="shared" si="15"/>
        <v>1</v>
      </c>
      <c r="BO7">
        <f t="shared" si="15"/>
        <v>1</v>
      </c>
      <c r="BP7">
        <f t="shared" si="15"/>
        <v>1</v>
      </c>
      <c r="BQ7">
        <f t="shared" si="15"/>
        <v>1</v>
      </c>
      <c r="BR7">
        <f t="shared" si="15"/>
        <v>1</v>
      </c>
      <c r="BS7">
        <f t="shared" si="15"/>
        <v>1</v>
      </c>
      <c r="BT7">
        <f t="shared" si="15"/>
        <v>1</v>
      </c>
      <c r="BU7">
        <f t="shared" si="15"/>
        <v>1</v>
      </c>
      <c r="BV7">
        <f t="shared" si="15"/>
        <v>1</v>
      </c>
      <c r="BW7">
        <f t="shared" si="15"/>
        <v>1</v>
      </c>
      <c r="BX7">
        <f t="shared" si="15"/>
        <v>1</v>
      </c>
      <c r="BY7">
        <f t="shared" si="15"/>
        <v>1</v>
      </c>
      <c r="BZ7">
        <f t="shared" si="15"/>
        <v>1</v>
      </c>
      <c r="CA7">
        <f t="shared" si="15"/>
        <v>1</v>
      </c>
      <c r="CB7">
        <f t="shared" si="15"/>
        <v>1</v>
      </c>
      <c r="CC7">
        <f t="shared" si="15"/>
        <v>1</v>
      </c>
    </row>
    <row r="8" spans="1:81">
      <c r="A8" t="s">
        <v>188</v>
      </c>
      <c r="B8">
        <v>2</v>
      </c>
      <c r="C8" t="str">
        <f t="shared" si="0"/>
        <v>test.BallonFactory_2_</v>
      </c>
      <c r="D8">
        <v>3</v>
      </c>
      <c r="E8" s="4">
        <v>0.60606060606060608</v>
      </c>
      <c r="F8" s="4">
        <v>0.64937759336099588</v>
      </c>
      <c r="G8" s="4" t="str">
        <f t="shared" si="1"/>
        <v/>
      </c>
      <c r="H8" s="4" t="str">
        <f t="shared" si="2"/>
        <v/>
      </c>
      <c r="I8" s="4" t="str">
        <f t="shared" si="3"/>
        <v/>
      </c>
      <c r="J8" s="4">
        <f t="shared" si="4"/>
        <v>0.60606060606060608</v>
      </c>
      <c r="K8" s="4" t="str">
        <f t="shared" si="5"/>
        <v/>
      </c>
      <c r="L8" s="4" t="str">
        <f t="shared" si="6"/>
        <v/>
      </c>
      <c r="M8" s="4"/>
      <c r="N8" s="4">
        <f>SUM(T8:V8)/64</f>
        <v>0.90625</v>
      </c>
      <c r="O8" s="4"/>
      <c r="P8" s="4" t="s">
        <v>682</v>
      </c>
      <c r="Q8" s="8">
        <f t="shared" si="7"/>
        <v>0</v>
      </c>
      <c r="R8" s="8">
        <f t="shared" si="8"/>
        <v>0</v>
      </c>
      <c r="S8" s="8">
        <f t="shared" si="9"/>
        <v>0</v>
      </c>
      <c r="T8" s="8">
        <f t="shared" si="10"/>
        <v>0</v>
      </c>
      <c r="U8" s="8">
        <f t="shared" si="11"/>
        <v>0</v>
      </c>
      <c r="V8" s="8">
        <f t="shared" si="12"/>
        <v>58</v>
      </c>
      <c r="W8" s="7" t="s">
        <v>682</v>
      </c>
      <c r="X8">
        <f t="shared" si="15"/>
        <v>1</v>
      </c>
      <c r="Y8">
        <f t="shared" si="15"/>
        <v>1</v>
      </c>
      <c r="Z8">
        <f t="shared" si="15"/>
        <v>1</v>
      </c>
      <c r="AA8">
        <f t="shared" si="15"/>
        <v>1</v>
      </c>
      <c r="AB8">
        <f t="shared" si="15"/>
        <v>1</v>
      </c>
      <c r="AC8">
        <f t="shared" si="15"/>
        <v>1</v>
      </c>
      <c r="AD8">
        <f t="shared" si="15"/>
        <v>1</v>
      </c>
      <c r="AE8">
        <f t="shared" si="15"/>
        <v>1</v>
      </c>
      <c r="AF8">
        <f t="shared" si="15"/>
        <v>1</v>
      </c>
      <c r="AG8">
        <f t="shared" si="15"/>
        <v>1</v>
      </c>
      <c r="AH8">
        <f t="shared" si="15"/>
        <v>1</v>
      </c>
      <c r="AI8">
        <f t="shared" si="15"/>
        <v>1</v>
      </c>
      <c r="AJ8">
        <f t="shared" si="15"/>
        <v>1</v>
      </c>
      <c r="AK8">
        <f t="shared" si="15"/>
        <v>1</v>
      </c>
      <c r="AL8">
        <f t="shared" si="15"/>
        <v>1</v>
      </c>
      <c r="AM8">
        <f t="shared" si="15"/>
        <v>1</v>
      </c>
      <c r="AN8">
        <f t="shared" si="15"/>
        <v>1</v>
      </c>
      <c r="AO8">
        <f t="shared" si="15"/>
        <v>1</v>
      </c>
      <c r="AP8">
        <f t="shared" si="15"/>
        <v>1</v>
      </c>
      <c r="AQ8">
        <f t="shared" si="15"/>
        <v>1</v>
      </c>
      <c r="AR8">
        <f t="shared" si="15"/>
        <v>1</v>
      </c>
      <c r="AS8">
        <f t="shared" si="15"/>
        <v>1</v>
      </c>
      <c r="AT8">
        <f t="shared" si="15"/>
        <v>1</v>
      </c>
      <c r="AU8">
        <f t="shared" ref="AU8:CC8" si="17">IF(AU7&lt;DMAX($A$1:$L$540,$W8,AU$1:AU$2),DMAX($A$1:$L$540,$W8,AU$1:AU$2),AU7)</f>
        <v>1</v>
      </c>
      <c r="AV8">
        <f t="shared" si="17"/>
        <v>1</v>
      </c>
      <c r="AW8">
        <f t="shared" si="17"/>
        <v>1</v>
      </c>
      <c r="AX8">
        <f t="shared" si="17"/>
        <v>1</v>
      </c>
      <c r="AY8">
        <f t="shared" si="17"/>
        <v>1</v>
      </c>
      <c r="AZ8">
        <f t="shared" si="17"/>
        <v>1</v>
      </c>
      <c r="BA8">
        <f t="shared" si="17"/>
        <v>1</v>
      </c>
      <c r="BB8">
        <f t="shared" si="17"/>
        <v>1</v>
      </c>
      <c r="BC8">
        <f t="shared" si="17"/>
        <v>1</v>
      </c>
      <c r="BD8">
        <f t="shared" si="17"/>
        <v>1</v>
      </c>
      <c r="BE8">
        <f t="shared" si="17"/>
        <v>1</v>
      </c>
      <c r="BF8">
        <f t="shared" si="17"/>
        <v>1</v>
      </c>
      <c r="BG8">
        <f t="shared" si="17"/>
        <v>1</v>
      </c>
      <c r="BH8">
        <f t="shared" si="17"/>
        <v>1</v>
      </c>
      <c r="BI8">
        <f t="shared" si="17"/>
        <v>1</v>
      </c>
      <c r="BJ8">
        <f t="shared" si="17"/>
        <v>1</v>
      </c>
      <c r="BK8">
        <f t="shared" si="17"/>
        <v>1</v>
      </c>
      <c r="BL8">
        <f t="shared" si="17"/>
        <v>1</v>
      </c>
      <c r="BM8">
        <f t="shared" si="17"/>
        <v>1</v>
      </c>
      <c r="BN8">
        <f t="shared" si="17"/>
        <v>1</v>
      </c>
      <c r="BO8">
        <f t="shared" si="17"/>
        <v>1</v>
      </c>
      <c r="BP8">
        <f t="shared" si="17"/>
        <v>1</v>
      </c>
      <c r="BQ8">
        <f t="shared" si="17"/>
        <v>1</v>
      </c>
      <c r="BR8">
        <f t="shared" si="17"/>
        <v>1</v>
      </c>
      <c r="BS8">
        <f t="shared" si="17"/>
        <v>1</v>
      </c>
      <c r="BT8">
        <f t="shared" si="17"/>
        <v>1</v>
      </c>
      <c r="BU8">
        <f t="shared" si="17"/>
        <v>1</v>
      </c>
      <c r="BV8">
        <f t="shared" si="17"/>
        <v>1</v>
      </c>
      <c r="BW8">
        <f t="shared" si="17"/>
        <v>1</v>
      </c>
      <c r="BX8">
        <f t="shared" si="17"/>
        <v>1</v>
      </c>
      <c r="BY8">
        <f t="shared" si="17"/>
        <v>1</v>
      </c>
      <c r="BZ8">
        <f t="shared" si="17"/>
        <v>1</v>
      </c>
      <c r="CA8">
        <f t="shared" si="17"/>
        <v>1</v>
      </c>
      <c r="CB8">
        <f t="shared" si="17"/>
        <v>1</v>
      </c>
      <c r="CC8">
        <f t="shared" si="17"/>
        <v>1</v>
      </c>
    </row>
    <row r="9" spans="1:81">
      <c r="A9" t="s">
        <v>188</v>
      </c>
      <c r="B9">
        <v>2</v>
      </c>
      <c r="C9" t="str">
        <f t="shared" si="0"/>
        <v>test.BallonFactory_2_</v>
      </c>
      <c r="D9">
        <v>4</v>
      </c>
      <c r="E9" s="4">
        <v>0.78787878787878785</v>
      </c>
      <c r="F9" s="4">
        <v>0.68568464730290457</v>
      </c>
      <c r="G9" s="4" t="str">
        <f t="shared" si="1"/>
        <v/>
      </c>
      <c r="H9" s="4" t="str">
        <f t="shared" si="2"/>
        <v/>
      </c>
      <c r="I9" s="4" t="str">
        <f t="shared" si="3"/>
        <v/>
      </c>
      <c r="J9" s="4">
        <f t="shared" si="4"/>
        <v>0.78787878787878785</v>
      </c>
      <c r="K9" s="4" t="str">
        <f t="shared" si="5"/>
        <v/>
      </c>
      <c r="L9" s="4" t="str">
        <f t="shared" si="6"/>
        <v/>
      </c>
      <c r="M9" s="4"/>
      <c r="N9" s="4"/>
      <c r="O9" s="4"/>
      <c r="P9" s="4"/>
      <c r="Q9" s="4"/>
      <c r="R9" s="4"/>
      <c r="S9" s="4"/>
      <c r="T9" s="4"/>
      <c r="U9" s="4"/>
    </row>
    <row r="10" spans="1:81">
      <c r="A10" t="s">
        <v>188</v>
      </c>
      <c r="B10">
        <v>2</v>
      </c>
      <c r="C10" t="str">
        <f t="shared" si="0"/>
        <v>test.BallonFactory_2_</v>
      </c>
      <c r="D10">
        <v>5</v>
      </c>
      <c r="E10" s="4">
        <v>0.78787878787878785</v>
      </c>
      <c r="F10" s="4">
        <v>0.74377593360995853</v>
      </c>
      <c r="G10" s="4" t="str">
        <f t="shared" si="1"/>
        <v/>
      </c>
      <c r="H10" s="4" t="str">
        <f t="shared" si="2"/>
        <v/>
      </c>
      <c r="I10" s="4" t="str">
        <f t="shared" si="3"/>
        <v/>
      </c>
      <c r="J10" s="4">
        <f t="shared" si="4"/>
        <v>0.78787878787878785</v>
      </c>
      <c r="K10" s="4" t="str">
        <f t="shared" si="5"/>
        <v/>
      </c>
      <c r="L10" s="4" t="str">
        <f t="shared" si="6"/>
        <v/>
      </c>
      <c r="M10" s="4"/>
      <c r="N10" s="4"/>
      <c r="O10" s="4"/>
      <c r="P10" s="4"/>
      <c r="Q10" s="4"/>
      <c r="R10" s="4"/>
      <c r="S10" s="4"/>
      <c r="T10" s="4"/>
      <c r="U10" s="4"/>
    </row>
    <row r="11" spans="1:81">
      <c r="A11" t="s">
        <v>188</v>
      </c>
      <c r="B11">
        <v>2</v>
      </c>
      <c r="C11" t="str">
        <f t="shared" si="0"/>
        <v>test.BallonFactory_2_</v>
      </c>
      <c r="D11">
        <v>6</v>
      </c>
      <c r="E11" s="4">
        <v>0.81818181818181823</v>
      </c>
      <c r="F11" s="4">
        <v>0.75103734439834025</v>
      </c>
      <c r="G11" s="4" t="str">
        <f t="shared" si="1"/>
        <v/>
      </c>
      <c r="H11" s="4" t="str">
        <f t="shared" si="2"/>
        <v/>
      </c>
      <c r="I11" s="4" t="str">
        <f t="shared" si="3"/>
        <v/>
      </c>
      <c r="J11" s="4">
        <f t="shared" si="4"/>
        <v>0.81818181818181823</v>
      </c>
      <c r="K11" s="4" t="str">
        <f t="shared" si="5"/>
        <v/>
      </c>
      <c r="L11" s="4" t="str">
        <f t="shared" si="6"/>
        <v/>
      </c>
      <c r="M11" s="4"/>
      <c r="N11" s="4"/>
      <c r="O11" s="4"/>
      <c r="P11" s="4"/>
      <c r="Q11" s="4"/>
      <c r="R11" s="4"/>
      <c r="S11" s="4"/>
      <c r="T11" s="4"/>
      <c r="U11" s="4"/>
    </row>
    <row r="12" spans="1:81">
      <c r="A12" t="s">
        <v>188</v>
      </c>
      <c r="B12">
        <v>2</v>
      </c>
      <c r="C12" t="str">
        <f t="shared" si="0"/>
        <v>test.BallonFactory_2_</v>
      </c>
      <c r="D12">
        <v>7</v>
      </c>
      <c r="E12" s="4">
        <v>0.96969696969696972</v>
      </c>
      <c r="F12" s="4">
        <v>0.77800829875518673</v>
      </c>
      <c r="G12" s="4" t="str">
        <f t="shared" si="1"/>
        <v/>
      </c>
      <c r="H12" s="4" t="str">
        <f t="shared" si="2"/>
        <v/>
      </c>
      <c r="I12" s="4" t="str">
        <f t="shared" si="3"/>
        <v/>
      </c>
      <c r="J12" s="4">
        <f t="shared" si="4"/>
        <v>0.96969696969696972</v>
      </c>
      <c r="K12" s="4" t="str">
        <f t="shared" si="5"/>
        <v/>
      </c>
      <c r="L12" s="4" t="str">
        <f t="shared" si="6"/>
        <v/>
      </c>
      <c r="M12" s="4"/>
      <c r="N12" s="4"/>
      <c r="O12" s="4"/>
      <c r="P12" s="4"/>
      <c r="Q12" s="4"/>
      <c r="R12" s="4"/>
      <c r="S12" s="4"/>
      <c r="T12" s="4"/>
      <c r="U12" s="4"/>
    </row>
    <row r="13" spans="1:81">
      <c r="A13" t="s">
        <v>188</v>
      </c>
      <c r="B13">
        <v>2</v>
      </c>
      <c r="C13" t="str">
        <f t="shared" si="0"/>
        <v>test.BallonFactory_2_</v>
      </c>
      <c r="D13">
        <v>8</v>
      </c>
      <c r="E13" s="4">
        <v>0.96969696969696972</v>
      </c>
      <c r="F13" s="4">
        <v>0.81016597510373445</v>
      </c>
      <c r="G13" s="4" t="str">
        <f t="shared" si="1"/>
        <v/>
      </c>
      <c r="H13" s="4" t="str">
        <f t="shared" si="2"/>
        <v/>
      </c>
      <c r="I13" s="4" t="str">
        <f t="shared" si="3"/>
        <v/>
      </c>
      <c r="J13" s="4" t="str">
        <f t="shared" si="4"/>
        <v/>
      </c>
      <c r="K13" s="4">
        <f t="shared" si="5"/>
        <v>0.96969696969696972</v>
      </c>
      <c r="L13" s="4" t="str">
        <f t="shared" si="6"/>
        <v/>
      </c>
      <c r="M13" s="4"/>
      <c r="N13" s="4"/>
      <c r="O13" s="4"/>
      <c r="P13" s="4"/>
      <c r="Q13" s="4"/>
      <c r="R13" s="4"/>
      <c r="S13" s="4"/>
      <c r="T13" s="4"/>
      <c r="U13" s="4"/>
    </row>
    <row r="14" spans="1:81">
      <c r="A14" t="s">
        <v>188</v>
      </c>
      <c r="B14">
        <v>2</v>
      </c>
      <c r="C14" t="str">
        <f t="shared" si="0"/>
        <v>test.BallonFactory_2_</v>
      </c>
      <c r="D14">
        <v>9</v>
      </c>
      <c r="E14" s="4">
        <v>0.96969696969696972</v>
      </c>
      <c r="F14" s="4">
        <v>0.82987551867219922</v>
      </c>
      <c r="G14" s="4" t="str">
        <f t="shared" si="1"/>
        <v/>
      </c>
      <c r="H14" s="4" t="str">
        <f t="shared" si="2"/>
        <v/>
      </c>
      <c r="I14" s="4" t="str">
        <f t="shared" si="3"/>
        <v/>
      </c>
      <c r="J14" s="4" t="str">
        <f t="shared" si="4"/>
        <v/>
      </c>
      <c r="K14" s="4">
        <f t="shared" si="5"/>
        <v>0.96969696969696972</v>
      </c>
      <c r="L14" s="4" t="str">
        <f t="shared" si="6"/>
        <v/>
      </c>
      <c r="M14" s="4"/>
      <c r="N14" s="4"/>
      <c r="O14" s="4"/>
      <c r="P14" s="4"/>
      <c r="Q14" s="4"/>
      <c r="R14" s="4"/>
      <c r="S14" s="4"/>
      <c r="T14" s="4"/>
      <c r="U14" s="4"/>
    </row>
    <row r="15" spans="1:81">
      <c r="A15" t="s">
        <v>188</v>
      </c>
      <c r="B15">
        <v>2</v>
      </c>
      <c r="C15" t="str">
        <f t="shared" si="0"/>
        <v>test.BallonFactory_2_</v>
      </c>
      <c r="D15">
        <v>10</v>
      </c>
      <c r="E15" s="4">
        <v>1</v>
      </c>
      <c r="F15" s="4">
        <v>0.83195020746887971</v>
      </c>
      <c r="G15" s="4" t="str">
        <f t="shared" si="1"/>
        <v/>
      </c>
      <c r="H15" s="4" t="str">
        <f t="shared" si="2"/>
        <v/>
      </c>
      <c r="I15" s="4" t="str">
        <f t="shared" si="3"/>
        <v/>
      </c>
      <c r="J15" s="4" t="str">
        <f t="shared" si="4"/>
        <v/>
      </c>
      <c r="K15" s="4">
        <f t="shared" si="5"/>
        <v>1</v>
      </c>
      <c r="L15" s="4" t="str">
        <f t="shared" si="6"/>
        <v/>
      </c>
      <c r="M15" s="4"/>
      <c r="N15" s="4"/>
      <c r="O15" s="4"/>
      <c r="P15" s="4"/>
      <c r="Q15" s="4"/>
      <c r="R15" s="4"/>
      <c r="S15" s="4"/>
      <c r="T15" s="4"/>
      <c r="U15" s="4"/>
    </row>
    <row r="16" spans="1:81">
      <c r="A16" t="s">
        <v>188</v>
      </c>
      <c r="B16">
        <v>2</v>
      </c>
      <c r="C16" t="str">
        <f t="shared" si="0"/>
        <v>test.BallonFactory_2_</v>
      </c>
      <c r="D16">
        <v>11</v>
      </c>
      <c r="E16" s="4">
        <v>1</v>
      </c>
      <c r="F16" s="4">
        <v>0.83298755186721996</v>
      </c>
      <c r="G16" s="4" t="str">
        <f t="shared" si="1"/>
        <v/>
      </c>
      <c r="H16" s="4" t="str">
        <f t="shared" si="2"/>
        <v/>
      </c>
      <c r="I16" s="4" t="str">
        <f t="shared" si="3"/>
        <v/>
      </c>
      <c r="J16" s="4" t="str">
        <f t="shared" si="4"/>
        <v/>
      </c>
      <c r="K16" s="4">
        <f t="shared" si="5"/>
        <v>1</v>
      </c>
      <c r="L16" s="4" t="str">
        <f t="shared" si="6"/>
        <v/>
      </c>
      <c r="M16" s="4"/>
      <c r="N16" s="4"/>
      <c r="O16" s="4"/>
      <c r="P16" s="4"/>
      <c r="Q16" s="4"/>
      <c r="R16" s="4"/>
      <c r="S16" s="4"/>
      <c r="T16" s="4"/>
      <c r="U16" s="4"/>
    </row>
    <row r="17" spans="1:21">
      <c r="A17" t="s">
        <v>188</v>
      </c>
      <c r="B17">
        <v>2</v>
      </c>
      <c r="C17" t="str">
        <f t="shared" si="0"/>
        <v>test.BallonFactory_2_</v>
      </c>
      <c r="D17">
        <v>12</v>
      </c>
      <c r="E17" s="4">
        <v>1</v>
      </c>
      <c r="F17" s="4">
        <v>0.89730290456431538</v>
      </c>
      <c r="G17" s="4" t="str">
        <f t="shared" si="1"/>
        <v/>
      </c>
      <c r="H17" s="4" t="str">
        <f t="shared" si="2"/>
        <v/>
      </c>
      <c r="I17" s="4" t="str">
        <f t="shared" si="3"/>
        <v/>
      </c>
      <c r="J17" s="4" t="str">
        <f t="shared" si="4"/>
        <v/>
      </c>
      <c r="K17" s="4">
        <f t="shared" si="5"/>
        <v>1</v>
      </c>
      <c r="L17" s="4" t="str">
        <f t="shared" si="6"/>
        <v/>
      </c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t="s">
        <v>188</v>
      </c>
      <c r="B18">
        <v>2</v>
      </c>
      <c r="C18" t="str">
        <f t="shared" si="0"/>
        <v>test.BallonFactory_2_</v>
      </c>
      <c r="D18">
        <v>13</v>
      </c>
      <c r="E18" s="4">
        <v>1</v>
      </c>
      <c r="F18" s="4">
        <v>0.90041493775933612</v>
      </c>
      <c r="G18" s="4" t="str">
        <f t="shared" si="1"/>
        <v/>
      </c>
      <c r="H18" s="4" t="str">
        <f t="shared" si="2"/>
        <v/>
      </c>
      <c r="I18" s="4" t="str">
        <f t="shared" si="3"/>
        <v/>
      </c>
      <c r="J18" s="4" t="str">
        <f t="shared" si="4"/>
        <v/>
      </c>
      <c r="K18" s="4">
        <f t="shared" si="5"/>
        <v>1</v>
      </c>
      <c r="L18" s="4" t="str">
        <f t="shared" si="6"/>
        <v/>
      </c>
      <c r="M18" s="4"/>
      <c r="N18" s="4"/>
      <c r="O18" s="4"/>
      <c r="P18" s="4"/>
      <c r="Q18" s="4"/>
      <c r="R18" s="4"/>
      <c r="S18" s="4"/>
      <c r="T18" s="4"/>
      <c r="U18" s="4"/>
    </row>
    <row r="19" spans="1:21">
      <c r="A19" t="s">
        <v>188</v>
      </c>
      <c r="B19">
        <v>2</v>
      </c>
      <c r="C19" t="str">
        <f t="shared" si="0"/>
        <v>test.BallonFactory_2_</v>
      </c>
      <c r="D19">
        <v>14</v>
      </c>
      <c r="E19" s="4">
        <v>1</v>
      </c>
      <c r="F19" s="4">
        <v>0.92427385892116187</v>
      </c>
      <c r="G19" s="4" t="str">
        <f t="shared" si="1"/>
        <v/>
      </c>
      <c r="H19" s="4" t="str">
        <f t="shared" si="2"/>
        <v/>
      </c>
      <c r="I19" s="4" t="str">
        <f t="shared" si="3"/>
        <v/>
      </c>
      <c r="J19" s="4" t="str">
        <f t="shared" si="4"/>
        <v/>
      </c>
      <c r="K19" s="4">
        <f t="shared" si="5"/>
        <v>1</v>
      </c>
      <c r="L19" s="4" t="str">
        <f t="shared" si="6"/>
        <v/>
      </c>
      <c r="M19" s="4"/>
      <c r="N19" s="4"/>
      <c r="O19" s="4"/>
      <c r="P19" s="4"/>
      <c r="Q19" s="4"/>
      <c r="R19" s="4"/>
      <c r="S19" s="4"/>
      <c r="T19" s="4"/>
      <c r="U19" s="4"/>
    </row>
    <row r="20" spans="1:21">
      <c r="A20" t="s">
        <v>188</v>
      </c>
      <c r="B20">
        <v>2</v>
      </c>
      <c r="C20" t="str">
        <f t="shared" si="0"/>
        <v>test.BallonFactory_2_</v>
      </c>
      <c r="D20">
        <v>15</v>
      </c>
      <c r="E20" s="4">
        <v>1</v>
      </c>
      <c r="F20" s="4">
        <v>0.97717842323651449</v>
      </c>
      <c r="G20" s="4" t="str">
        <f t="shared" si="1"/>
        <v/>
      </c>
      <c r="H20" s="4" t="str">
        <f t="shared" si="2"/>
        <v/>
      </c>
      <c r="I20" s="4" t="str">
        <f t="shared" si="3"/>
        <v/>
      </c>
      <c r="J20" s="4" t="str">
        <f t="shared" si="4"/>
        <v/>
      </c>
      <c r="K20" s="4">
        <f t="shared" si="5"/>
        <v>1</v>
      </c>
      <c r="L20" s="4" t="str">
        <f t="shared" si="6"/>
        <v/>
      </c>
      <c r="M20" s="4"/>
      <c r="N20" s="4"/>
      <c r="O20" s="4"/>
      <c r="P20" s="4"/>
      <c r="Q20" s="4"/>
      <c r="R20" s="4"/>
      <c r="S20" s="4"/>
      <c r="T20" s="4"/>
      <c r="U20" s="4"/>
    </row>
    <row r="21" spans="1:21">
      <c r="A21" t="s">
        <v>188</v>
      </c>
      <c r="B21">
        <v>6</v>
      </c>
      <c r="C21" t="str">
        <f t="shared" si="0"/>
        <v>test.BallonFactory_6_</v>
      </c>
      <c r="D21">
        <v>1</v>
      </c>
      <c r="E21" s="4">
        <v>0.1111111111111111</v>
      </c>
      <c r="F21" s="4">
        <v>0.15917602996254682</v>
      </c>
      <c r="G21" s="4">
        <f t="shared" si="1"/>
        <v>0.1111111111111111</v>
      </c>
      <c r="H21" s="4" t="str">
        <f t="shared" si="2"/>
        <v/>
      </c>
      <c r="I21" s="4" t="str">
        <f t="shared" si="3"/>
        <v/>
      </c>
      <c r="J21" s="4" t="str">
        <f t="shared" si="4"/>
        <v/>
      </c>
      <c r="K21" s="4" t="str">
        <f t="shared" si="5"/>
        <v/>
      </c>
      <c r="L21" s="4" t="str">
        <f t="shared" si="6"/>
        <v/>
      </c>
      <c r="M21" s="4"/>
      <c r="N21" s="4"/>
      <c r="O21" s="4"/>
      <c r="P21" s="4"/>
      <c r="Q21" s="4"/>
      <c r="R21" s="4"/>
      <c r="S21" s="4"/>
      <c r="T21" s="4"/>
      <c r="U21" s="4"/>
    </row>
    <row r="22" spans="1:21">
      <c r="A22" t="s">
        <v>188</v>
      </c>
      <c r="B22">
        <v>6</v>
      </c>
      <c r="C22" t="str">
        <f t="shared" si="0"/>
        <v>test.BallonFactory_6_</v>
      </c>
      <c r="D22">
        <v>2</v>
      </c>
      <c r="E22" s="4">
        <v>0.27777777777777779</v>
      </c>
      <c r="F22" s="4">
        <v>0.30337078651685395</v>
      </c>
      <c r="G22" s="4" t="str">
        <f t="shared" si="1"/>
        <v/>
      </c>
      <c r="H22" s="4">
        <f t="shared" si="2"/>
        <v>0.27777777777777779</v>
      </c>
      <c r="I22" s="4" t="str">
        <f t="shared" si="3"/>
        <v/>
      </c>
      <c r="J22" s="4" t="str">
        <f t="shared" si="4"/>
        <v/>
      </c>
      <c r="K22" s="4" t="str">
        <f t="shared" si="5"/>
        <v/>
      </c>
      <c r="L22" s="4" t="str">
        <f t="shared" si="6"/>
        <v/>
      </c>
      <c r="M22" s="4"/>
      <c r="N22" s="4"/>
      <c r="O22" s="4"/>
      <c r="P22" s="4"/>
      <c r="Q22" s="4"/>
      <c r="R22" s="4"/>
      <c r="S22" s="4"/>
      <c r="T22" s="4"/>
      <c r="U22" s="4"/>
    </row>
    <row r="23" spans="1:21">
      <c r="A23" t="s">
        <v>188</v>
      </c>
      <c r="B23">
        <v>6</v>
      </c>
      <c r="C23" t="str">
        <f t="shared" si="0"/>
        <v>test.BallonFactory_6_</v>
      </c>
      <c r="D23">
        <v>3</v>
      </c>
      <c r="E23" s="4">
        <v>0.61111111111111116</v>
      </c>
      <c r="F23" s="4">
        <v>0.6966292134831461</v>
      </c>
      <c r="G23" s="4" t="str">
        <f t="shared" si="1"/>
        <v/>
      </c>
      <c r="H23" s="4" t="str">
        <f t="shared" si="2"/>
        <v/>
      </c>
      <c r="I23" s="4" t="str">
        <f t="shared" si="3"/>
        <v/>
      </c>
      <c r="J23" s="4">
        <f t="shared" si="4"/>
        <v>0.61111111111111116</v>
      </c>
      <c r="K23" s="4" t="str">
        <f t="shared" si="5"/>
        <v/>
      </c>
      <c r="L23" s="4" t="str">
        <f t="shared" si="6"/>
        <v/>
      </c>
      <c r="M23" s="4"/>
      <c r="N23" s="4"/>
      <c r="O23" s="4"/>
      <c r="P23" s="4"/>
      <c r="Q23" s="4"/>
      <c r="R23" s="4"/>
      <c r="S23" s="4"/>
      <c r="T23" s="4"/>
      <c r="U23" s="4"/>
    </row>
    <row r="24" spans="1:21">
      <c r="A24" t="s">
        <v>188</v>
      </c>
      <c r="B24">
        <v>6</v>
      </c>
      <c r="C24" t="str">
        <f t="shared" si="0"/>
        <v>test.BallonFactory_6_</v>
      </c>
      <c r="D24">
        <v>4</v>
      </c>
      <c r="E24" s="4">
        <v>0.88888888888888884</v>
      </c>
      <c r="F24" s="4">
        <v>1</v>
      </c>
      <c r="G24" s="4" t="str">
        <f t="shared" si="1"/>
        <v/>
      </c>
      <c r="H24" s="4" t="str">
        <f t="shared" si="2"/>
        <v/>
      </c>
      <c r="I24" s="4" t="str">
        <f t="shared" si="3"/>
        <v/>
      </c>
      <c r="J24" s="4" t="str">
        <f t="shared" si="4"/>
        <v/>
      </c>
      <c r="K24" s="4">
        <f t="shared" si="5"/>
        <v>0.88888888888888884</v>
      </c>
      <c r="L24" s="4" t="str">
        <f t="shared" si="6"/>
        <v/>
      </c>
      <c r="M24" s="4"/>
      <c r="N24" s="4"/>
      <c r="O24" s="4"/>
      <c r="P24" s="4"/>
      <c r="Q24" s="4"/>
      <c r="R24" s="4"/>
      <c r="S24" s="4"/>
      <c r="T24" s="4"/>
      <c r="U24" s="4"/>
    </row>
    <row r="25" spans="1:21">
      <c r="A25" t="s">
        <v>188</v>
      </c>
      <c r="B25">
        <v>6</v>
      </c>
      <c r="C25" t="str">
        <f t="shared" si="0"/>
        <v>test.BallonFactory_6_</v>
      </c>
      <c r="D25">
        <v>5</v>
      </c>
      <c r="E25" s="4">
        <v>1</v>
      </c>
      <c r="F25" s="4">
        <v>2.2153558052434459</v>
      </c>
      <c r="G25" s="4" t="str">
        <f t="shared" si="1"/>
        <v/>
      </c>
      <c r="H25" s="4" t="str">
        <f t="shared" si="2"/>
        <v/>
      </c>
      <c r="I25" s="4" t="str">
        <f t="shared" si="3"/>
        <v/>
      </c>
      <c r="J25" s="4" t="str">
        <f t="shared" si="4"/>
        <v/>
      </c>
      <c r="K25" s="4" t="str">
        <f t="shared" si="5"/>
        <v/>
      </c>
      <c r="L25" s="4">
        <f t="shared" si="6"/>
        <v>1</v>
      </c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t="s">
        <v>188</v>
      </c>
      <c r="B26">
        <v>9</v>
      </c>
      <c r="C26" t="str">
        <f t="shared" si="0"/>
        <v>test.BallonFactory_9_</v>
      </c>
      <c r="D26">
        <v>1</v>
      </c>
      <c r="E26" s="4">
        <v>6.5217391304347824E-2</v>
      </c>
      <c r="F26" s="4">
        <v>8.6175942549371637E-2</v>
      </c>
      <c r="G26" s="4">
        <f t="shared" si="1"/>
        <v>6.5217391304347824E-2</v>
      </c>
      <c r="H26" s="4" t="str">
        <f t="shared" si="2"/>
        <v/>
      </c>
      <c r="I26" s="4" t="str">
        <f t="shared" si="3"/>
        <v/>
      </c>
      <c r="J26" s="4" t="str">
        <f t="shared" si="4"/>
        <v/>
      </c>
      <c r="K26" s="4" t="str">
        <f t="shared" si="5"/>
        <v/>
      </c>
      <c r="L26" s="4" t="str">
        <f t="shared" si="6"/>
        <v/>
      </c>
      <c r="M26" s="4"/>
      <c r="N26" s="4"/>
      <c r="O26" s="4"/>
      <c r="P26" s="4"/>
      <c r="Q26" s="4"/>
      <c r="R26" s="4"/>
      <c r="S26" s="4"/>
      <c r="T26" s="4"/>
      <c r="U26" s="4"/>
    </row>
    <row r="27" spans="1:21">
      <c r="A27" t="s">
        <v>188</v>
      </c>
      <c r="B27">
        <v>9</v>
      </c>
      <c r="C27" t="str">
        <f t="shared" si="0"/>
        <v>test.BallonFactory_9_</v>
      </c>
      <c r="D27">
        <v>2</v>
      </c>
      <c r="E27" s="4">
        <v>6.5217391304347824E-2</v>
      </c>
      <c r="F27" s="4">
        <v>8.6774386594853384E-2</v>
      </c>
      <c r="G27" s="4">
        <f t="shared" si="1"/>
        <v>6.5217391304347824E-2</v>
      </c>
      <c r="H27" s="4" t="str">
        <f t="shared" si="2"/>
        <v/>
      </c>
      <c r="I27" s="4" t="str">
        <f t="shared" si="3"/>
        <v/>
      </c>
      <c r="J27" s="4" t="str">
        <f t="shared" si="4"/>
        <v/>
      </c>
      <c r="K27" s="4" t="str">
        <f t="shared" si="5"/>
        <v/>
      </c>
      <c r="L27" s="4" t="str">
        <f t="shared" si="6"/>
        <v/>
      </c>
      <c r="M27" s="4"/>
      <c r="N27" s="4"/>
      <c r="O27" s="4"/>
      <c r="P27" s="4"/>
      <c r="Q27" s="4"/>
      <c r="R27" s="4"/>
      <c r="S27" s="4"/>
      <c r="T27" s="4"/>
      <c r="U27" s="4"/>
    </row>
    <row r="28" spans="1:21">
      <c r="A28" t="s">
        <v>188</v>
      </c>
      <c r="B28">
        <v>9</v>
      </c>
      <c r="C28" t="str">
        <f t="shared" si="0"/>
        <v>test.BallonFactory_9_</v>
      </c>
      <c r="D28">
        <v>3</v>
      </c>
      <c r="E28" s="4">
        <v>6.5217391304347824E-2</v>
      </c>
      <c r="F28" s="4">
        <v>8.7971274685816878E-2</v>
      </c>
      <c r="G28" s="4">
        <f t="shared" si="1"/>
        <v>6.5217391304347824E-2</v>
      </c>
      <c r="H28" s="4" t="str">
        <f t="shared" si="2"/>
        <v/>
      </c>
      <c r="I28" s="4" t="str">
        <f t="shared" si="3"/>
        <v/>
      </c>
      <c r="J28" s="4" t="str">
        <f t="shared" si="4"/>
        <v/>
      </c>
      <c r="K28" s="4" t="str">
        <f t="shared" si="5"/>
        <v/>
      </c>
      <c r="L28" s="4" t="str">
        <f t="shared" si="6"/>
        <v/>
      </c>
      <c r="M28" s="4"/>
      <c r="N28" s="4"/>
      <c r="O28" s="4"/>
      <c r="P28" s="4"/>
      <c r="Q28" s="4"/>
      <c r="R28" s="4"/>
      <c r="S28" s="4"/>
      <c r="T28" s="4"/>
      <c r="U28" s="4"/>
    </row>
    <row r="29" spans="1:21">
      <c r="A29" t="s">
        <v>188</v>
      </c>
      <c r="B29">
        <v>9</v>
      </c>
      <c r="C29" t="str">
        <f t="shared" si="0"/>
        <v>test.BallonFactory_9_</v>
      </c>
      <c r="D29">
        <v>4</v>
      </c>
      <c r="E29" s="4">
        <v>0.15217391304347827</v>
      </c>
      <c r="F29" s="4">
        <v>0.1741472172351885</v>
      </c>
      <c r="G29" s="4">
        <f t="shared" si="1"/>
        <v>0.15217391304347827</v>
      </c>
      <c r="H29" s="4" t="str">
        <f t="shared" si="2"/>
        <v/>
      </c>
      <c r="I29" s="4" t="str">
        <f t="shared" si="3"/>
        <v/>
      </c>
      <c r="J29" s="4" t="str">
        <f t="shared" si="4"/>
        <v/>
      </c>
      <c r="K29" s="4" t="str">
        <f t="shared" si="5"/>
        <v/>
      </c>
      <c r="L29" s="4" t="str">
        <f t="shared" si="6"/>
        <v/>
      </c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t="s">
        <v>188</v>
      </c>
      <c r="B30">
        <v>9</v>
      </c>
      <c r="C30" t="str">
        <f t="shared" si="0"/>
        <v>test.BallonFactory_9_</v>
      </c>
      <c r="D30">
        <v>5</v>
      </c>
      <c r="E30" s="4">
        <v>0.2391304347826087</v>
      </c>
      <c r="F30" s="4">
        <v>0.17594254937163376</v>
      </c>
      <c r="G30" s="4">
        <f t="shared" si="1"/>
        <v>0.2391304347826087</v>
      </c>
      <c r="H30" s="4" t="str">
        <f t="shared" si="2"/>
        <v/>
      </c>
      <c r="I30" s="4" t="str">
        <f t="shared" si="3"/>
        <v/>
      </c>
      <c r="J30" s="4" t="str">
        <f t="shared" si="4"/>
        <v/>
      </c>
      <c r="K30" s="4" t="str">
        <f t="shared" si="5"/>
        <v/>
      </c>
      <c r="L30" s="4" t="str">
        <f t="shared" si="6"/>
        <v/>
      </c>
      <c r="M30" s="4"/>
      <c r="N30" s="4"/>
      <c r="O30" s="4"/>
      <c r="P30" s="4"/>
      <c r="Q30" s="4"/>
      <c r="R30" s="4"/>
      <c r="S30" s="4"/>
      <c r="T30" s="4"/>
      <c r="U30" s="4"/>
    </row>
    <row r="31" spans="1:21">
      <c r="A31" t="s">
        <v>188</v>
      </c>
      <c r="B31">
        <v>9</v>
      </c>
      <c r="C31" t="str">
        <f t="shared" si="0"/>
        <v>test.BallonFactory_9_</v>
      </c>
      <c r="D31">
        <v>6</v>
      </c>
      <c r="E31" s="4">
        <v>0.5</v>
      </c>
      <c r="F31" s="4">
        <v>0.34590065828845001</v>
      </c>
      <c r="G31" s="4" t="str">
        <f t="shared" si="1"/>
        <v/>
      </c>
      <c r="H31" s="4">
        <f t="shared" si="2"/>
        <v>0.5</v>
      </c>
      <c r="I31" s="4" t="str">
        <f t="shared" si="3"/>
        <v/>
      </c>
      <c r="J31" s="4" t="str">
        <f t="shared" si="4"/>
        <v/>
      </c>
      <c r="K31" s="4" t="str">
        <f t="shared" si="5"/>
        <v/>
      </c>
      <c r="L31" s="4" t="str">
        <f t="shared" si="6"/>
        <v/>
      </c>
      <c r="M31" s="4"/>
      <c r="N31" s="4"/>
      <c r="O31" s="4"/>
      <c r="P31" s="4"/>
      <c r="Q31" s="4"/>
      <c r="R31" s="4"/>
      <c r="S31" s="4"/>
      <c r="T31" s="4"/>
      <c r="U31" s="4"/>
    </row>
    <row r="32" spans="1:21">
      <c r="A32" t="s">
        <v>188</v>
      </c>
      <c r="B32">
        <v>9</v>
      </c>
      <c r="C32" t="str">
        <f t="shared" si="0"/>
        <v>test.BallonFactory_9_</v>
      </c>
      <c r="D32">
        <v>7</v>
      </c>
      <c r="E32" s="4">
        <v>0.65217391304347827</v>
      </c>
      <c r="F32" s="4">
        <v>0.34949132256134052</v>
      </c>
      <c r="G32" s="4" t="str">
        <f t="shared" si="1"/>
        <v/>
      </c>
      <c r="H32" s="4">
        <f t="shared" si="2"/>
        <v>0.65217391304347827</v>
      </c>
      <c r="I32" s="4" t="str">
        <f t="shared" si="3"/>
        <v/>
      </c>
      <c r="J32" s="4" t="str">
        <f t="shared" si="4"/>
        <v/>
      </c>
      <c r="K32" s="4" t="str">
        <f t="shared" si="5"/>
        <v/>
      </c>
      <c r="L32" s="4" t="str">
        <f t="shared" si="6"/>
        <v/>
      </c>
      <c r="M32" s="4"/>
      <c r="N32" s="4"/>
      <c r="O32" s="4"/>
      <c r="P32" s="4"/>
      <c r="Q32" s="4"/>
      <c r="R32" s="4"/>
      <c r="S32" s="4"/>
      <c r="T32" s="4"/>
      <c r="U32" s="4"/>
    </row>
    <row r="33" spans="1:21">
      <c r="A33" t="s">
        <v>188</v>
      </c>
      <c r="B33">
        <v>9</v>
      </c>
      <c r="C33" t="str">
        <f t="shared" si="0"/>
        <v>test.BallonFactory_9_</v>
      </c>
      <c r="D33">
        <v>8</v>
      </c>
      <c r="E33" s="4">
        <v>0.91304347826086951</v>
      </c>
      <c r="F33" s="4">
        <v>0.35846798324356671</v>
      </c>
      <c r="G33" s="4" t="str">
        <f t="shared" si="1"/>
        <v/>
      </c>
      <c r="H33" s="4">
        <f t="shared" si="2"/>
        <v>0.91304347826086951</v>
      </c>
      <c r="I33" s="4" t="str">
        <f t="shared" si="3"/>
        <v/>
      </c>
      <c r="J33" s="4" t="str">
        <f t="shared" si="4"/>
        <v/>
      </c>
      <c r="K33" s="4" t="str">
        <f t="shared" si="5"/>
        <v/>
      </c>
      <c r="L33" s="4" t="str">
        <f t="shared" si="6"/>
        <v/>
      </c>
      <c r="M33" s="4"/>
      <c r="N33" s="4"/>
      <c r="O33" s="4"/>
      <c r="P33" s="4"/>
      <c r="Q33" s="4"/>
      <c r="R33" s="4"/>
      <c r="S33" s="4"/>
      <c r="T33" s="4"/>
      <c r="U33" s="4"/>
    </row>
    <row r="34" spans="1:21">
      <c r="A34" t="s">
        <v>188</v>
      </c>
      <c r="B34">
        <v>9</v>
      </c>
      <c r="C34" t="str">
        <f t="shared" si="0"/>
        <v>test.BallonFactory_9_</v>
      </c>
      <c r="D34">
        <v>9</v>
      </c>
      <c r="E34" s="4">
        <v>1</v>
      </c>
      <c r="F34" s="4">
        <v>0.4111310592459605</v>
      </c>
      <c r="G34" s="4" t="str">
        <f t="shared" si="1"/>
        <v/>
      </c>
      <c r="H34" s="4" t="str">
        <f t="shared" si="2"/>
        <v/>
      </c>
      <c r="I34" s="4">
        <f t="shared" si="3"/>
        <v>1</v>
      </c>
      <c r="J34" s="4" t="str">
        <f t="shared" si="4"/>
        <v/>
      </c>
      <c r="K34" s="4" t="str">
        <f t="shared" si="5"/>
        <v/>
      </c>
      <c r="L34" s="4" t="str">
        <f t="shared" si="6"/>
        <v/>
      </c>
      <c r="M34" s="4"/>
      <c r="N34" s="4"/>
      <c r="O34" s="4"/>
      <c r="P34" s="4"/>
      <c r="Q34" s="4"/>
      <c r="R34" s="4"/>
      <c r="S34" s="4"/>
      <c r="T34" s="4"/>
      <c r="U34" s="4"/>
    </row>
    <row r="35" spans="1:21">
      <c r="A35" t="s">
        <v>188</v>
      </c>
      <c r="B35">
        <v>9</v>
      </c>
      <c r="C35" t="str">
        <f t="shared" si="0"/>
        <v>test.BallonFactory_9_</v>
      </c>
      <c r="D35">
        <v>10</v>
      </c>
      <c r="E35" s="4">
        <v>1</v>
      </c>
      <c r="F35" s="4">
        <v>0.41172950329144226</v>
      </c>
      <c r="G35" s="4" t="str">
        <f t="shared" si="1"/>
        <v/>
      </c>
      <c r="H35" s="4" t="str">
        <f t="shared" si="2"/>
        <v/>
      </c>
      <c r="I35" s="4">
        <f t="shared" si="3"/>
        <v>1</v>
      </c>
      <c r="J35" s="4" t="str">
        <f t="shared" si="4"/>
        <v/>
      </c>
      <c r="K35" s="4" t="str">
        <f t="shared" si="5"/>
        <v/>
      </c>
      <c r="L35" s="4" t="str">
        <f t="shared" si="6"/>
        <v/>
      </c>
      <c r="M35" s="4"/>
      <c r="N35" s="4"/>
      <c r="O35" s="4"/>
      <c r="P35" s="4"/>
      <c r="Q35" s="4"/>
      <c r="R35" s="4"/>
      <c r="S35" s="4"/>
      <c r="T35" s="4"/>
      <c r="U35" s="4"/>
    </row>
    <row r="36" spans="1:21">
      <c r="A36" t="s">
        <v>219</v>
      </c>
      <c r="B36">
        <v>2</v>
      </c>
      <c r="C36" t="str">
        <f t="shared" si="0"/>
        <v>test.Base64_2_</v>
      </c>
      <c r="D36">
        <v>1</v>
      </c>
      <c r="E36" s="4">
        <v>0.19354838709677419</v>
      </c>
      <c r="F36" s="4">
        <v>0.31138392857142855</v>
      </c>
      <c r="G36" s="4" t="str">
        <f t="shared" si="1"/>
        <v/>
      </c>
      <c r="H36" s="4">
        <f t="shared" si="2"/>
        <v>0.19354838709677419</v>
      </c>
      <c r="I36" s="4" t="str">
        <f t="shared" si="3"/>
        <v/>
      </c>
      <c r="J36" s="4" t="str">
        <f t="shared" si="4"/>
        <v/>
      </c>
      <c r="K36" s="4" t="str">
        <f t="shared" si="5"/>
        <v/>
      </c>
      <c r="L36" s="4" t="str">
        <f t="shared" si="6"/>
        <v/>
      </c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t="s">
        <v>219</v>
      </c>
      <c r="B37">
        <v>2</v>
      </c>
      <c r="C37" t="str">
        <f t="shared" si="0"/>
        <v>test.Base64_2_</v>
      </c>
      <c r="D37">
        <v>2</v>
      </c>
      <c r="E37" s="4">
        <v>0.70967741935483875</v>
      </c>
      <c r="F37" s="4">
        <v>0.6897321428571429</v>
      </c>
      <c r="G37" s="4" t="str">
        <f t="shared" si="1"/>
        <v/>
      </c>
      <c r="H37" s="4" t="str">
        <f t="shared" si="2"/>
        <v/>
      </c>
      <c r="I37" s="4" t="str">
        <f t="shared" si="3"/>
        <v/>
      </c>
      <c r="J37" s="4">
        <f t="shared" si="4"/>
        <v>0.70967741935483875</v>
      </c>
      <c r="K37" s="4" t="str">
        <f t="shared" si="5"/>
        <v/>
      </c>
      <c r="L37" s="4" t="str">
        <f t="shared" si="6"/>
        <v/>
      </c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t="s">
        <v>219</v>
      </c>
      <c r="B38">
        <v>2</v>
      </c>
      <c r="C38" t="str">
        <f t="shared" si="0"/>
        <v>test.Base64_2_</v>
      </c>
      <c r="D38">
        <v>3</v>
      </c>
      <c r="E38" s="4">
        <v>0.93548387096774188</v>
      </c>
      <c r="F38" s="4">
        <v>0.6997767857142857</v>
      </c>
      <c r="G38" s="4" t="str">
        <f t="shared" si="1"/>
        <v/>
      </c>
      <c r="H38" s="4" t="str">
        <f t="shared" si="2"/>
        <v/>
      </c>
      <c r="I38" s="4" t="str">
        <f t="shared" si="3"/>
        <v/>
      </c>
      <c r="J38" s="4">
        <f t="shared" si="4"/>
        <v>0.93548387096774188</v>
      </c>
      <c r="K38" s="4" t="str">
        <f t="shared" si="5"/>
        <v/>
      </c>
      <c r="L38" s="4" t="str">
        <f t="shared" si="6"/>
        <v/>
      </c>
      <c r="M38" s="4"/>
      <c r="N38" s="4"/>
      <c r="O38" s="4"/>
      <c r="P38" s="4"/>
      <c r="Q38" s="4"/>
      <c r="R38" s="4"/>
      <c r="S38" s="4"/>
      <c r="T38" s="4"/>
      <c r="U38" s="4"/>
    </row>
    <row r="39" spans="1:21">
      <c r="A39" t="s">
        <v>219</v>
      </c>
      <c r="B39">
        <v>2</v>
      </c>
      <c r="C39" t="str">
        <f t="shared" si="0"/>
        <v>test.Base64_2_</v>
      </c>
      <c r="D39">
        <v>4</v>
      </c>
      <c r="E39" s="4">
        <v>1</v>
      </c>
      <c r="F39" s="4">
        <v>0.9866071428571429</v>
      </c>
      <c r="G39" s="4" t="str">
        <f t="shared" si="1"/>
        <v/>
      </c>
      <c r="H39" s="4" t="str">
        <f t="shared" si="2"/>
        <v/>
      </c>
      <c r="I39" s="4" t="str">
        <f t="shared" si="3"/>
        <v/>
      </c>
      <c r="J39" s="4" t="str">
        <f t="shared" si="4"/>
        <v/>
      </c>
      <c r="K39" s="4">
        <f t="shared" si="5"/>
        <v>1</v>
      </c>
      <c r="L39" s="4" t="str">
        <f t="shared" si="6"/>
        <v/>
      </c>
      <c r="M39" s="4"/>
      <c r="N39" s="4"/>
      <c r="O39" s="4"/>
      <c r="P39" s="4"/>
      <c r="Q39" s="4"/>
      <c r="R39" s="4"/>
      <c r="S39" s="4"/>
      <c r="T39" s="4"/>
      <c r="U39" s="4"/>
    </row>
    <row r="40" spans="1:21">
      <c r="A40" t="s">
        <v>219</v>
      </c>
      <c r="B40">
        <v>4</v>
      </c>
      <c r="C40" t="str">
        <f t="shared" si="0"/>
        <v>test.Base64_4_</v>
      </c>
      <c r="D40">
        <v>1</v>
      </c>
      <c r="E40" s="4">
        <v>0.19354838709677419</v>
      </c>
      <c r="F40" s="4">
        <v>0.30382513661202187</v>
      </c>
      <c r="G40" s="4" t="str">
        <f t="shared" si="1"/>
        <v/>
      </c>
      <c r="H40" s="4">
        <f t="shared" si="2"/>
        <v>0.19354838709677419</v>
      </c>
      <c r="I40" s="4" t="str">
        <f t="shared" si="3"/>
        <v/>
      </c>
      <c r="J40" s="4" t="str">
        <f t="shared" si="4"/>
        <v/>
      </c>
      <c r="K40" s="4" t="str">
        <f t="shared" si="5"/>
        <v/>
      </c>
      <c r="L40" s="4" t="str">
        <f t="shared" si="6"/>
        <v/>
      </c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t="s">
        <v>219</v>
      </c>
      <c r="B41">
        <v>4</v>
      </c>
      <c r="C41" t="str">
        <f t="shared" si="0"/>
        <v>test.Base64_4_</v>
      </c>
      <c r="D41">
        <v>2</v>
      </c>
      <c r="E41" s="4">
        <v>0.70967741935483875</v>
      </c>
      <c r="F41" s="4">
        <v>0.6743169398907104</v>
      </c>
      <c r="G41" s="4" t="str">
        <f t="shared" si="1"/>
        <v/>
      </c>
      <c r="H41" s="4" t="str">
        <f t="shared" si="2"/>
        <v/>
      </c>
      <c r="I41" s="4" t="str">
        <f t="shared" si="3"/>
        <v/>
      </c>
      <c r="J41" s="4">
        <f t="shared" si="4"/>
        <v>0.70967741935483875</v>
      </c>
      <c r="K41" s="4" t="str">
        <f t="shared" si="5"/>
        <v/>
      </c>
      <c r="L41" s="4" t="str">
        <f t="shared" si="6"/>
        <v/>
      </c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t="s">
        <v>219</v>
      </c>
      <c r="B42">
        <v>4</v>
      </c>
      <c r="C42" t="str">
        <f t="shared" si="0"/>
        <v>test.Base64_4_</v>
      </c>
      <c r="D42">
        <v>3</v>
      </c>
      <c r="E42" s="4">
        <v>0.93548387096774188</v>
      </c>
      <c r="F42" s="4">
        <v>0.67540983606557381</v>
      </c>
      <c r="G42" s="4" t="str">
        <f t="shared" si="1"/>
        <v/>
      </c>
      <c r="H42" s="4" t="str">
        <f t="shared" si="2"/>
        <v/>
      </c>
      <c r="I42" s="4" t="str">
        <f t="shared" si="3"/>
        <v/>
      </c>
      <c r="J42" s="4">
        <f t="shared" si="4"/>
        <v>0.93548387096774188</v>
      </c>
      <c r="K42" s="4" t="str">
        <f t="shared" si="5"/>
        <v/>
      </c>
      <c r="L42" s="4" t="str">
        <f t="shared" si="6"/>
        <v/>
      </c>
      <c r="M42" s="4"/>
      <c r="N42" s="4"/>
      <c r="O42" s="4"/>
      <c r="P42" s="4"/>
      <c r="Q42" s="4"/>
      <c r="R42" s="4"/>
      <c r="S42" s="4"/>
      <c r="T42" s="4"/>
      <c r="U42" s="4"/>
    </row>
    <row r="43" spans="1:21">
      <c r="A43" t="s">
        <v>219</v>
      </c>
      <c r="B43">
        <v>4</v>
      </c>
      <c r="C43" t="str">
        <f t="shared" si="0"/>
        <v>test.Base64_4_</v>
      </c>
      <c r="D43">
        <v>4</v>
      </c>
      <c r="E43" s="4">
        <v>1</v>
      </c>
      <c r="F43" s="4">
        <v>0.98142076502732245</v>
      </c>
      <c r="G43" s="4" t="str">
        <f t="shared" si="1"/>
        <v/>
      </c>
      <c r="H43" s="4" t="str">
        <f t="shared" si="2"/>
        <v/>
      </c>
      <c r="I43" s="4" t="str">
        <f t="shared" si="3"/>
        <v/>
      </c>
      <c r="J43" s="4" t="str">
        <f t="shared" si="4"/>
        <v/>
      </c>
      <c r="K43" s="4">
        <f t="shared" si="5"/>
        <v>1</v>
      </c>
      <c r="L43" s="4" t="str">
        <f t="shared" si="6"/>
        <v/>
      </c>
      <c r="M43" s="4"/>
      <c r="N43" s="4"/>
      <c r="O43" s="4"/>
      <c r="P43" s="4"/>
      <c r="Q43" s="4"/>
      <c r="R43" s="4"/>
      <c r="S43" s="4"/>
      <c r="T43" s="4"/>
      <c r="U43" s="4"/>
    </row>
    <row r="44" spans="1:21">
      <c r="A44" t="s">
        <v>219</v>
      </c>
      <c r="B44">
        <v>13</v>
      </c>
      <c r="C44" t="str">
        <f t="shared" si="0"/>
        <v>test.Base64_13_</v>
      </c>
      <c r="D44">
        <v>1</v>
      </c>
      <c r="E44" s="4">
        <v>0.125</v>
      </c>
      <c r="F44" s="4">
        <v>0.28178694158075601</v>
      </c>
      <c r="G44" s="4" t="str">
        <f t="shared" si="1"/>
        <v/>
      </c>
      <c r="H44" s="4">
        <f t="shared" si="2"/>
        <v>0.125</v>
      </c>
      <c r="I44" s="4" t="str">
        <f t="shared" si="3"/>
        <v/>
      </c>
      <c r="J44" s="4" t="str">
        <f t="shared" si="4"/>
        <v/>
      </c>
      <c r="K44" s="4" t="str">
        <f t="shared" si="5"/>
        <v/>
      </c>
      <c r="L44" s="4" t="str">
        <f t="shared" si="6"/>
        <v/>
      </c>
      <c r="M44" s="4"/>
      <c r="N44" s="4"/>
      <c r="O44" s="4"/>
      <c r="P44" s="4"/>
      <c r="Q44" s="4"/>
      <c r="R44" s="4"/>
      <c r="S44" s="4"/>
      <c r="T44" s="4"/>
      <c r="U44" s="4"/>
    </row>
    <row r="45" spans="1:21">
      <c r="A45" t="s">
        <v>219</v>
      </c>
      <c r="B45">
        <v>13</v>
      </c>
      <c r="C45" t="str">
        <f t="shared" si="0"/>
        <v>test.Base64_13_</v>
      </c>
      <c r="D45">
        <v>2</v>
      </c>
      <c r="E45" s="4">
        <v>0.375</v>
      </c>
      <c r="F45" s="4">
        <v>0.53264604810996563</v>
      </c>
      <c r="G45" s="4" t="str">
        <f t="shared" si="1"/>
        <v/>
      </c>
      <c r="H45" s="4" t="str">
        <f t="shared" si="2"/>
        <v/>
      </c>
      <c r="I45" s="4">
        <f t="shared" si="3"/>
        <v>0.375</v>
      </c>
      <c r="J45" s="4" t="str">
        <f t="shared" si="4"/>
        <v/>
      </c>
      <c r="K45" s="4" t="str">
        <f t="shared" si="5"/>
        <v/>
      </c>
      <c r="L45" s="4" t="str">
        <f t="shared" si="6"/>
        <v/>
      </c>
      <c r="M45" s="4"/>
      <c r="N45" s="4"/>
      <c r="O45" s="4"/>
      <c r="P45" s="4"/>
      <c r="Q45" s="4"/>
      <c r="R45" s="4"/>
      <c r="S45" s="4"/>
      <c r="T45" s="4"/>
      <c r="U45" s="4"/>
    </row>
    <row r="46" spans="1:21">
      <c r="A46" t="s">
        <v>219</v>
      </c>
      <c r="B46">
        <v>13</v>
      </c>
      <c r="C46" t="str">
        <f t="shared" si="0"/>
        <v>test.Base64_13_</v>
      </c>
      <c r="D46">
        <v>3</v>
      </c>
      <c r="E46" s="4">
        <v>0.625</v>
      </c>
      <c r="F46" s="4">
        <v>0.76975945017182135</v>
      </c>
      <c r="G46" s="4" t="str">
        <f t="shared" si="1"/>
        <v/>
      </c>
      <c r="H46" s="4" t="str">
        <f t="shared" si="2"/>
        <v/>
      </c>
      <c r="I46" s="4" t="str">
        <f t="shared" si="3"/>
        <v/>
      </c>
      <c r="J46" s="4">
        <f t="shared" si="4"/>
        <v>0.625</v>
      </c>
      <c r="K46" s="4" t="str">
        <f t="shared" si="5"/>
        <v/>
      </c>
      <c r="L46" s="4" t="str">
        <f t="shared" si="6"/>
        <v/>
      </c>
      <c r="M46" s="4"/>
      <c r="N46" s="4"/>
      <c r="O46" s="4"/>
      <c r="P46" s="4"/>
      <c r="Q46" s="4"/>
      <c r="R46" s="4"/>
      <c r="S46" s="4"/>
      <c r="T46" s="4"/>
      <c r="U46" s="4"/>
    </row>
    <row r="47" spans="1:21">
      <c r="A47" t="s">
        <v>219</v>
      </c>
      <c r="B47">
        <v>13</v>
      </c>
      <c r="C47" t="str">
        <f t="shared" si="0"/>
        <v>test.Base64_13_</v>
      </c>
      <c r="D47">
        <v>4</v>
      </c>
      <c r="E47" s="4">
        <v>0.875</v>
      </c>
      <c r="F47" s="4">
        <v>1.0137457044673539</v>
      </c>
      <c r="G47" s="4" t="str">
        <f t="shared" si="1"/>
        <v/>
      </c>
      <c r="H47" s="4" t="str">
        <f t="shared" si="2"/>
        <v/>
      </c>
      <c r="I47" s="4" t="str">
        <f t="shared" si="3"/>
        <v/>
      </c>
      <c r="J47" s="4" t="str">
        <f t="shared" si="4"/>
        <v/>
      </c>
      <c r="K47" s="4">
        <f t="shared" si="5"/>
        <v>0.875</v>
      </c>
      <c r="L47" s="4" t="str">
        <f t="shared" si="6"/>
        <v/>
      </c>
      <c r="M47" s="4"/>
      <c r="N47" s="4"/>
      <c r="O47" s="4"/>
      <c r="P47" s="4"/>
      <c r="Q47" s="4"/>
      <c r="R47" s="4"/>
      <c r="S47" s="4"/>
      <c r="T47" s="4"/>
      <c r="U47" s="4"/>
    </row>
    <row r="48" spans="1:21">
      <c r="A48" t="s">
        <v>219</v>
      </c>
      <c r="B48">
        <v>13</v>
      </c>
      <c r="C48" t="str">
        <f t="shared" si="0"/>
        <v>test.Base64_13_</v>
      </c>
      <c r="D48">
        <v>5</v>
      </c>
      <c r="E48" s="4">
        <v>1</v>
      </c>
      <c r="F48" s="4">
        <v>1.0171821305841924</v>
      </c>
      <c r="G48" s="4" t="str">
        <f t="shared" si="1"/>
        <v/>
      </c>
      <c r="H48" s="4" t="str">
        <f t="shared" si="2"/>
        <v/>
      </c>
      <c r="I48" s="4" t="str">
        <f t="shared" si="3"/>
        <v/>
      </c>
      <c r="J48" s="4" t="str">
        <f t="shared" si="4"/>
        <v/>
      </c>
      <c r="K48" s="4">
        <f t="shared" si="5"/>
        <v>1</v>
      </c>
      <c r="L48" s="4" t="str">
        <f t="shared" si="6"/>
        <v/>
      </c>
      <c r="M48" s="4"/>
      <c r="N48" s="4"/>
      <c r="O48" s="4"/>
      <c r="P48" s="4"/>
      <c r="Q48" s="4"/>
      <c r="R48" s="4"/>
      <c r="S48" s="4"/>
      <c r="T48" s="4"/>
      <c r="U48" s="4"/>
    </row>
    <row r="49" spans="1:21">
      <c r="A49" t="s">
        <v>219</v>
      </c>
      <c r="B49">
        <v>16</v>
      </c>
      <c r="C49" t="str">
        <f t="shared" si="0"/>
        <v>test.Base64_16_</v>
      </c>
      <c r="D49">
        <v>1</v>
      </c>
      <c r="E49" s="4">
        <v>1.6393442622950821E-2</v>
      </c>
      <c r="F49" s="4">
        <v>1.2310217480508822E-2</v>
      </c>
      <c r="G49" s="4">
        <f t="shared" si="1"/>
        <v>1.6393442622950821E-2</v>
      </c>
      <c r="H49" s="4" t="str">
        <f t="shared" si="2"/>
        <v/>
      </c>
      <c r="I49" s="4" t="str">
        <f t="shared" si="3"/>
        <v/>
      </c>
      <c r="J49" s="4" t="str">
        <f t="shared" si="4"/>
        <v/>
      </c>
      <c r="K49" s="4" t="str">
        <f t="shared" si="5"/>
        <v/>
      </c>
      <c r="L49" s="4" t="str">
        <f t="shared" si="6"/>
        <v/>
      </c>
      <c r="M49" s="4"/>
      <c r="N49" s="4"/>
      <c r="O49" s="4"/>
      <c r="P49" s="4"/>
      <c r="Q49" s="4"/>
      <c r="R49" s="4"/>
      <c r="S49" s="4"/>
      <c r="T49" s="4"/>
      <c r="U49" s="4"/>
    </row>
    <row r="50" spans="1:21">
      <c r="A50" t="s">
        <v>219</v>
      </c>
      <c r="B50">
        <v>16</v>
      </c>
      <c r="C50" t="str">
        <f t="shared" si="0"/>
        <v>test.Base64_16_</v>
      </c>
      <c r="D50">
        <v>2</v>
      </c>
      <c r="E50" s="4">
        <v>3.2786885245901641E-2</v>
      </c>
      <c r="F50" s="4">
        <v>1.6530863473826134E-2</v>
      </c>
      <c r="G50" s="4">
        <f t="shared" si="1"/>
        <v>3.2786885245901641E-2</v>
      </c>
      <c r="H50" s="4" t="str">
        <f t="shared" si="2"/>
        <v/>
      </c>
      <c r="I50" s="4" t="str">
        <f t="shared" si="3"/>
        <v/>
      </c>
      <c r="J50" s="4" t="str">
        <f t="shared" si="4"/>
        <v/>
      </c>
      <c r="K50" s="4" t="str">
        <f t="shared" si="5"/>
        <v/>
      </c>
      <c r="L50" s="4" t="str">
        <f t="shared" si="6"/>
        <v/>
      </c>
      <c r="M50" s="4"/>
      <c r="N50" s="4"/>
      <c r="O50" s="4"/>
      <c r="P50" s="4"/>
      <c r="Q50" s="4"/>
      <c r="R50" s="4"/>
      <c r="S50" s="4"/>
      <c r="T50" s="4"/>
      <c r="U50" s="4"/>
    </row>
    <row r="51" spans="1:21">
      <c r="A51" t="s">
        <v>219</v>
      </c>
      <c r="B51">
        <v>16</v>
      </c>
      <c r="C51" t="str">
        <f t="shared" si="0"/>
        <v>test.Base64_16_</v>
      </c>
      <c r="D51">
        <v>3</v>
      </c>
      <c r="E51" s="4">
        <v>0.81420765027322406</v>
      </c>
      <c r="F51" s="4">
        <v>0.96541415088809424</v>
      </c>
      <c r="G51" s="4" t="str">
        <f t="shared" si="1"/>
        <v/>
      </c>
      <c r="H51" s="4" t="str">
        <f t="shared" si="2"/>
        <v/>
      </c>
      <c r="I51" s="4" t="str">
        <f t="shared" si="3"/>
        <v/>
      </c>
      <c r="J51" s="4" t="str">
        <f t="shared" si="4"/>
        <v/>
      </c>
      <c r="K51" s="4">
        <f t="shared" si="5"/>
        <v>0.81420765027322406</v>
      </c>
      <c r="L51" s="4" t="str">
        <f t="shared" si="6"/>
        <v/>
      </c>
      <c r="M51" s="4"/>
      <c r="N51" s="4"/>
      <c r="O51" s="4"/>
      <c r="P51" s="4"/>
      <c r="Q51" s="4"/>
      <c r="R51" s="4"/>
      <c r="S51" s="4"/>
      <c r="T51" s="4"/>
      <c r="U51" s="4"/>
    </row>
    <row r="52" spans="1:21">
      <c r="A52" t="s">
        <v>219</v>
      </c>
      <c r="B52">
        <v>16</v>
      </c>
      <c r="C52" t="str">
        <f t="shared" si="0"/>
        <v>test.Base64_16_</v>
      </c>
      <c r="D52">
        <v>4</v>
      </c>
      <c r="E52" s="4">
        <v>1</v>
      </c>
      <c r="F52" s="4">
        <v>0.98077261269711002</v>
      </c>
      <c r="G52" s="4" t="str">
        <f t="shared" si="1"/>
        <v/>
      </c>
      <c r="H52" s="4" t="str">
        <f t="shared" si="2"/>
        <v/>
      </c>
      <c r="I52" s="4" t="str">
        <f t="shared" si="3"/>
        <v/>
      </c>
      <c r="J52" s="4" t="str">
        <f t="shared" si="4"/>
        <v/>
      </c>
      <c r="K52" s="4">
        <f t="shared" si="5"/>
        <v>1</v>
      </c>
      <c r="L52" s="4" t="str">
        <f t="shared" si="6"/>
        <v/>
      </c>
      <c r="M52" s="4"/>
      <c r="N52" s="4"/>
      <c r="O52" s="4"/>
      <c r="P52" s="4"/>
      <c r="Q52" s="4"/>
      <c r="R52" s="4"/>
      <c r="S52" s="4"/>
      <c r="T52" s="4"/>
      <c r="U52" s="4"/>
    </row>
    <row r="53" spans="1:21">
      <c r="A53" t="s">
        <v>219</v>
      </c>
      <c r="B53">
        <v>18</v>
      </c>
      <c r="C53" t="str">
        <f t="shared" si="0"/>
        <v>test.Base64_18_</v>
      </c>
      <c r="D53">
        <v>1</v>
      </c>
      <c r="E53" s="4">
        <v>2.1276595744680851E-2</v>
      </c>
      <c r="F53" s="4">
        <v>1.6637089618456079E-2</v>
      </c>
      <c r="G53" s="4">
        <f t="shared" si="1"/>
        <v>2.1276595744680851E-2</v>
      </c>
      <c r="H53" s="4" t="str">
        <f t="shared" si="2"/>
        <v/>
      </c>
      <c r="I53" s="4" t="str">
        <f t="shared" si="3"/>
        <v/>
      </c>
      <c r="J53" s="4" t="str">
        <f t="shared" si="4"/>
        <v/>
      </c>
      <c r="K53" s="4" t="str">
        <f t="shared" si="5"/>
        <v/>
      </c>
      <c r="L53" s="4" t="str">
        <f t="shared" si="6"/>
        <v/>
      </c>
      <c r="M53" s="4"/>
      <c r="N53" s="4"/>
      <c r="O53" s="4"/>
      <c r="P53" s="4"/>
      <c r="Q53" s="4"/>
      <c r="R53" s="4"/>
      <c r="S53" s="4"/>
      <c r="T53" s="4"/>
      <c r="U53" s="4"/>
    </row>
    <row r="54" spans="1:21">
      <c r="A54" t="s">
        <v>219</v>
      </c>
      <c r="B54">
        <v>18</v>
      </c>
      <c r="C54" t="str">
        <f t="shared" si="0"/>
        <v>test.Base64_18_</v>
      </c>
      <c r="D54">
        <v>2</v>
      </c>
      <c r="E54" s="4">
        <v>4.2553191489361701E-2</v>
      </c>
      <c r="F54" s="4">
        <v>2.9059449866903283E-2</v>
      </c>
      <c r="G54" s="4">
        <f t="shared" si="1"/>
        <v>4.2553191489361701E-2</v>
      </c>
      <c r="H54" s="4" t="str">
        <f t="shared" si="2"/>
        <v/>
      </c>
      <c r="I54" s="4" t="str">
        <f t="shared" si="3"/>
        <v/>
      </c>
      <c r="J54" s="4" t="str">
        <f t="shared" si="4"/>
        <v/>
      </c>
      <c r="K54" s="4" t="str">
        <f t="shared" si="5"/>
        <v/>
      </c>
      <c r="L54" s="4" t="str">
        <f t="shared" si="6"/>
        <v/>
      </c>
      <c r="M54" s="4"/>
      <c r="N54" s="4"/>
      <c r="O54" s="4"/>
      <c r="P54" s="4"/>
      <c r="Q54" s="4"/>
      <c r="R54" s="4"/>
      <c r="S54" s="4"/>
      <c r="T54" s="4"/>
      <c r="U54" s="4"/>
    </row>
    <row r="55" spans="1:21">
      <c r="A55" t="s">
        <v>219</v>
      </c>
      <c r="B55">
        <v>18</v>
      </c>
      <c r="C55" t="str">
        <f t="shared" si="0"/>
        <v>test.Base64_18_</v>
      </c>
      <c r="D55">
        <v>3</v>
      </c>
      <c r="E55" s="4">
        <v>0.12056737588652482</v>
      </c>
      <c r="F55" s="4">
        <v>6.2999112688553682E-2</v>
      </c>
      <c r="G55" s="4">
        <f t="shared" si="1"/>
        <v>0.12056737588652482</v>
      </c>
      <c r="H55" s="4" t="str">
        <f t="shared" si="2"/>
        <v/>
      </c>
      <c r="I55" s="4" t="str">
        <f t="shared" si="3"/>
        <v/>
      </c>
      <c r="J55" s="4" t="str">
        <f t="shared" si="4"/>
        <v/>
      </c>
      <c r="K55" s="4" t="str">
        <f t="shared" si="5"/>
        <v/>
      </c>
      <c r="L55" s="4" t="str">
        <f t="shared" si="6"/>
        <v/>
      </c>
      <c r="M55" s="4"/>
      <c r="N55" s="4"/>
      <c r="O55" s="4"/>
      <c r="P55" s="4"/>
      <c r="Q55" s="4"/>
      <c r="R55" s="4"/>
      <c r="S55" s="4"/>
      <c r="T55" s="4"/>
      <c r="U55" s="4"/>
    </row>
    <row r="56" spans="1:21">
      <c r="A56" t="s">
        <v>219</v>
      </c>
      <c r="B56">
        <v>18</v>
      </c>
      <c r="C56" t="str">
        <f t="shared" si="0"/>
        <v>test.Base64_18_</v>
      </c>
      <c r="D56">
        <v>4</v>
      </c>
      <c r="E56" s="4">
        <v>0.16312056737588654</v>
      </c>
      <c r="F56" s="4">
        <v>7.9747116237799467E-2</v>
      </c>
      <c r="G56" s="4">
        <f t="shared" si="1"/>
        <v>0.16312056737588654</v>
      </c>
      <c r="H56" s="4" t="str">
        <f t="shared" si="2"/>
        <v/>
      </c>
      <c r="I56" s="4" t="str">
        <f t="shared" si="3"/>
        <v/>
      </c>
      <c r="J56" s="4" t="str">
        <f t="shared" si="4"/>
        <v/>
      </c>
      <c r="K56" s="4" t="str">
        <f t="shared" si="5"/>
        <v/>
      </c>
      <c r="L56" s="4" t="str">
        <f t="shared" si="6"/>
        <v/>
      </c>
      <c r="M56" s="4"/>
      <c r="N56" s="4"/>
      <c r="O56" s="4"/>
      <c r="P56" s="4"/>
      <c r="Q56" s="4"/>
      <c r="R56" s="4"/>
      <c r="S56" s="4"/>
      <c r="T56" s="4"/>
      <c r="U56" s="4"/>
    </row>
    <row r="57" spans="1:21">
      <c r="A57" t="s">
        <v>219</v>
      </c>
      <c r="B57">
        <v>18</v>
      </c>
      <c r="C57" t="str">
        <f t="shared" si="0"/>
        <v>test.Base64_18_</v>
      </c>
      <c r="D57">
        <v>5</v>
      </c>
      <c r="E57" s="4">
        <v>0.24822695035460993</v>
      </c>
      <c r="F57" s="4">
        <v>0.10681011535048802</v>
      </c>
      <c r="G57" s="4">
        <f t="shared" si="1"/>
        <v>0.24822695035460993</v>
      </c>
      <c r="H57" s="4" t="str">
        <f t="shared" si="2"/>
        <v/>
      </c>
      <c r="I57" s="4" t="str">
        <f t="shared" si="3"/>
        <v/>
      </c>
      <c r="J57" s="4" t="str">
        <f t="shared" si="4"/>
        <v/>
      </c>
      <c r="K57" s="4" t="str">
        <f t="shared" si="5"/>
        <v/>
      </c>
      <c r="L57" s="4" t="str">
        <f t="shared" si="6"/>
        <v/>
      </c>
      <c r="M57" s="4"/>
      <c r="N57" s="4"/>
      <c r="O57" s="4"/>
      <c r="P57" s="4"/>
      <c r="Q57" s="4"/>
      <c r="R57" s="4"/>
      <c r="S57" s="4"/>
      <c r="T57" s="4"/>
      <c r="U57" s="4"/>
    </row>
    <row r="58" spans="1:21">
      <c r="A58" t="s">
        <v>219</v>
      </c>
      <c r="B58">
        <v>18</v>
      </c>
      <c r="C58" t="str">
        <f t="shared" si="0"/>
        <v>test.Base64_18_</v>
      </c>
      <c r="D58">
        <v>6</v>
      </c>
      <c r="E58" s="4">
        <v>0.26950354609929078</v>
      </c>
      <c r="F58" s="4">
        <v>0.11224489795918367</v>
      </c>
      <c r="G58" s="4">
        <f t="shared" si="1"/>
        <v>0.26950354609929078</v>
      </c>
      <c r="H58" s="4" t="str">
        <f t="shared" si="2"/>
        <v/>
      </c>
      <c r="I58" s="4" t="str">
        <f t="shared" si="3"/>
        <v/>
      </c>
      <c r="J58" s="4" t="str">
        <f t="shared" si="4"/>
        <v/>
      </c>
      <c r="K58" s="4" t="str">
        <f t="shared" si="5"/>
        <v/>
      </c>
      <c r="L58" s="4" t="str">
        <f t="shared" si="6"/>
        <v/>
      </c>
      <c r="M58" s="4"/>
      <c r="N58" s="4"/>
      <c r="O58" s="4"/>
      <c r="P58" s="4"/>
      <c r="Q58" s="4"/>
      <c r="R58" s="4"/>
      <c r="S58" s="4"/>
      <c r="T58" s="4"/>
      <c r="U58" s="4"/>
    </row>
    <row r="59" spans="1:21">
      <c r="A59" t="s">
        <v>219</v>
      </c>
      <c r="B59">
        <v>18</v>
      </c>
      <c r="C59" t="str">
        <f t="shared" si="0"/>
        <v>test.Base64_18_</v>
      </c>
      <c r="D59">
        <v>7</v>
      </c>
      <c r="E59" s="4">
        <v>0.29078014184397161</v>
      </c>
      <c r="F59" s="4">
        <v>0.11291038154392191</v>
      </c>
      <c r="G59" s="4">
        <f t="shared" si="1"/>
        <v>0.29078014184397161</v>
      </c>
      <c r="H59" s="4" t="str">
        <f t="shared" si="2"/>
        <v/>
      </c>
      <c r="I59" s="4" t="str">
        <f t="shared" si="3"/>
        <v/>
      </c>
      <c r="J59" s="4" t="str">
        <f t="shared" si="4"/>
        <v/>
      </c>
      <c r="K59" s="4" t="str">
        <f t="shared" si="5"/>
        <v/>
      </c>
      <c r="L59" s="4" t="str">
        <f t="shared" si="6"/>
        <v/>
      </c>
      <c r="M59" s="4"/>
      <c r="N59" s="4"/>
      <c r="O59" s="4"/>
      <c r="P59" s="4"/>
      <c r="Q59" s="4"/>
      <c r="R59" s="4"/>
      <c r="S59" s="4"/>
      <c r="T59" s="4"/>
      <c r="U59" s="4"/>
    </row>
    <row r="60" spans="1:21">
      <c r="A60" t="s">
        <v>219</v>
      </c>
      <c r="B60">
        <v>18</v>
      </c>
      <c r="C60" t="str">
        <f t="shared" si="0"/>
        <v>test.Base64_18_</v>
      </c>
      <c r="D60">
        <v>8</v>
      </c>
      <c r="E60" s="4">
        <v>0.31205673758865249</v>
      </c>
      <c r="F60" s="4">
        <v>0.11335403726708075</v>
      </c>
      <c r="G60" s="4">
        <f t="shared" si="1"/>
        <v>0.31205673758865249</v>
      </c>
      <c r="H60" s="4" t="str">
        <f t="shared" si="2"/>
        <v/>
      </c>
      <c r="I60" s="4" t="str">
        <f t="shared" si="3"/>
        <v/>
      </c>
      <c r="J60" s="4" t="str">
        <f t="shared" si="4"/>
        <v/>
      </c>
      <c r="K60" s="4" t="str">
        <f t="shared" si="5"/>
        <v/>
      </c>
      <c r="L60" s="4" t="str">
        <f t="shared" si="6"/>
        <v/>
      </c>
      <c r="M60" s="4"/>
      <c r="N60" s="4"/>
      <c r="O60" s="4"/>
      <c r="P60" s="4"/>
      <c r="Q60" s="4"/>
      <c r="R60" s="4"/>
      <c r="S60" s="4"/>
      <c r="T60" s="4"/>
      <c r="U60" s="4"/>
    </row>
    <row r="61" spans="1:21">
      <c r="A61" t="s">
        <v>219</v>
      </c>
      <c r="B61">
        <v>18</v>
      </c>
      <c r="C61" t="str">
        <f t="shared" si="0"/>
        <v>test.Base64_18_</v>
      </c>
      <c r="D61">
        <v>9</v>
      </c>
      <c r="E61" s="4">
        <v>0.33333333333333331</v>
      </c>
      <c r="F61" s="4">
        <v>0.11368677905944986</v>
      </c>
      <c r="G61" s="4">
        <f t="shared" si="1"/>
        <v>0.33333333333333331</v>
      </c>
      <c r="H61" s="4" t="str">
        <f t="shared" si="2"/>
        <v/>
      </c>
      <c r="I61" s="4" t="str">
        <f t="shared" si="3"/>
        <v/>
      </c>
      <c r="J61" s="4" t="str">
        <f t="shared" si="4"/>
        <v/>
      </c>
      <c r="K61" s="4" t="str">
        <f t="shared" si="5"/>
        <v/>
      </c>
      <c r="L61" s="4" t="str">
        <f t="shared" si="6"/>
        <v/>
      </c>
      <c r="M61" s="4"/>
      <c r="N61" s="4"/>
      <c r="O61" s="4"/>
      <c r="P61" s="4"/>
      <c r="Q61" s="4"/>
      <c r="R61" s="4"/>
      <c r="S61" s="4"/>
      <c r="T61" s="4"/>
      <c r="U61" s="4"/>
    </row>
    <row r="62" spans="1:21">
      <c r="A62" t="s">
        <v>219</v>
      </c>
      <c r="B62">
        <v>18</v>
      </c>
      <c r="C62" t="str">
        <f t="shared" si="0"/>
        <v>test.Base64_18_</v>
      </c>
      <c r="D62">
        <v>10</v>
      </c>
      <c r="E62" s="4">
        <v>0.33333333333333331</v>
      </c>
      <c r="F62" s="4">
        <v>0.1187888198757764</v>
      </c>
      <c r="G62" s="4">
        <f t="shared" si="1"/>
        <v>0.33333333333333331</v>
      </c>
      <c r="H62" s="4" t="str">
        <f t="shared" si="2"/>
        <v/>
      </c>
      <c r="I62" s="4" t="str">
        <f t="shared" si="3"/>
        <v/>
      </c>
      <c r="J62" s="4" t="str">
        <f t="shared" si="4"/>
        <v/>
      </c>
      <c r="K62" s="4" t="str">
        <f t="shared" si="5"/>
        <v/>
      </c>
      <c r="L62" s="4" t="str">
        <f t="shared" si="6"/>
        <v/>
      </c>
      <c r="M62" s="4"/>
      <c r="N62" s="4"/>
      <c r="O62" s="4"/>
      <c r="P62" s="4"/>
      <c r="Q62" s="4"/>
      <c r="R62" s="4"/>
      <c r="S62" s="4"/>
      <c r="T62" s="4"/>
      <c r="U62" s="4"/>
    </row>
    <row r="63" spans="1:21">
      <c r="A63" t="s">
        <v>219</v>
      </c>
      <c r="B63">
        <v>18</v>
      </c>
      <c r="C63" t="str">
        <f t="shared" si="0"/>
        <v>test.Base64_18_</v>
      </c>
      <c r="D63">
        <v>11</v>
      </c>
      <c r="E63" s="4">
        <v>0.33333333333333331</v>
      </c>
      <c r="F63" s="4">
        <v>0.11901064773735581</v>
      </c>
      <c r="G63" s="4">
        <f t="shared" si="1"/>
        <v>0.33333333333333331</v>
      </c>
      <c r="H63" s="4" t="str">
        <f t="shared" si="2"/>
        <v/>
      </c>
      <c r="I63" s="4" t="str">
        <f t="shared" si="3"/>
        <v/>
      </c>
      <c r="J63" s="4" t="str">
        <f t="shared" si="4"/>
        <v/>
      </c>
      <c r="K63" s="4" t="str">
        <f t="shared" si="5"/>
        <v/>
      </c>
      <c r="L63" s="4" t="str">
        <f t="shared" si="6"/>
        <v/>
      </c>
      <c r="M63" s="4"/>
      <c r="N63" s="4"/>
      <c r="O63" s="4"/>
      <c r="P63" s="4"/>
      <c r="Q63" s="4"/>
      <c r="R63" s="4"/>
      <c r="S63" s="4"/>
      <c r="T63" s="4"/>
      <c r="U63" s="4"/>
    </row>
    <row r="64" spans="1:21">
      <c r="A64" t="s">
        <v>219</v>
      </c>
      <c r="B64">
        <v>18</v>
      </c>
      <c r="C64" t="str">
        <f t="shared" si="0"/>
        <v>test.Base64_18_</v>
      </c>
      <c r="D64">
        <v>12</v>
      </c>
      <c r="E64" s="4">
        <v>0.36170212765957449</v>
      </c>
      <c r="F64" s="4">
        <v>0.11945430346051464</v>
      </c>
      <c r="G64" s="4">
        <f t="shared" si="1"/>
        <v>0.36170212765957449</v>
      </c>
      <c r="H64" s="4" t="str">
        <f t="shared" si="2"/>
        <v/>
      </c>
      <c r="I64" s="4" t="str">
        <f t="shared" si="3"/>
        <v/>
      </c>
      <c r="J64" s="4" t="str">
        <f t="shared" si="4"/>
        <v/>
      </c>
      <c r="K64" s="4" t="str">
        <f t="shared" si="5"/>
        <v/>
      </c>
      <c r="L64" s="4" t="str">
        <f t="shared" si="6"/>
        <v/>
      </c>
      <c r="M64" s="4"/>
      <c r="N64" s="4"/>
      <c r="O64" s="4"/>
      <c r="P64" s="4"/>
      <c r="Q64" s="4"/>
      <c r="R64" s="4"/>
      <c r="S64" s="4"/>
      <c r="T64" s="4"/>
      <c r="U64" s="4"/>
    </row>
    <row r="65" spans="1:21">
      <c r="A65" t="s">
        <v>219</v>
      </c>
      <c r="B65">
        <v>18</v>
      </c>
      <c r="C65" t="str">
        <f t="shared" si="0"/>
        <v>test.Base64_18_</v>
      </c>
      <c r="D65">
        <v>13</v>
      </c>
      <c r="E65" s="4">
        <v>0.36170212765957449</v>
      </c>
      <c r="F65" s="4">
        <v>0.12167258207630878</v>
      </c>
      <c r="G65" s="4">
        <f t="shared" si="1"/>
        <v>0.36170212765957449</v>
      </c>
      <c r="H65" s="4" t="str">
        <f t="shared" si="2"/>
        <v/>
      </c>
      <c r="I65" s="4" t="str">
        <f t="shared" si="3"/>
        <v/>
      </c>
      <c r="J65" s="4" t="str">
        <f t="shared" si="4"/>
        <v/>
      </c>
      <c r="K65" s="4" t="str">
        <f t="shared" si="5"/>
        <v/>
      </c>
      <c r="L65" s="4" t="str">
        <f t="shared" si="6"/>
        <v/>
      </c>
      <c r="M65" s="4"/>
      <c r="N65" s="4"/>
      <c r="O65" s="4"/>
      <c r="P65" s="4"/>
      <c r="Q65" s="4"/>
      <c r="R65" s="4"/>
      <c r="S65" s="4"/>
      <c r="T65" s="4"/>
      <c r="U65" s="4"/>
    </row>
    <row r="66" spans="1:21">
      <c r="A66" t="s">
        <v>219</v>
      </c>
      <c r="B66">
        <v>18</v>
      </c>
      <c r="C66" t="str">
        <f t="shared" si="0"/>
        <v>test.Base64_18_</v>
      </c>
      <c r="D66">
        <v>14</v>
      </c>
      <c r="E66" s="4">
        <v>0.36170212765957449</v>
      </c>
      <c r="F66" s="4">
        <v>0.12233806566104703</v>
      </c>
      <c r="G66" s="4">
        <f t="shared" si="1"/>
        <v>0.36170212765957449</v>
      </c>
      <c r="H66" s="4" t="str">
        <f t="shared" si="2"/>
        <v/>
      </c>
      <c r="I66" s="4" t="str">
        <f t="shared" si="3"/>
        <v/>
      </c>
      <c r="J66" s="4" t="str">
        <f t="shared" si="4"/>
        <v/>
      </c>
      <c r="K66" s="4" t="str">
        <f t="shared" si="5"/>
        <v/>
      </c>
      <c r="L66" s="4" t="str">
        <f t="shared" si="6"/>
        <v/>
      </c>
      <c r="M66" s="4"/>
      <c r="N66" s="4"/>
      <c r="O66" s="4"/>
      <c r="P66" s="4"/>
      <c r="Q66" s="4"/>
      <c r="R66" s="4"/>
      <c r="S66" s="4"/>
      <c r="T66" s="4"/>
      <c r="U66" s="4"/>
    </row>
    <row r="67" spans="1:21">
      <c r="A67" t="s">
        <v>219</v>
      </c>
      <c r="B67">
        <v>18</v>
      </c>
      <c r="C67" t="str">
        <f t="shared" ref="C67:C130" si="18">CONCATENATE(A67, "_",B67,"_")</f>
        <v>test.Base64_18_</v>
      </c>
      <c r="D67">
        <v>15</v>
      </c>
      <c r="E67" s="4">
        <v>0.36170212765957449</v>
      </c>
      <c r="F67" s="4">
        <v>0.12710736468500444</v>
      </c>
      <c r="G67" s="4">
        <f t="shared" ref="G67:G130" si="19">IF($F67 &lt;= 0.2,$E67,"")</f>
        <v>0.36170212765957449</v>
      </c>
      <c r="H67" s="4" t="str">
        <f t="shared" ref="H67:H130" si="20">IF(AND($F67 &gt; 0.2,$F67 &lt;= 0.4),$E67,"")</f>
        <v/>
      </c>
      <c r="I67" s="4" t="str">
        <f t="shared" ref="I67:I130" si="21">IF(AND($F67 &gt; 0.4,$F67 &lt;= 0.6),$E67,"")</f>
        <v/>
      </c>
      <c r="J67" s="4" t="str">
        <f t="shared" ref="J67:J130" si="22">IF(AND($F67 &gt; 0.6,$F67 &lt;= 0.8),$E67,"")</f>
        <v/>
      </c>
      <c r="K67" s="4" t="str">
        <f t="shared" ref="K67:K130" si="23">IF(AND($F67 &gt; 0.8, $F67 &lt;=1.1),$E67,"")</f>
        <v/>
      </c>
      <c r="L67" s="4" t="str">
        <f t="shared" ref="L67:L130" si="24">IF(AND($F67 &gt; 1.1),$E67,"")</f>
        <v/>
      </c>
      <c r="M67" s="4"/>
      <c r="N67" s="4"/>
      <c r="O67" s="4"/>
      <c r="P67" s="4"/>
      <c r="Q67" s="4"/>
      <c r="R67" s="4"/>
      <c r="S67" s="4"/>
      <c r="T67" s="4"/>
      <c r="U67" s="4"/>
    </row>
    <row r="68" spans="1:21">
      <c r="A68" t="s">
        <v>219</v>
      </c>
      <c r="B68">
        <v>18</v>
      </c>
      <c r="C68" t="str">
        <f t="shared" si="18"/>
        <v>test.Base64_18_</v>
      </c>
      <c r="D68">
        <v>16</v>
      </c>
      <c r="E68" s="4">
        <v>0.36170212765957449</v>
      </c>
      <c r="F68" s="4">
        <v>0.12777284826974267</v>
      </c>
      <c r="G68" s="4">
        <f t="shared" si="19"/>
        <v>0.36170212765957449</v>
      </c>
      <c r="H68" s="4" t="str">
        <f t="shared" si="20"/>
        <v/>
      </c>
      <c r="I68" s="4" t="str">
        <f t="shared" si="21"/>
        <v/>
      </c>
      <c r="J68" s="4" t="str">
        <f t="shared" si="22"/>
        <v/>
      </c>
      <c r="K68" s="4" t="str">
        <f t="shared" si="23"/>
        <v/>
      </c>
      <c r="L68" s="4" t="str">
        <f t="shared" si="24"/>
        <v/>
      </c>
      <c r="M68" s="4"/>
      <c r="N68" s="4"/>
      <c r="O68" s="4"/>
      <c r="P68" s="4"/>
      <c r="Q68" s="4"/>
      <c r="R68" s="4"/>
      <c r="S68" s="4"/>
      <c r="T68" s="4"/>
      <c r="U68" s="4"/>
    </row>
    <row r="69" spans="1:21">
      <c r="A69" t="s">
        <v>219</v>
      </c>
      <c r="B69">
        <v>18</v>
      </c>
      <c r="C69" t="str">
        <f t="shared" si="18"/>
        <v>test.Base64_18_</v>
      </c>
      <c r="D69">
        <v>17</v>
      </c>
      <c r="E69" s="4">
        <v>0.36170212765957449</v>
      </c>
      <c r="F69" s="4">
        <v>0.12854924578527063</v>
      </c>
      <c r="G69" s="4">
        <f t="shared" si="19"/>
        <v>0.36170212765957449</v>
      </c>
      <c r="H69" s="4" t="str">
        <f t="shared" si="20"/>
        <v/>
      </c>
      <c r="I69" s="4" t="str">
        <f t="shared" si="21"/>
        <v/>
      </c>
      <c r="J69" s="4" t="str">
        <f t="shared" si="22"/>
        <v/>
      </c>
      <c r="K69" s="4" t="str">
        <f t="shared" si="23"/>
        <v/>
      </c>
      <c r="L69" s="4" t="str">
        <f t="shared" si="24"/>
        <v/>
      </c>
      <c r="M69" s="4"/>
      <c r="N69" s="4"/>
      <c r="O69" s="4"/>
      <c r="P69" s="4"/>
      <c r="Q69" s="4"/>
      <c r="R69" s="4"/>
      <c r="S69" s="4"/>
      <c r="T69" s="4"/>
      <c r="U69" s="4"/>
    </row>
    <row r="70" spans="1:21">
      <c r="A70" t="s">
        <v>219</v>
      </c>
      <c r="B70">
        <v>18</v>
      </c>
      <c r="C70" t="str">
        <f t="shared" si="18"/>
        <v>test.Base64_18_</v>
      </c>
      <c r="D70">
        <v>18</v>
      </c>
      <c r="E70" s="4">
        <v>0.36170212765957449</v>
      </c>
      <c r="F70" s="4">
        <v>0.13609139307897072</v>
      </c>
      <c r="G70" s="4">
        <f t="shared" si="19"/>
        <v>0.36170212765957449</v>
      </c>
      <c r="H70" s="4" t="str">
        <f t="shared" si="20"/>
        <v/>
      </c>
      <c r="I70" s="4" t="str">
        <f t="shared" si="21"/>
        <v/>
      </c>
      <c r="J70" s="4" t="str">
        <f t="shared" si="22"/>
        <v/>
      </c>
      <c r="K70" s="4" t="str">
        <f t="shared" si="23"/>
        <v/>
      </c>
      <c r="L70" s="4" t="str">
        <f t="shared" si="24"/>
        <v/>
      </c>
      <c r="M70" s="4"/>
      <c r="N70" s="4"/>
      <c r="O70" s="4"/>
      <c r="P70" s="4"/>
      <c r="Q70" s="4"/>
      <c r="R70" s="4"/>
      <c r="S70" s="4"/>
      <c r="T70" s="4"/>
      <c r="U70" s="4"/>
    </row>
    <row r="71" spans="1:21">
      <c r="A71" t="s">
        <v>219</v>
      </c>
      <c r="B71">
        <v>18</v>
      </c>
      <c r="C71" t="str">
        <f t="shared" si="18"/>
        <v>test.Base64_18_</v>
      </c>
      <c r="D71">
        <v>19</v>
      </c>
      <c r="E71" s="4">
        <v>0.46099290780141844</v>
      </c>
      <c r="F71" s="4">
        <v>0.16637089618456077</v>
      </c>
      <c r="G71" s="4">
        <f t="shared" si="19"/>
        <v>0.46099290780141844</v>
      </c>
      <c r="H71" s="4" t="str">
        <f t="shared" si="20"/>
        <v/>
      </c>
      <c r="I71" s="4" t="str">
        <f t="shared" si="21"/>
        <v/>
      </c>
      <c r="J71" s="4" t="str">
        <f t="shared" si="22"/>
        <v/>
      </c>
      <c r="K71" s="4" t="str">
        <f t="shared" si="23"/>
        <v/>
      </c>
      <c r="L71" s="4" t="str">
        <f t="shared" si="24"/>
        <v/>
      </c>
      <c r="M71" s="4"/>
      <c r="N71" s="4"/>
      <c r="O71" s="4"/>
      <c r="P71" s="4"/>
      <c r="Q71" s="4"/>
      <c r="R71" s="4"/>
      <c r="S71" s="4"/>
      <c r="T71" s="4"/>
      <c r="U71" s="4"/>
    </row>
    <row r="72" spans="1:21">
      <c r="A72" t="s">
        <v>219</v>
      </c>
      <c r="B72">
        <v>18</v>
      </c>
      <c r="C72" t="str">
        <f t="shared" si="18"/>
        <v>test.Base64_18_</v>
      </c>
      <c r="D72">
        <v>20</v>
      </c>
      <c r="E72" s="4">
        <v>0.5957446808510638</v>
      </c>
      <c r="F72" s="4">
        <v>0.17125110913930788</v>
      </c>
      <c r="G72" s="4">
        <f t="shared" si="19"/>
        <v>0.5957446808510638</v>
      </c>
      <c r="H72" s="4" t="str">
        <f t="shared" si="20"/>
        <v/>
      </c>
      <c r="I72" s="4" t="str">
        <f t="shared" si="21"/>
        <v/>
      </c>
      <c r="J72" s="4" t="str">
        <f t="shared" si="22"/>
        <v/>
      </c>
      <c r="K72" s="4" t="str">
        <f t="shared" si="23"/>
        <v/>
      </c>
      <c r="L72" s="4" t="str">
        <f t="shared" si="24"/>
        <v/>
      </c>
      <c r="M72" s="4"/>
      <c r="N72" s="4"/>
      <c r="O72" s="4"/>
      <c r="P72" s="4"/>
      <c r="Q72" s="4"/>
      <c r="R72" s="4"/>
      <c r="S72" s="4"/>
      <c r="T72" s="4"/>
      <c r="U72" s="4"/>
    </row>
    <row r="73" spans="1:21">
      <c r="A73" t="s">
        <v>219</v>
      </c>
      <c r="B73">
        <v>18</v>
      </c>
      <c r="C73" t="str">
        <f t="shared" si="18"/>
        <v>test.Base64_18_</v>
      </c>
      <c r="D73">
        <v>21</v>
      </c>
      <c r="E73" s="4">
        <v>0.5957446808510638</v>
      </c>
      <c r="F73" s="4">
        <v>0.17513309671694766</v>
      </c>
      <c r="G73" s="4">
        <f t="shared" si="19"/>
        <v>0.5957446808510638</v>
      </c>
      <c r="H73" s="4" t="str">
        <f t="shared" si="20"/>
        <v/>
      </c>
      <c r="I73" s="4" t="str">
        <f t="shared" si="21"/>
        <v/>
      </c>
      <c r="J73" s="4" t="str">
        <f t="shared" si="22"/>
        <v/>
      </c>
      <c r="K73" s="4" t="str">
        <f t="shared" si="23"/>
        <v/>
      </c>
      <c r="L73" s="4" t="str">
        <f t="shared" si="24"/>
        <v/>
      </c>
      <c r="M73" s="4"/>
      <c r="N73" s="4"/>
      <c r="O73" s="4"/>
      <c r="P73" s="4"/>
      <c r="Q73" s="4"/>
      <c r="R73" s="4"/>
      <c r="S73" s="4"/>
      <c r="T73" s="4"/>
      <c r="U73" s="4"/>
    </row>
    <row r="74" spans="1:21">
      <c r="A74" t="s">
        <v>219</v>
      </c>
      <c r="B74">
        <v>18</v>
      </c>
      <c r="C74" t="str">
        <f t="shared" si="18"/>
        <v>test.Base64_18_</v>
      </c>
      <c r="D74">
        <v>22</v>
      </c>
      <c r="E74" s="4">
        <v>0.63120567375886527</v>
      </c>
      <c r="F74" s="4">
        <v>0.18456078083407276</v>
      </c>
      <c r="G74" s="4">
        <f t="shared" si="19"/>
        <v>0.63120567375886527</v>
      </c>
      <c r="H74" s="4" t="str">
        <f t="shared" si="20"/>
        <v/>
      </c>
      <c r="I74" s="4" t="str">
        <f t="shared" si="21"/>
        <v/>
      </c>
      <c r="J74" s="4" t="str">
        <f t="shared" si="22"/>
        <v/>
      </c>
      <c r="K74" s="4" t="str">
        <f t="shared" si="23"/>
        <v/>
      </c>
      <c r="L74" s="4" t="str">
        <f t="shared" si="24"/>
        <v/>
      </c>
      <c r="M74" s="4"/>
      <c r="N74" s="4"/>
      <c r="O74" s="4"/>
      <c r="P74" s="4"/>
      <c r="Q74" s="4"/>
      <c r="R74" s="4"/>
      <c r="S74" s="4"/>
      <c r="T74" s="4"/>
      <c r="U74" s="4"/>
    </row>
    <row r="75" spans="1:21">
      <c r="A75" t="s">
        <v>219</v>
      </c>
      <c r="B75">
        <v>18</v>
      </c>
      <c r="C75" t="str">
        <f t="shared" si="18"/>
        <v>test.Base64_18_</v>
      </c>
      <c r="D75">
        <v>23</v>
      </c>
      <c r="E75" s="4">
        <v>0.63120567375886527</v>
      </c>
      <c r="F75" s="4">
        <v>0.18467169476486248</v>
      </c>
      <c r="G75" s="4">
        <f t="shared" si="19"/>
        <v>0.63120567375886527</v>
      </c>
      <c r="H75" s="4" t="str">
        <f t="shared" si="20"/>
        <v/>
      </c>
      <c r="I75" s="4" t="str">
        <f t="shared" si="21"/>
        <v/>
      </c>
      <c r="J75" s="4" t="str">
        <f t="shared" si="22"/>
        <v/>
      </c>
      <c r="K75" s="4" t="str">
        <f t="shared" si="23"/>
        <v/>
      </c>
      <c r="L75" s="4" t="str">
        <f t="shared" si="24"/>
        <v/>
      </c>
      <c r="M75" s="4"/>
      <c r="N75" s="4"/>
      <c r="O75" s="4"/>
      <c r="P75" s="4"/>
      <c r="Q75" s="4"/>
      <c r="R75" s="4"/>
      <c r="S75" s="4"/>
      <c r="T75" s="4"/>
      <c r="U75" s="4"/>
    </row>
    <row r="76" spans="1:21">
      <c r="A76" t="s">
        <v>219</v>
      </c>
      <c r="B76">
        <v>18</v>
      </c>
      <c r="C76" t="str">
        <f t="shared" si="18"/>
        <v>test.Base64_18_</v>
      </c>
      <c r="D76">
        <v>24</v>
      </c>
      <c r="E76" s="4">
        <v>0.63120567375886527</v>
      </c>
      <c r="F76" s="4">
        <v>0.18478260869565216</v>
      </c>
      <c r="G76" s="4">
        <f t="shared" si="19"/>
        <v>0.63120567375886527</v>
      </c>
      <c r="H76" s="4" t="str">
        <f t="shared" si="20"/>
        <v/>
      </c>
      <c r="I76" s="4" t="str">
        <f t="shared" si="21"/>
        <v/>
      </c>
      <c r="J76" s="4" t="str">
        <f t="shared" si="22"/>
        <v/>
      </c>
      <c r="K76" s="4" t="str">
        <f t="shared" si="23"/>
        <v/>
      </c>
      <c r="L76" s="4" t="str">
        <f t="shared" si="24"/>
        <v/>
      </c>
      <c r="M76" s="4"/>
      <c r="N76" s="4"/>
      <c r="O76" s="4"/>
      <c r="P76" s="4"/>
      <c r="Q76" s="4"/>
      <c r="R76" s="4"/>
      <c r="S76" s="4"/>
      <c r="T76" s="4"/>
      <c r="U76" s="4"/>
    </row>
    <row r="77" spans="1:21">
      <c r="A77" t="s">
        <v>219</v>
      </c>
      <c r="B77">
        <v>18</v>
      </c>
      <c r="C77" t="str">
        <f t="shared" si="18"/>
        <v>test.Base64_18_</v>
      </c>
      <c r="D77">
        <v>25</v>
      </c>
      <c r="E77" s="4">
        <v>0.72340425531914898</v>
      </c>
      <c r="F77" s="4">
        <v>0.18644631765749778</v>
      </c>
      <c r="G77" s="4">
        <f t="shared" si="19"/>
        <v>0.72340425531914898</v>
      </c>
      <c r="H77" s="4" t="str">
        <f t="shared" si="20"/>
        <v/>
      </c>
      <c r="I77" s="4" t="str">
        <f t="shared" si="21"/>
        <v/>
      </c>
      <c r="J77" s="4" t="str">
        <f t="shared" si="22"/>
        <v/>
      </c>
      <c r="K77" s="4" t="str">
        <f t="shared" si="23"/>
        <v/>
      </c>
      <c r="L77" s="4" t="str">
        <f t="shared" si="24"/>
        <v/>
      </c>
      <c r="M77" s="4"/>
      <c r="N77" s="4"/>
      <c r="O77" s="4"/>
      <c r="P77" s="4"/>
      <c r="Q77" s="4"/>
      <c r="R77" s="4"/>
      <c r="S77" s="4"/>
      <c r="T77" s="4"/>
      <c r="U77" s="4"/>
    </row>
    <row r="78" spans="1:21">
      <c r="A78" t="s">
        <v>219</v>
      </c>
      <c r="B78">
        <v>18</v>
      </c>
      <c r="C78" t="str">
        <f t="shared" si="18"/>
        <v>test.Base64_18_</v>
      </c>
      <c r="D78">
        <v>26</v>
      </c>
      <c r="E78" s="4">
        <v>0.72340425531914898</v>
      </c>
      <c r="F78" s="4">
        <v>0.19254658385093168</v>
      </c>
      <c r="G78" s="4">
        <f t="shared" si="19"/>
        <v>0.72340425531914898</v>
      </c>
      <c r="H78" s="4" t="str">
        <f t="shared" si="20"/>
        <v/>
      </c>
      <c r="I78" s="4" t="str">
        <f t="shared" si="21"/>
        <v/>
      </c>
      <c r="J78" s="4" t="str">
        <f t="shared" si="22"/>
        <v/>
      </c>
      <c r="K78" s="4" t="str">
        <f t="shared" si="23"/>
        <v/>
      </c>
      <c r="L78" s="4" t="str">
        <f t="shared" si="24"/>
        <v/>
      </c>
      <c r="M78" s="4"/>
      <c r="N78" s="4"/>
      <c r="O78" s="4"/>
      <c r="P78" s="4"/>
      <c r="Q78" s="4"/>
      <c r="R78" s="4"/>
      <c r="S78" s="4"/>
      <c r="T78" s="4"/>
      <c r="U78" s="4"/>
    </row>
    <row r="79" spans="1:21">
      <c r="A79" t="s">
        <v>219</v>
      </c>
      <c r="B79">
        <v>18</v>
      </c>
      <c r="C79" t="str">
        <f t="shared" si="18"/>
        <v>test.Base64_18_</v>
      </c>
      <c r="D79">
        <v>27</v>
      </c>
      <c r="E79" s="4">
        <v>0.75886524822695034</v>
      </c>
      <c r="F79" s="4">
        <v>0.19354480922803904</v>
      </c>
      <c r="G79" s="4">
        <f t="shared" si="19"/>
        <v>0.75886524822695034</v>
      </c>
      <c r="H79" s="4" t="str">
        <f t="shared" si="20"/>
        <v/>
      </c>
      <c r="I79" s="4" t="str">
        <f t="shared" si="21"/>
        <v/>
      </c>
      <c r="J79" s="4" t="str">
        <f t="shared" si="22"/>
        <v/>
      </c>
      <c r="K79" s="4" t="str">
        <f t="shared" si="23"/>
        <v/>
      </c>
      <c r="L79" s="4" t="str">
        <f t="shared" si="24"/>
        <v/>
      </c>
      <c r="M79" s="4"/>
      <c r="N79" s="4"/>
      <c r="O79" s="4"/>
      <c r="P79" s="4"/>
      <c r="Q79" s="4"/>
      <c r="R79" s="4"/>
      <c r="S79" s="4"/>
      <c r="T79" s="4"/>
      <c r="U79" s="4"/>
    </row>
    <row r="80" spans="1:21">
      <c r="A80" t="s">
        <v>219</v>
      </c>
      <c r="B80">
        <v>18</v>
      </c>
      <c r="C80" t="str">
        <f t="shared" si="18"/>
        <v>test.Base64_18_</v>
      </c>
      <c r="D80">
        <v>28</v>
      </c>
      <c r="E80" s="4">
        <v>0.75886524822695034</v>
      </c>
      <c r="F80" s="4">
        <v>0.19376663708961844</v>
      </c>
      <c r="G80" s="4">
        <f t="shared" si="19"/>
        <v>0.75886524822695034</v>
      </c>
      <c r="H80" s="4" t="str">
        <f t="shared" si="20"/>
        <v/>
      </c>
      <c r="I80" s="4" t="str">
        <f t="shared" si="21"/>
        <v/>
      </c>
      <c r="J80" s="4" t="str">
        <f t="shared" si="22"/>
        <v/>
      </c>
      <c r="K80" s="4" t="str">
        <f t="shared" si="23"/>
        <v/>
      </c>
      <c r="L80" s="4" t="str">
        <f t="shared" si="24"/>
        <v/>
      </c>
      <c r="M80" s="4"/>
      <c r="N80" s="4"/>
      <c r="O80" s="4"/>
      <c r="P80" s="4"/>
      <c r="Q80" s="4"/>
      <c r="R80" s="4"/>
      <c r="S80" s="4"/>
      <c r="T80" s="4"/>
      <c r="U80" s="4"/>
    </row>
    <row r="81" spans="1:21">
      <c r="A81" t="s">
        <v>219</v>
      </c>
      <c r="B81">
        <v>18</v>
      </c>
      <c r="C81" t="str">
        <f t="shared" si="18"/>
        <v>test.Base64_18_</v>
      </c>
      <c r="D81">
        <v>29</v>
      </c>
      <c r="E81" s="4">
        <v>0.75886524822695034</v>
      </c>
      <c r="F81" s="4">
        <v>0.19842502218278615</v>
      </c>
      <c r="G81" s="4">
        <f t="shared" si="19"/>
        <v>0.75886524822695034</v>
      </c>
      <c r="H81" s="4" t="str">
        <f t="shared" si="20"/>
        <v/>
      </c>
      <c r="I81" s="4" t="str">
        <f t="shared" si="21"/>
        <v/>
      </c>
      <c r="J81" s="4" t="str">
        <f t="shared" si="22"/>
        <v/>
      </c>
      <c r="K81" s="4" t="str">
        <f t="shared" si="23"/>
        <v/>
      </c>
      <c r="L81" s="4" t="str">
        <f t="shared" si="24"/>
        <v/>
      </c>
      <c r="M81" s="4"/>
      <c r="N81" s="4"/>
      <c r="O81" s="4"/>
      <c r="P81" s="4"/>
      <c r="Q81" s="4"/>
      <c r="R81" s="4"/>
      <c r="S81" s="4"/>
      <c r="T81" s="4"/>
      <c r="U81" s="4"/>
    </row>
    <row r="82" spans="1:21">
      <c r="A82" t="s">
        <v>219</v>
      </c>
      <c r="B82">
        <v>18</v>
      </c>
      <c r="C82" t="str">
        <f t="shared" si="18"/>
        <v>test.Base64_18_</v>
      </c>
      <c r="D82">
        <v>30</v>
      </c>
      <c r="E82" s="4">
        <v>0.75886524822695034</v>
      </c>
      <c r="F82" s="4">
        <v>0.19997781721384206</v>
      </c>
      <c r="G82" s="4">
        <f t="shared" si="19"/>
        <v>0.75886524822695034</v>
      </c>
      <c r="H82" s="4" t="str">
        <f t="shared" si="20"/>
        <v/>
      </c>
      <c r="I82" s="4" t="str">
        <f t="shared" si="21"/>
        <v/>
      </c>
      <c r="J82" s="4" t="str">
        <f t="shared" si="22"/>
        <v/>
      </c>
      <c r="K82" s="4" t="str">
        <f t="shared" si="23"/>
        <v/>
      </c>
      <c r="L82" s="4" t="str">
        <f t="shared" si="24"/>
        <v/>
      </c>
      <c r="M82" s="4"/>
      <c r="N82" s="4"/>
      <c r="O82" s="4"/>
      <c r="P82" s="4"/>
      <c r="Q82" s="4"/>
      <c r="R82" s="4"/>
      <c r="S82" s="4"/>
      <c r="T82" s="4"/>
      <c r="U82" s="4"/>
    </row>
    <row r="83" spans="1:21">
      <c r="A83" t="s">
        <v>219</v>
      </c>
      <c r="B83">
        <v>18</v>
      </c>
      <c r="C83" t="str">
        <f t="shared" si="18"/>
        <v>test.Base64_18_</v>
      </c>
      <c r="D83">
        <v>31</v>
      </c>
      <c r="E83" s="4">
        <v>0.75886524822695034</v>
      </c>
      <c r="F83" s="4">
        <v>0.2038598047914818</v>
      </c>
      <c r="G83" s="4" t="str">
        <f t="shared" si="19"/>
        <v/>
      </c>
      <c r="H83" s="4">
        <f t="shared" si="20"/>
        <v>0.75886524822695034</v>
      </c>
      <c r="I83" s="4" t="str">
        <f t="shared" si="21"/>
        <v/>
      </c>
      <c r="J83" s="4" t="str">
        <f t="shared" si="22"/>
        <v/>
      </c>
      <c r="K83" s="4" t="str">
        <f t="shared" si="23"/>
        <v/>
      </c>
      <c r="L83" s="4" t="str">
        <f t="shared" si="24"/>
        <v/>
      </c>
      <c r="M83" s="4"/>
      <c r="N83" s="4"/>
      <c r="O83" s="4"/>
      <c r="P83" s="4"/>
      <c r="Q83" s="4"/>
      <c r="R83" s="4"/>
      <c r="S83" s="4"/>
      <c r="T83" s="4"/>
      <c r="U83" s="4"/>
    </row>
    <row r="84" spans="1:21">
      <c r="A84" t="s">
        <v>219</v>
      </c>
      <c r="B84">
        <v>18</v>
      </c>
      <c r="C84" t="str">
        <f t="shared" si="18"/>
        <v>test.Base64_18_</v>
      </c>
      <c r="D84">
        <v>32</v>
      </c>
      <c r="E84" s="4">
        <v>0.75886524822695034</v>
      </c>
      <c r="F84" s="4">
        <v>0.20430346051464063</v>
      </c>
      <c r="G84" s="4" t="str">
        <f t="shared" si="19"/>
        <v/>
      </c>
      <c r="H84" s="4">
        <f t="shared" si="20"/>
        <v>0.75886524822695034</v>
      </c>
      <c r="I84" s="4" t="str">
        <f t="shared" si="21"/>
        <v/>
      </c>
      <c r="J84" s="4" t="str">
        <f t="shared" si="22"/>
        <v/>
      </c>
      <c r="K84" s="4" t="str">
        <f t="shared" si="23"/>
        <v/>
      </c>
      <c r="L84" s="4" t="str">
        <f t="shared" si="24"/>
        <v/>
      </c>
      <c r="M84" s="4"/>
      <c r="N84" s="4"/>
      <c r="O84" s="4"/>
      <c r="P84" s="4"/>
      <c r="Q84" s="4"/>
      <c r="R84" s="4"/>
      <c r="S84" s="4"/>
      <c r="T84" s="4"/>
      <c r="U84" s="4"/>
    </row>
    <row r="85" spans="1:21">
      <c r="A85" t="s">
        <v>219</v>
      </c>
      <c r="B85">
        <v>18</v>
      </c>
      <c r="C85" t="str">
        <f t="shared" si="18"/>
        <v>test.Base64_18_</v>
      </c>
      <c r="D85">
        <v>33</v>
      </c>
      <c r="E85" s="4">
        <v>0.75886524822695034</v>
      </c>
      <c r="F85" s="4">
        <v>0.20519077196095831</v>
      </c>
      <c r="G85" s="4" t="str">
        <f t="shared" si="19"/>
        <v/>
      </c>
      <c r="H85" s="4">
        <f t="shared" si="20"/>
        <v>0.75886524822695034</v>
      </c>
      <c r="I85" s="4" t="str">
        <f t="shared" si="21"/>
        <v/>
      </c>
      <c r="J85" s="4" t="str">
        <f t="shared" si="22"/>
        <v/>
      </c>
      <c r="K85" s="4" t="str">
        <f t="shared" si="23"/>
        <v/>
      </c>
      <c r="L85" s="4" t="str">
        <f t="shared" si="24"/>
        <v/>
      </c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t="s">
        <v>219</v>
      </c>
      <c r="B86">
        <v>18</v>
      </c>
      <c r="C86" t="str">
        <f t="shared" si="18"/>
        <v>test.Base64_18_</v>
      </c>
      <c r="D86">
        <v>34</v>
      </c>
      <c r="E86" s="4">
        <v>0.75886524822695034</v>
      </c>
      <c r="F86" s="4">
        <v>0.21106921029281278</v>
      </c>
      <c r="G86" s="4" t="str">
        <f t="shared" si="19"/>
        <v/>
      </c>
      <c r="H86" s="4">
        <f t="shared" si="20"/>
        <v>0.75886524822695034</v>
      </c>
      <c r="I86" s="4" t="str">
        <f t="shared" si="21"/>
        <v/>
      </c>
      <c r="J86" s="4" t="str">
        <f t="shared" si="22"/>
        <v/>
      </c>
      <c r="K86" s="4" t="str">
        <f t="shared" si="23"/>
        <v/>
      </c>
      <c r="L86" s="4" t="str">
        <f t="shared" si="24"/>
        <v/>
      </c>
      <c r="M86" s="4"/>
      <c r="N86" s="4"/>
      <c r="O86" s="4"/>
      <c r="P86" s="4"/>
      <c r="Q86" s="4"/>
      <c r="R86" s="4"/>
      <c r="S86" s="4"/>
      <c r="T86" s="4"/>
      <c r="U86" s="4"/>
    </row>
    <row r="87" spans="1:21">
      <c r="A87" t="s">
        <v>219</v>
      </c>
      <c r="B87">
        <v>18</v>
      </c>
      <c r="C87" t="str">
        <f t="shared" si="18"/>
        <v>test.Base64_18_</v>
      </c>
      <c r="D87">
        <v>35</v>
      </c>
      <c r="E87" s="4">
        <v>0.75886524822695034</v>
      </c>
      <c r="F87" s="4">
        <v>0.21938775510204081</v>
      </c>
      <c r="G87" s="4" t="str">
        <f t="shared" si="19"/>
        <v/>
      </c>
      <c r="H87" s="4">
        <f t="shared" si="20"/>
        <v>0.75886524822695034</v>
      </c>
      <c r="I87" s="4" t="str">
        <f t="shared" si="21"/>
        <v/>
      </c>
      <c r="J87" s="4" t="str">
        <f t="shared" si="22"/>
        <v/>
      </c>
      <c r="K87" s="4" t="str">
        <f t="shared" si="23"/>
        <v/>
      </c>
      <c r="L87" s="4" t="str">
        <f t="shared" si="24"/>
        <v/>
      </c>
      <c r="M87" s="4"/>
      <c r="N87" s="4"/>
      <c r="O87" s="4"/>
      <c r="P87" s="4"/>
      <c r="Q87" s="4"/>
      <c r="R87" s="4"/>
      <c r="S87" s="4"/>
      <c r="T87" s="4"/>
      <c r="U87" s="4"/>
    </row>
    <row r="88" spans="1:21">
      <c r="A88" t="s">
        <v>219</v>
      </c>
      <c r="B88">
        <v>18</v>
      </c>
      <c r="C88" t="str">
        <f t="shared" si="18"/>
        <v>test.Base64_18_</v>
      </c>
      <c r="D88">
        <v>36</v>
      </c>
      <c r="E88" s="4">
        <v>0.75886524822695034</v>
      </c>
      <c r="F88" s="4">
        <v>0.22049689440993789</v>
      </c>
      <c r="G88" s="4" t="str">
        <f t="shared" si="19"/>
        <v/>
      </c>
      <c r="H88" s="4">
        <f t="shared" si="20"/>
        <v>0.75886524822695034</v>
      </c>
      <c r="I88" s="4" t="str">
        <f t="shared" si="21"/>
        <v/>
      </c>
      <c r="J88" s="4" t="str">
        <f t="shared" si="22"/>
        <v/>
      </c>
      <c r="K88" s="4" t="str">
        <f t="shared" si="23"/>
        <v/>
      </c>
      <c r="L88" s="4" t="str">
        <f t="shared" si="24"/>
        <v/>
      </c>
      <c r="M88" s="4"/>
      <c r="N88" s="4"/>
      <c r="O88" s="4"/>
      <c r="P88" s="4"/>
      <c r="Q88" s="4"/>
      <c r="R88" s="4"/>
      <c r="S88" s="4"/>
      <c r="T88" s="4"/>
      <c r="U88" s="4"/>
    </row>
    <row r="89" spans="1:21">
      <c r="A89" t="s">
        <v>219</v>
      </c>
      <c r="B89">
        <v>18</v>
      </c>
      <c r="C89" t="str">
        <f t="shared" si="18"/>
        <v>test.Base64_18_</v>
      </c>
      <c r="D89">
        <v>37</v>
      </c>
      <c r="E89" s="4">
        <v>0.75886524822695034</v>
      </c>
      <c r="F89" s="4">
        <v>0.22094055013309671</v>
      </c>
      <c r="G89" s="4" t="str">
        <f t="shared" si="19"/>
        <v/>
      </c>
      <c r="H89" s="4">
        <f t="shared" si="20"/>
        <v>0.75886524822695034</v>
      </c>
      <c r="I89" s="4" t="str">
        <f t="shared" si="21"/>
        <v/>
      </c>
      <c r="J89" s="4" t="str">
        <f t="shared" si="22"/>
        <v/>
      </c>
      <c r="K89" s="4" t="str">
        <f t="shared" si="23"/>
        <v/>
      </c>
      <c r="L89" s="4" t="str">
        <f t="shared" si="24"/>
        <v/>
      </c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t="s">
        <v>219</v>
      </c>
      <c r="B90">
        <v>18</v>
      </c>
      <c r="C90" t="str">
        <f t="shared" si="18"/>
        <v>test.Base64_18_</v>
      </c>
      <c r="D90">
        <v>38</v>
      </c>
      <c r="E90" s="4">
        <v>0.75886524822695034</v>
      </c>
      <c r="F90" s="4">
        <v>0.22626441881100265</v>
      </c>
      <c r="G90" s="4" t="str">
        <f t="shared" si="19"/>
        <v/>
      </c>
      <c r="H90" s="4">
        <f t="shared" si="20"/>
        <v>0.75886524822695034</v>
      </c>
      <c r="I90" s="4" t="str">
        <f t="shared" si="21"/>
        <v/>
      </c>
      <c r="J90" s="4" t="str">
        <f t="shared" si="22"/>
        <v/>
      </c>
      <c r="K90" s="4" t="str">
        <f t="shared" si="23"/>
        <v/>
      </c>
      <c r="L90" s="4" t="str">
        <f t="shared" si="24"/>
        <v/>
      </c>
      <c r="M90" s="4"/>
      <c r="N90" s="4"/>
      <c r="O90" s="4"/>
      <c r="P90" s="4"/>
      <c r="Q90" s="4"/>
      <c r="R90" s="4"/>
      <c r="S90" s="4"/>
      <c r="T90" s="4"/>
      <c r="U90" s="4"/>
    </row>
    <row r="91" spans="1:21">
      <c r="A91" t="s">
        <v>219</v>
      </c>
      <c r="B91">
        <v>18</v>
      </c>
      <c r="C91" t="str">
        <f t="shared" si="18"/>
        <v>test.Base64_18_</v>
      </c>
      <c r="D91">
        <v>39</v>
      </c>
      <c r="E91" s="4">
        <v>0.75886524822695034</v>
      </c>
      <c r="F91" s="4">
        <v>0.38476042590949422</v>
      </c>
      <c r="G91" s="4" t="str">
        <f t="shared" si="19"/>
        <v/>
      </c>
      <c r="H91" s="4">
        <f t="shared" si="20"/>
        <v>0.75886524822695034</v>
      </c>
      <c r="I91" s="4" t="str">
        <f t="shared" si="21"/>
        <v/>
      </c>
      <c r="J91" s="4" t="str">
        <f t="shared" si="22"/>
        <v/>
      </c>
      <c r="K91" s="4" t="str">
        <f t="shared" si="23"/>
        <v/>
      </c>
      <c r="L91" s="4" t="str">
        <f t="shared" si="24"/>
        <v/>
      </c>
      <c r="M91" s="4"/>
      <c r="N91" s="4"/>
      <c r="O91" s="4"/>
      <c r="P91" s="4"/>
      <c r="Q91" s="4"/>
      <c r="R91" s="4"/>
      <c r="S91" s="4"/>
      <c r="T91" s="4"/>
      <c r="U91" s="4"/>
    </row>
    <row r="92" spans="1:21">
      <c r="A92" t="s">
        <v>219</v>
      </c>
      <c r="B92">
        <v>18</v>
      </c>
      <c r="C92" t="str">
        <f t="shared" si="18"/>
        <v>test.Base64_18_</v>
      </c>
      <c r="D92">
        <v>40</v>
      </c>
      <c r="E92" s="4">
        <v>1</v>
      </c>
      <c r="F92" s="4">
        <v>0.91160159716060341</v>
      </c>
      <c r="G92" s="4" t="str">
        <f t="shared" si="19"/>
        <v/>
      </c>
      <c r="H92" s="4" t="str">
        <f t="shared" si="20"/>
        <v/>
      </c>
      <c r="I92" s="4" t="str">
        <f t="shared" si="21"/>
        <v/>
      </c>
      <c r="J92" s="4" t="str">
        <f t="shared" si="22"/>
        <v/>
      </c>
      <c r="K92" s="4">
        <f t="shared" si="23"/>
        <v>1</v>
      </c>
      <c r="L92" s="4" t="str">
        <f t="shared" si="24"/>
        <v/>
      </c>
      <c r="M92" s="4"/>
      <c r="N92" s="4"/>
      <c r="O92" s="4"/>
      <c r="P92" s="4"/>
      <c r="Q92" s="4"/>
      <c r="R92" s="4"/>
      <c r="S92" s="4"/>
      <c r="T92" s="4"/>
      <c r="U92" s="4"/>
    </row>
    <row r="93" spans="1:21">
      <c r="A93" t="s">
        <v>219</v>
      </c>
      <c r="B93">
        <v>18</v>
      </c>
      <c r="C93" t="str">
        <f t="shared" si="18"/>
        <v>test.Base64_18_</v>
      </c>
      <c r="D93">
        <v>41</v>
      </c>
      <c r="E93" s="4">
        <v>1</v>
      </c>
      <c r="F93" s="4">
        <v>0.9172582076308784</v>
      </c>
      <c r="G93" s="4" t="str">
        <f t="shared" si="19"/>
        <v/>
      </c>
      <c r="H93" s="4" t="str">
        <f t="shared" si="20"/>
        <v/>
      </c>
      <c r="I93" s="4" t="str">
        <f t="shared" si="21"/>
        <v/>
      </c>
      <c r="J93" s="4" t="str">
        <f t="shared" si="22"/>
        <v/>
      </c>
      <c r="K93" s="4">
        <f t="shared" si="23"/>
        <v>1</v>
      </c>
      <c r="L93" s="4" t="str">
        <f t="shared" si="24"/>
        <v/>
      </c>
      <c r="M93" s="4"/>
      <c r="N93" s="4"/>
      <c r="O93" s="4"/>
      <c r="P93" s="4"/>
      <c r="Q93" s="4"/>
      <c r="R93" s="4"/>
      <c r="S93" s="4"/>
      <c r="T93" s="4"/>
      <c r="U93" s="4"/>
    </row>
    <row r="94" spans="1:21">
      <c r="A94" t="s">
        <v>219</v>
      </c>
      <c r="B94">
        <v>18</v>
      </c>
      <c r="C94" t="str">
        <f t="shared" si="18"/>
        <v>test.Base64_18_</v>
      </c>
      <c r="D94">
        <v>42</v>
      </c>
      <c r="E94" s="4">
        <v>1</v>
      </c>
      <c r="F94" s="4">
        <v>0.92091836734693877</v>
      </c>
      <c r="G94" s="4" t="str">
        <f t="shared" si="19"/>
        <v/>
      </c>
      <c r="H94" s="4" t="str">
        <f t="shared" si="20"/>
        <v/>
      </c>
      <c r="I94" s="4" t="str">
        <f t="shared" si="21"/>
        <v/>
      </c>
      <c r="J94" s="4" t="str">
        <f t="shared" si="22"/>
        <v/>
      </c>
      <c r="K94" s="4">
        <f t="shared" si="23"/>
        <v>1</v>
      </c>
      <c r="L94" s="4" t="str">
        <f t="shared" si="24"/>
        <v/>
      </c>
      <c r="M94" s="4"/>
      <c r="N94" s="4"/>
      <c r="O94" s="4"/>
      <c r="P94" s="4"/>
      <c r="Q94" s="4"/>
      <c r="R94" s="4"/>
      <c r="S94" s="4"/>
      <c r="T94" s="4"/>
      <c r="U94" s="4"/>
    </row>
    <row r="95" spans="1:21">
      <c r="A95" t="s">
        <v>219</v>
      </c>
      <c r="B95">
        <v>18</v>
      </c>
      <c r="C95" t="str">
        <f t="shared" si="18"/>
        <v>test.Base64_18_</v>
      </c>
      <c r="D95">
        <v>43</v>
      </c>
      <c r="E95" s="4">
        <v>1</v>
      </c>
      <c r="F95" s="4">
        <v>0.941659272404614</v>
      </c>
      <c r="G95" s="4" t="str">
        <f t="shared" si="19"/>
        <v/>
      </c>
      <c r="H95" s="4" t="str">
        <f t="shared" si="20"/>
        <v/>
      </c>
      <c r="I95" s="4" t="str">
        <f t="shared" si="21"/>
        <v/>
      </c>
      <c r="J95" s="4" t="str">
        <f t="shared" si="22"/>
        <v/>
      </c>
      <c r="K95" s="4">
        <f t="shared" si="23"/>
        <v>1</v>
      </c>
      <c r="L95" s="4" t="str">
        <f t="shared" si="24"/>
        <v/>
      </c>
      <c r="M95" s="4"/>
      <c r="N95" s="4"/>
      <c r="O95" s="4"/>
      <c r="P95" s="4"/>
      <c r="Q95" s="4"/>
      <c r="R95" s="4"/>
      <c r="S95" s="4"/>
      <c r="T95" s="4"/>
      <c r="U95" s="4"/>
    </row>
    <row r="96" spans="1:21">
      <c r="A96" t="s">
        <v>219</v>
      </c>
      <c r="B96">
        <v>18</v>
      </c>
      <c r="C96" t="str">
        <f t="shared" si="18"/>
        <v>test.Base64_18_</v>
      </c>
      <c r="D96">
        <v>44</v>
      </c>
      <c r="E96" s="4">
        <v>1</v>
      </c>
      <c r="F96" s="4">
        <v>0.94764862466725819</v>
      </c>
      <c r="G96" s="4" t="str">
        <f t="shared" si="19"/>
        <v/>
      </c>
      <c r="H96" s="4" t="str">
        <f t="shared" si="20"/>
        <v/>
      </c>
      <c r="I96" s="4" t="str">
        <f t="shared" si="21"/>
        <v/>
      </c>
      <c r="J96" s="4" t="str">
        <f t="shared" si="22"/>
        <v/>
      </c>
      <c r="K96" s="4">
        <f t="shared" si="23"/>
        <v>1</v>
      </c>
      <c r="L96" s="4" t="str">
        <f t="shared" si="24"/>
        <v/>
      </c>
      <c r="M96" s="4"/>
      <c r="N96" s="4"/>
      <c r="O96" s="4"/>
      <c r="P96" s="4"/>
      <c r="Q96" s="4"/>
      <c r="R96" s="4"/>
      <c r="S96" s="4"/>
      <c r="T96" s="4"/>
      <c r="U96" s="4"/>
    </row>
    <row r="97" spans="1:21">
      <c r="A97" t="s">
        <v>219</v>
      </c>
      <c r="B97">
        <v>18</v>
      </c>
      <c r="C97" t="str">
        <f t="shared" si="18"/>
        <v>test.Base64_18_</v>
      </c>
      <c r="D97">
        <v>45</v>
      </c>
      <c r="E97" s="4">
        <v>1</v>
      </c>
      <c r="F97" s="4">
        <v>1.1142413487133984</v>
      </c>
      <c r="G97" s="4" t="str">
        <f t="shared" si="19"/>
        <v/>
      </c>
      <c r="H97" s="4" t="str">
        <f t="shared" si="20"/>
        <v/>
      </c>
      <c r="I97" s="4" t="str">
        <f t="shared" si="21"/>
        <v/>
      </c>
      <c r="J97" s="4" t="str">
        <f t="shared" si="22"/>
        <v/>
      </c>
      <c r="K97" s="4" t="str">
        <f t="shared" si="23"/>
        <v/>
      </c>
      <c r="L97" s="4">
        <f t="shared" si="24"/>
        <v>1</v>
      </c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t="s">
        <v>219</v>
      </c>
      <c r="B98">
        <v>18</v>
      </c>
      <c r="C98" t="str">
        <f t="shared" si="18"/>
        <v>test.Base64_18_</v>
      </c>
      <c r="D98">
        <v>46</v>
      </c>
      <c r="E98" s="4">
        <v>1</v>
      </c>
      <c r="F98" s="4">
        <v>1.1259982253771075</v>
      </c>
      <c r="G98" s="4" t="str">
        <f t="shared" si="19"/>
        <v/>
      </c>
      <c r="H98" s="4" t="str">
        <f t="shared" si="20"/>
        <v/>
      </c>
      <c r="I98" s="4" t="str">
        <f t="shared" si="21"/>
        <v/>
      </c>
      <c r="J98" s="4" t="str">
        <f t="shared" si="22"/>
        <v/>
      </c>
      <c r="K98" s="4" t="str">
        <f t="shared" si="23"/>
        <v/>
      </c>
      <c r="L98" s="4">
        <f t="shared" si="24"/>
        <v>1</v>
      </c>
      <c r="M98" s="4"/>
      <c r="N98" s="4"/>
      <c r="O98" s="4"/>
      <c r="P98" s="4"/>
      <c r="Q98" s="4"/>
      <c r="R98" s="4"/>
      <c r="S98" s="4"/>
      <c r="T98" s="4"/>
      <c r="U98" s="4"/>
    </row>
    <row r="99" spans="1:21">
      <c r="A99" t="s">
        <v>219</v>
      </c>
      <c r="B99">
        <v>19</v>
      </c>
      <c r="C99" t="str">
        <f t="shared" si="18"/>
        <v>test.Base64_19_</v>
      </c>
      <c r="D99">
        <v>1</v>
      </c>
      <c r="E99" s="4">
        <v>2.3622047244094488E-2</v>
      </c>
      <c r="F99" s="4">
        <v>1.7543859649122806E-2</v>
      </c>
      <c r="G99" s="4">
        <f t="shared" si="19"/>
        <v>2.3622047244094488E-2</v>
      </c>
      <c r="H99" s="4" t="str">
        <f t="shared" si="20"/>
        <v/>
      </c>
      <c r="I99" s="4" t="str">
        <f t="shared" si="21"/>
        <v/>
      </c>
      <c r="J99" s="4" t="str">
        <f t="shared" si="22"/>
        <v/>
      </c>
      <c r="K99" s="4" t="str">
        <f t="shared" si="23"/>
        <v/>
      </c>
      <c r="L99" s="4" t="str">
        <f t="shared" si="24"/>
        <v/>
      </c>
      <c r="M99" s="4"/>
      <c r="N99" s="4"/>
      <c r="O99" s="4"/>
      <c r="P99" s="4"/>
      <c r="Q99" s="4"/>
      <c r="R99" s="4"/>
      <c r="S99" s="4"/>
      <c r="T99" s="4"/>
      <c r="U99" s="4"/>
    </row>
    <row r="100" spans="1:21">
      <c r="A100" t="s">
        <v>219</v>
      </c>
      <c r="B100">
        <v>19</v>
      </c>
      <c r="C100" t="str">
        <f t="shared" si="18"/>
        <v>test.Base64_19_</v>
      </c>
      <c r="D100">
        <v>2</v>
      </c>
      <c r="E100" s="4">
        <v>4.7244094488188976E-2</v>
      </c>
      <c r="F100" s="4">
        <v>3.2163742690058478E-2</v>
      </c>
      <c r="G100" s="4">
        <f t="shared" si="19"/>
        <v>4.7244094488188976E-2</v>
      </c>
      <c r="H100" s="4" t="str">
        <f t="shared" si="20"/>
        <v/>
      </c>
      <c r="I100" s="4" t="str">
        <f t="shared" si="21"/>
        <v/>
      </c>
      <c r="J100" s="4" t="str">
        <f t="shared" si="22"/>
        <v/>
      </c>
      <c r="K100" s="4" t="str">
        <f t="shared" si="23"/>
        <v/>
      </c>
      <c r="L100" s="4" t="str">
        <f t="shared" si="24"/>
        <v/>
      </c>
      <c r="M100" s="4"/>
      <c r="N100" s="4"/>
      <c r="O100" s="4"/>
      <c r="P100" s="4"/>
      <c r="Q100" s="4"/>
      <c r="R100" s="4"/>
      <c r="S100" s="4"/>
      <c r="T100" s="4"/>
      <c r="U100" s="4"/>
    </row>
    <row r="101" spans="1:21">
      <c r="A101" t="s">
        <v>219</v>
      </c>
      <c r="B101">
        <v>19</v>
      </c>
      <c r="C101" t="str">
        <f t="shared" si="18"/>
        <v>test.Base64_19_</v>
      </c>
      <c r="D101">
        <v>3</v>
      </c>
      <c r="E101" s="4">
        <v>0.65354330708661412</v>
      </c>
      <c r="F101" s="4">
        <v>0.24002034070683956</v>
      </c>
      <c r="G101" s="4" t="str">
        <f t="shared" si="19"/>
        <v/>
      </c>
      <c r="H101" s="4">
        <f t="shared" si="20"/>
        <v>0.65354330708661412</v>
      </c>
      <c r="I101" s="4" t="str">
        <f t="shared" si="21"/>
        <v/>
      </c>
      <c r="J101" s="4" t="str">
        <f t="shared" si="22"/>
        <v/>
      </c>
      <c r="K101" s="4" t="str">
        <f t="shared" si="23"/>
        <v/>
      </c>
      <c r="L101" s="4" t="str">
        <f t="shared" si="24"/>
        <v/>
      </c>
      <c r="M101" s="4"/>
      <c r="N101" s="4"/>
      <c r="O101" s="4"/>
      <c r="P101" s="4"/>
      <c r="Q101" s="4"/>
      <c r="R101" s="4"/>
      <c r="S101" s="4"/>
      <c r="T101" s="4"/>
      <c r="U101" s="4"/>
    </row>
    <row r="102" spans="1:21">
      <c r="A102" t="s">
        <v>219</v>
      </c>
      <c r="B102">
        <v>19</v>
      </c>
      <c r="C102" t="str">
        <f t="shared" si="18"/>
        <v>test.Base64_19_</v>
      </c>
      <c r="D102">
        <v>4</v>
      </c>
      <c r="E102" s="4">
        <v>0.69291338582677164</v>
      </c>
      <c r="F102" s="4">
        <v>0.25273328248156623</v>
      </c>
      <c r="G102" s="4" t="str">
        <f t="shared" si="19"/>
        <v/>
      </c>
      <c r="H102" s="4">
        <f t="shared" si="20"/>
        <v>0.69291338582677164</v>
      </c>
      <c r="I102" s="4" t="str">
        <f t="shared" si="21"/>
        <v/>
      </c>
      <c r="J102" s="4" t="str">
        <f t="shared" si="22"/>
        <v/>
      </c>
      <c r="K102" s="4" t="str">
        <f t="shared" si="23"/>
        <v/>
      </c>
      <c r="L102" s="4" t="str">
        <f t="shared" si="24"/>
        <v/>
      </c>
      <c r="M102" s="4"/>
      <c r="N102" s="4"/>
      <c r="O102" s="4"/>
      <c r="P102" s="4"/>
      <c r="Q102" s="4"/>
      <c r="R102" s="4"/>
      <c r="S102" s="4"/>
      <c r="T102" s="4"/>
      <c r="U102" s="4"/>
    </row>
    <row r="103" spans="1:21">
      <c r="A103" t="s">
        <v>219</v>
      </c>
      <c r="B103">
        <v>19</v>
      </c>
      <c r="C103" t="str">
        <f t="shared" si="18"/>
        <v>test.Base64_19_</v>
      </c>
      <c r="D103">
        <v>5</v>
      </c>
      <c r="E103" s="4">
        <v>0.73228346456692917</v>
      </c>
      <c r="F103" s="4">
        <v>0.26760742435799645</v>
      </c>
      <c r="G103" s="4" t="str">
        <f t="shared" si="19"/>
        <v/>
      </c>
      <c r="H103" s="4">
        <f t="shared" si="20"/>
        <v>0.73228346456692917</v>
      </c>
      <c r="I103" s="4" t="str">
        <f t="shared" si="21"/>
        <v/>
      </c>
      <c r="J103" s="4" t="str">
        <f t="shared" si="22"/>
        <v/>
      </c>
      <c r="K103" s="4" t="str">
        <f t="shared" si="23"/>
        <v/>
      </c>
      <c r="L103" s="4" t="str">
        <f t="shared" si="24"/>
        <v/>
      </c>
      <c r="M103" s="4"/>
      <c r="N103" s="4"/>
      <c r="O103" s="4"/>
      <c r="P103" s="4"/>
      <c r="Q103" s="4"/>
      <c r="R103" s="4"/>
      <c r="S103" s="4"/>
      <c r="T103" s="4"/>
      <c r="U103" s="4"/>
    </row>
    <row r="104" spans="1:21">
      <c r="A104" t="s">
        <v>219</v>
      </c>
      <c r="B104">
        <v>19</v>
      </c>
      <c r="C104" t="str">
        <f t="shared" si="18"/>
        <v>test.Base64_19_</v>
      </c>
      <c r="D104">
        <v>6</v>
      </c>
      <c r="E104" s="4">
        <v>0.99212598425196852</v>
      </c>
      <c r="F104" s="4">
        <v>0.86346300533943554</v>
      </c>
      <c r="G104" s="4" t="str">
        <f t="shared" si="19"/>
        <v/>
      </c>
      <c r="H104" s="4" t="str">
        <f t="shared" si="20"/>
        <v/>
      </c>
      <c r="I104" s="4" t="str">
        <f t="shared" si="21"/>
        <v/>
      </c>
      <c r="J104" s="4" t="str">
        <f t="shared" si="22"/>
        <v/>
      </c>
      <c r="K104" s="4">
        <f t="shared" si="23"/>
        <v>0.99212598425196852</v>
      </c>
      <c r="L104" s="4" t="str">
        <f t="shared" si="24"/>
        <v/>
      </c>
      <c r="M104" s="4"/>
      <c r="N104" s="4"/>
      <c r="O104" s="4"/>
      <c r="P104" s="4"/>
      <c r="Q104" s="4"/>
      <c r="R104" s="4"/>
      <c r="S104" s="4"/>
      <c r="T104" s="4"/>
      <c r="U104" s="4"/>
    </row>
    <row r="105" spans="1:21">
      <c r="A105" t="s">
        <v>219</v>
      </c>
      <c r="B105">
        <v>19</v>
      </c>
      <c r="C105" t="str">
        <f t="shared" si="18"/>
        <v>test.Base64_19_</v>
      </c>
      <c r="D105">
        <v>7</v>
      </c>
      <c r="E105" s="4">
        <v>0.99212598425196852</v>
      </c>
      <c r="F105" s="4">
        <v>0.88227815916603103</v>
      </c>
      <c r="G105" s="4" t="str">
        <f t="shared" si="19"/>
        <v/>
      </c>
      <c r="H105" s="4" t="str">
        <f t="shared" si="20"/>
        <v/>
      </c>
      <c r="I105" s="4" t="str">
        <f t="shared" si="21"/>
        <v/>
      </c>
      <c r="J105" s="4" t="str">
        <f t="shared" si="22"/>
        <v/>
      </c>
      <c r="K105" s="4">
        <f t="shared" si="23"/>
        <v>0.99212598425196852</v>
      </c>
      <c r="L105" s="4" t="str">
        <f t="shared" si="24"/>
        <v/>
      </c>
      <c r="M105" s="4"/>
      <c r="N105" s="4"/>
      <c r="O105" s="4"/>
      <c r="P105" s="4"/>
      <c r="Q105" s="4"/>
      <c r="R105" s="4"/>
      <c r="S105" s="4"/>
      <c r="T105" s="4"/>
      <c r="U105" s="4"/>
    </row>
    <row r="106" spans="1:21">
      <c r="A106" t="s">
        <v>219</v>
      </c>
      <c r="B106">
        <v>19</v>
      </c>
      <c r="C106" t="str">
        <f t="shared" si="18"/>
        <v>test.Base64_19_</v>
      </c>
      <c r="D106">
        <v>8</v>
      </c>
      <c r="E106" s="4">
        <v>1</v>
      </c>
      <c r="F106" s="4">
        <v>0.91024663107042969</v>
      </c>
      <c r="G106" s="4" t="str">
        <f t="shared" si="19"/>
        <v/>
      </c>
      <c r="H106" s="4" t="str">
        <f t="shared" si="20"/>
        <v/>
      </c>
      <c r="I106" s="4" t="str">
        <f t="shared" si="21"/>
        <v/>
      </c>
      <c r="J106" s="4" t="str">
        <f t="shared" si="22"/>
        <v/>
      </c>
      <c r="K106" s="4">
        <f t="shared" si="23"/>
        <v>1</v>
      </c>
      <c r="L106" s="4" t="str">
        <f t="shared" si="24"/>
        <v/>
      </c>
      <c r="M106" s="4"/>
      <c r="N106" s="4"/>
      <c r="O106" s="4"/>
      <c r="P106" s="4"/>
      <c r="Q106" s="4"/>
      <c r="R106" s="4"/>
      <c r="S106" s="4"/>
      <c r="T106" s="4"/>
      <c r="U106" s="4"/>
    </row>
    <row r="107" spans="1:21">
      <c r="A107" t="s">
        <v>219</v>
      </c>
      <c r="B107">
        <v>19</v>
      </c>
      <c r="C107" t="str">
        <f t="shared" si="18"/>
        <v>test.Base64_19_</v>
      </c>
      <c r="D107">
        <v>9</v>
      </c>
      <c r="E107" s="4">
        <v>1</v>
      </c>
      <c r="F107" s="4">
        <v>0.91723874904652936</v>
      </c>
      <c r="G107" s="4" t="str">
        <f t="shared" si="19"/>
        <v/>
      </c>
      <c r="H107" s="4" t="str">
        <f t="shared" si="20"/>
        <v/>
      </c>
      <c r="I107" s="4" t="str">
        <f t="shared" si="21"/>
        <v/>
      </c>
      <c r="J107" s="4" t="str">
        <f t="shared" si="22"/>
        <v/>
      </c>
      <c r="K107" s="4">
        <f t="shared" si="23"/>
        <v>1</v>
      </c>
      <c r="L107" s="4" t="str">
        <f t="shared" si="24"/>
        <v/>
      </c>
      <c r="M107" s="4"/>
      <c r="N107" s="4"/>
      <c r="O107" s="4"/>
      <c r="P107" s="4"/>
      <c r="Q107" s="4"/>
      <c r="R107" s="4"/>
      <c r="S107" s="4"/>
      <c r="T107" s="4"/>
      <c r="U107" s="4"/>
    </row>
    <row r="108" spans="1:21">
      <c r="A108" t="s">
        <v>219</v>
      </c>
      <c r="B108">
        <v>19</v>
      </c>
      <c r="C108" t="str">
        <f t="shared" si="18"/>
        <v>test.Base64_19_</v>
      </c>
      <c r="D108">
        <v>10</v>
      </c>
      <c r="E108" s="4">
        <v>1</v>
      </c>
      <c r="F108" s="4">
        <v>0.91978133740147472</v>
      </c>
      <c r="G108" s="4" t="str">
        <f t="shared" si="19"/>
        <v/>
      </c>
      <c r="H108" s="4" t="str">
        <f t="shared" si="20"/>
        <v/>
      </c>
      <c r="I108" s="4" t="str">
        <f t="shared" si="21"/>
        <v/>
      </c>
      <c r="J108" s="4" t="str">
        <f t="shared" si="22"/>
        <v/>
      </c>
      <c r="K108" s="4">
        <f t="shared" si="23"/>
        <v>1</v>
      </c>
      <c r="L108" s="4" t="str">
        <f t="shared" si="24"/>
        <v/>
      </c>
      <c r="M108" s="4"/>
      <c r="N108" s="4"/>
      <c r="O108" s="4"/>
      <c r="P108" s="4"/>
      <c r="Q108" s="4"/>
      <c r="R108" s="4"/>
      <c r="S108" s="4"/>
      <c r="T108" s="4"/>
      <c r="U108" s="4"/>
    </row>
    <row r="109" spans="1:21">
      <c r="A109" t="s">
        <v>219</v>
      </c>
      <c r="B109">
        <v>19</v>
      </c>
      <c r="C109" t="str">
        <f t="shared" si="18"/>
        <v>test.Base64_19_</v>
      </c>
      <c r="D109">
        <v>11</v>
      </c>
      <c r="E109" s="4">
        <v>1</v>
      </c>
      <c r="F109" s="4">
        <v>0.92257818459191454</v>
      </c>
      <c r="G109" s="4" t="str">
        <f t="shared" si="19"/>
        <v/>
      </c>
      <c r="H109" s="4" t="str">
        <f t="shared" si="20"/>
        <v/>
      </c>
      <c r="I109" s="4" t="str">
        <f t="shared" si="21"/>
        <v/>
      </c>
      <c r="J109" s="4" t="str">
        <f t="shared" si="22"/>
        <v/>
      </c>
      <c r="K109" s="4">
        <f t="shared" si="23"/>
        <v>1</v>
      </c>
      <c r="L109" s="4" t="str">
        <f t="shared" si="24"/>
        <v/>
      </c>
      <c r="M109" s="4"/>
      <c r="N109" s="4"/>
      <c r="O109" s="4"/>
      <c r="P109" s="4"/>
      <c r="Q109" s="4"/>
      <c r="R109" s="4"/>
      <c r="S109" s="4"/>
      <c r="T109" s="4"/>
      <c r="U109" s="4"/>
    </row>
    <row r="110" spans="1:21">
      <c r="A110" t="s">
        <v>219</v>
      </c>
      <c r="B110">
        <v>19</v>
      </c>
      <c r="C110" t="str">
        <f t="shared" si="18"/>
        <v>test.Base64_19_</v>
      </c>
      <c r="D110">
        <v>12</v>
      </c>
      <c r="E110" s="4">
        <v>1</v>
      </c>
      <c r="F110" s="4">
        <v>0.9229595728451564</v>
      </c>
      <c r="G110" s="4" t="str">
        <f t="shared" si="19"/>
        <v/>
      </c>
      <c r="H110" s="4" t="str">
        <f t="shared" si="20"/>
        <v/>
      </c>
      <c r="I110" s="4" t="str">
        <f t="shared" si="21"/>
        <v/>
      </c>
      <c r="J110" s="4" t="str">
        <f t="shared" si="22"/>
        <v/>
      </c>
      <c r="K110" s="4">
        <f t="shared" si="23"/>
        <v>1</v>
      </c>
      <c r="L110" s="4" t="str">
        <f t="shared" si="24"/>
        <v/>
      </c>
      <c r="M110" s="4"/>
      <c r="N110" s="4"/>
      <c r="O110" s="4"/>
      <c r="P110" s="4"/>
      <c r="Q110" s="4"/>
      <c r="R110" s="4"/>
      <c r="S110" s="4"/>
      <c r="T110" s="4"/>
      <c r="U110" s="4"/>
    </row>
    <row r="111" spans="1:21">
      <c r="A111" t="s">
        <v>219</v>
      </c>
      <c r="B111">
        <v>19</v>
      </c>
      <c r="C111" t="str">
        <f t="shared" si="18"/>
        <v>test.Base64_19_</v>
      </c>
      <c r="D111">
        <v>13</v>
      </c>
      <c r="E111" s="4">
        <v>1</v>
      </c>
      <c r="F111" s="4">
        <v>0.92308670226290368</v>
      </c>
      <c r="G111" s="4" t="str">
        <f t="shared" si="19"/>
        <v/>
      </c>
      <c r="H111" s="4" t="str">
        <f t="shared" si="20"/>
        <v/>
      </c>
      <c r="I111" s="4" t="str">
        <f t="shared" si="21"/>
        <v/>
      </c>
      <c r="J111" s="4" t="str">
        <f t="shared" si="22"/>
        <v/>
      </c>
      <c r="K111" s="4">
        <f t="shared" si="23"/>
        <v>1</v>
      </c>
      <c r="L111" s="4" t="str">
        <f t="shared" si="24"/>
        <v/>
      </c>
      <c r="M111" s="4"/>
      <c r="N111" s="4"/>
      <c r="O111" s="4"/>
      <c r="P111" s="4"/>
      <c r="Q111" s="4"/>
      <c r="R111" s="4"/>
      <c r="S111" s="4"/>
      <c r="T111" s="4"/>
      <c r="U111" s="4"/>
    </row>
    <row r="112" spans="1:21">
      <c r="A112" t="s">
        <v>219</v>
      </c>
      <c r="B112">
        <v>19</v>
      </c>
      <c r="C112" t="str">
        <f t="shared" si="18"/>
        <v>test.Base64_19_</v>
      </c>
      <c r="D112">
        <v>14</v>
      </c>
      <c r="E112" s="4">
        <v>1</v>
      </c>
      <c r="F112" s="4">
        <v>0.9251207729468599</v>
      </c>
      <c r="G112" s="4" t="str">
        <f t="shared" si="19"/>
        <v/>
      </c>
      <c r="H112" s="4" t="str">
        <f t="shared" si="20"/>
        <v/>
      </c>
      <c r="I112" s="4" t="str">
        <f t="shared" si="21"/>
        <v/>
      </c>
      <c r="J112" s="4" t="str">
        <f t="shared" si="22"/>
        <v/>
      </c>
      <c r="K112" s="4">
        <f t="shared" si="23"/>
        <v>1</v>
      </c>
      <c r="L112" s="4" t="str">
        <f t="shared" si="24"/>
        <v/>
      </c>
      <c r="M112" s="4"/>
      <c r="N112" s="4"/>
      <c r="O112" s="4"/>
      <c r="P112" s="4"/>
      <c r="Q112" s="4"/>
      <c r="R112" s="4"/>
      <c r="S112" s="4"/>
      <c r="T112" s="4"/>
      <c r="U112" s="4"/>
    </row>
    <row r="113" spans="1:21">
      <c r="A113" t="s">
        <v>219</v>
      </c>
      <c r="B113">
        <v>19</v>
      </c>
      <c r="C113" t="str">
        <f t="shared" si="18"/>
        <v>test.Base64_19_</v>
      </c>
      <c r="D113">
        <v>15</v>
      </c>
      <c r="E113" s="4">
        <v>1</v>
      </c>
      <c r="F113" s="4">
        <v>0.92613780828883807</v>
      </c>
      <c r="G113" s="4" t="str">
        <f t="shared" si="19"/>
        <v/>
      </c>
      <c r="H113" s="4" t="str">
        <f t="shared" si="20"/>
        <v/>
      </c>
      <c r="I113" s="4" t="str">
        <f t="shared" si="21"/>
        <v/>
      </c>
      <c r="J113" s="4" t="str">
        <f t="shared" si="22"/>
        <v/>
      </c>
      <c r="K113" s="4">
        <f t="shared" si="23"/>
        <v>1</v>
      </c>
      <c r="L113" s="4" t="str">
        <f t="shared" si="24"/>
        <v/>
      </c>
      <c r="M113" s="4"/>
      <c r="N113" s="4"/>
      <c r="O113" s="4"/>
      <c r="P113" s="4"/>
      <c r="Q113" s="4"/>
      <c r="R113" s="4"/>
      <c r="S113" s="4"/>
      <c r="T113" s="4"/>
      <c r="U113" s="4"/>
    </row>
    <row r="114" spans="1:21">
      <c r="A114" t="s">
        <v>219</v>
      </c>
      <c r="B114">
        <v>19</v>
      </c>
      <c r="C114" t="str">
        <f t="shared" si="18"/>
        <v>test.Base64_19_</v>
      </c>
      <c r="D114">
        <v>16</v>
      </c>
      <c r="E114" s="4">
        <v>1</v>
      </c>
      <c r="F114" s="4">
        <v>0.92626493770658536</v>
      </c>
      <c r="G114" s="4" t="str">
        <f t="shared" si="19"/>
        <v/>
      </c>
      <c r="H114" s="4" t="str">
        <f t="shared" si="20"/>
        <v/>
      </c>
      <c r="I114" s="4" t="str">
        <f t="shared" si="21"/>
        <v/>
      </c>
      <c r="J114" s="4" t="str">
        <f t="shared" si="22"/>
        <v/>
      </c>
      <c r="K114" s="4">
        <f t="shared" si="23"/>
        <v>1</v>
      </c>
      <c r="L114" s="4" t="str">
        <f t="shared" si="24"/>
        <v/>
      </c>
      <c r="M114" s="4"/>
      <c r="N114" s="4"/>
      <c r="O114" s="4"/>
      <c r="P114" s="4"/>
      <c r="Q114" s="4"/>
      <c r="R114" s="4"/>
      <c r="S114" s="4"/>
      <c r="T114" s="4"/>
      <c r="U114" s="4"/>
    </row>
    <row r="115" spans="1:21">
      <c r="A115" t="s">
        <v>219</v>
      </c>
      <c r="B115">
        <v>19</v>
      </c>
      <c r="C115" t="str">
        <f t="shared" si="18"/>
        <v>test.Base64_19_</v>
      </c>
      <c r="D115">
        <v>17</v>
      </c>
      <c r="E115" s="4">
        <v>1</v>
      </c>
      <c r="F115" s="4">
        <v>0.92766336130180527</v>
      </c>
      <c r="G115" s="4" t="str">
        <f t="shared" si="19"/>
        <v/>
      </c>
      <c r="H115" s="4" t="str">
        <f t="shared" si="20"/>
        <v/>
      </c>
      <c r="I115" s="4" t="str">
        <f t="shared" si="21"/>
        <v/>
      </c>
      <c r="J115" s="4" t="str">
        <f t="shared" si="22"/>
        <v/>
      </c>
      <c r="K115" s="4">
        <f t="shared" si="23"/>
        <v>1</v>
      </c>
      <c r="L115" s="4" t="str">
        <f t="shared" si="24"/>
        <v/>
      </c>
      <c r="M115" s="4"/>
      <c r="N115" s="4"/>
      <c r="O115" s="4"/>
      <c r="P115" s="4"/>
      <c r="Q115" s="4"/>
      <c r="R115" s="4"/>
      <c r="S115" s="4"/>
      <c r="T115" s="4"/>
      <c r="U115" s="4"/>
    </row>
    <row r="116" spans="1:21">
      <c r="A116" t="s">
        <v>219</v>
      </c>
      <c r="B116">
        <v>19</v>
      </c>
      <c r="C116" t="str">
        <f t="shared" si="18"/>
        <v>test.Base64_19_</v>
      </c>
      <c r="D116">
        <v>18</v>
      </c>
      <c r="E116" s="4">
        <v>1</v>
      </c>
      <c r="F116" s="4">
        <v>0.93096872616323412</v>
      </c>
      <c r="G116" s="4" t="str">
        <f t="shared" si="19"/>
        <v/>
      </c>
      <c r="H116" s="4" t="str">
        <f t="shared" si="20"/>
        <v/>
      </c>
      <c r="I116" s="4" t="str">
        <f t="shared" si="21"/>
        <v/>
      </c>
      <c r="J116" s="4" t="str">
        <f t="shared" si="22"/>
        <v/>
      </c>
      <c r="K116" s="4">
        <f t="shared" si="23"/>
        <v>1</v>
      </c>
      <c r="L116" s="4" t="str">
        <f t="shared" si="24"/>
        <v/>
      </c>
      <c r="M116" s="4"/>
      <c r="N116" s="4"/>
      <c r="O116" s="4"/>
      <c r="P116" s="4"/>
      <c r="Q116" s="4"/>
      <c r="R116" s="4"/>
      <c r="S116" s="4"/>
      <c r="T116" s="4"/>
      <c r="U116" s="4"/>
    </row>
    <row r="117" spans="1:21">
      <c r="A117" t="s">
        <v>219</v>
      </c>
      <c r="B117">
        <v>19</v>
      </c>
      <c r="C117" t="str">
        <f t="shared" si="18"/>
        <v>test.Base64_19_</v>
      </c>
      <c r="D117">
        <v>19</v>
      </c>
      <c r="E117" s="4">
        <v>1</v>
      </c>
      <c r="F117" s="4">
        <v>0.93300279684719045</v>
      </c>
      <c r="G117" s="4" t="str">
        <f t="shared" si="19"/>
        <v/>
      </c>
      <c r="H117" s="4" t="str">
        <f t="shared" si="20"/>
        <v/>
      </c>
      <c r="I117" s="4" t="str">
        <f t="shared" si="21"/>
        <v/>
      </c>
      <c r="J117" s="4" t="str">
        <f t="shared" si="22"/>
        <v/>
      </c>
      <c r="K117" s="4">
        <f t="shared" si="23"/>
        <v>1</v>
      </c>
      <c r="L117" s="4" t="str">
        <f t="shared" si="24"/>
        <v/>
      </c>
      <c r="M117" s="4"/>
      <c r="N117" s="4"/>
      <c r="O117" s="4"/>
      <c r="P117" s="4"/>
      <c r="Q117" s="4"/>
      <c r="R117" s="4"/>
      <c r="S117" s="4"/>
      <c r="T117" s="4"/>
      <c r="U117" s="4"/>
    </row>
    <row r="118" spans="1:21">
      <c r="A118" t="s">
        <v>219</v>
      </c>
      <c r="B118">
        <v>19</v>
      </c>
      <c r="C118" t="str">
        <f t="shared" si="18"/>
        <v>test.Base64_19_</v>
      </c>
      <c r="D118">
        <v>20</v>
      </c>
      <c r="E118" s="4">
        <v>1</v>
      </c>
      <c r="F118" s="4">
        <v>0.93401983218916862</v>
      </c>
      <c r="G118" s="4" t="str">
        <f t="shared" si="19"/>
        <v/>
      </c>
      <c r="H118" s="4" t="str">
        <f t="shared" si="20"/>
        <v/>
      </c>
      <c r="I118" s="4" t="str">
        <f t="shared" si="21"/>
        <v/>
      </c>
      <c r="J118" s="4" t="str">
        <f t="shared" si="22"/>
        <v/>
      </c>
      <c r="K118" s="4">
        <f t="shared" si="23"/>
        <v>1</v>
      </c>
      <c r="L118" s="4" t="str">
        <f t="shared" si="24"/>
        <v/>
      </c>
      <c r="M118" s="4"/>
      <c r="N118" s="4"/>
      <c r="O118" s="4"/>
      <c r="P118" s="4"/>
      <c r="Q118" s="4"/>
      <c r="R118" s="4"/>
      <c r="S118" s="4"/>
      <c r="T118" s="4"/>
      <c r="U118" s="4"/>
    </row>
    <row r="119" spans="1:21">
      <c r="A119" t="s">
        <v>219</v>
      </c>
      <c r="B119">
        <v>19</v>
      </c>
      <c r="C119" t="str">
        <f t="shared" si="18"/>
        <v>test.Base64_19_</v>
      </c>
      <c r="D119">
        <v>21</v>
      </c>
      <c r="E119" s="4">
        <v>1</v>
      </c>
      <c r="F119" s="4">
        <v>0.93745232646834475</v>
      </c>
      <c r="G119" s="4" t="str">
        <f t="shared" si="19"/>
        <v/>
      </c>
      <c r="H119" s="4" t="str">
        <f t="shared" si="20"/>
        <v/>
      </c>
      <c r="I119" s="4" t="str">
        <f t="shared" si="21"/>
        <v/>
      </c>
      <c r="J119" s="4" t="str">
        <f t="shared" si="22"/>
        <v/>
      </c>
      <c r="K119" s="4">
        <f t="shared" si="23"/>
        <v>1</v>
      </c>
      <c r="L119" s="4" t="str">
        <f t="shared" si="24"/>
        <v/>
      </c>
      <c r="M119" s="4"/>
      <c r="N119" s="4"/>
      <c r="O119" s="4"/>
      <c r="P119" s="4"/>
      <c r="Q119" s="4"/>
      <c r="R119" s="4"/>
      <c r="S119" s="4"/>
      <c r="T119" s="4"/>
      <c r="U119" s="4"/>
    </row>
    <row r="120" spans="1:21">
      <c r="A120" t="s">
        <v>219</v>
      </c>
      <c r="B120">
        <v>19</v>
      </c>
      <c r="C120" t="str">
        <f t="shared" si="18"/>
        <v>test.Base64_19_</v>
      </c>
      <c r="D120">
        <v>22</v>
      </c>
      <c r="E120" s="4">
        <v>1</v>
      </c>
      <c r="F120" s="4">
        <v>0.93757945588609204</v>
      </c>
      <c r="G120" s="4" t="str">
        <f t="shared" si="19"/>
        <v/>
      </c>
      <c r="H120" s="4" t="str">
        <f t="shared" si="20"/>
        <v/>
      </c>
      <c r="I120" s="4" t="str">
        <f t="shared" si="21"/>
        <v/>
      </c>
      <c r="J120" s="4" t="str">
        <f t="shared" si="22"/>
        <v/>
      </c>
      <c r="K120" s="4">
        <f t="shared" si="23"/>
        <v>1</v>
      </c>
      <c r="L120" s="4" t="str">
        <f t="shared" si="24"/>
        <v/>
      </c>
      <c r="M120" s="4"/>
      <c r="N120" s="4"/>
      <c r="O120" s="4"/>
      <c r="P120" s="4"/>
      <c r="Q120" s="4"/>
      <c r="R120" s="4"/>
      <c r="S120" s="4"/>
      <c r="T120" s="4"/>
      <c r="U120" s="4"/>
    </row>
    <row r="121" spans="1:21">
      <c r="A121" t="s">
        <v>219</v>
      </c>
      <c r="B121">
        <v>19</v>
      </c>
      <c r="C121" t="str">
        <f t="shared" si="18"/>
        <v>test.Base64_19_</v>
      </c>
      <c r="D121">
        <v>23</v>
      </c>
      <c r="E121" s="4">
        <v>1</v>
      </c>
      <c r="F121" s="4">
        <v>0.9424103737604882</v>
      </c>
      <c r="G121" s="4" t="str">
        <f t="shared" si="19"/>
        <v/>
      </c>
      <c r="H121" s="4" t="str">
        <f t="shared" si="20"/>
        <v/>
      </c>
      <c r="I121" s="4" t="str">
        <f t="shared" si="21"/>
        <v/>
      </c>
      <c r="J121" s="4" t="str">
        <f t="shared" si="22"/>
        <v/>
      </c>
      <c r="K121" s="4">
        <f t="shared" si="23"/>
        <v>1</v>
      </c>
      <c r="L121" s="4" t="str">
        <f t="shared" si="24"/>
        <v/>
      </c>
      <c r="M121" s="4"/>
      <c r="N121" s="4"/>
      <c r="O121" s="4"/>
      <c r="P121" s="4"/>
      <c r="Q121" s="4"/>
      <c r="R121" s="4"/>
      <c r="S121" s="4"/>
      <c r="T121" s="4"/>
      <c r="U121" s="4"/>
    </row>
    <row r="122" spans="1:21">
      <c r="A122" t="s">
        <v>219</v>
      </c>
      <c r="B122">
        <v>19</v>
      </c>
      <c r="C122" t="str">
        <f t="shared" si="18"/>
        <v>test.Base64_19_</v>
      </c>
      <c r="D122">
        <v>24</v>
      </c>
      <c r="E122" s="4">
        <v>1</v>
      </c>
      <c r="F122" s="4">
        <v>0.94253750317823548</v>
      </c>
      <c r="G122" s="4" t="str">
        <f t="shared" si="19"/>
        <v/>
      </c>
      <c r="H122" s="4" t="str">
        <f t="shared" si="20"/>
        <v/>
      </c>
      <c r="I122" s="4" t="str">
        <f t="shared" si="21"/>
        <v/>
      </c>
      <c r="J122" s="4" t="str">
        <f t="shared" si="22"/>
        <v/>
      </c>
      <c r="K122" s="4">
        <f t="shared" si="23"/>
        <v>1</v>
      </c>
      <c r="L122" s="4" t="str">
        <f t="shared" si="24"/>
        <v/>
      </c>
      <c r="M122" s="4"/>
      <c r="N122" s="4"/>
      <c r="O122" s="4"/>
      <c r="P122" s="4"/>
      <c r="Q122" s="4"/>
      <c r="R122" s="4"/>
      <c r="S122" s="4"/>
      <c r="T122" s="4"/>
      <c r="U122" s="4"/>
    </row>
    <row r="123" spans="1:21">
      <c r="A123" t="s">
        <v>219</v>
      </c>
      <c r="B123">
        <v>19</v>
      </c>
      <c r="C123" t="str">
        <f t="shared" si="18"/>
        <v>test.Base64_19_</v>
      </c>
      <c r="D123">
        <v>25</v>
      </c>
      <c r="E123" s="4">
        <v>1</v>
      </c>
      <c r="F123" s="4">
        <v>0.94736842105263153</v>
      </c>
      <c r="G123" s="4" t="str">
        <f t="shared" si="19"/>
        <v/>
      </c>
      <c r="H123" s="4" t="str">
        <f t="shared" si="20"/>
        <v/>
      </c>
      <c r="I123" s="4" t="str">
        <f t="shared" si="21"/>
        <v/>
      </c>
      <c r="J123" s="4" t="str">
        <f t="shared" si="22"/>
        <v/>
      </c>
      <c r="K123" s="4">
        <f t="shared" si="23"/>
        <v>1</v>
      </c>
      <c r="L123" s="4" t="str">
        <f t="shared" si="24"/>
        <v/>
      </c>
      <c r="M123" s="4"/>
      <c r="N123" s="4"/>
      <c r="O123" s="4"/>
      <c r="P123" s="4"/>
      <c r="Q123" s="4"/>
      <c r="R123" s="4"/>
      <c r="S123" s="4"/>
      <c r="T123" s="4"/>
      <c r="U123" s="4"/>
    </row>
    <row r="124" spans="1:21">
      <c r="A124" t="s">
        <v>219</v>
      </c>
      <c r="B124">
        <v>19</v>
      </c>
      <c r="C124" t="str">
        <f t="shared" si="18"/>
        <v>test.Base64_19_</v>
      </c>
      <c r="D124">
        <v>26</v>
      </c>
      <c r="E124" s="4">
        <v>1</v>
      </c>
      <c r="F124" s="4">
        <v>0.95563183320620393</v>
      </c>
      <c r="G124" s="4" t="str">
        <f t="shared" si="19"/>
        <v/>
      </c>
      <c r="H124" s="4" t="str">
        <f t="shared" si="20"/>
        <v/>
      </c>
      <c r="I124" s="4" t="str">
        <f t="shared" si="21"/>
        <v/>
      </c>
      <c r="J124" s="4" t="str">
        <f t="shared" si="22"/>
        <v/>
      </c>
      <c r="K124" s="4">
        <f t="shared" si="23"/>
        <v>1</v>
      </c>
      <c r="L124" s="4" t="str">
        <f t="shared" si="24"/>
        <v/>
      </c>
      <c r="M124" s="4"/>
      <c r="N124" s="4"/>
      <c r="O124" s="4"/>
      <c r="P124" s="4"/>
      <c r="Q124" s="4"/>
      <c r="R124" s="4"/>
      <c r="S124" s="4"/>
      <c r="T124" s="4"/>
      <c r="U124" s="4"/>
    </row>
    <row r="125" spans="1:21">
      <c r="A125" t="s">
        <v>219</v>
      </c>
      <c r="B125">
        <v>19</v>
      </c>
      <c r="C125" t="str">
        <f t="shared" si="18"/>
        <v>test.Base64_19_</v>
      </c>
      <c r="D125">
        <v>27</v>
      </c>
      <c r="E125" s="4">
        <v>1</v>
      </c>
      <c r="F125" s="4">
        <v>0.95855580981439104</v>
      </c>
      <c r="G125" s="4" t="str">
        <f t="shared" si="19"/>
        <v/>
      </c>
      <c r="H125" s="4" t="str">
        <f t="shared" si="20"/>
        <v/>
      </c>
      <c r="I125" s="4" t="str">
        <f t="shared" si="21"/>
        <v/>
      </c>
      <c r="J125" s="4" t="str">
        <f t="shared" si="22"/>
        <v/>
      </c>
      <c r="K125" s="4">
        <f t="shared" si="23"/>
        <v>1</v>
      </c>
      <c r="L125" s="4" t="str">
        <f t="shared" si="24"/>
        <v/>
      </c>
      <c r="M125" s="4"/>
      <c r="N125" s="4"/>
      <c r="O125" s="4"/>
      <c r="P125" s="4"/>
      <c r="Q125" s="4"/>
      <c r="R125" s="4"/>
      <c r="S125" s="4"/>
      <c r="T125" s="4"/>
      <c r="U125" s="4"/>
    </row>
    <row r="126" spans="1:21">
      <c r="A126" t="s">
        <v>219</v>
      </c>
      <c r="B126">
        <v>19</v>
      </c>
      <c r="C126" t="str">
        <f t="shared" si="18"/>
        <v>test.Base64_19_</v>
      </c>
      <c r="D126">
        <v>28</v>
      </c>
      <c r="E126" s="4">
        <v>1</v>
      </c>
      <c r="F126" s="4">
        <v>0.95868293923213832</v>
      </c>
      <c r="G126" s="4" t="str">
        <f t="shared" si="19"/>
        <v/>
      </c>
      <c r="H126" s="4" t="str">
        <f t="shared" si="20"/>
        <v/>
      </c>
      <c r="I126" s="4" t="str">
        <f t="shared" si="21"/>
        <v/>
      </c>
      <c r="J126" s="4" t="str">
        <f t="shared" si="22"/>
        <v/>
      </c>
      <c r="K126" s="4">
        <f t="shared" si="23"/>
        <v>1</v>
      </c>
      <c r="L126" s="4" t="str">
        <f t="shared" si="24"/>
        <v/>
      </c>
      <c r="M126" s="4"/>
      <c r="N126" s="4"/>
      <c r="O126" s="4"/>
      <c r="P126" s="4"/>
      <c r="Q126" s="4"/>
      <c r="R126" s="4"/>
      <c r="S126" s="4"/>
      <c r="T126" s="4"/>
      <c r="U126" s="4"/>
    </row>
    <row r="127" spans="1:21">
      <c r="A127" t="s">
        <v>219</v>
      </c>
      <c r="B127">
        <v>20</v>
      </c>
      <c r="C127" t="str">
        <f t="shared" si="18"/>
        <v>test.Base64_20_</v>
      </c>
      <c r="D127">
        <v>1</v>
      </c>
      <c r="E127" s="4">
        <v>0.19801980198019803</v>
      </c>
      <c r="F127" s="4">
        <v>5.3783469150174623E-2</v>
      </c>
      <c r="G127" s="4">
        <f t="shared" si="19"/>
        <v>0.19801980198019803</v>
      </c>
      <c r="H127" s="4" t="str">
        <f t="shared" si="20"/>
        <v/>
      </c>
      <c r="I127" s="4" t="str">
        <f t="shared" si="21"/>
        <v/>
      </c>
      <c r="J127" s="4" t="str">
        <f t="shared" si="22"/>
        <v/>
      </c>
      <c r="K127" s="4" t="str">
        <f t="shared" si="23"/>
        <v/>
      </c>
      <c r="L127" s="4" t="str">
        <f t="shared" si="24"/>
        <v/>
      </c>
      <c r="M127" s="4"/>
      <c r="N127" s="4"/>
      <c r="O127" s="4"/>
      <c r="P127" s="4"/>
      <c r="Q127" s="4"/>
      <c r="R127" s="4"/>
      <c r="S127" s="4"/>
      <c r="T127" s="4"/>
      <c r="U127" s="4"/>
    </row>
    <row r="128" spans="1:21">
      <c r="A128" t="s">
        <v>219</v>
      </c>
      <c r="B128">
        <v>20</v>
      </c>
      <c r="C128" t="str">
        <f t="shared" si="18"/>
        <v>test.Base64_20_</v>
      </c>
      <c r="D128">
        <v>2</v>
      </c>
      <c r="E128" s="4">
        <v>0.22772277227722773</v>
      </c>
      <c r="F128" s="4">
        <v>6.3213038416763678E-2</v>
      </c>
      <c r="G128" s="4">
        <f t="shared" si="19"/>
        <v>0.22772277227722773</v>
      </c>
      <c r="H128" s="4" t="str">
        <f t="shared" si="20"/>
        <v/>
      </c>
      <c r="I128" s="4" t="str">
        <f t="shared" si="21"/>
        <v/>
      </c>
      <c r="J128" s="4" t="str">
        <f t="shared" si="22"/>
        <v/>
      </c>
      <c r="K128" s="4" t="str">
        <f t="shared" si="23"/>
        <v/>
      </c>
      <c r="L128" s="4" t="str">
        <f t="shared" si="24"/>
        <v/>
      </c>
      <c r="M128" s="4"/>
      <c r="N128" s="4"/>
      <c r="O128" s="4"/>
      <c r="P128" s="4"/>
      <c r="Q128" s="4"/>
      <c r="R128" s="4"/>
      <c r="S128" s="4"/>
      <c r="T128" s="4"/>
      <c r="U128" s="4"/>
    </row>
    <row r="129" spans="1:21">
      <c r="A129" t="s">
        <v>219</v>
      </c>
      <c r="B129">
        <v>20</v>
      </c>
      <c r="C129" t="str">
        <f t="shared" si="18"/>
        <v>test.Base64_20_</v>
      </c>
      <c r="D129">
        <v>3</v>
      </c>
      <c r="E129" s="4">
        <v>0.25742574257425743</v>
      </c>
      <c r="F129" s="4">
        <v>6.3678696158323639E-2</v>
      </c>
      <c r="G129" s="4">
        <f t="shared" si="19"/>
        <v>0.25742574257425743</v>
      </c>
      <c r="H129" s="4" t="str">
        <f t="shared" si="20"/>
        <v/>
      </c>
      <c r="I129" s="4" t="str">
        <f t="shared" si="21"/>
        <v/>
      </c>
      <c r="J129" s="4" t="str">
        <f t="shared" si="22"/>
        <v/>
      </c>
      <c r="K129" s="4" t="str">
        <f t="shared" si="23"/>
        <v/>
      </c>
      <c r="L129" s="4" t="str">
        <f t="shared" si="24"/>
        <v/>
      </c>
      <c r="M129" s="4"/>
      <c r="N129" s="4"/>
      <c r="O129" s="4"/>
      <c r="P129" s="4"/>
      <c r="Q129" s="4"/>
      <c r="R129" s="4"/>
      <c r="S129" s="4"/>
      <c r="T129" s="4"/>
      <c r="U129" s="4"/>
    </row>
    <row r="130" spans="1:21">
      <c r="A130" t="s">
        <v>219</v>
      </c>
      <c r="B130">
        <v>20</v>
      </c>
      <c r="C130" t="str">
        <f t="shared" si="18"/>
        <v>test.Base64_20_</v>
      </c>
      <c r="D130">
        <v>4</v>
      </c>
      <c r="E130" s="4">
        <v>0.28712871287128711</v>
      </c>
      <c r="F130" s="4">
        <v>6.5541327124563439E-2</v>
      </c>
      <c r="G130" s="4">
        <f t="shared" si="19"/>
        <v>0.28712871287128711</v>
      </c>
      <c r="H130" s="4" t="str">
        <f t="shared" si="20"/>
        <v/>
      </c>
      <c r="I130" s="4" t="str">
        <f t="shared" si="21"/>
        <v/>
      </c>
      <c r="J130" s="4" t="str">
        <f t="shared" si="22"/>
        <v/>
      </c>
      <c r="K130" s="4" t="str">
        <f t="shared" si="23"/>
        <v/>
      </c>
      <c r="L130" s="4" t="str">
        <f t="shared" si="24"/>
        <v/>
      </c>
      <c r="M130" s="4"/>
      <c r="N130" s="4"/>
      <c r="O130" s="4"/>
      <c r="P130" s="4"/>
      <c r="Q130" s="4"/>
      <c r="R130" s="4"/>
      <c r="S130" s="4"/>
      <c r="T130" s="4"/>
      <c r="U130" s="4"/>
    </row>
    <row r="131" spans="1:21">
      <c r="A131" t="s">
        <v>219</v>
      </c>
      <c r="B131">
        <v>20</v>
      </c>
      <c r="C131" t="str">
        <f t="shared" ref="C131:C194" si="25">CONCATENATE(A131, "_",B131,"_")</f>
        <v>test.Base64_20_</v>
      </c>
      <c r="D131">
        <v>5</v>
      </c>
      <c r="E131" s="4">
        <v>0.44554455445544555</v>
      </c>
      <c r="F131" s="4">
        <v>6.8800931315483121E-2</v>
      </c>
      <c r="G131" s="4">
        <f t="shared" ref="G131:G194" si="26">IF($F131 &lt;= 0.2,$E131,"")</f>
        <v>0.44554455445544555</v>
      </c>
      <c r="H131" s="4" t="str">
        <f t="shared" ref="H131:H194" si="27">IF(AND($F131 &gt; 0.2,$F131 &lt;= 0.4),$E131,"")</f>
        <v/>
      </c>
      <c r="I131" s="4" t="str">
        <f t="shared" ref="I131:I194" si="28">IF(AND($F131 &gt; 0.4,$F131 &lt;= 0.6),$E131,"")</f>
        <v/>
      </c>
      <c r="J131" s="4" t="str">
        <f t="shared" ref="J131:J194" si="29">IF(AND($F131 &gt; 0.6,$F131 &lt;= 0.8),$E131,"")</f>
        <v/>
      </c>
      <c r="K131" s="4" t="str">
        <f t="shared" ref="K131:K194" si="30">IF(AND($F131 &gt; 0.8, $F131 &lt;=1.1),$E131,"")</f>
        <v/>
      </c>
      <c r="L131" s="4" t="str">
        <f t="shared" ref="L131:L194" si="31">IF(AND($F131 &gt; 1.1),$E131,"")</f>
        <v/>
      </c>
      <c r="M131" s="4"/>
      <c r="N131" s="4"/>
      <c r="O131" s="4"/>
      <c r="P131" s="4"/>
      <c r="Q131" s="4"/>
      <c r="R131" s="4"/>
      <c r="S131" s="4"/>
      <c r="T131" s="4"/>
      <c r="U131" s="4"/>
    </row>
    <row r="132" spans="1:21">
      <c r="A132" t="s">
        <v>219</v>
      </c>
      <c r="B132">
        <v>20</v>
      </c>
      <c r="C132" t="str">
        <f t="shared" si="25"/>
        <v>test.Base64_20_</v>
      </c>
      <c r="D132">
        <v>6</v>
      </c>
      <c r="E132" s="4">
        <v>0.52475247524752477</v>
      </c>
      <c r="F132" s="4">
        <v>7.0547147846332939E-2</v>
      </c>
      <c r="G132" s="4">
        <f t="shared" si="26"/>
        <v>0.52475247524752477</v>
      </c>
      <c r="H132" s="4" t="str">
        <f t="shared" si="27"/>
        <v/>
      </c>
      <c r="I132" s="4" t="str">
        <f t="shared" si="28"/>
        <v/>
      </c>
      <c r="J132" s="4" t="str">
        <f t="shared" si="29"/>
        <v/>
      </c>
      <c r="K132" s="4" t="str">
        <f t="shared" si="30"/>
        <v/>
      </c>
      <c r="L132" s="4" t="str">
        <f t="shared" si="31"/>
        <v/>
      </c>
      <c r="M132" s="4"/>
      <c r="N132" s="4"/>
      <c r="O132" s="4"/>
      <c r="P132" s="4"/>
      <c r="Q132" s="4"/>
      <c r="R132" s="4"/>
      <c r="S132" s="4"/>
      <c r="T132" s="4"/>
      <c r="U132" s="4"/>
    </row>
    <row r="133" spans="1:21">
      <c r="A133" t="s">
        <v>219</v>
      </c>
      <c r="B133">
        <v>20</v>
      </c>
      <c r="C133" t="str">
        <f t="shared" si="25"/>
        <v>test.Base64_20_</v>
      </c>
      <c r="D133">
        <v>7</v>
      </c>
      <c r="E133" s="4">
        <v>0.52475247524752477</v>
      </c>
      <c r="F133" s="4">
        <v>7.1012805587892899E-2</v>
      </c>
      <c r="G133" s="4">
        <f t="shared" si="26"/>
        <v>0.52475247524752477</v>
      </c>
      <c r="H133" s="4" t="str">
        <f t="shared" si="27"/>
        <v/>
      </c>
      <c r="I133" s="4" t="str">
        <f t="shared" si="28"/>
        <v/>
      </c>
      <c r="J133" s="4" t="str">
        <f t="shared" si="29"/>
        <v/>
      </c>
      <c r="K133" s="4" t="str">
        <f t="shared" si="30"/>
        <v/>
      </c>
      <c r="L133" s="4" t="str">
        <f t="shared" si="31"/>
        <v/>
      </c>
      <c r="M133" s="4"/>
      <c r="N133" s="4"/>
      <c r="O133" s="4"/>
      <c r="P133" s="4"/>
      <c r="Q133" s="4"/>
      <c r="R133" s="4"/>
      <c r="S133" s="4"/>
      <c r="T133" s="4"/>
      <c r="U133" s="4"/>
    </row>
    <row r="134" spans="1:21">
      <c r="A134" t="s">
        <v>219</v>
      </c>
      <c r="B134">
        <v>20</v>
      </c>
      <c r="C134" t="str">
        <f t="shared" si="25"/>
        <v>test.Base64_20_</v>
      </c>
      <c r="D134">
        <v>8</v>
      </c>
      <c r="E134" s="4">
        <v>0.52475247524752477</v>
      </c>
      <c r="F134" s="4">
        <v>7.3573923166472641E-2</v>
      </c>
      <c r="G134" s="4">
        <f t="shared" si="26"/>
        <v>0.52475247524752477</v>
      </c>
      <c r="H134" s="4" t="str">
        <f t="shared" si="27"/>
        <v/>
      </c>
      <c r="I134" s="4" t="str">
        <f t="shared" si="28"/>
        <v/>
      </c>
      <c r="J134" s="4" t="str">
        <f t="shared" si="29"/>
        <v/>
      </c>
      <c r="K134" s="4" t="str">
        <f t="shared" si="30"/>
        <v/>
      </c>
      <c r="L134" s="4" t="str">
        <f t="shared" si="31"/>
        <v/>
      </c>
      <c r="M134" s="4"/>
      <c r="N134" s="4"/>
      <c r="O134" s="4"/>
      <c r="P134" s="4"/>
      <c r="Q134" s="4"/>
      <c r="R134" s="4"/>
      <c r="S134" s="4"/>
      <c r="T134" s="4"/>
      <c r="U134" s="4"/>
    </row>
    <row r="135" spans="1:21">
      <c r="A135" t="s">
        <v>219</v>
      </c>
      <c r="B135">
        <v>20</v>
      </c>
      <c r="C135" t="str">
        <f t="shared" si="25"/>
        <v>test.Base64_20_</v>
      </c>
      <c r="D135">
        <v>9</v>
      </c>
      <c r="E135" s="4">
        <v>0.52475247524752477</v>
      </c>
      <c r="F135" s="4">
        <v>7.4854481955762511E-2</v>
      </c>
      <c r="G135" s="4">
        <f t="shared" si="26"/>
        <v>0.52475247524752477</v>
      </c>
      <c r="H135" s="4" t="str">
        <f t="shared" si="27"/>
        <v/>
      </c>
      <c r="I135" s="4" t="str">
        <f t="shared" si="28"/>
        <v/>
      </c>
      <c r="J135" s="4" t="str">
        <f t="shared" si="29"/>
        <v/>
      </c>
      <c r="K135" s="4" t="str">
        <f t="shared" si="30"/>
        <v/>
      </c>
      <c r="L135" s="4" t="str">
        <f t="shared" si="31"/>
        <v/>
      </c>
      <c r="M135" s="4"/>
      <c r="N135" s="4"/>
      <c r="O135" s="4"/>
      <c r="P135" s="4"/>
      <c r="Q135" s="4"/>
      <c r="R135" s="4"/>
      <c r="S135" s="4"/>
      <c r="T135" s="4"/>
      <c r="U135" s="4"/>
    </row>
    <row r="136" spans="1:21">
      <c r="A136" t="s">
        <v>219</v>
      </c>
      <c r="B136">
        <v>20</v>
      </c>
      <c r="C136" t="str">
        <f t="shared" si="25"/>
        <v>test.Base64_20_</v>
      </c>
      <c r="D136">
        <v>10</v>
      </c>
      <c r="E136" s="4">
        <v>0.52475247524752477</v>
      </c>
      <c r="F136" s="4">
        <v>7.9161816065192084E-2</v>
      </c>
      <c r="G136" s="4">
        <f t="shared" si="26"/>
        <v>0.52475247524752477</v>
      </c>
      <c r="H136" s="4" t="str">
        <f t="shared" si="27"/>
        <v/>
      </c>
      <c r="I136" s="4" t="str">
        <f t="shared" si="28"/>
        <v/>
      </c>
      <c r="J136" s="4" t="str">
        <f t="shared" si="29"/>
        <v/>
      </c>
      <c r="K136" s="4" t="str">
        <f t="shared" si="30"/>
        <v/>
      </c>
      <c r="L136" s="4" t="str">
        <f t="shared" si="31"/>
        <v/>
      </c>
      <c r="M136" s="4"/>
      <c r="N136" s="4"/>
      <c r="O136" s="4"/>
      <c r="P136" s="4"/>
      <c r="Q136" s="4"/>
      <c r="R136" s="4"/>
      <c r="S136" s="4"/>
      <c r="T136" s="4"/>
      <c r="U136" s="4"/>
    </row>
    <row r="137" spans="1:21">
      <c r="A137" t="s">
        <v>219</v>
      </c>
      <c r="B137">
        <v>20</v>
      </c>
      <c r="C137" t="str">
        <f t="shared" si="25"/>
        <v>test.Base64_20_</v>
      </c>
      <c r="D137">
        <v>11</v>
      </c>
      <c r="E137" s="4">
        <v>0.52475247524752477</v>
      </c>
      <c r="F137" s="4">
        <v>8.1140861466821881E-2</v>
      </c>
      <c r="G137" s="4">
        <f t="shared" si="26"/>
        <v>0.52475247524752477</v>
      </c>
      <c r="H137" s="4" t="str">
        <f t="shared" si="27"/>
        <v/>
      </c>
      <c r="I137" s="4" t="str">
        <f t="shared" si="28"/>
        <v/>
      </c>
      <c r="J137" s="4" t="str">
        <f t="shared" si="29"/>
        <v/>
      </c>
      <c r="K137" s="4" t="str">
        <f t="shared" si="30"/>
        <v/>
      </c>
      <c r="L137" s="4" t="str">
        <f t="shared" si="31"/>
        <v/>
      </c>
      <c r="M137" s="4"/>
      <c r="N137" s="4"/>
      <c r="O137" s="4"/>
      <c r="P137" s="4"/>
      <c r="Q137" s="4"/>
      <c r="R137" s="4"/>
      <c r="S137" s="4"/>
      <c r="T137" s="4"/>
      <c r="U137" s="4"/>
    </row>
    <row r="138" spans="1:21">
      <c r="A138" t="s">
        <v>219</v>
      </c>
      <c r="B138">
        <v>20</v>
      </c>
      <c r="C138" t="str">
        <f t="shared" si="25"/>
        <v>test.Base64_20_</v>
      </c>
      <c r="D138">
        <v>12</v>
      </c>
      <c r="E138" s="4">
        <v>0.52475247524752477</v>
      </c>
      <c r="F138" s="4">
        <v>8.2654249126891732E-2</v>
      </c>
      <c r="G138" s="4">
        <f t="shared" si="26"/>
        <v>0.52475247524752477</v>
      </c>
      <c r="H138" s="4" t="str">
        <f t="shared" si="27"/>
        <v/>
      </c>
      <c r="I138" s="4" t="str">
        <f t="shared" si="28"/>
        <v/>
      </c>
      <c r="J138" s="4" t="str">
        <f t="shared" si="29"/>
        <v/>
      </c>
      <c r="K138" s="4" t="str">
        <f t="shared" si="30"/>
        <v/>
      </c>
      <c r="L138" s="4" t="str">
        <f t="shared" si="31"/>
        <v/>
      </c>
      <c r="M138" s="4"/>
      <c r="N138" s="4"/>
      <c r="O138" s="4"/>
      <c r="P138" s="4"/>
      <c r="Q138" s="4"/>
      <c r="R138" s="4"/>
      <c r="S138" s="4"/>
      <c r="T138" s="4"/>
      <c r="U138" s="4"/>
    </row>
    <row r="139" spans="1:21">
      <c r="A139" t="s">
        <v>219</v>
      </c>
      <c r="B139">
        <v>20</v>
      </c>
      <c r="C139" t="str">
        <f t="shared" si="25"/>
        <v>test.Base64_20_</v>
      </c>
      <c r="D139">
        <v>13</v>
      </c>
      <c r="E139" s="4">
        <v>0.52475247524752477</v>
      </c>
      <c r="F139" s="4">
        <v>8.5215366705471474E-2</v>
      </c>
      <c r="G139" s="4">
        <f t="shared" si="26"/>
        <v>0.52475247524752477</v>
      </c>
      <c r="H139" s="4" t="str">
        <f t="shared" si="27"/>
        <v/>
      </c>
      <c r="I139" s="4" t="str">
        <f t="shared" si="28"/>
        <v/>
      </c>
      <c r="J139" s="4" t="str">
        <f t="shared" si="29"/>
        <v/>
      </c>
      <c r="K139" s="4" t="str">
        <f t="shared" si="30"/>
        <v/>
      </c>
      <c r="L139" s="4" t="str">
        <f t="shared" si="31"/>
        <v/>
      </c>
      <c r="M139" s="4"/>
      <c r="N139" s="4"/>
      <c r="O139" s="4"/>
      <c r="P139" s="4"/>
      <c r="Q139" s="4"/>
      <c r="R139" s="4"/>
      <c r="S139" s="4"/>
      <c r="T139" s="4"/>
      <c r="U139" s="4"/>
    </row>
    <row r="140" spans="1:21">
      <c r="A140" t="s">
        <v>219</v>
      </c>
      <c r="B140">
        <v>20</v>
      </c>
      <c r="C140" t="str">
        <f t="shared" si="25"/>
        <v>test.Base64_20_</v>
      </c>
      <c r="D140">
        <v>14</v>
      </c>
      <c r="E140" s="4">
        <v>0.70297029702970293</v>
      </c>
      <c r="F140" s="4">
        <v>8.8707799767171136E-2</v>
      </c>
      <c r="G140" s="4">
        <f t="shared" si="26"/>
        <v>0.70297029702970293</v>
      </c>
      <c r="H140" s="4" t="str">
        <f t="shared" si="27"/>
        <v/>
      </c>
      <c r="I140" s="4" t="str">
        <f t="shared" si="28"/>
        <v/>
      </c>
      <c r="J140" s="4" t="str">
        <f t="shared" si="29"/>
        <v/>
      </c>
      <c r="K140" s="4" t="str">
        <f t="shared" si="30"/>
        <v/>
      </c>
      <c r="L140" s="4" t="str">
        <f t="shared" si="31"/>
        <v/>
      </c>
      <c r="M140" s="4"/>
      <c r="N140" s="4"/>
      <c r="O140" s="4"/>
      <c r="P140" s="4"/>
      <c r="Q140" s="4"/>
      <c r="R140" s="4"/>
      <c r="S140" s="4"/>
      <c r="T140" s="4"/>
      <c r="U140" s="4"/>
    </row>
    <row r="141" spans="1:21">
      <c r="A141" t="s">
        <v>219</v>
      </c>
      <c r="B141">
        <v>20</v>
      </c>
      <c r="C141" t="str">
        <f t="shared" si="25"/>
        <v>test.Base64_20_</v>
      </c>
      <c r="D141">
        <v>15</v>
      </c>
      <c r="E141" s="4">
        <v>0.70297029702970293</v>
      </c>
      <c r="F141" s="4">
        <v>9.4062863795110599E-2</v>
      </c>
      <c r="G141" s="4">
        <f t="shared" si="26"/>
        <v>0.70297029702970293</v>
      </c>
      <c r="H141" s="4" t="str">
        <f t="shared" si="27"/>
        <v/>
      </c>
      <c r="I141" s="4" t="str">
        <f t="shared" si="28"/>
        <v/>
      </c>
      <c r="J141" s="4" t="str">
        <f t="shared" si="29"/>
        <v/>
      </c>
      <c r="K141" s="4" t="str">
        <f t="shared" si="30"/>
        <v/>
      </c>
      <c r="L141" s="4" t="str">
        <f t="shared" si="31"/>
        <v/>
      </c>
      <c r="M141" s="4"/>
      <c r="N141" s="4"/>
      <c r="O141" s="4"/>
      <c r="P141" s="4"/>
      <c r="Q141" s="4"/>
      <c r="R141" s="4"/>
      <c r="S141" s="4"/>
      <c r="T141" s="4"/>
      <c r="U141" s="4"/>
    </row>
    <row r="142" spans="1:21">
      <c r="A142" t="s">
        <v>219</v>
      </c>
      <c r="B142">
        <v>20</v>
      </c>
      <c r="C142" t="str">
        <f t="shared" si="25"/>
        <v>test.Base64_20_</v>
      </c>
      <c r="D142">
        <v>16</v>
      </c>
      <c r="E142" s="4">
        <v>0.70297029702970293</v>
      </c>
      <c r="F142" s="4">
        <v>9.5692665890570433E-2</v>
      </c>
      <c r="G142" s="4">
        <f t="shared" si="26"/>
        <v>0.70297029702970293</v>
      </c>
      <c r="H142" s="4" t="str">
        <f t="shared" si="27"/>
        <v/>
      </c>
      <c r="I142" s="4" t="str">
        <f t="shared" si="28"/>
        <v/>
      </c>
      <c r="J142" s="4" t="str">
        <f t="shared" si="29"/>
        <v/>
      </c>
      <c r="K142" s="4" t="str">
        <f t="shared" si="30"/>
        <v/>
      </c>
      <c r="L142" s="4" t="str">
        <f t="shared" si="31"/>
        <v/>
      </c>
      <c r="M142" s="4"/>
      <c r="N142" s="4"/>
      <c r="O142" s="4"/>
      <c r="P142" s="4"/>
      <c r="Q142" s="4"/>
      <c r="R142" s="4"/>
      <c r="S142" s="4"/>
      <c r="T142" s="4"/>
      <c r="U142" s="4"/>
    </row>
    <row r="143" spans="1:21">
      <c r="A143" t="s">
        <v>219</v>
      </c>
      <c r="B143">
        <v>20</v>
      </c>
      <c r="C143" t="str">
        <f t="shared" si="25"/>
        <v>test.Base64_20_</v>
      </c>
      <c r="D143">
        <v>17</v>
      </c>
      <c r="E143" s="4">
        <v>0.70297029702970293</v>
      </c>
      <c r="F143" s="4">
        <v>9.6274738067520377E-2</v>
      </c>
      <c r="G143" s="4">
        <f t="shared" si="26"/>
        <v>0.70297029702970293</v>
      </c>
      <c r="H143" s="4" t="str">
        <f t="shared" si="27"/>
        <v/>
      </c>
      <c r="I143" s="4" t="str">
        <f t="shared" si="28"/>
        <v/>
      </c>
      <c r="J143" s="4" t="str">
        <f t="shared" si="29"/>
        <v/>
      </c>
      <c r="K143" s="4" t="str">
        <f t="shared" si="30"/>
        <v/>
      </c>
      <c r="L143" s="4" t="str">
        <f t="shared" si="31"/>
        <v/>
      </c>
      <c r="M143" s="4"/>
      <c r="N143" s="4"/>
      <c r="O143" s="4"/>
      <c r="P143" s="4"/>
      <c r="Q143" s="4"/>
      <c r="R143" s="4"/>
      <c r="S143" s="4"/>
      <c r="T143" s="4"/>
      <c r="U143" s="4"/>
    </row>
    <row r="144" spans="1:21">
      <c r="A144" t="s">
        <v>219</v>
      </c>
      <c r="B144">
        <v>20</v>
      </c>
      <c r="C144" t="str">
        <f t="shared" si="25"/>
        <v>test.Base64_20_</v>
      </c>
      <c r="D144">
        <v>18</v>
      </c>
      <c r="E144" s="4">
        <v>0.70297029702970293</v>
      </c>
      <c r="F144" s="4">
        <v>0.10174621653084982</v>
      </c>
      <c r="G144" s="4">
        <f t="shared" si="26"/>
        <v>0.70297029702970293</v>
      </c>
      <c r="H144" s="4" t="str">
        <f t="shared" si="27"/>
        <v/>
      </c>
      <c r="I144" s="4" t="str">
        <f t="shared" si="28"/>
        <v/>
      </c>
      <c r="J144" s="4" t="str">
        <f t="shared" si="29"/>
        <v/>
      </c>
      <c r="K144" s="4" t="str">
        <f t="shared" si="30"/>
        <v/>
      </c>
      <c r="L144" s="4" t="str">
        <f t="shared" si="31"/>
        <v/>
      </c>
      <c r="M144" s="4"/>
      <c r="N144" s="4"/>
      <c r="O144" s="4"/>
      <c r="P144" s="4"/>
      <c r="Q144" s="4"/>
      <c r="R144" s="4"/>
      <c r="S144" s="4"/>
      <c r="T144" s="4"/>
      <c r="U144" s="4"/>
    </row>
    <row r="145" spans="1:21">
      <c r="A145" t="s">
        <v>219</v>
      </c>
      <c r="B145">
        <v>20</v>
      </c>
      <c r="C145" t="str">
        <f t="shared" si="25"/>
        <v>test.Base64_20_</v>
      </c>
      <c r="D145">
        <v>19</v>
      </c>
      <c r="E145" s="4">
        <v>0.70297029702970293</v>
      </c>
      <c r="F145" s="4">
        <v>0.1039580908032596</v>
      </c>
      <c r="G145" s="4">
        <f t="shared" si="26"/>
        <v>0.70297029702970293</v>
      </c>
      <c r="H145" s="4" t="str">
        <f t="shared" si="27"/>
        <v/>
      </c>
      <c r="I145" s="4" t="str">
        <f t="shared" si="28"/>
        <v/>
      </c>
      <c r="J145" s="4" t="str">
        <f t="shared" si="29"/>
        <v/>
      </c>
      <c r="K145" s="4" t="str">
        <f t="shared" si="30"/>
        <v/>
      </c>
      <c r="L145" s="4" t="str">
        <f t="shared" si="31"/>
        <v/>
      </c>
      <c r="M145" s="4"/>
      <c r="N145" s="4"/>
      <c r="O145" s="4"/>
      <c r="P145" s="4"/>
      <c r="Q145" s="4"/>
      <c r="R145" s="4"/>
      <c r="S145" s="4"/>
      <c r="T145" s="4"/>
      <c r="U145" s="4"/>
    </row>
    <row r="146" spans="1:21">
      <c r="A146" t="s">
        <v>219</v>
      </c>
      <c r="B146">
        <v>20</v>
      </c>
      <c r="C146" t="str">
        <f t="shared" si="25"/>
        <v>test.Base64_20_</v>
      </c>
      <c r="D146">
        <v>20</v>
      </c>
      <c r="E146" s="4">
        <v>0.70297029702970293</v>
      </c>
      <c r="F146" s="4">
        <v>0.10919674039580908</v>
      </c>
      <c r="G146" s="4">
        <f t="shared" si="26"/>
        <v>0.70297029702970293</v>
      </c>
      <c r="H146" s="4" t="str">
        <f t="shared" si="27"/>
        <v/>
      </c>
      <c r="I146" s="4" t="str">
        <f t="shared" si="28"/>
        <v/>
      </c>
      <c r="J146" s="4" t="str">
        <f t="shared" si="29"/>
        <v/>
      </c>
      <c r="K146" s="4" t="str">
        <f t="shared" si="30"/>
        <v/>
      </c>
      <c r="L146" s="4" t="str">
        <f t="shared" si="31"/>
        <v/>
      </c>
      <c r="M146" s="4"/>
      <c r="N146" s="4"/>
      <c r="O146" s="4"/>
      <c r="P146" s="4"/>
      <c r="Q146" s="4"/>
      <c r="R146" s="4"/>
      <c r="S146" s="4"/>
      <c r="T146" s="4"/>
      <c r="U146" s="4"/>
    </row>
    <row r="147" spans="1:21">
      <c r="A147" t="s">
        <v>219</v>
      </c>
      <c r="B147">
        <v>20</v>
      </c>
      <c r="C147" t="str">
        <f t="shared" si="25"/>
        <v>test.Base64_20_</v>
      </c>
      <c r="D147">
        <v>21</v>
      </c>
      <c r="E147" s="4">
        <v>0.70297029702970293</v>
      </c>
      <c r="F147" s="4">
        <v>0.1140861466821886</v>
      </c>
      <c r="G147" s="4">
        <f t="shared" si="26"/>
        <v>0.70297029702970293</v>
      </c>
      <c r="H147" s="4" t="str">
        <f t="shared" si="27"/>
        <v/>
      </c>
      <c r="I147" s="4" t="str">
        <f t="shared" si="28"/>
        <v/>
      </c>
      <c r="J147" s="4" t="str">
        <f t="shared" si="29"/>
        <v/>
      </c>
      <c r="K147" s="4" t="str">
        <f t="shared" si="30"/>
        <v/>
      </c>
      <c r="L147" s="4" t="str">
        <f t="shared" si="31"/>
        <v/>
      </c>
      <c r="M147" s="4"/>
      <c r="N147" s="4"/>
      <c r="O147" s="4"/>
      <c r="P147" s="4"/>
      <c r="Q147" s="4"/>
      <c r="R147" s="4"/>
      <c r="S147" s="4"/>
      <c r="T147" s="4"/>
      <c r="U147" s="4"/>
    </row>
    <row r="148" spans="1:21">
      <c r="A148" t="s">
        <v>219</v>
      </c>
      <c r="B148">
        <v>20</v>
      </c>
      <c r="C148" t="str">
        <f t="shared" si="25"/>
        <v>test.Base64_20_</v>
      </c>
      <c r="D148">
        <v>22</v>
      </c>
      <c r="E148" s="4">
        <v>0.70297029702970293</v>
      </c>
      <c r="F148" s="4">
        <v>0.11629802095459837</v>
      </c>
      <c r="G148" s="4">
        <f t="shared" si="26"/>
        <v>0.70297029702970293</v>
      </c>
      <c r="H148" s="4" t="str">
        <f t="shared" si="27"/>
        <v/>
      </c>
      <c r="I148" s="4" t="str">
        <f t="shared" si="28"/>
        <v/>
      </c>
      <c r="J148" s="4" t="str">
        <f t="shared" si="29"/>
        <v/>
      </c>
      <c r="K148" s="4" t="str">
        <f t="shared" si="30"/>
        <v/>
      </c>
      <c r="L148" s="4" t="str">
        <f t="shared" si="31"/>
        <v/>
      </c>
      <c r="M148" s="4"/>
      <c r="N148" s="4"/>
      <c r="O148" s="4"/>
      <c r="P148" s="4"/>
      <c r="Q148" s="4"/>
      <c r="R148" s="4"/>
      <c r="S148" s="4"/>
      <c r="T148" s="4"/>
      <c r="U148" s="4"/>
    </row>
    <row r="149" spans="1:21">
      <c r="A149" t="s">
        <v>219</v>
      </c>
      <c r="B149">
        <v>20</v>
      </c>
      <c r="C149" t="str">
        <f t="shared" si="25"/>
        <v>test.Base64_20_</v>
      </c>
      <c r="D149">
        <v>23</v>
      </c>
      <c r="E149" s="4">
        <v>1</v>
      </c>
      <c r="F149" s="4">
        <v>0.51781140861466823</v>
      </c>
      <c r="G149" s="4" t="str">
        <f t="shared" si="26"/>
        <v/>
      </c>
      <c r="H149" s="4" t="str">
        <f t="shared" si="27"/>
        <v/>
      </c>
      <c r="I149" s="4">
        <f t="shared" si="28"/>
        <v>1</v>
      </c>
      <c r="J149" s="4" t="str">
        <f t="shared" si="29"/>
        <v/>
      </c>
      <c r="K149" s="4" t="str">
        <f t="shared" si="30"/>
        <v/>
      </c>
      <c r="L149" s="4" t="str">
        <f t="shared" si="31"/>
        <v/>
      </c>
      <c r="M149" s="4"/>
      <c r="N149" s="4"/>
      <c r="O149" s="4"/>
      <c r="P149" s="4"/>
      <c r="Q149" s="4"/>
      <c r="R149" s="4"/>
      <c r="S149" s="4"/>
      <c r="T149" s="4"/>
      <c r="U149" s="4"/>
    </row>
    <row r="150" spans="1:21">
      <c r="A150" t="s">
        <v>219</v>
      </c>
      <c r="B150">
        <v>20</v>
      </c>
      <c r="C150" t="str">
        <f t="shared" si="25"/>
        <v>test.Base64_20_</v>
      </c>
      <c r="D150">
        <v>24</v>
      </c>
      <c r="E150" s="4">
        <v>1</v>
      </c>
      <c r="F150" s="4">
        <v>0.52467986030267755</v>
      </c>
      <c r="G150" s="4" t="str">
        <f t="shared" si="26"/>
        <v/>
      </c>
      <c r="H150" s="4" t="str">
        <f t="shared" si="27"/>
        <v/>
      </c>
      <c r="I150" s="4">
        <f t="shared" si="28"/>
        <v>1</v>
      </c>
      <c r="J150" s="4" t="str">
        <f t="shared" si="29"/>
        <v/>
      </c>
      <c r="K150" s="4" t="str">
        <f t="shared" si="30"/>
        <v/>
      </c>
      <c r="L150" s="4" t="str">
        <f t="shared" si="31"/>
        <v/>
      </c>
      <c r="M150" s="4"/>
      <c r="N150" s="4"/>
      <c r="O150" s="4"/>
      <c r="P150" s="4"/>
      <c r="Q150" s="4"/>
      <c r="R150" s="4"/>
      <c r="S150" s="4"/>
      <c r="T150" s="4"/>
      <c r="U150" s="4"/>
    </row>
    <row r="151" spans="1:21">
      <c r="A151" t="s">
        <v>219</v>
      </c>
      <c r="B151">
        <v>20</v>
      </c>
      <c r="C151" t="str">
        <f t="shared" si="25"/>
        <v>test.Base64_20_</v>
      </c>
      <c r="D151">
        <v>25</v>
      </c>
      <c r="E151" s="4">
        <v>1</v>
      </c>
      <c r="F151" s="4">
        <v>0.52945285215366711</v>
      </c>
      <c r="G151" s="4" t="str">
        <f t="shared" si="26"/>
        <v/>
      </c>
      <c r="H151" s="4" t="str">
        <f t="shared" si="27"/>
        <v/>
      </c>
      <c r="I151" s="4">
        <f t="shared" si="28"/>
        <v>1</v>
      </c>
      <c r="J151" s="4" t="str">
        <f t="shared" si="29"/>
        <v/>
      </c>
      <c r="K151" s="4" t="str">
        <f t="shared" si="30"/>
        <v/>
      </c>
      <c r="L151" s="4" t="str">
        <f t="shared" si="31"/>
        <v/>
      </c>
      <c r="M151" s="4"/>
      <c r="N151" s="4"/>
      <c r="O151" s="4"/>
      <c r="P151" s="4"/>
      <c r="Q151" s="4"/>
      <c r="R151" s="4"/>
      <c r="S151" s="4"/>
      <c r="T151" s="4"/>
      <c r="U151" s="4"/>
    </row>
    <row r="152" spans="1:21">
      <c r="A152" t="s">
        <v>219</v>
      </c>
      <c r="B152">
        <v>20</v>
      </c>
      <c r="C152" t="str">
        <f t="shared" si="25"/>
        <v>test.Base64_20_</v>
      </c>
      <c r="D152">
        <v>26</v>
      </c>
      <c r="E152" s="4">
        <v>1</v>
      </c>
      <c r="F152" s="4">
        <v>0.53667054714784634</v>
      </c>
      <c r="G152" s="4" t="str">
        <f t="shared" si="26"/>
        <v/>
      </c>
      <c r="H152" s="4" t="str">
        <f t="shared" si="27"/>
        <v/>
      </c>
      <c r="I152" s="4">
        <f t="shared" si="28"/>
        <v>1</v>
      </c>
      <c r="J152" s="4" t="str">
        <f t="shared" si="29"/>
        <v/>
      </c>
      <c r="K152" s="4" t="str">
        <f t="shared" si="30"/>
        <v/>
      </c>
      <c r="L152" s="4" t="str">
        <f t="shared" si="31"/>
        <v/>
      </c>
      <c r="M152" s="4"/>
      <c r="N152" s="4"/>
      <c r="O152" s="4"/>
      <c r="P152" s="4"/>
      <c r="Q152" s="4"/>
      <c r="R152" s="4"/>
      <c r="S152" s="4"/>
      <c r="T152" s="4"/>
      <c r="U152" s="4"/>
    </row>
    <row r="153" spans="1:21">
      <c r="A153" t="s">
        <v>219</v>
      </c>
      <c r="B153">
        <v>20</v>
      </c>
      <c r="C153" t="str">
        <f t="shared" si="25"/>
        <v>test.Base64_20_</v>
      </c>
      <c r="D153">
        <v>27</v>
      </c>
      <c r="E153" s="4">
        <v>1</v>
      </c>
      <c r="F153" s="4">
        <v>0.70954598370197908</v>
      </c>
      <c r="G153" s="4" t="str">
        <f t="shared" si="26"/>
        <v/>
      </c>
      <c r="H153" s="4" t="str">
        <f t="shared" si="27"/>
        <v/>
      </c>
      <c r="I153" s="4" t="str">
        <f t="shared" si="28"/>
        <v/>
      </c>
      <c r="J153" s="4">
        <f t="shared" si="29"/>
        <v>1</v>
      </c>
      <c r="K153" s="4" t="str">
        <f t="shared" si="30"/>
        <v/>
      </c>
      <c r="L153" s="4" t="str">
        <f t="shared" si="31"/>
        <v/>
      </c>
      <c r="M153" s="4"/>
      <c r="N153" s="4"/>
      <c r="O153" s="4"/>
      <c r="P153" s="4"/>
      <c r="Q153" s="4"/>
      <c r="R153" s="4"/>
      <c r="S153" s="4"/>
      <c r="T153" s="4"/>
      <c r="U153" s="4"/>
    </row>
    <row r="154" spans="1:21">
      <c r="A154" t="s">
        <v>219</v>
      </c>
      <c r="B154">
        <v>20</v>
      </c>
      <c r="C154" t="str">
        <f t="shared" si="25"/>
        <v>test.Base64_20_</v>
      </c>
      <c r="D154">
        <v>28</v>
      </c>
      <c r="E154" s="4">
        <v>1</v>
      </c>
      <c r="F154" s="4">
        <v>0.71385331781140859</v>
      </c>
      <c r="G154" s="4" t="str">
        <f t="shared" si="26"/>
        <v/>
      </c>
      <c r="H154" s="4" t="str">
        <f t="shared" si="27"/>
        <v/>
      </c>
      <c r="I154" s="4" t="str">
        <f t="shared" si="28"/>
        <v/>
      </c>
      <c r="J154" s="4">
        <f t="shared" si="29"/>
        <v>1</v>
      </c>
      <c r="K154" s="4" t="str">
        <f t="shared" si="30"/>
        <v/>
      </c>
      <c r="L154" s="4" t="str">
        <f t="shared" si="31"/>
        <v/>
      </c>
      <c r="M154" s="4"/>
      <c r="N154" s="4"/>
      <c r="O154" s="4"/>
      <c r="P154" s="4"/>
      <c r="Q154" s="4"/>
      <c r="R154" s="4"/>
      <c r="S154" s="4"/>
      <c r="T154" s="4"/>
      <c r="U154" s="4"/>
    </row>
    <row r="155" spans="1:21">
      <c r="A155" t="s">
        <v>219</v>
      </c>
      <c r="B155">
        <v>20</v>
      </c>
      <c r="C155" t="str">
        <f t="shared" si="25"/>
        <v>test.Base64_20_</v>
      </c>
      <c r="D155">
        <v>29</v>
      </c>
      <c r="E155" s="4">
        <v>1</v>
      </c>
      <c r="F155" s="4">
        <v>0.71618160651920837</v>
      </c>
      <c r="G155" s="4" t="str">
        <f t="shared" si="26"/>
        <v/>
      </c>
      <c r="H155" s="4" t="str">
        <f t="shared" si="27"/>
        <v/>
      </c>
      <c r="I155" s="4" t="str">
        <f t="shared" si="28"/>
        <v/>
      </c>
      <c r="J155" s="4">
        <f t="shared" si="29"/>
        <v>1</v>
      </c>
      <c r="K155" s="4" t="str">
        <f t="shared" si="30"/>
        <v/>
      </c>
      <c r="L155" s="4" t="str">
        <f t="shared" si="31"/>
        <v/>
      </c>
      <c r="M155" s="4"/>
      <c r="N155" s="4"/>
      <c r="O155" s="4"/>
      <c r="P155" s="4"/>
      <c r="Q155" s="4"/>
      <c r="R155" s="4"/>
      <c r="S155" s="4"/>
      <c r="T155" s="4"/>
      <c r="U155" s="4"/>
    </row>
    <row r="156" spans="1:21">
      <c r="A156" t="s">
        <v>219</v>
      </c>
      <c r="B156">
        <v>20</v>
      </c>
      <c r="C156" t="str">
        <f t="shared" si="25"/>
        <v>test.Base64_20_</v>
      </c>
      <c r="D156">
        <v>30</v>
      </c>
      <c r="E156" s="4">
        <v>1</v>
      </c>
      <c r="F156" s="4">
        <v>0.77019790454016301</v>
      </c>
      <c r="G156" s="4" t="str">
        <f t="shared" si="26"/>
        <v/>
      </c>
      <c r="H156" s="4" t="str">
        <f t="shared" si="27"/>
        <v/>
      </c>
      <c r="I156" s="4" t="str">
        <f t="shared" si="28"/>
        <v/>
      </c>
      <c r="J156" s="4">
        <f t="shared" si="29"/>
        <v>1</v>
      </c>
      <c r="K156" s="4" t="str">
        <f t="shared" si="30"/>
        <v/>
      </c>
      <c r="L156" s="4" t="str">
        <f t="shared" si="31"/>
        <v/>
      </c>
      <c r="M156" s="4"/>
      <c r="N156" s="4"/>
      <c r="O156" s="4"/>
      <c r="P156" s="4"/>
      <c r="Q156" s="4"/>
      <c r="R156" s="4"/>
      <c r="S156" s="4"/>
      <c r="T156" s="4"/>
      <c r="U156" s="4"/>
    </row>
    <row r="157" spans="1:21">
      <c r="A157" t="s">
        <v>219</v>
      </c>
      <c r="B157">
        <v>20</v>
      </c>
      <c r="C157" t="str">
        <f t="shared" si="25"/>
        <v>test.Base64_20_</v>
      </c>
      <c r="D157">
        <v>31</v>
      </c>
      <c r="E157" s="4">
        <v>1</v>
      </c>
      <c r="F157" s="4">
        <v>0.81641443538998837</v>
      </c>
      <c r="G157" s="4" t="str">
        <f t="shared" si="26"/>
        <v/>
      </c>
      <c r="H157" s="4" t="str">
        <f t="shared" si="27"/>
        <v/>
      </c>
      <c r="I157" s="4" t="str">
        <f t="shared" si="28"/>
        <v/>
      </c>
      <c r="J157" s="4" t="str">
        <f t="shared" si="29"/>
        <v/>
      </c>
      <c r="K157" s="4">
        <f t="shared" si="30"/>
        <v>1</v>
      </c>
      <c r="L157" s="4" t="str">
        <f t="shared" si="31"/>
        <v/>
      </c>
      <c r="M157" s="4"/>
      <c r="N157" s="4"/>
      <c r="O157" s="4"/>
      <c r="P157" s="4"/>
      <c r="Q157" s="4"/>
      <c r="R157" s="4"/>
      <c r="S157" s="4"/>
      <c r="T157" s="4"/>
      <c r="U157" s="4"/>
    </row>
    <row r="158" spans="1:21">
      <c r="A158" t="s">
        <v>219</v>
      </c>
      <c r="B158">
        <v>20</v>
      </c>
      <c r="C158" t="str">
        <f t="shared" si="25"/>
        <v>test.Base64_20_</v>
      </c>
      <c r="D158">
        <v>32</v>
      </c>
      <c r="E158" s="4">
        <v>1</v>
      </c>
      <c r="F158" s="4">
        <v>0.89557625145518049</v>
      </c>
      <c r="G158" s="4" t="str">
        <f t="shared" si="26"/>
        <v/>
      </c>
      <c r="H158" s="4" t="str">
        <f t="shared" si="27"/>
        <v/>
      </c>
      <c r="I158" s="4" t="str">
        <f t="shared" si="28"/>
        <v/>
      </c>
      <c r="J158" s="4" t="str">
        <f t="shared" si="29"/>
        <v/>
      </c>
      <c r="K158" s="4">
        <f t="shared" si="30"/>
        <v>1</v>
      </c>
      <c r="L158" s="4" t="str">
        <f t="shared" si="31"/>
        <v/>
      </c>
      <c r="M158" s="4"/>
      <c r="N158" s="4"/>
      <c r="O158" s="4"/>
      <c r="P158" s="4"/>
      <c r="Q158" s="4"/>
      <c r="R158" s="4"/>
      <c r="S158" s="4"/>
      <c r="T158" s="4"/>
      <c r="U158" s="4"/>
    </row>
    <row r="159" spans="1:21">
      <c r="A159" t="s">
        <v>219</v>
      </c>
      <c r="B159">
        <v>20</v>
      </c>
      <c r="C159" t="str">
        <f t="shared" si="25"/>
        <v>test.Base64_20_</v>
      </c>
      <c r="D159">
        <v>33</v>
      </c>
      <c r="E159" s="4">
        <v>1</v>
      </c>
      <c r="F159" s="4">
        <v>0.93830034924330619</v>
      </c>
      <c r="G159" s="4" t="str">
        <f t="shared" si="26"/>
        <v/>
      </c>
      <c r="H159" s="4" t="str">
        <f t="shared" si="27"/>
        <v/>
      </c>
      <c r="I159" s="4" t="str">
        <f t="shared" si="28"/>
        <v/>
      </c>
      <c r="J159" s="4" t="str">
        <f t="shared" si="29"/>
        <v/>
      </c>
      <c r="K159" s="4">
        <f t="shared" si="30"/>
        <v>1</v>
      </c>
      <c r="L159" s="4" t="str">
        <f t="shared" si="31"/>
        <v/>
      </c>
      <c r="M159" s="4"/>
      <c r="N159" s="4"/>
      <c r="O159" s="4"/>
      <c r="P159" s="4"/>
      <c r="Q159" s="4"/>
      <c r="R159" s="4"/>
      <c r="S159" s="4"/>
      <c r="T159" s="4"/>
      <c r="U159" s="4"/>
    </row>
    <row r="160" spans="1:21">
      <c r="A160" t="s">
        <v>220</v>
      </c>
      <c r="B160">
        <v>2</v>
      </c>
      <c r="C160" t="str">
        <f t="shared" si="25"/>
        <v>test.Class11_2_</v>
      </c>
      <c r="D160">
        <v>1</v>
      </c>
      <c r="E160" s="4">
        <v>4.4642857142857144E-2</v>
      </c>
      <c r="F160" s="4">
        <v>5.3160539539804284E-2</v>
      </c>
      <c r="G160" s="4">
        <f t="shared" si="26"/>
        <v>4.4642857142857144E-2</v>
      </c>
      <c r="H160" s="4" t="str">
        <f t="shared" si="27"/>
        <v/>
      </c>
      <c r="I160" s="4" t="str">
        <f t="shared" si="28"/>
        <v/>
      </c>
      <c r="J160" s="4" t="str">
        <f t="shared" si="29"/>
        <v/>
      </c>
      <c r="K160" s="4" t="str">
        <f t="shared" si="30"/>
        <v/>
      </c>
      <c r="L160" s="4" t="str">
        <f t="shared" si="31"/>
        <v/>
      </c>
      <c r="M160" s="4"/>
      <c r="N160" s="4"/>
      <c r="O160" s="4"/>
      <c r="P160" s="4"/>
      <c r="Q160" s="4"/>
      <c r="R160" s="4"/>
      <c r="S160" s="4"/>
      <c r="T160" s="4"/>
      <c r="U160" s="4"/>
    </row>
    <row r="161" spans="1:21">
      <c r="A161" t="s">
        <v>220</v>
      </c>
      <c r="B161">
        <v>2</v>
      </c>
      <c r="C161" t="str">
        <f t="shared" si="25"/>
        <v>test.Class11_2_</v>
      </c>
      <c r="D161">
        <v>2</v>
      </c>
      <c r="E161" s="4">
        <v>0.5</v>
      </c>
      <c r="F161" s="4">
        <v>0.51494313673631309</v>
      </c>
      <c r="G161" s="4" t="str">
        <f t="shared" si="26"/>
        <v/>
      </c>
      <c r="H161" s="4" t="str">
        <f t="shared" si="27"/>
        <v/>
      </c>
      <c r="I161" s="4">
        <f t="shared" si="28"/>
        <v>0.5</v>
      </c>
      <c r="J161" s="4" t="str">
        <f t="shared" si="29"/>
        <v/>
      </c>
      <c r="K161" s="4" t="str">
        <f t="shared" si="30"/>
        <v/>
      </c>
      <c r="L161" s="4" t="str">
        <f t="shared" si="31"/>
        <v/>
      </c>
      <c r="M161" s="4"/>
      <c r="N161" s="4"/>
      <c r="O161" s="4"/>
      <c r="P161" s="4"/>
      <c r="Q161" s="4"/>
      <c r="R161" s="4"/>
      <c r="S161" s="4"/>
      <c r="T161" s="4"/>
      <c r="U161" s="4"/>
    </row>
    <row r="162" spans="1:21">
      <c r="A162" t="s">
        <v>220</v>
      </c>
      <c r="B162">
        <v>2</v>
      </c>
      <c r="C162" t="str">
        <f t="shared" si="25"/>
        <v>test.Class11_2_</v>
      </c>
      <c r="D162">
        <v>3</v>
      </c>
      <c r="E162" s="4">
        <v>1</v>
      </c>
      <c r="F162" s="4">
        <v>0.99391695318698758</v>
      </c>
      <c r="G162" s="4" t="str">
        <f t="shared" si="26"/>
        <v/>
      </c>
      <c r="H162" s="4" t="str">
        <f t="shared" si="27"/>
        <v/>
      </c>
      <c r="I162" s="4" t="str">
        <f t="shared" si="28"/>
        <v/>
      </c>
      <c r="J162" s="4" t="str">
        <f t="shared" si="29"/>
        <v/>
      </c>
      <c r="K162" s="4">
        <f t="shared" si="30"/>
        <v>1</v>
      </c>
      <c r="L162" s="4" t="str">
        <f t="shared" si="31"/>
        <v/>
      </c>
      <c r="M162" s="4"/>
      <c r="N162" s="4"/>
      <c r="O162" s="4"/>
      <c r="P162" s="4"/>
      <c r="Q162" s="4"/>
      <c r="R162" s="4"/>
      <c r="S162" s="4"/>
      <c r="T162" s="4"/>
      <c r="U162" s="4"/>
    </row>
    <row r="163" spans="1:21">
      <c r="A163" t="s">
        <v>220</v>
      </c>
      <c r="B163">
        <v>3</v>
      </c>
      <c r="C163" t="str">
        <f t="shared" si="25"/>
        <v>test.Class11_3_</v>
      </c>
      <c r="D163">
        <v>1</v>
      </c>
      <c r="E163" s="4">
        <v>0.97727272727272729</v>
      </c>
      <c r="F163" s="4">
        <v>0.97786211258697031</v>
      </c>
      <c r="G163" s="4" t="str">
        <f t="shared" si="26"/>
        <v/>
      </c>
      <c r="H163" s="4" t="str">
        <f t="shared" si="27"/>
        <v/>
      </c>
      <c r="I163" s="4" t="str">
        <f t="shared" si="28"/>
        <v/>
      </c>
      <c r="J163" s="4" t="str">
        <f t="shared" si="29"/>
        <v/>
      </c>
      <c r="K163" s="4">
        <f t="shared" si="30"/>
        <v>0.97727272727272729</v>
      </c>
      <c r="L163" s="4" t="str">
        <f t="shared" si="31"/>
        <v/>
      </c>
      <c r="M163" s="4"/>
      <c r="N163" s="4"/>
      <c r="O163" s="4"/>
      <c r="P163" s="4"/>
      <c r="Q163" s="4"/>
      <c r="R163" s="4"/>
      <c r="S163" s="4"/>
      <c r="T163" s="4"/>
      <c r="U163" s="4"/>
    </row>
    <row r="164" spans="1:21">
      <c r="A164" t="s">
        <v>220</v>
      </c>
      <c r="B164">
        <v>3</v>
      </c>
      <c r="C164" t="str">
        <f t="shared" si="25"/>
        <v>test.Class11_3_</v>
      </c>
      <c r="D164">
        <v>2</v>
      </c>
      <c r="E164" s="4">
        <v>1</v>
      </c>
      <c r="F164" s="4">
        <v>0.9835547122074636</v>
      </c>
      <c r="G164" s="4" t="str">
        <f t="shared" si="26"/>
        <v/>
      </c>
      <c r="H164" s="4" t="str">
        <f t="shared" si="27"/>
        <v/>
      </c>
      <c r="I164" s="4" t="str">
        <f t="shared" si="28"/>
        <v/>
      </c>
      <c r="J164" s="4" t="str">
        <f t="shared" si="29"/>
        <v/>
      </c>
      <c r="K164" s="4">
        <f t="shared" si="30"/>
        <v>1</v>
      </c>
      <c r="L164" s="4" t="str">
        <f t="shared" si="31"/>
        <v/>
      </c>
      <c r="M164" s="4"/>
      <c r="N164" s="4"/>
      <c r="O164" s="4"/>
      <c r="P164" s="4"/>
      <c r="Q164" s="4"/>
      <c r="R164" s="4"/>
      <c r="S164" s="4"/>
      <c r="T164" s="4"/>
      <c r="U164" s="4"/>
    </row>
    <row r="165" spans="1:21">
      <c r="A165" t="s">
        <v>220</v>
      </c>
      <c r="B165">
        <v>7</v>
      </c>
      <c r="C165" t="str">
        <f t="shared" si="25"/>
        <v>test.Class11_7_</v>
      </c>
      <c r="D165">
        <v>1</v>
      </c>
      <c r="E165" s="4">
        <v>0.93023255813953487</v>
      </c>
      <c r="F165" s="4">
        <v>0.99258760107816713</v>
      </c>
      <c r="G165" s="4" t="str">
        <f t="shared" si="26"/>
        <v/>
      </c>
      <c r="H165" s="4" t="str">
        <f t="shared" si="27"/>
        <v/>
      </c>
      <c r="I165" s="4" t="str">
        <f t="shared" si="28"/>
        <v/>
      </c>
      <c r="J165" s="4" t="str">
        <f t="shared" si="29"/>
        <v/>
      </c>
      <c r="K165" s="4">
        <f t="shared" si="30"/>
        <v>0.93023255813953487</v>
      </c>
      <c r="L165" s="4" t="str">
        <f t="shared" si="31"/>
        <v/>
      </c>
      <c r="M165" s="4"/>
      <c r="N165" s="4"/>
      <c r="O165" s="4"/>
      <c r="P165" s="4"/>
      <c r="Q165" s="4"/>
      <c r="R165" s="4"/>
      <c r="S165" s="4"/>
      <c r="T165" s="4"/>
      <c r="U165" s="4"/>
    </row>
    <row r="166" spans="1:21">
      <c r="A166" t="s">
        <v>220</v>
      </c>
      <c r="B166">
        <v>7</v>
      </c>
      <c r="C166" t="str">
        <f t="shared" si="25"/>
        <v>test.Class11_7_</v>
      </c>
      <c r="D166">
        <v>2</v>
      </c>
      <c r="E166" s="4">
        <v>1</v>
      </c>
      <c r="F166" s="4">
        <v>1.0256064690026954</v>
      </c>
      <c r="G166" s="4" t="str">
        <f t="shared" si="26"/>
        <v/>
      </c>
      <c r="H166" s="4" t="str">
        <f t="shared" si="27"/>
        <v/>
      </c>
      <c r="I166" s="4" t="str">
        <f t="shared" si="28"/>
        <v/>
      </c>
      <c r="J166" s="4" t="str">
        <f t="shared" si="29"/>
        <v/>
      </c>
      <c r="K166" s="4">
        <f t="shared" si="30"/>
        <v>1</v>
      </c>
      <c r="L166" s="4" t="str">
        <f t="shared" si="31"/>
        <v/>
      </c>
      <c r="M166" s="4"/>
      <c r="N166" s="4"/>
      <c r="O166" s="4"/>
      <c r="P166" s="4"/>
      <c r="Q166" s="4"/>
      <c r="R166" s="4"/>
      <c r="S166" s="4"/>
      <c r="T166" s="4"/>
      <c r="U166" s="4"/>
    </row>
    <row r="167" spans="1:21">
      <c r="A167" t="s">
        <v>220</v>
      </c>
      <c r="B167">
        <v>10</v>
      </c>
      <c r="C167" t="str">
        <f t="shared" si="25"/>
        <v>test.Class11_10_</v>
      </c>
      <c r="D167">
        <v>1</v>
      </c>
      <c r="E167" s="4">
        <v>0.11576354679802955</v>
      </c>
      <c r="F167" s="4">
        <v>0.12815345573966264</v>
      </c>
      <c r="G167" s="4">
        <f t="shared" si="26"/>
        <v>0.11576354679802955</v>
      </c>
      <c r="H167" s="4" t="str">
        <f t="shared" si="27"/>
        <v/>
      </c>
      <c r="I167" s="4" t="str">
        <f t="shared" si="28"/>
        <v/>
      </c>
      <c r="J167" s="4" t="str">
        <f t="shared" si="29"/>
        <v/>
      </c>
      <c r="K167" s="4" t="str">
        <f t="shared" si="30"/>
        <v/>
      </c>
      <c r="L167" s="4" t="str">
        <f t="shared" si="31"/>
        <v/>
      </c>
      <c r="M167" s="4"/>
      <c r="N167" s="4"/>
      <c r="O167" s="4"/>
      <c r="P167" s="4"/>
      <c r="Q167" s="4"/>
      <c r="R167" s="4"/>
      <c r="S167" s="4"/>
      <c r="T167" s="4"/>
      <c r="U167" s="4"/>
    </row>
    <row r="168" spans="1:21">
      <c r="A168" t="s">
        <v>220</v>
      </c>
      <c r="B168">
        <v>10</v>
      </c>
      <c r="C168" t="str">
        <f t="shared" si="25"/>
        <v>test.Class11_10_</v>
      </c>
      <c r="D168">
        <v>2</v>
      </c>
      <c r="E168" s="4">
        <v>0.11576354679802955</v>
      </c>
      <c r="F168" s="4">
        <v>0.1283773697566801</v>
      </c>
      <c r="G168" s="4">
        <f t="shared" si="26"/>
        <v>0.11576354679802955</v>
      </c>
      <c r="H168" s="4" t="str">
        <f t="shared" si="27"/>
        <v/>
      </c>
      <c r="I168" s="4" t="str">
        <f t="shared" si="28"/>
        <v/>
      </c>
      <c r="J168" s="4" t="str">
        <f t="shared" si="29"/>
        <v/>
      </c>
      <c r="K168" s="4" t="str">
        <f t="shared" si="30"/>
        <v/>
      </c>
      <c r="L168" s="4" t="str">
        <f t="shared" si="31"/>
        <v/>
      </c>
      <c r="M168" s="4"/>
      <c r="N168" s="4"/>
      <c r="O168" s="4"/>
      <c r="P168" s="4"/>
      <c r="Q168" s="4"/>
      <c r="R168" s="4"/>
      <c r="S168" s="4"/>
      <c r="T168" s="4"/>
      <c r="U168" s="4"/>
    </row>
    <row r="169" spans="1:21">
      <c r="A169" t="s">
        <v>220</v>
      </c>
      <c r="B169">
        <v>10</v>
      </c>
      <c r="C169" t="str">
        <f t="shared" si="25"/>
        <v>test.Class11_10_</v>
      </c>
      <c r="D169">
        <v>3</v>
      </c>
      <c r="E169" s="4">
        <v>0.11576354679802955</v>
      </c>
      <c r="F169" s="4">
        <v>0.12934766383042245</v>
      </c>
      <c r="G169" s="4">
        <f t="shared" si="26"/>
        <v>0.11576354679802955</v>
      </c>
      <c r="H169" s="4" t="str">
        <f t="shared" si="27"/>
        <v/>
      </c>
      <c r="I169" s="4" t="str">
        <f t="shared" si="28"/>
        <v/>
      </c>
      <c r="J169" s="4" t="str">
        <f t="shared" si="29"/>
        <v/>
      </c>
      <c r="K169" s="4" t="str">
        <f t="shared" si="30"/>
        <v/>
      </c>
      <c r="L169" s="4" t="str">
        <f t="shared" si="31"/>
        <v/>
      </c>
      <c r="M169" s="4"/>
      <c r="N169" s="4"/>
      <c r="O169" s="4"/>
      <c r="P169" s="4"/>
      <c r="Q169" s="4"/>
      <c r="R169" s="4"/>
      <c r="S169" s="4"/>
      <c r="T169" s="4"/>
      <c r="U169" s="4"/>
    </row>
    <row r="170" spans="1:21">
      <c r="A170" t="s">
        <v>220</v>
      </c>
      <c r="B170">
        <v>10</v>
      </c>
      <c r="C170" t="str">
        <f t="shared" si="25"/>
        <v>test.Class11_10_</v>
      </c>
      <c r="D170">
        <v>4</v>
      </c>
      <c r="E170" s="4">
        <v>0.11576354679802955</v>
      </c>
      <c r="F170" s="4">
        <v>0.13136288998357964</v>
      </c>
      <c r="G170" s="4">
        <f t="shared" si="26"/>
        <v>0.11576354679802955</v>
      </c>
      <c r="H170" s="4" t="str">
        <f t="shared" si="27"/>
        <v/>
      </c>
      <c r="I170" s="4" t="str">
        <f t="shared" si="28"/>
        <v/>
      </c>
      <c r="J170" s="4" t="str">
        <f t="shared" si="29"/>
        <v/>
      </c>
      <c r="K170" s="4" t="str">
        <f t="shared" si="30"/>
        <v/>
      </c>
      <c r="L170" s="4" t="str">
        <f t="shared" si="31"/>
        <v/>
      </c>
      <c r="M170" s="4"/>
      <c r="N170" s="4"/>
      <c r="O170" s="4"/>
      <c r="P170" s="4"/>
      <c r="Q170" s="4"/>
      <c r="R170" s="4"/>
      <c r="S170" s="4"/>
      <c r="T170" s="4"/>
      <c r="U170" s="4"/>
    </row>
    <row r="171" spans="1:21">
      <c r="A171" t="s">
        <v>220</v>
      </c>
      <c r="B171">
        <v>10</v>
      </c>
      <c r="C171" t="str">
        <f t="shared" si="25"/>
        <v>test.Class11_10_</v>
      </c>
      <c r="D171">
        <v>5</v>
      </c>
      <c r="E171" s="4">
        <v>0.20689655172413793</v>
      </c>
      <c r="F171" s="4">
        <v>0.132333184057322</v>
      </c>
      <c r="G171" s="4">
        <f t="shared" si="26"/>
        <v>0.20689655172413793</v>
      </c>
      <c r="H171" s="4" t="str">
        <f t="shared" si="27"/>
        <v/>
      </c>
      <c r="I171" s="4" t="str">
        <f t="shared" si="28"/>
        <v/>
      </c>
      <c r="J171" s="4" t="str">
        <f t="shared" si="29"/>
        <v/>
      </c>
      <c r="K171" s="4" t="str">
        <f t="shared" si="30"/>
        <v/>
      </c>
      <c r="L171" s="4" t="str">
        <f t="shared" si="31"/>
        <v/>
      </c>
      <c r="M171" s="4"/>
      <c r="N171" s="4"/>
      <c r="O171" s="4"/>
      <c r="P171" s="4"/>
      <c r="Q171" s="4"/>
      <c r="R171" s="4"/>
      <c r="S171" s="4"/>
      <c r="T171" s="4"/>
      <c r="U171" s="4"/>
    </row>
    <row r="172" spans="1:21">
      <c r="A172" t="s">
        <v>220</v>
      </c>
      <c r="B172">
        <v>10</v>
      </c>
      <c r="C172" t="str">
        <f t="shared" si="25"/>
        <v>test.Class11_10_</v>
      </c>
      <c r="D172">
        <v>6</v>
      </c>
      <c r="E172" s="4">
        <v>0.20689655172413793</v>
      </c>
      <c r="F172" s="4">
        <v>0.13255709807433946</v>
      </c>
      <c r="G172" s="4">
        <f t="shared" si="26"/>
        <v>0.20689655172413793</v>
      </c>
      <c r="H172" s="4" t="str">
        <f t="shared" si="27"/>
        <v/>
      </c>
      <c r="I172" s="4" t="str">
        <f t="shared" si="28"/>
        <v/>
      </c>
      <c r="J172" s="4" t="str">
        <f t="shared" si="29"/>
        <v/>
      </c>
      <c r="K172" s="4" t="str">
        <f t="shared" si="30"/>
        <v/>
      </c>
      <c r="L172" s="4" t="str">
        <f t="shared" si="31"/>
        <v/>
      </c>
      <c r="M172" s="4"/>
      <c r="N172" s="4"/>
      <c r="O172" s="4"/>
      <c r="P172" s="4"/>
      <c r="Q172" s="4"/>
      <c r="R172" s="4"/>
      <c r="S172" s="4"/>
      <c r="T172" s="4"/>
      <c r="U172" s="4"/>
    </row>
    <row r="173" spans="1:21">
      <c r="A173" t="s">
        <v>220</v>
      </c>
      <c r="B173">
        <v>10</v>
      </c>
      <c r="C173" t="str">
        <f t="shared" si="25"/>
        <v>test.Class11_10_</v>
      </c>
      <c r="D173">
        <v>7</v>
      </c>
      <c r="E173" s="4">
        <v>0.20689655172413793</v>
      </c>
      <c r="F173" s="4">
        <v>0.13278101209135693</v>
      </c>
      <c r="G173" s="4">
        <f t="shared" si="26"/>
        <v>0.20689655172413793</v>
      </c>
      <c r="H173" s="4" t="str">
        <f t="shared" si="27"/>
        <v/>
      </c>
      <c r="I173" s="4" t="str">
        <f t="shared" si="28"/>
        <v/>
      </c>
      <c r="J173" s="4" t="str">
        <f t="shared" si="29"/>
        <v/>
      </c>
      <c r="K173" s="4" t="str">
        <f t="shared" si="30"/>
        <v/>
      </c>
      <c r="L173" s="4" t="str">
        <f t="shared" si="31"/>
        <v/>
      </c>
      <c r="M173" s="4"/>
      <c r="N173" s="4"/>
      <c r="O173" s="4"/>
      <c r="P173" s="4"/>
      <c r="Q173" s="4"/>
      <c r="R173" s="4"/>
      <c r="S173" s="4"/>
      <c r="T173" s="4"/>
      <c r="U173" s="4"/>
    </row>
    <row r="174" spans="1:21">
      <c r="A174" t="s">
        <v>220</v>
      </c>
      <c r="B174">
        <v>10</v>
      </c>
      <c r="C174" t="str">
        <f t="shared" si="25"/>
        <v>test.Class11_10_</v>
      </c>
      <c r="D174">
        <v>8</v>
      </c>
      <c r="E174" s="4">
        <v>0.20689655172413793</v>
      </c>
      <c r="F174" s="4">
        <v>0.13464696223316913</v>
      </c>
      <c r="G174" s="4">
        <f t="shared" si="26"/>
        <v>0.20689655172413793</v>
      </c>
      <c r="H174" s="4" t="str">
        <f t="shared" si="27"/>
        <v/>
      </c>
      <c r="I174" s="4" t="str">
        <f t="shared" si="28"/>
        <v/>
      </c>
      <c r="J174" s="4" t="str">
        <f t="shared" si="29"/>
        <v/>
      </c>
      <c r="K174" s="4" t="str">
        <f t="shared" si="30"/>
        <v/>
      </c>
      <c r="L174" s="4" t="str">
        <f t="shared" si="31"/>
        <v/>
      </c>
      <c r="M174" s="4"/>
      <c r="N174" s="4"/>
      <c r="O174" s="4"/>
      <c r="P174" s="4"/>
      <c r="Q174" s="4"/>
      <c r="R174" s="4"/>
      <c r="S174" s="4"/>
      <c r="T174" s="4"/>
      <c r="U174" s="4"/>
    </row>
    <row r="175" spans="1:21">
      <c r="A175" t="s">
        <v>220</v>
      </c>
      <c r="B175">
        <v>10</v>
      </c>
      <c r="C175" t="str">
        <f t="shared" si="25"/>
        <v>test.Class11_10_</v>
      </c>
      <c r="D175">
        <v>9</v>
      </c>
      <c r="E175" s="4">
        <v>0.22167487684729065</v>
      </c>
      <c r="F175" s="4">
        <v>0.1406180026869682</v>
      </c>
      <c r="G175" s="4">
        <f t="shared" si="26"/>
        <v>0.22167487684729065</v>
      </c>
      <c r="H175" s="4" t="str">
        <f t="shared" si="27"/>
        <v/>
      </c>
      <c r="I175" s="4" t="str">
        <f t="shared" si="28"/>
        <v/>
      </c>
      <c r="J175" s="4" t="str">
        <f t="shared" si="29"/>
        <v/>
      </c>
      <c r="K175" s="4" t="str">
        <f t="shared" si="30"/>
        <v/>
      </c>
      <c r="L175" s="4" t="str">
        <f t="shared" si="31"/>
        <v/>
      </c>
      <c r="M175" s="4"/>
      <c r="N175" s="4"/>
      <c r="O175" s="4"/>
      <c r="P175" s="4"/>
      <c r="Q175" s="4"/>
      <c r="R175" s="4"/>
      <c r="S175" s="4"/>
      <c r="T175" s="4"/>
      <c r="U175" s="4"/>
    </row>
    <row r="176" spans="1:21">
      <c r="A176" t="s">
        <v>220</v>
      </c>
      <c r="B176">
        <v>10</v>
      </c>
      <c r="C176" t="str">
        <f t="shared" si="25"/>
        <v>test.Class11_10_</v>
      </c>
      <c r="D176">
        <v>10</v>
      </c>
      <c r="E176" s="4">
        <v>0.22167487684729065</v>
      </c>
      <c r="F176" s="4">
        <v>0.14091655470965816</v>
      </c>
      <c r="G176" s="4">
        <f t="shared" si="26"/>
        <v>0.22167487684729065</v>
      </c>
      <c r="H176" s="4" t="str">
        <f t="shared" si="27"/>
        <v/>
      </c>
      <c r="I176" s="4" t="str">
        <f t="shared" si="28"/>
        <v/>
      </c>
      <c r="J176" s="4" t="str">
        <f t="shared" si="29"/>
        <v/>
      </c>
      <c r="K176" s="4" t="str">
        <f t="shared" si="30"/>
        <v/>
      </c>
      <c r="L176" s="4" t="str">
        <f t="shared" si="31"/>
        <v/>
      </c>
      <c r="M176" s="4"/>
      <c r="N176" s="4"/>
      <c r="O176" s="4"/>
      <c r="P176" s="4"/>
      <c r="Q176" s="4"/>
      <c r="R176" s="4"/>
      <c r="S176" s="4"/>
      <c r="T176" s="4"/>
      <c r="U176" s="4"/>
    </row>
    <row r="177" spans="1:21">
      <c r="A177" t="s">
        <v>220</v>
      </c>
      <c r="B177">
        <v>10</v>
      </c>
      <c r="C177" t="str">
        <f t="shared" si="25"/>
        <v>test.Class11_10_</v>
      </c>
      <c r="D177">
        <v>11</v>
      </c>
      <c r="E177" s="4">
        <v>0.22167487684729065</v>
      </c>
      <c r="F177" s="4">
        <v>0.14114046872667563</v>
      </c>
      <c r="G177" s="4">
        <f t="shared" si="26"/>
        <v>0.22167487684729065</v>
      </c>
      <c r="H177" s="4" t="str">
        <f t="shared" si="27"/>
        <v/>
      </c>
      <c r="I177" s="4" t="str">
        <f t="shared" si="28"/>
        <v/>
      </c>
      <c r="J177" s="4" t="str">
        <f t="shared" si="29"/>
        <v/>
      </c>
      <c r="K177" s="4" t="str">
        <f t="shared" si="30"/>
        <v/>
      </c>
      <c r="L177" s="4" t="str">
        <f t="shared" si="31"/>
        <v/>
      </c>
      <c r="M177" s="4"/>
      <c r="N177" s="4"/>
      <c r="O177" s="4"/>
      <c r="P177" s="4"/>
      <c r="Q177" s="4"/>
      <c r="R177" s="4"/>
      <c r="S177" s="4"/>
      <c r="T177" s="4"/>
      <c r="U177" s="4"/>
    </row>
    <row r="178" spans="1:21">
      <c r="A178" t="s">
        <v>220</v>
      </c>
      <c r="B178">
        <v>10</v>
      </c>
      <c r="C178" t="str">
        <f t="shared" si="25"/>
        <v>test.Class11_10_</v>
      </c>
      <c r="D178">
        <v>12</v>
      </c>
      <c r="E178" s="4">
        <v>0.22167487684729065</v>
      </c>
      <c r="F178" s="4">
        <v>0.14263322884012539</v>
      </c>
      <c r="G178" s="4">
        <f t="shared" si="26"/>
        <v>0.22167487684729065</v>
      </c>
      <c r="H178" s="4" t="str">
        <f t="shared" si="27"/>
        <v/>
      </c>
      <c r="I178" s="4" t="str">
        <f t="shared" si="28"/>
        <v/>
      </c>
      <c r="J178" s="4" t="str">
        <f t="shared" si="29"/>
        <v/>
      </c>
      <c r="K178" s="4" t="str">
        <f t="shared" si="30"/>
        <v/>
      </c>
      <c r="L178" s="4" t="str">
        <f t="shared" si="31"/>
        <v/>
      </c>
      <c r="M178" s="4"/>
      <c r="N178" s="4"/>
      <c r="O178" s="4"/>
      <c r="P178" s="4"/>
      <c r="Q178" s="4"/>
      <c r="R178" s="4"/>
      <c r="S178" s="4"/>
      <c r="T178" s="4"/>
      <c r="U178" s="4"/>
    </row>
    <row r="179" spans="1:21">
      <c r="A179" t="s">
        <v>220</v>
      </c>
      <c r="B179">
        <v>10</v>
      </c>
      <c r="C179" t="str">
        <f t="shared" si="25"/>
        <v>test.Class11_10_</v>
      </c>
      <c r="D179">
        <v>13</v>
      </c>
      <c r="E179" s="4">
        <v>0.22167487684729065</v>
      </c>
      <c r="F179" s="4">
        <v>0.14711150918047469</v>
      </c>
      <c r="G179" s="4">
        <f t="shared" si="26"/>
        <v>0.22167487684729065</v>
      </c>
      <c r="H179" s="4" t="str">
        <f t="shared" si="27"/>
        <v/>
      </c>
      <c r="I179" s="4" t="str">
        <f t="shared" si="28"/>
        <v/>
      </c>
      <c r="J179" s="4" t="str">
        <f t="shared" si="29"/>
        <v/>
      </c>
      <c r="K179" s="4" t="str">
        <f t="shared" si="30"/>
        <v/>
      </c>
      <c r="L179" s="4" t="str">
        <f t="shared" si="31"/>
        <v/>
      </c>
      <c r="M179" s="4"/>
      <c r="N179" s="4"/>
      <c r="O179" s="4"/>
      <c r="P179" s="4"/>
      <c r="Q179" s="4"/>
      <c r="R179" s="4"/>
      <c r="S179" s="4"/>
      <c r="T179" s="4"/>
      <c r="U179" s="4"/>
    </row>
    <row r="180" spans="1:21">
      <c r="A180" t="s">
        <v>220</v>
      </c>
      <c r="B180">
        <v>10</v>
      </c>
      <c r="C180" t="str">
        <f t="shared" si="25"/>
        <v>test.Class11_10_</v>
      </c>
      <c r="D180">
        <v>14</v>
      </c>
      <c r="E180" s="4">
        <v>0.22167487684729065</v>
      </c>
      <c r="F180" s="4">
        <v>0.14726078519181968</v>
      </c>
      <c r="G180" s="4">
        <f t="shared" si="26"/>
        <v>0.22167487684729065</v>
      </c>
      <c r="H180" s="4" t="str">
        <f t="shared" si="27"/>
        <v/>
      </c>
      <c r="I180" s="4" t="str">
        <f t="shared" si="28"/>
        <v/>
      </c>
      <c r="J180" s="4" t="str">
        <f t="shared" si="29"/>
        <v/>
      </c>
      <c r="K180" s="4" t="str">
        <f t="shared" si="30"/>
        <v/>
      </c>
      <c r="L180" s="4" t="str">
        <f t="shared" si="31"/>
        <v/>
      </c>
      <c r="M180" s="4"/>
      <c r="N180" s="4"/>
      <c r="O180" s="4"/>
      <c r="P180" s="4"/>
      <c r="Q180" s="4"/>
      <c r="R180" s="4"/>
      <c r="S180" s="4"/>
      <c r="T180" s="4"/>
      <c r="U180" s="4"/>
    </row>
    <row r="181" spans="1:21">
      <c r="A181" t="s">
        <v>220</v>
      </c>
      <c r="B181">
        <v>10</v>
      </c>
      <c r="C181" t="str">
        <f t="shared" si="25"/>
        <v>test.Class11_10_</v>
      </c>
      <c r="D181">
        <v>15</v>
      </c>
      <c r="E181" s="4">
        <v>0.22167487684729065</v>
      </c>
      <c r="F181" s="4">
        <v>0.14793252724287206</v>
      </c>
      <c r="G181" s="4">
        <f t="shared" si="26"/>
        <v>0.22167487684729065</v>
      </c>
      <c r="H181" s="4" t="str">
        <f t="shared" si="27"/>
        <v/>
      </c>
      <c r="I181" s="4" t="str">
        <f t="shared" si="28"/>
        <v/>
      </c>
      <c r="J181" s="4" t="str">
        <f t="shared" si="29"/>
        <v/>
      </c>
      <c r="K181" s="4" t="str">
        <f t="shared" si="30"/>
        <v/>
      </c>
      <c r="L181" s="4" t="str">
        <f t="shared" si="31"/>
        <v/>
      </c>
      <c r="M181" s="4"/>
      <c r="N181" s="4"/>
      <c r="O181" s="4"/>
      <c r="P181" s="4"/>
      <c r="Q181" s="4"/>
      <c r="R181" s="4"/>
      <c r="S181" s="4"/>
      <c r="T181" s="4"/>
      <c r="U181" s="4"/>
    </row>
    <row r="182" spans="1:21">
      <c r="A182" t="s">
        <v>220</v>
      </c>
      <c r="B182">
        <v>10</v>
      </c>
      <c r="C182" t="str">
        <f t="shared" si="25"/>
        <v>test.Class11_10_</v>
      </c>
      <c r="D182">
        <v>16</v>
      </c>
      <c r="E182" s="4">
        <v>0.22167487684729065</v>
      </c>
      <c r="F182" s="4">
        <v>0.14815644125988953</v>
      </c>
      <c r="G182" s="4">
        <f t="shared" si="26"/>
        <v>0.22167487684729065</v>
      </c>
      <c r="H182" s="4" t="str">
        <f t="shared" si="27"/>
        <v/>
      </c>
      <c r="I182" s="4" t="str">
        <f t="shared" si="28"/>
        <v/>
      </c>
      <c r="J182" s="4" t="str">
        <f t="shared" si="29"/>
        <v/>
      </c>
      <c r="K182" s="4" t="str">
        <f t="shared" si="30"/>
        <v/>
      </c>
      <c r="L182" s="4" t="str">
        <f t="shared" si="31"/>
        <v/>
      </c>
      <c r="M182" s="4"/>
      <c r="N182" s="4"/>
      <c r="O182" s="4"/>
      <c r="P182" s="4"/>
      <c r="Q182" s="4"/>
      <c r="R182" s="4"/>
      <c r="S182" s="4"/>
      <c r="T182" s="4"/>
      <c r="U182" s="4"/>
    </row>
    <row r="183" spans="1:21">
      <c r="A183" t="s">
        <v>220</v>
      </c>
      <c r="B183">
        <v>10</v>
      </c>
      <c r="C183" t="str">
        <f t="shared" si="25"/>
        <v>test.Class11_10_</v>
      </c>
      <c r="D183">
        <v>17</v>
      </c>
      <c r="E183" s="4">
        <v>0.33990147783251229</v>
      </c>
      <c r="F183" s="4">
        <v>0.16181519629795491</v>
      </c>
      <c r="G183" s="4">
        <f t="shared" si="26"/>
        <v>0.33990147783251229</v>
      </c>
      <c r="H183" s="4" t="str">
        <f t="shared" si="27"/>
        <v/>
      </c>
      <c r="I183" s="4" t="str">
        <f t="shared" si="28"/>
        <v/>
      </c>
      <c r="J183" s="4" t="str">
        <f t="shared" si="29"/>
        <v/>
      </c>
      <c r="K183" s="4" t="str">
        <f t="shared" si="30"/>
        <v/>
      </c>
      <c r="L183" s="4" t="str">
        <f t="shared" si="31"/>
        <v/>
      </c>
      <c r="M183" s="4"/>
      <c r="N183" s="4"/>
      <c r="O183" s="4"/>
      <c r="P183" s="4"/>
      <c r="Q183" s="4"/>
      <c r="R183" s="4"/>
      <c r="S183" s="4"/>
      <c r="T183" s="4"/>
      <c r="U183" s="4"/>
    </row>
    <row r="184" spans="1:21">
      <c r="A184" t="s">
        <v>220</v>
      </c>
      <c r="B184">
        <v>10</v>
      </c>
      <c r="C184" t="str">
        <f t="shared" si="25"/>
        <v>test.Class11_10_</v>
      </c>
      <c r="D184">
        <v>18</v>
      </c>
      <c r="E184" s="4">
        <v>0.45073891625615764</v>
      </c>
      <c r="F184" s="4">
        <v>0.16218838632631735</v>
      </c>
      <c r="G184" s="4">
        <f t="shared" si="26"/>
        <v>0.45073891625615764</v>
      </c>
      <c r="H184" s="4" t="str">
        <f t="shared" si="27"/>
        <v/>
      </c>
      <c r="I184" s="4" t="str">
        <f t="shared" si="28"/>
        <v/>
      </c>
      <c r="J184" s="4" t="str">
        <f t="shared" si="29"/>
        <v/>
      </c>
      <c r="K184" s="4" t="str">
        <f t="shared" si="30"/>
        <v/>
      </c>
      <c r="L184" s="4" t="str">
        <f t="shared" si="31"/>
        <v/>
      </c>
      <c r="M184" s="4"/>
      <c r="N184" s="4"/>
      <c r="O184" s="4"/>
      <c r="P184" s="4"/>
      <c r="Q184" s="4"/>
      <c r="R184" s="4"/>
      <c r="S184" s="4"/>
      <c r="T184" s="4"/>
      <c r="U184" s="4"/>
    </row>
    <row r="185" spans="1:21">
      <c r="A185" t="s">
        <v>220</v>
      </c>
      <c r="B185">
        <v>10</v>
      </c>
      <c r="C185" t="str">
        <f t="shared" si="25"/>
        <v>test.Class11_10_</v>
      </c>
      <c r="D185">
        <v>19</v>
      </c>
      <c r="E185" s="4">
        <v>0.58620689655172409</v>
      </c>
      <c r="F185" s="4">
        <v>0.16562173458725182</v>
      </c>
      <c r="G185" s="4">
        <f t="shared" si="26"/>
        <v>0.58620689655172409</v>
      </c>
      <c r="H185" s="4" t="str">
        <f t="shared" si="27"/>
        <v/>
      </c>
      <c r="I185" s="4" t="str">
        <f t="shared" si="28"/>
        <v/>
      </c>
      <c r="J185" s="4" t="str">
        <f t="shared" si="29"/>
        <v/>
      </c>
      <c r="K185" s="4" t="str">
        <f t="shared" si="30"/>
        <v/>
      </c>
      <c r="L185" s="4" t="str">
        <f t="shared" si="31"/>
        <v/>
      </c>
      <c r="M185" s="4"/>
      <c r="N185" s="4"/>
      <c r="O185" s="4"/>
      <c r="P185" s="4"/>
      <c r="Q185" s="4"/>
      <c r="R185" s="4"/>
      <c r="S185" s="4"/>
      <c r="T185" s="4"/>
      <c r="U185" s="4"/>
    </row>
    <row r="186" spans="1:21">
      <c r="A186" t="s">
        <v>220</v>
      </c>
      <c r="B186">
        <v>10</v>
      </c>
      <c r="C186" t="str">
        <f t="shared" si="25"/>
        <v>test.Class11_10_</v>
      </c>
      <c r="D186">
        <v>20</v>
      </c>
      <c r="E186" s="4">
        <v>0.58620689655172409</v>
      </c>
      <c r="F186" s="4">
        <v>0.17263770712046575</v>
      </c>
      <c r="G186" s="4">
        <f t="shared" si="26"/>
        <v>0.58620689655172409</v>
      </c>
      <c r="H186" s="4" t="str">
        <f t="shared" si="27"/>
        <v/>
      </c>
      <c r="I186" s="4" t="str">
        <f t="shared" si="28"/>
        <v/>
      </c>
      <c r="J186" s="4" t="str">
        <f t="shared" si="29"/>
        <v/>
      </c>
      <c r="K186" s="4" t="str">
        <f t="shared" si="30"/>
        <v/>
      </c>
      <c r="L186" s="4" t="str">
        <f t="shared" si="31"/>
        <v/>
      </c>
      <c r="M186" s="4"/>
      <c r="N186" s="4"/>
      <c r="O186" s="4"/>
      <c r="P186" s="4"/>
      <c r="Q186" s="4"/>
      <c r="R186" s="4"/>
      <c r="S186" s="4"/>
      <c r="T186" s="4"/>
      <c r="U186" s="4"/>
    </row>
    <row r="187" spans="1:21">
      <c r="A187" t="s">
        <v>220</v>
      </c>
      <c r="B187">
        <v>10</v>
      </c>
      <c r="C187" t="str">
        <f t="shared" si="25"/>
        <v>test.Class11_10_</v>
      </c>
      <c r="D187">
        <v>21</v>
      </c>
      <c r="E187" s="4">
        <v>0.58620689655172409</v>
      </c>
      <c r="F187" s="4">
        <v>0.17510076130765787</v>
      </c>
      <c r="G187" s="4">
        <f t="shared" si="26"/>
        <v>0.58620689655172409</v>
      </c>
      <c r="H187" s="4" t="str">
        <f t="shared" si="27"/>
        <v/>
      </c>
      <c r="I187" s="4" t="str">
        <f t="shared" si="28"/>
        <v/>
      </c>
      <c r="J187" s="4" t="str">
        <f t="shared" si="29"/>
        <v/>
      </c>
      <c r="K187" s="4" t="str">
        <f t="shared" si="30"/>
        <v/>
      </c>
      <c r="L187" s="4" t="str">
        <f t="shared" si="31"/>
        <v/>
      </c>
      <c r="M187" s="4"/>
      <c r="N187" s="4"/>
      <c r="O187" s="4"/>
      <c r="P187" s="4"/>
      <c r="Q187" s="4"/>
      <c r="R187" s="4"/>
      <c r="S187" s="4"/>
      <c r="T187" s="4"/>
      <c r="U187" s="4"/>
    </row>
    <row r="188" spans="1:21">
      <c r="A188" t="s">
        <v>220</v>
      </c>
      <c r="B188">
        <v>10</v>
      </c>
      <c r="C188" t="str">
        <f t="shared" si="25"/>
        <v>test.Class11_10_</v>
      </c>
      <c r="D188">
        <v>22</v>
      </c>
      <c r="E188" s="4">
        <v>0.58620689655172409</v>
      </c>
      <c r="F188" s="4">
        <v>0.18025078369905956</v>
      </c>
      <c r="G188" s="4">
        <f t="shared" si="26"/>
        <v>0.58620689655172409</v>
      </c>
      <c r="H188" s="4" t="str">
        <f t="shared" si="27"/>
        <v/>
      </c>
      <c r="I188" s="4" t="str">
        <f t="shared" si="28"/>
        <v/>
      </c>
      <c r="J188" s="4" t="str">
        <f t="shared" si="29"/>
        <v/>
      </c>
      <c r="K188" s="4" t="str">
        <f t="shared" si="30"/>
        <v/>
      </c>
      <c r="L188" s="4" t="str">
        <f t="shared" si="31"/>
        <v/>
      </c>
      <c r="M188" s="4"/>
      <c r="N188" s="4"/>
      <c r="O188" s="4"/>
      <c r="P188" s="4"/>
      <c r="Q188" s="4"/>
      <c r="R188" s="4"/>
      <c r="S188" s="4"/>
      <c r="T188" s="4"/>
      <c r="U188" s="4"/>
    </row>
    <row r="189" spans="1:21">
      <c r="A189" t="s">
        <v>220</v>
      </c>
      <c r="B189">
        <v>10</v>
      </c>
      <c r="C189" t="str">
        <f t="shared" si="25"/>
        <v>test.Class11_10_</v>
      </c>
      <c r="D189">
        <v>23</v>
      </c>
      <c r="E189" s="4">
        <v>0.77093596059113301</v>
      </c>
      <c r="F189" s="4">
        <v>0.22488431109120766</v>
      </c>
      <c r="G189" s="4" t="str">
        <f t="shared" si="26"/>
        <v/>
      </c>
      <c r="H189" s="4">
        <f t="shared" si="27"/>
        <v>0.77093596059113301</v>
      </c>
      <c r="I189" s="4" t="str">
        <f t="shared" si="28"/>
        <v/>
      </c>
      <c r="J189" s="4" t="str">
        <f t="shared" si="29"/>
        <v/>
      </c>
      <c r="K189" s="4" t="str">
        <f t="shared" si="30"/>
        <v/>
      </c>
      <c r="L189" s="4" t="str">
        <f t="shared" si="31"/>
        <v/>
      </c>
      <c r="M189" s="4"/>
      <c r="N189" s="4"/>
      <c r="O189" s="4"/>
      <c r="P189" s="4"/>
      <c r="Q189" s="4"/>
      <c r="R189" s="4"/>
      <c r="S189" s="4"/>
      <c r="T189" s="4"/>
      <c r="U189" s="4"/>
    </row>
    <row r="190" spans="1:21">
      <c r="A190" t="s">
        <v>220</v>
      </c>
      <c r="B190">
        <v>10</v>
      </c>
      <c r="C190" t="str">
        <f t="shared" si="25"/>
        <v>test.Class11_10_</v>
      </c>
      <c r="D190">
        <v>24</v>
      </c>
      <c r="E190" s="4">
        <v>0.77093596059113301</v>
      </c>
      <c r="F190" s="4">
        <v>0.22615315718763995</v>
      </c>
      <c r="G190" s="4" t="str">
        <f t="shared" si="26"/>
        <v/>
      </c>
      <c r="H190" s="4">
        <f t="shared" si="27"/>
        <v>0.77093596059113301</v>
      </c>
      <c r="I190" s="4" t="str">
        <f t="shared" si="28"/>
        <v/>
      </c>
      <c r="J190" s="4" t="str">
        <f t="shared" si="29"/>
        <v/>
      </c>
      <c r="K190" s="4" t="str">
        <f t="shared" si="30"/>
        <v/>
      </c>
      <c r="L190" s="4" t="str">
        <f t="shared" si="31"/>
        <v/>
      </c>
      <c r="M190" s="4"/>
      <c r="N190" s="4"/>
      <c r="O190" s="4"/>
      <c r="P190" s="4"/>
      <c r="Q190" s="4"/>
      <c r="R190" s="4"/>
      <c r="S190" s="4"/>
      <c r="T190" s="4"/>
      <c r="U190" s="4"/>
    </row>
    <row r="191" spans="1:21">
      <c r="A191" t="s">
        <v>220</v>
      </c>
      <c r="B191">
        <v>10</v>
      </c>
      <c r="C191" t="str">
        <f t="shared" si="25"/>
        <v>test.Class11_10_</v>
      </c>
      <c r="D191">
        <v>25</v>
      </c>
      <c r="E191" s="4">
        <v>0.77093596059113301</v>
      </c>
      <c r="F191" s="4">
        <v>0.22682489923869234</v>
      </c>
      <c r="G191" s="4" t="str">
        <f t="shared" si="26"/>
        <v/>
      </c>
      <c r="H191" s="4">
        <f t="shared" si="27"/>
        <v>0.77093596059113301</v>
      </c>
      <c r="I191" s="4" t="str">
        <f t="shared" si="28"/>
        <v/>
      </c>
      <c r="J191" s="4" t="str">
        <f t="shared" si="29"/>
        <v/>
      </c>
      <c r="K191" s="4" t="str">
        <f t="shared" si="30"/>
        <v/>
      </c>
      <c r="L191" s="4" t="str">
        <f t="shared" si="31"/>
        <v/>
      </c>
      <c r="M191" s="4"/>
      <c r="N191" s="4"/>
      <c r="O191" s="4"/>
      <c r="P191" s="4"/>
      <c r="Q191" s="4"/>
      <c r="R191" s="4"/>
      <c r="S191" s="4"/>
      <c r="T191" s="4"/>
      <c r="U191" s="4"/>
    </row>
    <row r="192" spans="1:21">
      <c r="A192" t="s">
        <v>220</v>
      </c>
      <c r="B192">
        <v>10</v>
      </c>
      <c r="C192" t="str">
        <f t="shared" si="25"/>
        <v>test.Class11_10_</v>
      </c>
      <c r="D192">
        <v>26</v>
      </c>
      <c r="E192" s="4">
        <v>0.77093596059113301</v>
      </c>
      <c r="F192" s="4">
        <v>0.22951186744290192</v>
      </c>
      <c r="G192" s="4" t="str">
        <f t="shared" si="26"/>
        <v/>
      </c>
      <c r="H192" s="4">
        <f t="shared" si="27"/>
        <v>0.77093596059113301</v>
      </c>
      <c r="I192" s="4" t="str">
        <f t="shared" si="28"/>
        <v/>
      </c>
      <c r="J192" s="4" t="str">
        <f t="shared" si="29"/>
        <v/>
      </c>
      <c r="K192" s="4" t="str">
        <f t="shared" si="30"/>
        <v/>
      </c>
      <c r="L192" s="4" t="str">
        <f t="shared" si="31"/>
        <v/>
      </c>
      <c r="M192" s="4"/>
      <c r="N192" s="4"/>
      <c r="O192" s="4"/>
      <c r="P192" s="4"/>
      <c r="Q192" s="4"/>
      <c r="R192" s="4"/>
      <c r="S192" s="4"/>
      <c r="T192" s="4"/>
      <c r="U192" s="4"/>
    </row>
    <row r="193" spans="1:21">
      <c r="A193" t="s">
        <v>220</v>
      </c>
      <c r="B193">
        <v>10</v>
      </c>
      <c r="C193" t="str">
        <f t="shared" si="25"/>
        <v>test.Class11_10_</v>
      </c>
      <c r="D193">
        <v>27</v>
      </c>
      <c r="E193" s="4">
        <v>0.77093596059113301</v>
      </c>
      <c r="F193" s="4">
        <v>0.23794596208389313</v>
      </c>
      <c r="G193" s="4" t="str">
        <f t="shared" si="26"/>
        <v/>
      </c>
      <c r="H193" s="4">
        <f t="shared" si="27"/>
        <v>0.77093596059113301</v>
      </c>
      <c r="I193" s="4" t="str">
        <f t="shared" si="28"/>
        <v/>
      </c>
      <c r="J193" s="4" t="str">
        <f t="shared" si="29"/>
        <v/>
      </c>
      <c r="K193" s="4" t="str">
        <f t="shared" si="30"/>
        <v/>
      </c>
      <c r="L193" s="4" t="str">
        <f t="shared" si="31"/>
        <v/>
      </c>
      <c r="M193" s="4"/>
      <c r="N193" s="4"/>
      <c r="O193" s="4"/>
      <c r="P193" s="4"/>
      <c r="Q193" s="4"/>
      <c r="R193" s="4"/>
      <c r="S193" s="4"/>
      <c r="T193" s="4"/>
      <c r="U193" s="4"/>
    </row>
    <row r="194" spans="1:21">
      <c r="A194" t="s">
        <v>220</v>
      </c>
      <c r="B194">
        <v>10</v>
      </c>
      <c r="C194" t="str">
        <f t="shared" si="25"/>
        <v>test.Class11_10_</v>
      </c>
      <c r="D194">
        <v>28</v>
      </c>
      <c r="E194" s="4">
        <v>0.77093596059113301</v>
      </c>
      <c r="F194" s="4">
        <v>0.23899089416330796</v>
      </c>
      <c r="G194" s="4" t="str">
        <f t="shared" si="26"/>
        <v/>
      </c>
      <c r="H194" s="4">
        <f t="shared" si="27"/>
        <v>0.77093596059113301</v>
      </c>
      <c r="I194" s="4" t="str">
        <f t="shared" si="28"/>
        <v/>
      </c>
      <c r="J194" s="4" t="str">
        <f t="shared" si="29"/>
        <v/>
      </c>
      <c r="K194" s="4" t="str">
        <f t="shared" si="30"/>
        <v/>
      </c>
      <c r="L194" s="4" t="str">
        <f t="shared" si="31"/>
        <v/>
      </c>
      <c r="M194" s="4"/>
      <c r="N194" s="4"/>
      <c r="O194" s="4"/>
      <c r="P194" s="4"/>
      <c r="Q194" s="4"/>
      <c r="R194" s="4"/>
      <c r="S194" s="4"/>
      <c r="T194" s="4"/>
      <c r="U194" s="4"/>
    </row>
    <row r="195" spans="1:21">
      <c r="A195" t="s">
        <v>220</v>
      </c>
      <c r="B195">
        <v>10</v>
      </c>
      <c r="C195" t="str">
        <f t="shared" ref="C195:C258" si="32">CONCATENATE(A195, "_",B195,"_")</f>
        <v>test.Class11_10_</v>
      </c>
      <c r="D195">
        <v>29</v>
      </c>
      <c r="E195" s="4">
        <v>0.77093596059113301</v>
      </c>
      <c r="F195" s="4">
        <v>0.2392894461859979</v>
      </c>
      <c r="G195" s="4" t="str">
        <f t="shared" ref="G195:G258" si="33">IF($F195 &lt;= 0.2,$E195,"")</f>
        <v/>
      </c>
      <c r="H195" s="4">
        <f t="shared" ref="H195:H258" si="34">IF(AND($F195 &gt; 0.2,$F195 &lt;= 0.4),$E195,"")</f>
        <v>0.77093596059113301</v>
      </c>
      <c r="I195" s="4" t="str">
        <f t="shared" ref="I195:I258" si="35">IF(AND($F195 &gt; 0.4,$F195 &lt;= 0.6),$E195,"")</f>
        <v/>
      </c>
      <c r="J195" s="4" t="str">
        <f t="shared" ref="J195:J258" si="36">IF(AND($F195 &gt; 0.6,$F195 &lt;= 0.8),$E195,"")</f>
        <v/>
      </c>
      <c r="K195" s="4" t="str">
        <f t="shared" ref="K195:K258" si="37">IF(AND($F195 &gt; 0.8, $F195 &lt;=1.1),$E195,"")</f>
        <v/>
      </c>
      <c r="L195" s="4" t="str">
        <f t="shared" ref="L195:L258" si="38">IF(AND($F195 &gt; 1.1),$E195,"")</f>
        <v/>
      </c>
      <c r="M195" s="4"/>
      <c r="N195" s="4"/>
      <c r="O195" s="4"/>
      <c r="P195" s="4"/>
      <c r="Q195" s="4"/>
      <c r="R195" s="4"/>
      <c r="S195" s="4"/>
      <c r="T195" s="4"/>
      <c r="U195" s="4"/>
    </row>
    <row r="196" spans="1:21">
      <c r="A196" t="s">
        <v>220</v>
      </c>
      <c r="B196">
        <v>10</v>
      </c>
      <c r="C196" t="str">
        <f t="shared" si="32"/>
        <v>test.Class11_10_</v>
      </c>
      <c r="D196">
        <v>30</v>
      </c>
      <c r="E196" s="4">
        <v>0.77093596059113301</v>
      </c>
      <c r="F196" s="4">
        <v>0.24011046424839527</v>
      </c>
      <c r="G196" s="4" t="str">
        <f t="shared" si="33"/>
        <v/>
      </c>
      <c r="H196" s="4">
        <f t="shared" si="34"/>
        <v>0.77093596059113301</v>
      </c>
      <c r="I196" s="4" t="str">
        <f t="shared" si="35"/>
        <v/>
      </c>
      <c r="J196" s="4" t="str">
        <f t="shared" si="36"/>
        <v/>
      </c>
      <c r="K196" s="4" t="str">
        <f t="shared" si="37"/>
        <v/>
      </c>
      <c r="L196" s="4" t="str">
        <f t="shared" si="38"/>
        <v/>
      </c>
      <c r="M196" s="4"/>
      <c r="N196" s="4"/>
      <c r="O196" s="4"/>
      <c r="P196" s="4"/>
      <c r="Q196" s="4"/>
      <c r="R196" s="4"/>
      <c r="S196" s="4"/>
      <c r="T196" s="4"/>
      <c r="U196" s="4"/>
    </row>
    <row r="197" spans="1:21">
      <c r="A197" t="s">
        <v>220</v>
      </c>
      <c r="B197">
        <v>10</v>
      </c>
      <c r="C197" t="str">
        <f t="shared" si="32"/>
        <v>test.Class11_10_</v>
      </c>
      <c r="D197">
        <v>31</v>
      </c>
      <c r="E197" s="4">
        <v>1</v>
      </c>
      <c r="F197" s="4">
        <v>0.27974324526048666</v>
      </c>
      <c r="G197" s="4" t="str">
        <f t="shared" si="33"/>
        <v/>
      </c>
      <c r="H197" s="4">
        <f t="shared" si="34"/>
        <v>1</v>
      </c>
      <c r="I197" s="4" t="str">
        <f t="shared" si="35"/>
        <v/>
      </c>
      <c r="J197" s="4" t="str">
        <f t="shared" si="36"/>
        <v/>
      </c>
      <c r="K197" s="4" t="str">
        <f t="shared" si="37"/>
        <v/>
      </c>
      <c r="L197" s="4" t="str">
        <f t="shared" si="38"/>
        <v/>
      </c>
      <c r="M197" s="4"/>
      <c r="N197" s="4"/>
      <c r="O197" s="4"/>
      <c r="P197" s="4"/>
      <c r="Q197" s="4"/>
      <c r="R197" s="4"/>
      <c r="S197" s="4"/>
      <c r="T197" s="4"/>
      <c r="U197" s="4"/>
    </row>
    <row r="198" spans="1:21">
      <c r="A198" t="s">
        <v>220</v>
      </c>
      <c r="B198">
        <v>10</v>
      </c>
      <c r="C198" t="str">
        <f t="shared" si="32"/>
        <v>test.Class11_10_</v>
      </c>
      <c r="D198">
        <v>32</v>
      </c>
      <c r="E198" s="4">
        <v>1</v>
      </c>
      <c r="F198" s="4">
        <v>0.29482012240632932</v>
      </c>
      <c r="G198" s="4" t="str">
        <f t="shared" si="33"/>
        <v/>
      </c>
      <c r="H198" s="4">
        <f t="shared" si="34"/>
        <v>1</v>
      </c>
      <c r="I198" s="4" t="str">
        <f t="shared" si="35"/>
        <v/>
      </c>
      <c r="J198" s="4" t="str">
        <f t="shared" si="36"/>
        <v/>
      </c>
      <c r="K198" s="4" t="str">
        <f t="shared" si="37"/>
        <v/>
      </c>
      <c r="L198" s="4" t="str">
        <f t="shared" si="38"/>
        <v/>
      </c>
      <c r="M198" s="4"/>
      <c r="N198" s="4"/>
      <c r="O198" s="4"/>
      <c r="P198" s="4"/>
      <c r="Q198" s="4"/>
      <c r="R198" s="4"/>
      <c r="S198" s="4"/>
      <c r="T198" s="4"/>
      <c r="U198" s="4"/>
    </row>
    <row r="199" spans="1:21">
      <c r="A199" t="s">
        <v>220</v>
      </c>
      <c r="B199">
        <v>11</v>
      </c>
      <c r="C199" t="str">
        <f t="shared" si="32"/>
        <v>test.Class11_11_</v>
      </c>
      <c r="D199">
        <v>1</v>
      </c>
      <c r="E199" s="4">
        <v>5.208333333333333E-3</v>
      </c>
      <c r="F199" s="4">
        <v>1.9407729630249289E-2</v>
      </c>
      <c r="G199" s="4">
        <f t="shared" si="33"/>
        <v>5.208333333333333E-3</v>
      </c>
      <c r="H199" s="4" t="str">
        <f t="shared" si="34"/>
        <v/>
      </c>
      <c r="I199" s="4" t="str">
        <f t="shared" si="35"/>
        <v/>
      </c>
      <c r="J199" s="4" t="str">
        <f t="shared" si="36"/>
        <v/>
      </c>
      <c r="K199" s="4" t="str">
        <f t="shared" si="37"/>
        <v/>
      </c>
      <c r="L199" s="4" t="str">
        <f t="shared" si="38"/>
        <v/>
      </c>
      <c r="M199" s="4"/>
      <c r="N199" s="4"/>
      <c r="O199" s="4"/>
      <c r="P199" s="4"/>
      <c r="Q199" s="4"/>
      <c r="R199" s="4"/>
      <c r="S199" s="4"/>
      <c r="T199" s="4"/>
      <c r="U199" s="4"/>
    </row>
    <row r="200" spans="1:21">
      <c r="A200" t="s">
        <v>220</v>
      </c>
      <c r="B200">
        <v>11</v>
      </c>
      <c r="C200" t="str">
        <f t="shared" si="32"/>
        <v>test.Class11_11_</v>
      </c>
      <c r="D200">
        <v>2</v>
      </c>
      <c r="E200" s="4">
        <v>0.38541666666666669</v>
      </c>
      <c r="F200" s="4">
        <v>0.40522001003848085</v>
      </c>
      <c r="G200" s="4" t="str">
        <f t="shared" si="33"/>
        <v/>
      </c>
      <c r="H200" s="4" t="str">
        <f t="shared" si="34"/>
        <v/>
      </c>
      <c r="I200" s="4">
        <f t="shared" si="35"/>
        <v>0.38541666666666669</v>
      </c>
      <c r="J200" s="4" t="str">
        <f t="shared" si="36"/>
        <v/>
      </c>
      <c r="K200" s="4" t="str">
        <f t="shared" si="37"/>
        <v/>
      </c>
      <c r="L200" s="4" t="str">
        <f t="shared" si="38"/>
        <v/>
      </c>
      <c r="M200" s="4"/>
      <c r="N200" s="4"/>
      <c r="O200" s="4"/>
      <c r="P200" s="4"/>
      <c r="Q200" s="4"/>
      <c r="R200" s="4"/>
      <c r="S200" s="4"/>
      <c r="T200" s="4"/>
      <c r="U200" s="4"/>
    </row>
    <row r="201" spans="1:21">
      <c r="A201" t="s">
        <v>220</v>
      </c>
      <c r="B201">
        <v>11</v>
      </c>
      <c r="C201" t="str">
        <f t="shared" si="32"/>
        <v>test.Class11_11_</v>
      </c>
      <c r="D201">
        <v>3</v>
      </c>
      <c r="E201" s="4">
        <v>0.41666666666666669</v>
      </c>
      <c r="F201" s="4">
        <v>0.43081813618872344</v>
      </c>
      <c r="G201" s="4" t="str">
        <f t="shared" si="33"/>
        <v/>
      </c>
      <c r="H201" s="4" t="str">
        <f t="shared" si="34"/>
        <v/>
      </c>
      <c r="I201" s="4">
        <f t="shared" si="35"/>
        <v>0.41666666666666669</v>
      </c>
      <c r="J201" s="4" t="str">
        <f t="shared" si="36"/>
        <v/>
      </c>
      <c r="K201" s="4" t="str">
        <f t="shared" si="37"/>
        <v/>
      </c>
      <c r="L201" s="4" t="str">
        <f t="shared" si="38"/>
        <v/>
      </c>
      <c r="M201" s="4"/>
      <c r="N201" s="4"/>
      <c r="O201" s="4"/>
      <c r="P201" s="4"/>
      <c r="Q201" s="4"/>
      <c r="R201" s="4"/>
      <c r="S201" s="4"/>
      <c r="T201" s="4"/>
      <c r="U201" s="4"/>
    </row>
    <row r="202" spans="1:21">
      <c r="A202" t="s">
        <v>220</v>
      </c>
      <c r="B202">
        <v>11</v>
      </c>
      <c r="C202" t="str">
        <f t="shared" si="32"/>
        <v>test.Class11_11_</v>
      </c>
      <c r="D202">
        <v>4</v>
      </c>
      <c r="E202" s="4">
        <v>0.55729166666666663</v>
      </c>
      <c r="F202" s="4">
        <v>0.51731637945457587</v>
      </c>
      <c r="G202" s="4" t="str">
        <f t="shared" si="33"/>
        <v/>
      </c>
      <c r="H202" s="4" t="str">
        <f t="shared" si="34"/>
        <v/>
      </c>
      <c r="I202" s="4">
        <f t="shared" si="35"/>
        <v>0.55729166666666663</v>
      </c>
      <c r="J202" s="4" t="str">
        <f t="shared" si="36"/>
        <v/>
      </c>
      <c r="K202" s="4" t="str">
        <f t="shared" si="37"/>
        <v/>
      </c>
      <c r="L202" s="4" t="str">
        <f t="shared" si="38"/>
        <v/>
      </c>
      <c r="M202" s="4"/>
      <c r="N202" s="4"/>
      <c r="O202" s="4"/>
      <c r="P202" s="4"/>
      <c r="Q202" s="4"/>
      <c r="R202" s="4"/>
      <c r="S202" s="4"/>
      <c r="T202" s="4"/>
      <c r="U202" s="4"/>
    </row>
    <row r="203" spans="1:21">
      <c r="A203" t="s">
        <v>220</v>
      </c>
      <c r="B203">
        <v>11</v>
      </c>
      <c r="C203" t="str">
        <f t="shared" si="32"/>
        <v>test.Class11_11_</v>
      </c>
      <c r="D203">
        <v>5</v>
      </c>
      <c r="E203" s="4">
        <v>0.69791666666666663</v>
      </c>
      <c r="F203" s="4">
        <v>0.52685293625564666</v>
      </c>
      <c r="G203" s="4" t="str">
        <f t="shared" si="33"/>
        <v/>
      </c>
      <c r="H203" s="4" t="str">
        <f t="shared" si="34"/>
        <v/>
      </c>
      <c r="I203" s="4">
        <f t="shared" si="35"/>
        <v>0.69791666666666663</v>
      </c>
      <c r="J203" s="4" t="str">
        <f t="shared" si="36"/>
        <v/>
      </c>
      <c r="K203" s="4" t="str">
        <f t="shared" si="37"/>
        <v/>
      </c>
      <c r="L203" s="4" t="str">
        <f t="shared" si="38"/>
        <v/>
      </c>
      <c r="M203" s="4"/>
      <c r="N203" s="4"/>
      <c r="O203" s="4"/>
      <c r="P203" s="4"/>
      <c r="Q203" s="4"/>
      <c r="R203" s="4"/>
      <c r="S203" s="4"/>
      <c r="T203" s="4"/>
      <c r="U203" s="4"/>
    </row>
    <row r="204" spans="1:21">
      <c r="A204" t="s">
        <v>220</v>
      </c>
      <c r="B204">
        <v>11</v>
      </c>
      <c r="C204" t="str">
        <f t="shared" si="32"/>
        <v>test.Class11_11_</v>
      </c>
      <c r="D204">
        <v>6</v>
      </c>
      <c r="E204" s="4">
        <v>0.83854166666666663</v>
      </c>
      <c r="F204" s="4">
        <v>0.53856449723941779</v>
      </c>
      <c r="G204" s="4" t="str">
        <f t="shared" si="33"/>
        <v/>
      </c>
      <c r="H204" s="4" t="str">
        <f t="shared" si="34"/>
        <v/>
      </c>
      <c r="I204" s="4">
        <f t="shared" si="35"/>
        <v>0.83854166666666663</v>
      </c>
      <c r="J204" s="4" t="str">
        <f t="shared" si="36"/>
        <v/>
      </c>
      <c r="K204" s="4" t="str">
        <f t="shared" si="37"/>
        <v/>
      </c>
      <c r="L204" s="4" t="str">
        <f t="shared" si="38"/>
        <v/>
      </c>
      <c r="M204" s="4"/>
      <c r="N204" s="4"/>
      <c r="O204" s="4"/>
      <c r="P204" s="4"/>
      <c r="Q204" s="4"/>
      <c r="R204" s="4"/>
      <c r="S204" s="4"/>
      <c r="T204" s="4"/>
      <c r="U204" s="4"/>
    </row>
    <row r="205" spans="1:21">
      <c r="A205" t="s">
        <v>220</v>
      </c>
      <c r="B205">
        <v>11</v>
      </c>
      <c r="C205" t="str">
        <f t="shared" si="32"/>
        <v>test.Class11_11_</v>
      </c>
      <c r="D205">
        <v>7</v>
      </c>
      <c r="E205" s="4">
        <v>0.83854166666666663</v>
      </c>
      <c r="F205" s="4">
        <v>0.54007026936590263</v>
      </c>
      <c r="G205" s="4" t="str">
        <f t="shared" si="33"/>
        <v/>
      </c>
      <c r="H205" s="4" t="str">
        <f t="shared" si="34"/>
        <v/>
      </c>
      <c r="I205" s="4">
        <f t="shared" si="35"/>
        <v>0.83854166666666663</v>
      </c>
      <c r="J205" s="4" t="str">
        <f t="shared" si="36"/>
        <v/>
      </c>
      <c r="K205" s="4" t="str">
        <f t="shared" si="37"/>
        <v/>
      </c>
      <c r="L205" s="4" t="str">
        <f t="shared" si="38"/>
        <v/>
      </c>
      <c r="M205" s="4"/>
      <c r="N205" s="4"/>
      <c r="O205" s="4"/>
      <c r="P205" s="4"/>
      <c r="Q205" s="4"/>
      <c r="R205" s="4"/>
      <c r="S205" s="4"/>
      <c r="T205" s="4"/>
      <c r="U205" s="4"/>
    </row>
    <row r="206" spans="1:21">
      <c r="A206" t="s">
        <v>220</v>
      </c>
      <c r="B206">
        <v>11</v>
      </c>
      <c r="C206" t="str">
        <f t="shared" si="32"/>
        <v>test.Class11_11_</v>
      </c>
      <c r="D206">
        <v>8</v>
      </c>
      <c r="E206" s="4">
        <v>0.97916666666666663</v>
      </c>
      <c r="F206" s="4">
        <v>0.54492220177346495</v>
      </c>
      <c r="G206" s="4" t="str">
        <f t="shared" si="33"/>
        <v/>
      </c>
      <c r="H206" s="4" t="str">
        <f t="shared" si="34"/>
        <v/>
      </c>
      <c r="I206" s="4">
        <f t="shared" si="35"/>
        <v>0.97916666666666663</v>
      </c>
      <c r="J206" s="4" t="str">
        <f t="shared" si="36"/>
        <v/>
      </c>
      <c r="K206" s="4" t="str">
        <f t="shared" si="37"/>
        <v/>
      </c>
      <c r="L206" s="4" t="str">
        <f t="shared" si="38"/>
        <v/>
      </c>
      <c r="M206" s="4"/>
      <c r="N206" s="4"/>
      <c r="O206" s="4"/>
      <c r="P206" s="4"/>
      <c r="Q206" s="4"/>
      <c r="R206" s="4"/>
      <c r="S206" s="4"/>
      <c r="T206" s="4"/>
      <c r="U206" s="4"/>
    </row>
    <row r="207" spans="1:21">
      <c r="A207" t="s">
        <v>220</v>
      </c>
      <c r="B207">
        <v>11</v>
      </c>
      <c r="C207" t="str">
        <f t="shared" si="32"/>
        <v>test.Class11_11_</v>
      </c>
      <c r="D207">
        <v>9</v>
      </c>
      <c r="E207" s="4">
        <v>0.97916666666666663</v>
      </c>
      <c r="F207" s="4">
        <v>0.55312029446210476</v>
      </c>
      <c r="G207" s="4" t="str">
        <f t="shared" si="33"/>
        <v/>
      </c>
      <c r="H207" s="4" t="str">
        <f t="shared" si="34"/>
        <v/>
      </c>
      <c r="I207" s="4">
        <f t="shared" si="35"/>
        <v>0.97916666666666663</v>
      </c>
      <c r="J207" s="4" t="str">
        <f t="shared" si="36"/>
        <v/>
      </c>
      <c r="K207" s="4" t="str">
        <f t="shared" si="37"/>
        <v/>
      </c>
      <c r="L207" s="4" t="str">
        <f t="shared" si="38"/>
        <v/>
      </c>
      <c r="M207" s="4"/>
      <c r="N207" s="4"/>
      <c r="O207" s="4"/>
      <c r="P207" s="4"/>
      <c r="Q207" s="4"/>
      <c r="R207" s="4"/>
      <c r="S207" s="4"/>
      <c r="T207" s="4"/>
      <c r="U207" s="4"/>
    </row>
    <row r="208" spans="1:21">
      <c r="A208" t="s">
        <v>220</v>
      </c>
      <c r="B208">
        <v>11</v>
      </c>
      <c r="C208" t="str">
        <f t="shared" si="32"/>
        <v>test.Class11_11_</v>
      </c>
      <c r="D208">
        <v>10</v>
      </c>
      <c r="E208" s="4">
        <v>0.97916666666666663</v>
      </c>
      <c r="F208" s="4">
        <v>0.55696837878534378</v>
      </c>
      <c r="G208" s="4" t="str">
        <f t="shared" si="33"/>
        <v/>
      </c>
      <c r="H208" s="4" t="str">
        <f t="shared" si="34"/>
        <v/>
      </c>
      <c r="I208" s="4">
        <f t="shared" si="35"/>
        <v>0.97916666666666663</v>
      </c>
      <c r="J208" s="4" t="str">
        <f t="shared" si="36"/>
        <v/>
      </c>
      <c r="K208" s="4" t="str">
        <f t="shared" si="37"/>
        <v/>
      </c>
      <c r="L208" s="4" t="str">
        <f t="shared" si="38"/>
        <v/>
      </c>
      <c r="M208" s="4"/>
      <c r="N208" s="4"/>
      <c r="O208" s="4"/>
      <c r="P208" s="4"/>
      <c r="Q208" s="4"/>
      <c r="R208" s="4"/>
      <c r="S208" s="4"/>
      <c r="T208" s="4"/>
      <c r="U208" s="4"/>
    </row>
    <row r="209" spans="1:21">
      <c r="A209" t="s">
        <v>220</v>
      </c>
      <c r="B209">
        <v>11</v>
      </c>
      <c r="C209" t="str">
        <f t="shared" si="32"/>
        <v>test.Class11_11_</v>
      </c>
      <c r="D209">
        <v>11</v>
      </c>
      <c r="E209" s="4">
        <v>0.97916666666666663</v>
      </c>
      <c r="F209" s="4">
        <v>0.56550108750209138</v>
      </c>
      <c r="G209" s="4" t="str">
        <f t="shared" si="33"/>
        <v/>
      </c>
      <c r="H209" s="4" t="str">
        <f t="shared" si="34"/>
        <v/>
      </c>
      <c r="I209" s="4">
        <f t="shared" si="35"/>
        <v>0.97916666666666663</v>
      </c>
      <c r="J209" s="4" t="str">
        <f t="shared" si="36"/>
        <v/>
      </c>
      <c r="K209" s="4" t="str">
        <f t="shared" si="37"/>
        <v/>
      </c>
      <c r="L209" s="4" t="str">
        <f t="shared" si="38"/>
        <v/>
      </c>
      <c r="M209" s="4"/>
      <c r="N209" s="4"/>
      <c r="O209" s="4"/>
      <c r="P209" s="4"/>
      <c r="Q209" s="4"/>
      <c r="R209" s="4"/>
      <c r="S209" s="4"/>
      <c r="T209" s="4"/>
      <c r="U209" s="4"/>
    </row>
    <row r="210" spans="1:21">
      <c r="A210" t="s">
        <v>220</v>
      </c>
      <c r="B210">
        <v>11</v>
      </c>
      <c r="C210" t="str">
        <f t="shared" si="32"/>
        <v>test.Class11_11_</v>
      </c>
      <c r="D210">
        <v>12</v>
      </c>
      <c r="E210" s="4">
        <v>1</v>
      </c>
      <c r="F210" s="4">
        <v>0.96770955328760244</v>
      </c>
      <c r="G210" s="4" t="str">
        <f t="shared" si="33"/>
        <v/>
      </c>
      <c r="H210" s="4" t="str">
        <f t="shared" si="34"/>
        <v/>
      </c>
      <c r="I210" s="4" t="str">
        <f t="shared" si="35"/>
        <v/>
      </c>
      <c r="J210" s="4" t="str">
        <f t="shared" si="36"/>
        <v/>
      </c>
      <c r="K210" s="4">
        <f t="shared" si="37"/>
        <v>1</v>
      </c>
      <c r="L210" s="4" t="str">
        <f t="shared" si="38"/>
        <v/>
      </c>
      <c r="M210" s="4"/>
      <c r="N210" s="4"/>
      <c r="O210" s="4"/>
      <c r="P210" s="4"/>
      <c r="Q210" s="4"/>
      <c r="R210" s="4"/>
      <c r="S210" s="4"/>
      <c r="T210" s="4"/>
      <c r="U210" s="4"/>
    </row>
    <row r="211" spans="1:21">
      <c r="A211" t="s">
        <v>220</v>
      </c>
      <c r="B211">
        <v>11</v>
      </c>
      <c r="C211" t="str">
        <f t="shared" si="32"/>
        <v>test.Class11_11_</v>
      </c>
      <c r="D211">
        <v>13</v>
      </c>
      <c r="E211" s="4">
        <v>1</v>
      </c>
      <c r="F211" s="4">
        <v>0.99749037978919186</v>
      </c>
      <c r="G211" s="4" t="str">
        <f t="shared" si="33"/>
        <v/>
      </c>
      <c r="H211" s="4" t="str">
        <f t="shared" si="34"/>
        <v/>
      </c>
      <c r="I211" s="4" t="str">
        <f t="shared" si="35"/>
        <v/>
      </c>
      <c r="J211" s="4" t="str">
        <f t="shared" si="36"/>
        <v/>
      </c>
      <c r="K211" s="4">
        <f t="shared" si="37"/>
        <v>1</v>
      </c>
      <c r="L211" s="4" t="str">
        <f t="shared" si="38"/>
        <v/>
      </c>
      <c r="M211" s="4"/>
      <c r="N211" s="4"/>
      <c r="O211" s="4"/>
      <c r="P211" s="4"/>
      <c r="Q211" s="4"/>
      <c r="R211" s="4"/>
      <c r="S211" s="4"/>
      <c r="T211" s="4"/>
      <c r="U211" s="4"/>
    </row>
    <row r="212" spans="1:21">
      <c r="A212" t="s">
        <v>220</v>
      </c>
      <c r="B212">
        <v>12</v>
      </c>
      <c r="C212" t="str">
        <f t="shared" si="32"/>
        <v>test.Class11_12_</v>
      </c>
      <c r="D212">
        <v>1</v>
      </c>
      <c r="E212" s="4">
        <v>8.4745762711864406E-3</v>
      </c>
      <c r="F212" s="4">
        <v>2.6627998945425783E-2</v>
      </c>
      <c r="G212" s="4">
        <f t="shared" si="33"/>
        <v>8.4745762711864406E-3</v>
      </c>
      <c r="H212" s="4" t="str">
        <f t="shared" si="34"/>
        <v/>
      </c>
      <c r="I212" s="4" t="str">
        <f t="shared" si="35"/>
        <v/>
      </c>
      <c r="J212" s="4" t="str">
        <f t="shared" si="36"/>
        <v/>
      </c>
      <c r="K212" s="4" t="str">
        <f t="shared" si="37"/>
        <v/>
      </c>
      <c r="L212" s="4" t="str">
        <f t="shared" si="38"/>
        <v/>
      </c>
      <c r="M212" s="4"/>
      <c r="N212" s="4"/>
      <c r="O212" s="4"/>
      <c r="P212" s="4"/>
      <c r="Q212" s="4"/>
      <c r="R212" s="4"/>
      <c r="S212" s="4"/>
      <c r="T212" s="4"/>
      <c r="U212" s="4"/>
    </row>
    <row r="213" spans="1:21">
      <c r="A213" t="s">
        <v>220</v>
      </c>
      <c r="B213">
        <v>12</v>
      </c>
      <c r="C213" t="str">
        <f t="shared" si="32"/>
        <v>test.Class11_12_</v>
      </c>
      <c r="D213">
        <v>2</v>
      </c>
      <c r="E213" s="4">
        <v>0.52542372881355937</v>
      </c>
      <c r="F213" s="4">
        <v>0.59662536250988663</v>
      </c>
      <c r="G213" s="4" t="str">
        <f t="shared" si="33"/>
        <v/>
      </c>
      <c r="H213" s="4" t="str">
        <f t="shared" si="34"/>
        <v/>
      </c>
      <c r="I213" s="4">
        <f t="shared" si="35"/>
        <v>0.52542372881355937</v>
      </c>
      <c r="J213" s="4" t="str">
        <f t="shared" si="36"/>
        <v/>
      </c>
      <c r="K213" s="4" t="str">
        <f t="shared" si="37"/>
        <v/>
      </c>
      <c r="L213" s="4" t="str">
        <f t="shared" si="38"/>
        <v/>
      </c>
      <c r="M213" s="4"/>
      <c r="N213" s="4"/>
      <c r="O213" s="4"/>
      <c r="P213" s="4"/>
      <c r="Q213" s="4"/>
      <c r="R213" s="4"/>
      <c r="S213" s="4"/>
      <c r="T213" s="4"/>
      <c r="U213" s="4"/>
    </row>
    <row r="214" spans="1:21">
      <c r="A214" t="s">
        <v>220</v>
      </c>
      <c r="B214">
        <v>12</v>
      </c>
      <c r="C214" t="str">
        <f t="shared" si="32"/>
        <v>test.Class11_12_</v>
      </c>
      <c r="D214">
        <v>3</v>
      </c>
      <c r="E214" s="4">
        <v>0.55932203389830504</v>
      </c>
      <c r="F214" s="4">
        <v>0.63669918270498282</v>
      </c>
      <c r="G214" s="4" t="str">
        <f t="shared" si="33"/>
        <v/>
      </c>
      <c r="H214" s="4" t="str">
        <f t="shared" si="34"/>
        <v/>
      </c>
      <c r="I214" s="4" t="str">
        <f t="shared" si="35"/>
        <v/>
      </c>
      <c r="J214" s="4">
        <f t="shared" si="36"/>
        <v>0.55932203389830504</v>
      </c>
      <c r="K214" s="4" t="str">
        <f t="shared" si="37"/>
        <v/>
      </c>
      <c r="L214" s="4" t="str">
        <f t="shared" si="38"/>
        <v/>
      </c>
      <c r="M214" s="4"/>
      <c r="N214" s="4"/>
      <c r="O214" s="4"/>
      <c r="P214" s="4"/>
      <c r="Q214" s="4"/>
      <c r="R214" s="4"/>
      <c r="S214" s="4"/>
      <c r="T214" s="4"/>
      <c r="U214" s="4"/>
    </row>
    <row r="215" spans="1:21">
      <c r="A215" t="s">
        <v>220</v>
      </c>
      <c r="B215">
        <v>12</v>
      </c>
      <c r="C215" t="str">
        <f t="shared" si="32"/>
        <v>test.Class11_12_</v>
      </c>
      <c r="D215">
        <v>4</v>
      </c>
      <c r="E215" s="4">
        <v>0.59322033898305082</v>
      </c>
      <c r="F215" s="4">
        <v>0.68441866596361722</v>
      </c>
      <c r="G215" s="4" t="str">
        <f t="shared" si="33"/>
        <v/>
      </c>
      <c r="H215" s="4" t="str">
        <f t="shared" si="34"/>
        <v/>
      </c>
      <c r="I215" s="4" t="str">
        <f t="shared" si="35"/>
        <v/>
      </c>
      <c r="J215" s="4">
        <f t="shared" si="36"/>
        <v>0.59322033898305082</v>
      </c>
      <c r="K215" s="4" t="str">
        <f t="shared" si="37"/>
        <v/>
      </c>
      <c r="L215" s="4" t="str">
        <f t="shared" si="38"/>
        <v/>
      </c>
      <c r="M215" s="4"/>
      <c r="N215" s="4"/>
      <c r="O215" s="4"/>
      <c r="P215" s="4"/>
      <c r="Q215" s="4"/>
      <c r="R215" s="4"/>
      <c r="S215" s="4"/>
      <c r="T215" s="4"/>
      <c r="U215" s="4"/>
    </row>
    <row r="216" spans="1:21">
      <c r="A216" t="s">
        <v>220</v>
      </c>
      <c r="B216">
        <v>12</v>
      </c>
      <c r="C216" t="str">
        <f t="shared" si="32"/>
        <v>test.Class11_12_</v>
      </c>
      <c r="D216">
        <v>5</v>
      </c>
      <c r="E216" s="4">
        <v>0.71186440677966101</v>
      </c>
      <c r="F216" s="4">
        <v>0.7215924070656472</v>
      </c>
      <c r="G216" s="4" t="str">
        <f t="shared" si="33"/>
        <v/>
      </c>
      <c r="H216" s="4" t="str">
        <f t="shared" si="34"/>
        <v/>
      </c>
      <c r="I216" s="4" t="str">
        <f t="shared" si="35"/>
        <v/>
      </c>
      <c r="J216" s="4">
        <f t="shared" si="36"/>
        <v>0.71186440677966101</v>
      </c>
      <c r="K216" s="4" t="str">
        <f t="shared" si="37"/>
        <v/>
      </c>
      <c r="L216" s="4" t="str">
        <f t="shared" si="38"/>
        <v/>
      </c>
      <c r="M216" s="4"/>
      <c r="N216" s="4"/>
      <c r="O216" s="4"/>
      <c r="P216" s="4"/>
      <c r="Q216" s="4"/>
      <c r="R216" s="4"/>
      <c r="S216" s="4"/>
      <c r="T216" s="4"/>
      <c r="U216" s="4"/>
    </row>
    <row r="217" spans="1:21">
      <c r="A217" t="s">
        <v>220</v>
      </c>
      <c r="B217">
        <v>12</v>
      </c>
      <c r="C217" t="str">
        <f t="shared" si="32"/>
        <v>test.Class11_12_</v>
      </c>
      <c r="D217">
        <v>6</v>
      </c>
      <c r="E217" s="4">
        <v>0.88983050847457623</v>
      </c>
      <c r="F217" s="4">
        <v>0.73108357500659105</v>
      </c>
      <c r="G217" s="4" t="str">
        <f t="shared" si="33"/>
        <v/>
      </c>
      <c r="H217" s="4" t="str">
        <f t="shared" si="34"/>
        <v/>
      </c>
      <c r="I217" s="4" t="str">
        <f t="shared" si="35"/>
        <v/>
      </c>
      <c r="J217" s="4">
        <f t="shared" si="36"/>
        <v>0.88983050847457623</v>
      </c>
      <c r="K217" s="4" t="str">
        <f t="shared" si="37"/>
        <v/>
      </c>
      <c r="L217" s="4" t="str">
        <f t="shared" si="38"/>
        <v/>
      </c>
      <c r="M217" s="4"/>
      <c r="N217" s="4"/>
      <c r="O217" s="4"/>
      <c r="P217" s="4"/>
      <c r="Q217" s="4"/>
      <c r="R217" s="4"/>
      <c r="S217" s="4"/>
      <c r="T217" s="4"/>
      <c r="U217" s="4"/>
    </row>
    <row r="218" spans="1:21">
      <c r="A218" t="s">
        <v>220</v>
      </c>
      <c r="B218">
        <v>12</v>
      </c>
      <c r="C218" t="str">
        <f t="shared" si="32"/>
        <v>test.Class11_12_</v>
      </c>
      <c r="D218">
        <v>7</v>
      </c>
      <c r="E218" s="4">
        <v>1</v>
      </c>
      <c r="F218" s="4">
        <v>0.73345636699182704</v>
      </c>
      <c r="G218" s="4" t="str">
        <f t="shared" si="33"/>
        <v/>
      </c>
      <c r="H218" s="4" t="str">
        <f t="shared" si="34"/>
        <v/>
      </c>
      <c r="I218" s="4" t="str">
        <f t="shared" si="35"/>
        <v/>
      </c>
      <c r="J218" s="4">
        <f t="shared" si="36"/>
        <v>1</v>
      </c>
      <c r="K218" s="4" t="str">
        <f t="shared" si="37"/>
        <v/>
      </c>
      <c r="L218" s="4" t="str">
        <f t="shared" si="38"/>
        <v/>
      </c>
      <c r="M218" s="4"/>
      <c r="N218" s="4"/>
      <c r="O218" s="4"/>
      <c r="P218" s="4"/>
      <c r="Q218" s="4"/>
      <c r="R218" s="4"/>
      <c r="S218" s="4"/>
      <c r="T218" s="4"/>
      <c r="U218" s="4"/>
    </row>
    <row r="219" spans="1:21">
      <c r="A219" t="s">
        <v>220</v>
      </c>
      <c r="B219">
        <v>12</v>
      </c>
      <c r="C219" t="str">
        <f t="shared" si="32"/>
        <v>test.Class11_12_</v>
      </c>
      <c r="D219">
        <v>8</v>
      </c>
      <c r="E219" s="4">
        <v>1</v>
      </c>
      <c r="F219" s="4">
        <v>0.7527023464276299</v>
      </c>
      <c r="G219" s="4" t="str">
        <f t="shared" si="33"/>
        <v/>
      </c>
      <c r="H219" s="4" t="str">
        <f t="shared" si="34"/>
        <v/>
      </c>
      <c r="I219" s="4" t="str">
        <f t="shared" si="35"/>
        <v/>
      </c>
      <c r="J219" s="4">
        <f t="shared" si="36"/>
        <v>1</v>
      </c>
      <c r="K219" s="4" t="str">
        <f t="shared" si="37"/>
        <v/>
      </c>
      <c r="L219" s="4" t="str">
        <f t="shared" si="38"/>
        <v/>
      </c>
      <c r="M219" s="4"/>
      <c r="N219" s="4"/>
      <c r="O219" s="4"/>
      <c r="P219" s="4"/>
      <c r="Q219" s="4"/>
      <c r="R219" s="4"/>
      <c r="S219" s="4"/>
      <c r="T219" s="4"/>
      <c r="U219" s="4"/>
    </row>
    <row r="220" spans="1:21">
      <c r="A220" t="s">
        <v>220</v>
      </c>
      <c r="B220">
        <v>12</v>
      </c>
      <c r="C220" t="str">
        <f t="shared" si="32"/>
        <v>test.Class11_12_</v>
      </c>
      <c r="D220">
        <v>9</v>
      </c>
      <c r="E220" s="4">
        <v>1</v>
      </c>
      <c r="F220" s="4">
        <v>0.76904824677036643</v>
      </c>
      <c r="G220" s="4" t="str">
        <f t="shared" si="33"/>
        <v/>
      </c>
      <c r="H220" s="4" t="str">
        <f t="shared" si="34"/>
        <v/>
      </c>
      <c r="I220" s="4" t="str">
        <f t="shared" si="35"/>
        <v/>
      </c>
      <c r="J220" s="4">
        <f t="shared" si="36"/>
        <v>1</v>
      </c>
      <c r="K220" s="4" t="str">
        <f t="shared" si="37"/>
        <v/>
      </c>
      <c r="L220" s="4" t="str">
        <f t="shared" si="38"/>
        <v/>
      </c>
      <c r="M220" s="4"/>
      <c r="N220" s="4"/>
      <c r="O220" s="4"/>
      <c r="P220" s="4"/>
      <c r="Q220" s="4"/>
      <c r="R220" s="4"/>
      <c r="S220" s="4"/>
      <c r="T220" s="4"/>
      <c r="U220" s="4"/>
    </row>
    <row r="221" spans="1:21">
      <c r="A221" t="s">
        <v>220</v>
      </c>
      <c r="B221">
        <v>12</v>
      </c>
      <c r="C221" t="str">
        <f t="shared" si="32"/>
        <v>test.Class11_12_</v>
      </c>
      <c r="D221">
        <v>10</v>
      </c>
      <c r="E221" s="4">
        <v>1</v>
      </c>
      <c r="F221" s="4">
        <v>0.79883996836277349</v>
      </c>
      <c r="G221" s="4" t="str">
        <f t="shared" si="33"/>
        <v/>
      </c>
      <c r="H221" s="4" t="str">
        <f t="shared" si="34"/>
        <v/>
      </c>
      <c r="I221" s="4" t="str">
        <f t="shared" si="35"/>
        <v/>
      </c>
      <c r="J221" s="4">
        <f t="shared" si="36"/>
        <v>1</v>
      </c>
      <c r="K221" s="4" t="str">
        <f t="shared" si="37"/>
        <v/>
      </c>
      <c r="L221" s="4" t="str">
        <f t="shared" si="38"/>
        <v/>
      </c>
      <c r="M221" s="4"/>
      <c r="N221" s="4"/>
      <c r="O221" s="4"/>
      <c r="P221" s="4"/>
      <c r="Q221" s="4"/>
      <c r="R221" s="4"/>
      <c r="S221" s="4"/>
      <c r="T221" s="4"/>
      <c r="U221" s="4"/>
    </row>
    <row r="222" spans="1:21">
      <c r="A222" t="s">
        <v>220</v>
      </c>
      <c r="B222">
        <v>12</v>
      </c>
      <c r="C222" t="str">
        <f t="shared" si="32"/>
        <v>test.Class11_12_</v>
      </c>
      <c r="D222">
        <v>11</v>
      </c>
      <c r="E222" s="4">
        <v>1</v>
      </c>
      <c r="F222" s="4">
        <v>0.82230424466121799</v>
      </c>
      <c r="G222" s="4" t="str">
        <f t="shared" si="33"/>
        <v/>
      </c>
      <c r="H222" s="4" t="str">
        <f t="shared" si="34"/>
        <v/>
      </c>
      <c r="I222" s="4" t="str">
        <f t="shared" si="35"/>
        <v/>
      </c>
      <c r="J222" s="4" t="str">
        <f t="shared" si="36"/>
        <v/>
      </c>
      <c r="K222" s="4">
        <f t="shared" si="37"/>
        <v>1</v>
      </c>
      <c r="L222" s="4" t="str">
        <f t="shared" si="38"/>
        <v/>
      </c>
      <c r="M222" s="4"/>
      <c r="N222" s="4"/>
      <c r="O222" s="4"/>
      <c r="P222" s="4"/>
      <c r="Q222" s="4"/>
      <c r="R222" s="4"/>
      <c r="S222" s="4"/>
      <c r="T222" s="4"/>
      <c r="U222" s="4"/>
    </row>
    <row r="223" spans="1:21">
      <c r="A223" t="s">
        <v>220</v>
      </c>
      <c r="B223">
        <v>12</v>
      </c>
      <c r="C223" t="str">
        <f t="shared" si="32"/>
        <v>test.Class11_12_</v>
      </c>
      <c r="D223">
        <v>12</v>
      </c>
      <c r="E223" s="4">
        <v>1</v>
      </c>
      <c r="F223" s="4">
        <v>0.85341418402320068</v>
      </c>
      <c r="G223" s="4" t="str">
        <f t="shared" si="33"/>
        <v/>
      </c>
      <c r="H223" s="4" t="str">
        <f t="shared" si="34"/>
        <v/>
      </c>
      <c r="I223" s="4" t="str">
        <f t="shared" si="35"/>
        <v/>
      </c>
      <c r="J223" s="4" t="str">
        <f t="shared" si="36"/>
        <v/>
      </c>
      <c r="K223" s="4">
        <f t="shared" si="37"/>
        <v>1</v>
      </c>
      <c r="L223" s="4" t="str">
        <f t="shared" si="38"/>
        <v/>
      </c>
      <c r="M223" s="4"/>
      <c r="N223" s="4"/>
      <c r="O223" s="4"/>
      <c r="P223" s="4"/>
      <c r="Q223" s="4"/>
      <c r="R223" s="4"/>
      <c r="S223" s="4"/>
      <c r="T223" s="4"/>
      <c r="U223" s="4"/>
    </row>
    <row r="224" spans="1:21">
      <c r="A224" t="s">
        <v>220</v>
      </c>
      <c r="B224">
        <v>12</v>
      </c>
      <c r="C224" t="str">
        <f t="shared" si="32"/>
        <v>test.Class11_12_</v>
      </c>
      <c r="D224">
        <v>13</v>
      </c>
      <c r="E224" s="4">
        <v>1</v>
      </c>
      <c r="F224" s="4">
        <v>0.85684155022409703</v>
      </c>
      <c r="G224" s="4" t="str">
        <f t="shared" si="33"/>
        <v/>
      </c>
      <c r="H224" s="4" t="str">
        <f t="shared" si="34"/>
        <v/>
      </c>
      <c r="I224" s="4" t="str">
        <f t="shared" si="35"/>
        <v/>
      </c>
      <c r="J224" s="4" t="str">
        <f t="shared" si="36"/>
        <v/>
      </c>
      <c r="K224" s="4">
        <f t="shared" si="37"/>
        <v>1</v>
      </c>
      <c r="L224" s="4" t="str">
        <f t="shared" si="38"/>
        <v/>
      </c>
      <c r="M224" s="4"/>
      <c r="N224" s="4"/>
      <c r="O224" s="4"/>
      <c r="P224" s="4"/>
      <c r="Q224" s="4"/>
      <c r="R224" s="4"/>
      <c r="S224" s="4"/>
      <c r="T224" s="4"/>
      <c r="U224" s="4"/>
    </row>
    <row r="225" spans="1:21">
      <c r="A225" t="s">
        <v>220</v>
      </c>
      <c r="B225">
        <v>12</v>
      </c>
      <c r="C225" t="str">
        <f t="shared" si="32"/>
        <v>test.Class11_12_</v>
      </c>
      <c r="D225">
        <v>14</v>
      </c>
      <c r="E225" s="4">
        <v>1</v>
      </c>
      <c r="F225" s="4">
        <v>0.86791457948853146</v>
      </c>
      <c r="G225" s="4" t="str">
        <f t="shared" si="33"/>
        <v/>
      </c>
      <c r="H225" s="4" t="str">
        <f t="shared" si="34"/>
        <v/>
      </c>
      <c r="I225" s="4" t="str">
        <f t="shared" si="35"/>
        <v/>
      </c>
      <c r="J225" s="4" t="str">
        <f t="shared" si="36"/>
        <v/>
      </c>
      <c r="K225" s="4">
        <f t="shared" si="37"/>
        <v>1</v>
      </c>
      <c r="L225" s="4" t="str">
        <f t="shared" si="38"/>
        <v/>
      </c>
      <c r="M225" s="4"/>
      <c r="N225" s="4"/>
      <c r="O225" s="4"/>
      <c r="P225" s="4"/>
      <c r="Q225" s="4"/>
      <c r="R225" s="4"/>
      <c r="S225" s="4"/>
      <c r="T225" s="4"/>
      <c r="U225" s="4"/>
    </row>
    <row r="226" spans="1:21">
      <c r="A226" t="s">
        <v>220</v>
      </c>
      <c r="B226">
        <v>12</v>
      </c>
      <c r="C226" t="str">
        <f t="shared" si="32"/>
        <v>test.Class11_12_</v>
      </c>
      <c r="D226">
        <v>15</v>
      </c>
      <c r="E226" s="4">
        <v>1</v>
      </c>
      <c r="F226" s="4">
        <v>0.8903242815713156</v>
      </c>
      <c r="G226" s="4" t="str">
        <f t="shared" si="33"/>
        <v/>
      </c>
      <c r="H226" s="4" t="str">
        <f t="shared" si="34"/>
        <v/>
      </c>
      <c r="I226" s="4" t="str">
        <f t="shared" si="35"/>
        <v/>
      </c>
      <c r="J226" s="4" t="str">
        <f t="shared" si="36"/>
        <v/>
      </c>
      <c r="K226" s="4">
        <f t="shared" si="37"/>
        <v>1</v>
      </c>
      <c r="L226" s="4" t="str">
        <f t="shared" si="38"/>
        <v/>
      </c>
      <c r="M226" s="4"/>
      <c r="N226" s="4"/>
      <c r="O226" s="4"/>
      <c r="P226" s="4"/>
      <c r="Q226" s="4"/>
      <c r="R226" s="4"/>
      <c r="S226" s="4"/>
      <c r="T226" s="4"/>
      <c r="U226" s="4"/>
    </row>
    <row r="227" spans="1:21">
      <c r="A227" t="s">
        <v>220</v>
      </c>
      <c r="B227">
        <v>12</v>
      </c>
      <c r="C227" t="str">
        <f t="shared" si="32"/>
        <v>test.Class11_12_</v>
      </c>
      <c r="D227">
        <v>16</v>
      </c>
      <c r="E227" s="4">
        <v>1</v>
      </c>
      <c r="F227" s="4">
        <v>0.93408911152122331</v>
      </c>
      <c r="G227" s="4" t="str">
        <f t="shared" si="33"/>
        <v/>
      </c>
      <c r="H227" s="4" t="str">
        <f t="shared" si="34"/>
        <v/>
      </c>
      <c r="I227" s="4" t="str">
        <f t="shared" si="35"/>
        <v/>
      </c>
      <c r="J227" s="4" t="str">
        <f t="shared" si="36"/>
        <v/>
      </c>
      <c r="K227" s="4">
        <f t="shared" si="37"/>
        <v>1</v>
      </c>
      <c r="L227" s="4" t="str">
        <f t="shared" si="38"/>
        <v/>
      </c>
      <c r="M227" s="4"/>
      <c r="N227" s="4"/>
      <c r="O227" s="4"/>
      <c r="P227" s="4"/>
      <c r="Q227" s="4"/>
      <c r="R227" s="4"/>
      <c r="S227" s="4"/>
      <c r="T227" s="4"/>
      <c r="U227" s="4"/>
    </row>
    <row r="228" spans="1:21">
      <c r="A228" t="s">
        <v>220</v>
      </c>
      <c r="B228">
        <v>12</v>
      </c>
      <c r="C228" t="str">
        <f t="shared" si="32"/>
        <v>test.Class11_12_</v>
      </c>
      <c r="D228">
        <v>17</v>
      </c>
      <c r="E228" s="4">
        <v>1</v>
      </c>
      <c r="F228" s="4">
        <v>0.98971790139731086</v>
      </c>
      <c r="G228" s="4" t="str">
        <f t="shared" si="33"/>
        <v/>
      </c>
      <c r="H228" s="4" t="str">
        <f t="shared" si="34"/>
        <v/>
      </c>
      <c r="I228" s="4" t="str">
        <f t="shared" si="35"/>
        <v/>
      </c>
      <c r="J228" s="4" t="str">
        <f t="shared" si="36"/>
        <v/>
      </c>
      <c r="K228" s="4">
        <f t="shared" si="37"/>
        <v>1</v>
      </c>
      <c r="L228" s="4" t="str">
        <f t="shared" si="38"/>
        <v/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1">
      <c r="A229" t="s">
        <v>221</v>
      </c>
      <c r="B229">
        <v>1</v>
      </c>
      <c r="C229" t="str">
        <f t="shared" si="32"/>
        <v>test.Class13_1_</v>
      </c>
      <c r="D229">
        <v>1</v>
      </c>
      <c r="E229" s="4">
        <v>0.20454545454545456</v>
      </c>
      <c r="F229" s="4">
        <v>0.38489602334914264</v>
      </c>
      <c r="G229" s="4" t="str">
        <f t="shared" si="33"/>
        <v/>
      </c>
      <c r="H229" s="4">
        <f t="shared" si="34"/>
        <v>0.20454545454545456</v>
      </c>
      <c r="I229" s="4" t="str">
        <f t="shared" si="35"/>
        <v/>
      </c>
      <c r="J229" s="4" t="str">
        <f t="shared" si="36"/>
        <v/>
      </c>
      <c r="K229" s="4" t="str">
        <f t="shared" si="37"/>
        <v/>
      </c>
      <c r="L229" s="4" t="str">
        <f t="shared" si="38"/>
        <v/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1">
      <c r="A230" t="s">
        <v>221</v>
      </c>
      <c r="B230">
        <v>1</v>
      </c>
      <c r="C230" t="str">
        <f t="shared" si="32"/>
        <v>test.Class13_1_</v>
      </c>
      <c r="D230">
        <v>2</v>
      </c>
      <c r="E230" s="4">
        <v>0.38636363636363635</v>
      </c>
      <c r="F230" s="4">
        <v>0.48048157606712877</v>
      </c>
      <c r="G230" s="4" t="str">
        <f t="shared" si="33"/>
        <v/>
      </c>
      <c r="H230" s="4" t="str">
        <f t="shared" si="34"/>
        <v/>
      </c>
      <c r="I230" s="4">
        <f t="shared" si="35"/>
        <v>0.38636363636363635</v>
      </c>
      <c r="J230" s="4" t="str">
        <f t="shared" si="36"/>
        <v/>
      </c>
      <c r="K230" s="4" t="str">
        <f t="shared" si="37"/>
        <v/>
      </c>
      <c r="L230" s="4" t="str">
        <f t="shared" si="38"/>
        <v/>
      </c>
      <c r="M230" s="4"/>
      <c r="N230" s="4"/>
      <c r="O230" s="4"/>
      <c r="P230" s="4"/>
      <c r="Q230" s="4"/>
      <c r="R230" s="4"/>
      <c r="S230" s="4"/>
      <c r="T230" s="4"/>
      <c r="U230" s="4"/>
    </row>
    <row r="231" spans="1:21">
      <c r="A231" t="s">
        <v>221</v>
      </c>
      <c r="B231">
        <v>1</v>
      </c>
      <c r="C231" t="str">
        <f t="shared" si="32"/>
        <v>test.Class13_1_</v>
      </c>
      <c r="D231">
        <v>3</v>
      </c>
      <c r="E231" s="4">
        <v>0.38636363636363635</v>
      </c>
      <c r="F231" s="4">
        <v>0.49252097774534842</v>
      </c>
      <c r="G231" s="4" t="str">
        <f t="shared" si="33"/>
        <v/>
      </c>
      <c r="H231" s="4" t="str">
        <f t="shared" si="34"/>
        <v/>
      </c>
      <c r="I231" s="4">
        <f t="shared" si="35"/>
        <v>0.38636363636363635</v>
      </c>
      <c r="J231" s="4" t="str">
        <f t="shared" si="36"/>
        <v/>
      </c>
      <c r="K231" s="4" t="str">
        <f t="shared" si="37"/>
        <v/>
      </c>
      <c r="L231" s="4" t="str">
        <f t="shared" si="38"/>
        <v/>
      </c>
      <c r="M231" s="4"/>
      <c r="N231" s="4"/>
      <c r="O231" s="4"/>
      <c r="P231" s="4"/>
      <c r="Q231" s="4"/>
      <c r="R231" s="4"/>
      <c r="S231" s="4"/>
      <c r="T231" s="4"/>
      <c r="U231" s="4"/>
    </row>
    <row r="232" spans="1:21">
      <c r="A232" t="s">
        <v>221</v>
      </c>
      <c r="B232">
        <v>1</v>
      </c>
      <c r="C232" t="str">
        <f t="shared" si="32"/>
        <v>test.Class13_1_</v>
      </c>
      <c r="D232">
        <v>4</v>
      </c>
      <c r="E232" s="4">
        <v>0.38636363636363635</v>
      </c>
      <c r="F232" s="4">
        <v>0.50857351331630796</v>
      </c>
      <c r="G232" s="4" t="str">
        <f t="shared" si="33"/>
        <v/>
      </c>
      <c r="H232" s="4" t="str">
        <f t="shared" si="34"/>
        <v/>
      </c>
      <c r="I232" s="4">
        <f t="shared" si="35"/>
        <v>0.38636363636363635</v>
      </c>
      <c r="J232" s="4" t="str">
        <f t="shared" si="36"/>
        <v/>
      </c>
      <c r="K232" s="4" t="str">
        <f t="shared" si="37"/>
        <v/>
      </c>
      <c r="L232" s="4" t="str">
        <f t="shared" si="38"/>
        <v/>
      </c>
      <c r="M232" s="4"/>
      <c r="N232" s="4"/>
      <c r="O232" s="4"/>
      <c r="P232" s="4"/>
      <c r="Q232" s="4"/>
      <c r="R232" s="4"/>
      <c r="S232" s="4"/>
      <c r="T232" s="4"/>
      <c r="U232" s="4"/>
    </row>
    <row r="233" spans="1:21">
      <c r="A233" t="s">
        <v>221</v>
      </c>
      <c r="B233">
        <v>1</v>
      </c>
      <c r="C233" t="str">
        <f t="shared" si="32"/>
        <v>test.Class13_1_</v>
      </c>
      <c r="D233">
        <v>5</v>
      </c>
      <c r="E233" s="4">
        <v>1</v>
      </c>
      <c r="F233" s="4">
        <v>0.8478657424297702</v>
      </c>
      <c r="G233" s="4" t="str">
        <f t="shared" si="33"/>
        <v/>
      </c>
      <c r="H233" s="4" t="str">
        <f t="shared" si="34"/>
        <v/>
      </c>
      <c r="I233" s="4" t="str">
        <f t="shared" si="35"/>
        <v/>
      </c>
      <c r="J233" s="4" t="str">
        <f t="shared" si="36"/>
        <v/>
      </c>
      <c r="K233" s="4">
        <f t="shared" si="37"/>
        <v>1</v>
      </c>
      <c r="L233" s="4" t="str">
        <f t="shared" si="38"/>
        <v/>
      </c>
      <c r="M233" s="4"/>
      <c r="N233" s="4"/>
      <c r="O233" s="4"/>
      <c r="P233" s="4"/>
      <c r="Q233" s="4"/>
      <c r="R233" s="4"/>
      <c r="S233" s="4"/>
      <c r="T233" s="4"/>
      <c r="U233" s="4"/>
    </row>
    <row r="234" spans="1:21">
      <c r="A234" t="s">
        <v>221</v>
      </c>
      <c r="B234">
        <v>1</v>
      </c>
      <c r="C234" t="str">
        <f t="shared" si="32"/>
        <v>test.Class13_1_</v>
      </c>
      <c r="D234">
        <v>6</v>
      </c>
      <c r="E234" s="4">
        <v>1</v>
      </c>
      <c r="F234" s="4">
        <v>0.86428310835461508</v>
      </c>
      <c r="G234" s="4" t="str">
        <f t="shared" si="33"/>
        <v/>
      </c>
      <c r="H234" s="4" t="str">
        <f t="shared" si="34"/>
        <v/>
      </c>
      <c r="I234" s="4" t="str">
        <f t="shared" si="35"/>
        <v/>
      </c>
      <c r="J234" s="4" t="str">
        <f t="shared" si="36"/>
        <v/>
      </c>
      <c r="K234" s="4">
        <f t="shared" si="37"/>
        <v>1</v>
      </c>
      <c r="L234" s="4" t="str">
        <f t="shared" si="38"/>
        <v/>
      </c>
      <c r="M234" s="4"/>
      <c r="N234" s="4"/>
      <c r="O234" s="4"/>
      <c r="P234" s="4"/>
      <c r="Q234" s="4"/>
      <c r="R234" s="4"/>
      <c r="S234" s="4"/>
      <c r="T234" s="4"/>
      <c r="U234" s="4"/>
    </row>
    <row r="235" spans="1:21">
      <c r="A235" t="s">
        <v>221</v>
      </c>
      <c r="B235">
        <v>1</v>
      </c>
      <c r="C235" t="str">
        <f t="shared" si="32"/>
        <v>test.Class13_1_</v>
      </c>
      <c r="D235">
        <v>7</v>
      </c>
      <c r="E235" s="4">
        <v>1</v>
      </c>
      <c r="F235" s="4">
        <v>0.87085005472455312</v>
      </c>
      <c r="G235" s="4" t="str">
        <f t="shared" si="33"/>
        <v/>
      </c>
      <c r="H235" s="4" t="str">
        <f t="shared" si="34"/>
        <v/>
      </c>
      <c r="I235" s="4" t="str">
        <f t="shared" si="35"/>
        <v/>
      </c>
      <c r="J235" s="4" t="str">
        <f t="shared" si="36"/>
        <v/>
      </c>
      <c r="K235" s="4">
        <f t="shared" si="37"/>
        <v>1</v>
      </c>
      <c r="L235" s="4" t="str">
        <f t="shared" si="38"/>
        <v/>
      </c>
      <c r="M235" s="4"/>
      <c r="N235" s="4"/>
      <c r="O235" s="4"/>
      <c r="P235" s="4"/>
      <c r="Q235" s="4"/>
      <c r="R235" s="4"/>
      <c r="S235" s="4"/>
      <c r="T235" s="4"/>
      <c r="U235" s="4"/>
    </row>
    <row r="236" spans="1:21">
      <c r="A236" t="s">
        <v>222</v>
      </c>
      <c r="B236">
        <v>1</v>
      </c>
      <c r="C236" t="str">
        <f t="shared" si="32"/>
        <v>test.client_1_</v>
      </c>
      <c r="D236">
        <v>1</v>
      </c>
      <c r="E236" s="4">
        <v>7.7380952380952384E-2</v>
      </c>
      <c r="F236" s="4">
        <v>3.3867813844348844E-2</v>
      </c>
      <c r="G236" s="4">
        <f t="shared" si="33"/>
        <v>7.7380952380952384E-2</v>
      </c>
      <c r="H236" s="4" t="str">
        <f t="shared" si="34"/>
        <v/>
      </c>
      <c r="I236" s="4" t="str">
        <f t="shared" si="35"/>
        <v/>
      </c>
      <c r="J236" s="4" t="str">
        <f t="shared" si="36"/>
        <v/>
      </c>
      <c r="K236" s="4" t="str">
        <f t="shared" si="37"/>
        <v/>
      </c>
      <c r="L236" s="4" t="str">
        <f t="shared" si="38"/>
        <v/>
      </c>
      <c r="M236" s="4"/>
      <c r="N236" s="4"/>
      <c r="O236" s="4"/>
      <c r="P236" s="4"/>
      <c r="Q236" s="4"/>
      <c r="R236" s="4"/>
      <c r="S236" s="4"/>
      <c r="T236" s="4"/>
      <c r="U236" s="4"/>
    </row>
    <row r="237" spans="1:21">
      <c r="A237" t="s">
        <v>222</v>
      </c>
      <c r="B237">
        <v>1</v>
      </c>
      <c r="C237" t="str">
        <f t="shared" si="32"/>
        <v>test.client_1_</v>
      </c>
      <c r="D237">
        <v>2</v>
      </c>
      <c r="E237" s="4">
        <v>8.9285714285714288E-2</v>
      </c>
      <c r="F237" s="4">
        <v>3.8560813453265542E-2</v>
      </c>
      <c r="G237" s="4">
        <f t="shared" si="33"/>
        <v>8.9285714285714288E-2</v>
      </c>
      <c r="H237" s="4" t="str">
        <f t="shared" si="34"/>
        <v/>
      </c>
      <c r="I237" s="4" t="str">
        <f t="shared" si="35"/>
        <v/>
      </c>
      <c r="J237" s="4" t="str">
        <f t="shared" si="36"/>
        <v/>
      </c>
      <c r="K237" s="4" t="str">
        <f t="shared" si="37"/>
        <v/>
      </c>
      <c r="L237" s="4" t="str">
        <f t="shared" si="38"/>
        <v/>
      </c>
      <c r="M237" s="4"/>
      <c r="N237" s="4"/>
      <c r="O237" s="4"/>
      <c r="P237" s="4"/>
      <c r="Q237" s="4"/>
      <c r="R237" s="4"/>
      <c r="S237" s="4"/>
      <c r="T237" s="4"/>
      <c r="U237" s="4"/>
    </row>
    <row r="238" spans="1:21">
      <c r="A238" t="s">
        <v>222</v>
      </c>
      <c r="B238">
        <v>1</v>
      </c>
      <c r="C238" t="str">
        <f t="shared" si="32"/>
        <v>test.client_1_</v>
      </c>
      <c r="D238">
        <v>3</v>
      </c>
      <c r="E238" s="4">
        <v>0.125</v>
      </c>
      <c r="F238" s="4">
        <v>4.3801329683222527E-2</v>
      </c>
      <c r="G238" s="4">
        <f t="shared" si="33"/>
        <v>0.125</v>
      </c>
      <c r="H238" s="4" t="str">
        <f t="shared" si="34"/>
        <v/>
      </c>
      <c r="I238" s="4" t="str">
        <f t="shared" si="35"/>
        <v/>
      </c>
      <c r="J238" s="4" t="str">
        <f t="shared" si="36"/>
        <v/>
      </c>
      <c r="K238" s="4" t="str">
        <f t="shared" si="37"/>
        <v/>
      </c>
      <c r="L238" s="4" t="str">
        <f t="shared" si="38"/>
        <v/>
      </c>
      <c r="M238" s="4"/>
      <c r="N238" s="4"/>
      <c r="O238" s="4"/>
      <c r="P238" s="4"/>
      <c r="Q238" s="4"/>
      <c r="R238" s="4"/>
      <c r="S238" s="4"/>
      <c r="T238" s="4"/>
      <c r="U238" s="4"/>
    </row>
    <row r="239" spans="1:21">
      <c r="A239" t="s">
        <v>222</v>
      </c>
      <c r="B239">
        <v>1</v>
      </c>
      <c r="C239" t="str">
        <f t="shared" si="32"/>
        <v>test.client_1_</v>
      </c>
      <c r="D239">
        <v>4</v>
      </c>
      <c r="E239" s="4">
        <v>0.14880952380952381</v>
      </c>
      <c r="F239" s="4">
        <v>4.575674618693782E-2</v>
      </c>
      <c r="G239" s="4">
        <f t="shared" si="33"/>
        <v>0.14880952380952381</v>
      </c>
      <c r="H239" s="4" t="str">
        <f t="shared" si="34"/>
        <v/>
      </c>
      <c r="I239" s="4" t="str">
        <f t="shared" si="35"/>
        <v/>
      </c>
      <c r="J239" s="4" t="str">
        <f t="shared" si="36"/>
        <v/>
      </c>
      <c r="K239" s="4" t="str">
        <f t="shared" si="37"/>
        <v/>
      </c>
      <c r="L239" s="4" t="str">
        <f t="shared" si="38"/>
        <v/>
      </c>
      <c r="M239" s="4"/>
      <c r="N239" s="4"/>
      <c r="O239" s="4"/>
      <c r="P239" s="4"/>
      <c r="Q239" s="4"/>
      <c r="R239" s="4"/>
      <c r="S239" s="4"/>
      <c r="T239" s="4"/>
      <c r="U239" s="4"/>
    </row>
    <row r="240" spans="1:21">
      <c r="A240" t="s">
        <v>222</v>
      </c>
      <c r="B240">
        <v>1</v>
      </c>
      <c r="C240" t="str">
        <f t="shared" si="32"/>
        <v>test.client_1_</v>
      </c>
      <c r="D240">
        <v>5</v>
      </c>
      <c r="E240" s="4">
        <v>0.15476190476190477</v>
      </c>
      <c r="F240" s="4">
        <v>4.7164646069612827E-2</v>
      </c>
      <c r="G240" s="4">
        <f t="shared" si="33"/>
        <v>0.15476190476190477</v>
      </c>
      <c r="H240" s="4" t="str">
        <f t="shared" si="34"/>
        <v/>
      </c>
      <c r="I240" s="4" t="str">
        <f t="shared" si="35"/>
        <v/>
      </c>
      <c r="J240" s="4" t="str">
        <f t="shared" si="36"/>
        <v/>
      </c>
      <c r="K240" s="4" t="str">
        <f t="shared" si="37"/>
        <v/>
      </c>
      <c r="L240" s="4" t="str">
        <f t="shared" si="38"/>
        <v/>
      </c>
      <c r="M240" s="4"/>
      <c r="N240" s="4"/>
      <c r="O240" s="4"/>
      <c r="P240" s="4"/>
      <c r="Q240" s="4"/>
      <c r="R240" s="4"/>
      <c r="S240" s="4"/>
      <c r="T240" s="4"/>
      <c r="U240" s="4"/>
    </row>
    <row r="241" spans="1:21">
      <c r="A241" t="s">
        <v>222</v>
      </c>
      <c r="B241">
        <v>1</v>
      </c>
      <c r="C241" t="str">
        <f t="shared" si="32"/>
        <v>test.client_1_</v>
      </c>
      <c r="D241">
        <v>6</v>
      </c>
      <c r="E241" s="4">
        <v>0.16071428571428573</v>
      </c>
      <c r="F241" s="4">
        <v>4.7321079389910051E-2</v>
      </c>
      <c r="G241" s="4">
        <f t="shared" si="33"/>
        <v>0.16071428571428573</v>
      </c>
      <c r="H241" s="4" t="str">
        <f t="shared" si="34"/>
        <v/>
      </c>
      <c r="I241" s="4" t="str">
        <f t="shared" si="35"/>
        <v/>
      </c>
      <c r="J241" s="4" t="str">
        <f t="shared" si="36"/>
        <v/>
      </c>
      <c r="K241" s="4" t="str">
        <f t="shared" si="37"/>
        <v/>
      </c>
      <c r="L241" s="4" t="str">
        <f t="shared" si="38"/>
        <v/>
      </c>
      <c r="M241" s="4"/>
      <c r="N241" s="4"/>
      <c r="O241" s="4"/>
      <c r="P241" s="4"/>
      <c r="Q241" s="4"/>
      <c r="R241" s="4"/>
      <c r="S241" s="4"/>
      <c r="T241" s="4"/>
      <c r="U241" s="4"/>
    </row>
    <row r="242" spans="1:21">
      <c r="A242" t="s">
        <v>222</v>
      </c>
      <c r="B242">
        <v>1</v>
      </c>
      <c r="C242" t="str">
        <f t="shared" si="32"/>
        <v>test.client_1_</v>
      </c>
      <c r="D242">
        <v>7</v>
      </c>
      <c r="E242" s="4">
        <v>0.17261904761904762</v>
      </c>
      <c r="F242" s="4">
        <v>4.912006257332812E-2</v>
      </c>
      <c r="G242" s="4">
        <f t="shared" si="33"/>
        <v>0.17261904761904762</v>
      </c>
      <c r="H242" s="4" t="str">
        <f t="shared" si="34"/>
        <v/>
      </c>
      <c r="I242" s="4" t="str">
        <f t="shared" si="35"/>
        <v/>
      </c>
      <c r="J242" s="4" t="str">
        <f t="shared" si="36"/>
        <v/>
      </c>
      <c r="K242" s="4" t="str">
        <f t="shared" si="37"/>
        <v/>
      </c>
      <c r="L242" s="4" t="str">
        <f t="shared" si="38"/>
        <v/>
      </c>
      <c r="M242" s="4"/>
      <c r="N242" s="4"/>
      <c r="O242" s="4"/>
      <c r="P242" s="4"/>
      <c r="Q242" s="4"/>
      <c r="R242" s="4"/>
      <c r="S242" s="4"/>
      <c r="T242" s="4"/>
      <c r="U242" s="4"/>
    </row>
    <row r="243" spans="1:21">
      <c r="A243" t="s">
        <v>222</v>
      </c>
      <c r="B243">
        <v>1</v>
      </c>
      <c r="C243" t="str">
        <f t="shared" si="32"/>
        <v>test.client_1_</v>
      </c>
      <c r="D243">
        <v>8</v>
      </c>
      <c r="E243" s="4">
        <v>0.18452380952380953</v>
      </c>
      <c r="F243" s="4">
        <v>5.2014078998826749E-2</v>
      </c>
      <c r="G243" s="4">
        <f t="shared" si="33"/>
        <v>0.18452380952380953</v>
      </c>
      <c r="H243" s="4" t="str">
        <f t="shared" si="34"/>
        <v/>
      </c>
      <c r="I243" s="4" t="str">
        <f t="shared" si="35"/>
        <v/>
      </c>
      <c r="J243" s="4" t="str">
        <f t="shared" si="36"/>
        <v/>
      </c>
      <c r="K243" s="4" t="str">
        <f t="shared" si="37"/>
        <v/>
      </c>
      <c r="L243" s="4" t="str">
        <f t="shared" si="38"/>
        <v/>
      </c>
      <c r="M243" s="4"/>
      <c r="N243" s="4"/>
      <c r="O243" s="4"/>
      <c r="P243" s="4"/>
      <c r="Q243" s="4"/>
      <c r="R243" s="4"/>
      <c r="S243" s="4"/>
      <c r="T243" s="4"/>
      <c r="U243" s="4"/>
    </row>
    <row r="244" spans="1:21">
      <c r="A244" t="s">
        <v>222</v>
      </c>
      <c r="B244">
        <v>1</v>
      </c>
      <c r="C244" t="str">
        <f t="shared" si="32"/>
        <v>test.client_1_</v>
      </c>
      <c r="D244">
        <v>9</v>
      </c>
      <c r="E244" s="4">
        <v>0.19642857142857142</v>
      </c>
      <c r="F244" s="4">
        <v>5.4125928822839266E-2</v>
      </c>
      <c r="G244" s="4">
        <f t="shared" si="33"/>
        <v>0.19642857142857142</v>
      </c>
      <c r="H244" s="4" t="str">
        <f t="shared" si="34"/>
        <v/>
      </c>
      <c r="I244" s="4" t="str">
        <f t="shared" si="35"/>
        <v/>
      </c>
      <c r="J244" s="4" t="str">
        <f t="shared" si="36"/>
        <v/>
      </c>
      <c r="K244" s="4" t="str">
        <f t="shared" si="37"/>
        <v/>
      </c>
      <c r="L244" s="4" t="str">
        <f t="shared" si="38"/>
        <v/>
      </c>
      <c r="M244" s="4"/>
      <c r="N244" s="4"/>
      <c r="O244" s="4"/>
      <c r="P244" s="4"/>
      <c r="Q244" s="4"/>
      <c r="R244" s="4"/>
      <c r="S244" s="4"/>
      <c r="T244" s="4"/>
      <c r="U244" s="4"/>
    </row>
    <row r="245" spans="1:21">
      <c r="A245" t="s">
        <v>222</v>
      </c>
      <c r="B245">
        <v>1</v>
      </c>
      <c r="C245" t="str">
        <f t="shared" si="32"/>
        <v>test.client_1_</v>
      </c>
      <c r="D245">
        <v>10</v>
      </c>
      <c r="E245" s="4">
        <v>0.21428571428571427</v>
      </c>
      <c r="F245" s="4">
        <v>5.4829878764176769E-2</v>
      </c>
      <c r="G245" s="4">
        <f t="shared" si="33"/>
        <v>0.21428571428571427</v>
      </c>
      <c r="H245" s="4" t="str">
        <f t="shared" si="34"/>
        <v/>
      </c>
      <c r="I245" s="4" t="str">
        <f t="shared" si="35"/>
        <v/>
      </c>
      <c r="J245" s="4" t="str">
        <f t="shared" si="36"/>
        <v/>
      </c>
      <c r="K245" s="4" t="str">
        <f t="shared" si="37"/>
        <v/>
      </c>
      <c r="L245" s="4" t="str">
        <f t="shared" si="38"/>
        <v/>
      </c>
      <c r="M245" s="4"/>
      <c r="N245" s="4"/>
      <c r="O245" s="4"/>
      <c r="P245" s="4"/>
      <c r="Q245" s="4"/>
      <c r="R245" s="4"/>
      <c r="S245" s="4"/>
      <c r="T245" s="4"/>
      <c r="U245" s="4"/>
    </row>
    <row r="246" spans="1:21">
      <c r="A246" t="s">
        <v>222</v>
      </c>
      <c r="B246">
        <v>1</v>
      </c>
      <c r="C246" t="str">
        <f t="shared" si="32"/>
        <v>test.client_1_</v>
      </c>
      <c r="D246">
        <v>11</v>
      </c>
      <c r="E246" s="4">
        <v>0.22023809523809523</v>
      </c>
      <c r="F246" s="4">
        <v>5.6159561986703167E-2</v>
      </c>
      <c r="G246" s="4">
        <f t="shared" si="33"/>
        <v>0.22023809523809523</v>
      </c>
      <c r="H246" s="4" t="str">
        <f t="shared" si="34"/>
        <v/>
      </c>
      <c r="I246" s="4" t="str">
        <f t="shared" si="35"/>
        <v/>
      </c>
      <c r="J246" s="4" t="str">
        <f t="shared" si="36"/>
        <v/>
      </c>
      <c r="K246" s="4" t="str">
        <f t="shared" si="37"/>
        <v/>
      </c>
      <c r="L246" s="4" t="str">
        <f t="shared" si="38"/>
        <v/>
      </c>
      <c r="M246" s="4"/>
      <c r="N246" s="4"/>
      <c r="O246" s="4"/>
      <c r="P246" s="4"/>
      <c r="Q246" s="4"/>
      <c r="R246" s="4"/>
      <c r="S246" s="4"/>
      <c r="T246" s="4"/>
      <c r="U246" s="4"/>
    </row>
    <row r="247" spans="1:21">
      <c r="A247" t="s">
        <v>222</v>
      </c>
      <c r="B247">
        <v>1</v>
      </c>
      <c r="C247" t="str">
        <f t="shared" si="32"/>
        <v>test.client_1_</v>
      </c>
      <c r="D247">
        <v>12</v>
      </c>
      <c r="E247" s="4">
        <v>0.23214285714285715</v>
      </c>
      <c r="F247" s="4">
        <v>5.7567461869378181E-2</v>
      </c>
      <c r="G247" s="4">
        <f t="shared" si="33"/>
        <v>0.23214285714285715</v>
      </c>
      <c r="H247" s="4" t="str">
        <f t="shared" si="34"/>
        <v/>
      </c>
      <c r="I247" s="4" t="str">
        <f t="shared" si="35"/>
        <v/>
      </c>
      <c r="J247" s="4" t="str">
        <f t="shared" si="36"/>
        <v/>
      </c>
      <c r="K247" s="4" t="str">
        <f t="shared" si="37"/>
        <v/>
      </c>
      <c r="L247" s="4" t="str">
        <f t="shared" si="38"/>
        <v/>
      </c>
      <c r="M247" s="4"/>
      <c r="N247" s="4"/>
      <c r="O247" s="4"/>
      <c r="P247" s="4"/>
      <c r="Q247" s="4"/>
      <c r="R247" s="4"/>
      <c r="S247" s="4"/>
      <c r="T247" s="4"/>
      <c r="U247" s="4"/>
    </row>
    <row r="248" spans="1:21">
      <c r="A248" t="s">
        <v>222</v>
      </c>
      <c r="B248">
        <v>1</v>
      </c>
      <c r="C248" t="str">
        <f t="shared" si="32"/>
        <v>test.client_1_</v>
      </c>
      <c r="D248">
        <v>13</v>
      </c>
      <c r="E248" s="4">
        <v>0.24404761904761904</v>
      </c>
      <c r="F248" s="4">
        <v>5.9053578412201796E-2</v>
      </c>
      <c r="G248" s="4">
        <f t="shared" si="33"/>
        <v>0.24404761904761904</v>
      </c>
      <c r="H248" s="4" t="str">
        <f t="shared" si="34"/>
        <v/>
      </c>
      <c r="I248" s="4" t="str">
        <f t="shared" si="35"/>
        <v/>
      </c>
      <c r="J248" s="4" t="str">
        <f t="shared" si="36"/>
        <v/>
      </c>
      <c r="K248" s="4" t="str">
        <f t="shared" si="37"/>
        <v/>
      </c>
      <c r="L248" s="4" t="str">
        <f t="shared" si="38"/>
        <v/>
      </c>
      <c r="M248" s="4"/>
      <c r="N248" s="4"/>
      <c r="O248" s="4"/>
      <c r="P248" s="4"/>
      <c r="Q248" s="4"/>
      <c r="R248" s="4"/>
      <c r="S248" s="4"/>
      <c r="T248" s="4"/>
      <c r="U248" s="4"/>
    </row>
    <row r="249" spans="1:21">
      <c r="A249" t="s">
        <v>222</v>
      </c>
      <c r="B249">
        <v>1</v>
      </c>
      <c r="C249" t="str">
        <f t="shared" si="32"/>
        <v>test.client_1_</v>
      </c>
      <c r="D249">
        <v>14</v>
      </c>
      <c r="E249" s="4">
        <v>0.25595238095238093</v>
      </c>
      <c r="F249" s="4">
        <v>6.0148611654282362E-2</v>
      </c>
      <c r="G249" s="4">
        <f t="shared" si="33"/>
        <v>0.25595238095238093</v>
      </c>
      <c r="H249" s="4" t="str">
        <f t="shared" si="34"/>
        <v/>
      </c>
      <c r="I249" s="4" t="str">
        <f t="shared" si="35"/>
        <v/>
      </c>
      <c r="J249" s="4" t="str">
        <f t="shared" si="36"/>
        <v/>
      </c>
      <c r="K249" s="4" t="str">
        <f t="shared" si="37"/>
        <v/>
      </c>
      <c r="L249" s="4" t="str">
        <f t="shared" si="38"/>
        <v/>
      </c>
      <c r="M249" s="4"/>
      <c r="N249" s="4"/>
      <c r="O249" s="4"/>
      <c r="P249" s="4"/>
      <c r="Q249" s="4"/>
      <c r="R249" s="4"/>
      <c r="S249" s="4"/>
      <c r="T249" s="4"/>
      <c r="U249" s="4"/>
    </row>
    <row r="250" spans="1:21">
      <c r="A250" t="s">
        <v>222</v>
      </c>
      <c r="B250">
        <v>1</v>
      </c>
      <c r="C250" t="str">
        <f t="shared" si="32"/>
        <v>test.client_1_</v>
      </c>
      <c r="D250">
        <v>15</v>
      </c>
      <c r="E250" s="4">
        <v>0.26190476190476192</v>
      </c>
      <c r="F250" s="4">
        <v>0.10238560813453265</v>
      </c>
      <c r="G250" s="4">
        <f t="shared" si="33"/>
        <v>0.26190476190476192</v>
      </c>
      <c r="H250" s="4" t="str">
        <f t="shared" si="34"/>
        <v/>
      </c>
      <c r="I250" s="4" t="str">
        <f t="shared" si="35"/>
        <v/>
      </c>
      <c r="J250" s="4" t="str">
        <f t="shared" si="36"/>
        <v/>
      </c>
      <c r="K250" s="4" t="str">
        <f t="shared" si="37"/>
        <v/>
      </c>
      <c r="L250" s="4" t="str">
        <f t="shared" si="38"/>
        <v/>
      </c>
      <c r="M250" s="4"/>
      <c r="N250" s="4"/>
      <c r="O250" s="4"/>
      <c r="P250" s="4"/>
      <c r="Q250" s="4"/>
      <c r="R250" s="4"/>
      <c r="S250" s="4"/>
      <c r="T250" s="4"/>
      <c r="U250" s="4"/>
    </row>
    <row r="251" spans="1:21">
      <c r="A251" t="s">
        <v>222</v>
      </c>
      <c r="B251">
        <v>1</v>
      </c>
      <c r="C251" t="str">
        <f t="shared" si="32"/>
        <v>test.client_1_</v>
      </c>
      <c r="D251">
        <v>16</v>
      </c>
      <c r="E251" s="4">
        <v>1</v>
      </c>
      <c r="F251" s="4">
        <v>0.99491591709034022</v>
      </c>
      <c r="G251" s="4" t="str">
        <f t="shared" si="33"/>
        <v/>
      </c>
      <c r="H251" s="4" t="str">
        <f t="shared" si="34"/>
        <v/>
      </c>
      <c r="I251" s="4" t="str">
        <f t="shared" si="35"/>
        <v/>
      </c>
      <c r="J251" s="4" t="str">
        <f t="shared" si="36"/>
        <v/>
      </c>
      <c r="K251" s="4">
        <f t="shared" si="37"/>
        <v>1</v>
      </c>
      <c r="L251" s="4" t="str">
        <f t="shared" si="38"/>
        <v/>
      </c>
      <c r="M251" s="4"/>
      <c r="N251" s="4"/>
      <c r="O251" s="4"/>
      <c r="P251" s="4"/>
      <c r="Q251" s="4"/>
      <c r="R251" s="4"/>
      <c r="S251" s="4"/>
      <c r="T251" s="4"/>
      <c r="U251" s="4"/>
    </row>
    <row r="252" spans="1:21">
      <c r="A252" t="s">
        <v>222</v>
      </c>
      <c r="B252">
        <v>3</v>
      </c>
      <c r="C252" t="str">
        <f t="shared" si="32"/>
        <v>test.client_3_</v>
      </c>
      <c r="D252">
        <v>1</v>
      </c>
      <c r="E252" s="4">
        <v>0.84036144578313254</v>
      </c>
      <c r="F252" s="4">
        <v>0.74123820527633355</v>
      </c>
      <c r="G252" s="4" t="str">
        <f t="shared" si="33"/>
        <v/>
      </c>
      <c r="H252" s="4" t="str">
        <f t="shared" si="34"/>
        <v/>
      </c>
      <c r="I252" s="4" t="str">
        <f t="shared" si="35"/>
        <v/>
      </c>
      <c r="J252" s="4">
        <f t="shared" si="36"/>
        <v>0.84036144578313254</v>
      </c>
      <c r="K252" s="4" t="str">
        <f t="shared" si="37"/>
        <v/>
      </c>
      <c r="L252" s="4" t="str">
        <f t="shared" si="38"/>
        <v/>
      </c>
      <c r="M252" s="4"/>
      <c r="N252" s="4"/>
      <c r="O252" s="4"/>
      <c r="P252" s="4"/>
      <c r="Q252" s="4"/>
      <c r="R252" s="4"/>
      <c r="S252" s="4"/>
      <c r="T252" s="4"/>
      <c r="U252" s="4"/>
    </row>
    <row r="253" spans="1:21">
      <c r="A253" t="s">
        <v>222</v>
      </c>
      <c r="B253">
        <v>3</v>
      </c>
      <c r="C253" t="str">
        <f t="shared" si="32"/>
        <v>test.client_3_</v>
      </c>
      <c r="D253">
        <v>2</v>
      </c>
      <c r="E253" s="4">
        <v>0.99698795180722888</v>
      </c>
      <c r="F253" s="4">
        <v>0.90800115540150206</v>
      </c>
      <c r="G253" s="4" t="str">
        <f t="shared" si="33"/>
        <v/>
      </c>
      <c r="H253" s="4" t="str">
        <f t="shared" si="34"/>
        <v/>
      </c>
      <c r="I253" s="4" t="str">
        <f t="shared" si="35"/>
        <v/>
      </c>
      <c r="J253" s="4" t="str">
        <f t="shared" si="36"/>
        <v/>
      </c>
      <c r="K253" s="4">
        <f t="shared" si="37"/>
        <v>0.99698795180722888</v>
      </c>
      <c r="L253" s="4" t="str">
        <f t="shared" si="38"/>
        <v/>
      </c>
      <c r="M253" s="4"/>
      <c r="N253" s="4"/>
      <c r="O253" s="4"/>
      <c r="P253" s="4"/>
      <c r="Q253" s="4"/>
      <c r="R253" s="4"/>
      <c r="S253" s="4"/>
      <c r="T253" s="4"/>
      <c r="U253" s="4"/>
    </row>
    <row r="254" spans="1:21">
      <c r="A254" t="s">
        <v>222</v>
      </c>
      <c r="B254">
        <v>3</v>
      </c>
      <c r="C254" t="str">
        <f t="shared" si="32"/>
        <v>test.client_3_</v>
      </c>
      <c r="D254">
        <v>3</v>
      </c>
      <c r="E254" s="4">
        <v>1</v>
      </c>
      <c r="F254" s="4">
        <v>1.0018293857115348</v>
      </c>
      <c r="G254" s="4" t="str">
        <f t="shared" si="33"/>
        <v/>
      </c>
      <c r="H254" s="4" t="str">
        <f t="shared" si="34"/>
        <v/>
      </c>
      <c r="I254" s="4" t="str">
        <f t="shared" si="35"/>
        <v/>
      </c>
      <c r="J254" s="4" t="str">
        <f t="shared" si="36"/>
        <v/>
      </c>
      <c r="K254" s="4">
        <f t="shared" si="37"/>
        <v>1</v>
      </c>
      <c r="L254" s="4" t="str">
        <f t="shared" si="38"/>
        <v/>
      </c>
      <c r="M254" s="4"/>
      <c r="N254" s="4"/>
      <c r="O254" s="4"/>
      <c r="P254" s="4"/>
      <c r="Q254" s="4"/>
      <c r="R254" s="4"/>
      <c r="S254" s="4"/>
      <c r="T254" s="4"/>
      <c r="U254" s="4"/>
    </row>
    <row r="255" spans="1:21">
      <c r="A255" t="s">
        <v>222</v>
      </c>
      <c r="B255">
        <v>4</v>
      </c>
      <c r="C255" t="str">
        <f t="shared" si="32"/>
        <v>test.client_4_</v>
      </c>
      <c r="D255">
        <v>1</v>
      </c>
      <c r="E255" s="4">
        <v>0.86046511627906974</v>
      </c>
      <c r="F255" s="4">
        <v>0.8751401031158933</v>
      </c>
      <c r="G255" s="4" t="str">
        <f t="shared" si="33"/>
        <v/>
      </c>
      <c r="H255" s="4" t="str">
        <f t="shared" si="34"/>
        <v/>
      </c>
      <c r="I255" s="4" t="str">
        <f t="shared" si="35"/>
        <v/>
      </c>
      <c r="J255" s="4" t="str">
        <f t="shared" si="36"/>
        <v/>
      </c>
      <c r="K255" s="4">
        <f t="shared" si="37"/>
        <v>0.86046511627906974</v>
      </c>
      <c r="L255" s="4" t="str">
        <f t="shared" si="38"/>
        <v/>
      </c>
      <c r="M255" s="4"/>
      <c r="N255" s="4"/>
      <c r="O255" s="4"/>
      <c r="P255" s="4"/>
      <c r="Q255" s="4"/>
      <c r="R255" s="4"/>
      <c r="S255" s="4"/>
      <c r="T255" s="4"/>
      <c r="U255" s="4"/>
    </row>
    <row r="256" spans="1:21">
      <c r="A256" t="s">
        <v>222</v>
      </c>
      <c r="B256">
        <v>4</v>
      </c>
      <c r="C256" t="str">
        <f t="shared" si="32"/>
        <v>test.client_4_</v>
      </c>
      <c r="D256">
        <v>2</v>
      </c>
      <c r="E256" s="4">
        <v>0.89922480620155043</v>
      </c>
      <c r="F256" s="4">
        <v>0.88052006276619588</v>
      </c>
      <c r="G256" s="4" t="str">
        <f t="shared" si="33"/>
        <v/>
      </c>
      <c r="H256" s="4" t="str">
        <f t="shared" si="34"/>
        <v/>
      </c>
      <c r="I256" s="4" t="str">
        <f t="shared" si="35"/>
        <v/>
      </c>
      <c r="J256" s="4" t="str">
        <f t="shared" si="36"/>
        <v/>
      </c>
      <c r="K256" s="4">
        <f t="shared" si="37"/>
        <v>0.89922480620155043</v>
      </c>
      <c r="L256" s="4" t="str">
        <f t="shared" si="38"/>
        <v/>
      </c>
      <c r="M256" s="4"/>
      <c r="N256" s="4"/>
      <c r="O256" s="4"/>
      <c r="P256" s="4"/>
      <c r="Q256" s="4"/>
      <c r="R256" s="4"/>
      <c r="S256" s="4"/>
      <c r="T256" s="4"/>
      <c r="U256" s="4"/>
    </row>
    <row r="257" spans="1:21">
      <c r="A257" t="s">
        <v>222</v>
      </c>
      <c r="B257">
        <v>4</v>
      </c>
      <c r="C257" t="str">
        <f t="shared" si="32"/>
        <v>test.client_4_</v>
      </c>
      <c r="D257">
        <v>3</v>
      </c>
      <c r="E257" s="4">
        <v>0.92248062015503873</v>
      </c>
      <c r="F257" s="4">
        <v>0.89710827168796237</v>
      </c>
      <c r="G257" s="4" t="str">
        <f t="shared" si="33"/>
        <v/>
      </c>
      <c r="H257" s="4" t="str">
        <f t="shared" si="34"/>
        <v/>
      </c>
      <c r="I257" s="4" t="str">
        <f t="shared" si="35"/>
        <v/>
      </c>
      <c r="J257" s="4" t="str">
        <f t="shared" si="36"/>
        <v/>
      </c>
      <c r="K257" s="4">
        <f t="shared" si="37"/>
        <v>0.92248062015503873</v>
      </c>
      <c r="L257" s="4" t="str">
        <f t="shared" si="38"/>
        <v/>
      </c>
      <c r="M257" s="4"/>
      <c r="N257" s="4"/>
      <c r="O257" s="4"/>
      <c r="P257" s="4"/>
      <c r="Q257" s="4"/>
      <c r="R257" s="4"/>
      <c r="S257" s="4"/>
      <c r="T257" s="4"/>
      <c r="U257" s="4"/>
    </row>
    <row r="258" spans="1:21">
      <c r="A258" t="s">
        <v>222</v>
      </c>
      <c r="B258">
        <v>4</v>
      </c>
      <c r="C258" t="str">
        <f t="shared" si="32"/>
        <v>test.client_4_</v>
      </c>
      <c r="D258">
        <v>4</v>
      </c>
      <c r="E258" s="4">
        <v>0.94573643410852715</v>
      </c>
      <c r="F258" s="4">
        <v>0.90629903609056262</v>
      </c>
      <c r="G258" s="4" t="str">
        <f t="shared" si="33"/>
        <v/>
      </c>
      <c r="H258" s="4" t="str">
        <f t="shared" si="34"/>
        <v/>
      </c>
      <c r="I258" s="4" t="str">
        <f t="shared" si="35"/>
        <v/>
      </c>
      <c r="J258" s="4" t="str">
        <f t="shared" si="36"/>
        <v/>
      </c>
      <c r="K258" s="4">
        <f t="shared" si="37"/>
        <v>0.94573643410852715</v>
      </c>
      <c r="L258" s="4" t="str">
        <f t="shared" si="38"/>
        <v/>
      </c>
      <c r="M258" s="4"/>
      <c r="N258" s="4"/>
      <c r="O258" s="4"/>
      <c r="P258" s="4"/>
      <c r="Q258" s="4"/>
      <c r="R258" s="4"/>
      <c r="S258" s="4"/>
      <c r="T258" s="4"/>
      <c r="U258" s="4"/>
    </row>
    <row r="259" spans="1:21">
      <c r="A259" t="s">
        <v>222</v>
      </c>
      <c r="B259">
        <v>4</v>
      </c>
      <c r="C259" t="str">
        <f t="shared" ref="C259:C322" si="39">CONCATENATE(A259, "_",B259,"_")</f>
        <v>test.client_4_</v>
      </c>
      <c r="D259">
        <v>5</v>
      </c>
      <c r="E259" s="4">
        <v>0.94573643410852715</v>
      </c>
      <c r="F259" s="4">
        <v>0.93050885451692444</v>
      </c>
      <c r="G259" s="4" t="str">
        <f t="shared" ref="G259:G322" si="40">IF($F259 &lt;= 0.2,$E259,"")</f>
        <v/>
      </c>
      <c r="H259" s="4" t="str">
        <f t="shared" ref="H259:H322" si="41">IF(AND($F259 &gt; 0.2,$F259 &lt;= 0.4),$E259,"")</f>
        <v/>
      </c>
      <c r="I259" s="4" t="str">
        <f t="shared" ref="I259:I322" si="42">IF(AND($F259 &gt; 0.4,$F259 &lt;= 0.6),$E259,"")</f>
        <v/>
      </c>
      <c r="J259" s="4" t="str">
        <f t="shared" ref="J259:J322" si="43">IF(AND($F259 &gt; 0.6,$F259 &lt;= 0.8),$E259,"")</f>
        <v/>
      </c>
      <c r="K259" s="4">
        <f t="shared" ref="K259:K322" si="44">IF(AND($F259 &gt; 0.8, $F259 &lt;=1.1),$E259,"")</f>
        <v>0.94573643410852715</v>
      </c>
      <c r="L259" s="4" t="str">
        <f t="shared" ref="L259:L322" si="45">IF(AND($F259 &gt; 1.1),$E259,"")</f>
        <v/>
      </c>
      <c r="M259" s="4"/>
      <c r="N259" s="4"/>
      <c r="O259" s="4"/>
      <c r="P259" s="4"/>
      <c r="Q259" s="4"/>
      <c r="R259" s="4"/>
      <c r="S259" s="4"/>
      <c r="T259" s="4"/>
      <c r="U259" s="4"/>
    </row>
    <row r="260" spans="1:21">
      <c r="A260" t="s">
        <v>222</v>
      </c>
      <c r="B260">
        <v>4</v>
      </c>
      <c r="C260" t="str">
        <f t="shared" si="39"/>
        <v>test.client_4_</v>
      </c>
      <c r="D260">
        <v>6</v>
      </c>
      <c r="E260" s="4">
        <v>0.94573643410852715</v>
      </c>
      <c r="F260" s="4">
        <v>0.93140551445864161</v>
      </c>
      <c r="G260" s="4" t="str">
        <f t="shared" si="40"/>
        <v/>
      </c>
      <c r="H260" s="4" t="str">
        <f t="shared" si="41"/>
        <v/>
      </c>
      <c r="I260" s="4" t="str">
        <f t="shared" si="42"/>
        <v/>
      </c>
      <c r="J260" s="4" t="str">
        <f t="shared" si="43"/>
        <v/>
      </c>
      <c r="K260" s="4">
        <f t="shared" si="44"/>
        <v>0.94573643410852715</v>
      </c>
      <c r="L260" s="4" t="str">
        <f t="shared" si="45"/>
        <v/>
      </c>
      <c r="M260" s="4"/>
      <c r="N260" s="4"/>
      <c r="O260" s="4"/>
      <c r="P260" s="4"/>
      <c r="Q260" s="4"/>
      <c r="R260" s="4"/>
      <c r="S260" s="4"/>
      <c r="T260" s="4"/>
      <c r="U260" s="4"/>
    </row>
    <row r="261" spans="1:21">
      <c r="A261" t="s">
        <v>222</v>
      </c>
      <c r="B261">
        <v>4</v>
      </c>
      <c r="C261" t="str">
        <f t="shared" si="39"/>
        <v>test.client_4_</v>
      </c>
      <c r="D261">
        <v>7</v>
      </c>
      <c r="E261" s="4">
        <v>1</v>
      </c>
      <c r="F261" s="4">
        <v>0.97265187177762835</v>
      </c>
      <c r="G261" s="4" t="str">
        <f t="shared" si="40"/>
        <v/>
      </c>
      <c r="H261" s="4" t="str">
        <f t="shared" si="41"/>
        <v/>
      </c>
      <c r="I261" s="4" t="str">
        <f t="shared" si="42"/>
        <v/>
      </c>
      <c r="J261" s="4" t="str">
        <f t="shared" si="43"/>
        <v/>
      </c>
      <c r="K261" s="4">
        <f t="shared" si="44"/>
        <v>1</v>
      </c>
      <c r="L261" s="4" t="str">
        <f t="shared" si="45"/>
        <v/>
      </c>
      <c r="M261" s="4"/>
      <c r="N261" s="4"/>
      <c r="O261" s="4"/>
      <c r="P261" s="4"/>
      <c r="Q261" s="4"/>
      <c r="R261" s="4"/>
      <c r="S261" s="4"/>
      <c r="T261" s="4"/>
      <c r="U261" s="4"/>
    </row>
    <row r="262" spans="1:21">
      <c r="A262" t="s">
        <v>222</v>
      </c>
      <c r="B262">
        <v>4</v>
      </c>
      <c r="C262" t="str">
        <f t="shared" si="39"/>
        <v>test.client_4_</v>
      </c>
      <c r="D262">
        <v>8</v>
      </c>
      <c r="E262" s="4">
        <v>1</v>
      </c>
      <c r="F262" s="4">
        <v>1.3272808787267429</v>
      </c>
      <c r="G262" s="4" t="str">
        <f t="shared" si="40"/>
        <v/>
      </c>
      <c r="H262" s="4" t="str">
        <f t="shared" si="41"/>
        <v/>
      </c>
      <c r="I262" s="4" t="str">
        <f t="shared" si="42"/>
        <v/>
      </c>
      <c r="J262" s="4" t="str">
        <f t="shared" si="43"/>
        <v/>
      </c>
      <c r="K262" s="4" t="str">
        <f t="shared" si="44"/>
        <v/>
      </c>
      <c r="L262" s="4">
        <f t="shared" si="45"/>
        <v>1</v>
      </c>
      <c r="M262" s="4"/>
      <c r="N262" s="4"/>
      <c r="O262" s="4"/>
      <c r="P262" s="4"/>
      <c r="Q262" s="4"/>
      <c r="R262" s="4"/>
      <c r="S262" s="4"/>
      <c r="T262" s="4"/>
      <c r="U262" s="4"/>
    </row>
    <row r="263" spans="1:21">
      <c r="A263" t="s">
        <v>222</v>
      </c>
      <c r="B263">
        <v>4</v>
      </c>
      <c r="C263" t="str">
        <f t="shared" si="39"/>
        <v>test.client_4_</v>
      </c>
      <c r="D263">
        <v>9</v>
      </c>
      <c r="E263" s="4">
        <v>1</v>
      </c>
      <c r="F263" s="4">
        <v>1.3351266532167676</v>
      </c>
      <c r="G263" s="4" t="str">
        <f t="shared" si="40"/>
        <v/>
      </c>
      <c r="H263" s="4" t="str">
        <f t="shared" si="41"/>
        <v/>
      </c>
      <c r="I263" s="4" t="str">
        <f t="shared" si="42"/>
        <v/>
      </c>
      <c r="J263" s="4" t="str">
        <f t="shared" si="43"/>
        <v/>
      </c>
      <c r="K263" s="4" t="str">
        <f t="shared" si="44"/>
        <v/>
      </c>
      <c r="L263" s="4">
        <f t="shared" si="45"/>
        <v>1</v>
      </c>
      <c r="M263" s="4"/>
      <c r="N263" s="4"/>
      <c r="O263" s="4"/>
      <c r="P263" s="4"/>
      <c r="Q263" s="4"/>
      <c r="R263" s="4"/>
      <c r="S263" s="4"/>
      <c r="T263" s="4"/>
      <c r="U263" s="4"/>
    </row>
    <row r="264" spans="1:21">
      <c r="A264" t="s">
        <v>222</v>
      </c>
      <c r="B264">
        <v>6</v>
      </c>
      <c r="C264" t="str">
        <f t="shared" si="39"/>
        <v>test.client_6_</v>
      </c>
      <c r="D264">
        <v>1</v>
      </c>
      <c r="E264" s="4">
        <v>0.64462809917355368</v>
      </c>
      <c r="F264" s="4">
        <v>0.62419963881136098</v>
      </c>
      <c r="G264" s="4" t="str">
        <f t="shared" si="40"/>
        <v/>
      </c>
      <c r="H264" s="4" t="str">
        <f t="shared" si="41"/>
        <v/>
      </c>
      <c r="I264" s="4" t="str">
        <f t="shared" si="42"/>
        <v/>
      </c>
      <c r="J264" s="4">
        <f t="shared" si="43"/>
        <v>0.64462809917355368</v>
      </c>
      <c r="K264" s="4" t="str">
        <f t="shared" si="44"/>
        <v/>
      </c>
      <c r="L264" s="4" t="str">
        <f t="shared" si="45"/>
        <v/>
      </c>
      <c r="M264" s="4"/>
      <c r="N264" s="4"/>
      <c r="O264" s="4"/>
      <c r="P264" s="4"/>
      <c r="Q264" s="4"/>
      <c r="R264" s="4"/>
      <c r="S264" s="4"/>
      <c r="T264" s="4"/>
      <c r="U264" s="4"/>
    </row>
    <row r="265" spans="1:21">
      <c r="A265" t="s">
        <v>222</v>
      </c>
      <c r="B265">
        <v>6</v>
      </c>
      <c r="C265" t="str">
        <f t="shared" si="39"/>
        <v>test.client_6_</v>
      </c>
      <c r="D265">
        <v>2</v>
      </c>
      <c r="E265" s="4">
        <v>1</v>
      </c>
      <c r="F265" s="4">
        <v>0.62764734854703663</v>
      </c>
      <c r="G265" s="4" t="str">
        <f t="shared" si="40"/>
        <v/>
      </c>
      <c r="H265" s="4" t="str">
        <f t="shared" si="41"/>
        <v/>
      </c>
      <c r="I265" s="4" t="str">
        <f t="shared" si="42"/>
        <v/>
      </c>
      <c r="J265" s="4">
        <f t="shared" si="43"/>
        <v>1</v>
      </c>
      <c r="K265" s="4" t="str">
        <f t="shared" si="44"/>
        <v/>
      </c>
      <c r="L265" s="4" t="str">
        <f t="shared" si="45"/>
        <v/>
      </c>
      <c r="M265" s="4"/>
      <c r="N265" s="4"/>
      <c r="O265" s="4"/>
      <c r="P265" s="4"/>
      <c r="Q265" s="4"/>
      <c r="R265" s="4"/>
      <c r="S265" s="4"/>
      <c r="T265" s="4"/>
      <c r="U265" s="4"/>
    </row>
    <row r="266" spans="1:21">
      <c r="A266" t="s">
        <v>222</v>
      </c>
      <c r="B266">
        <v>7</v>
      </c>
      <c r="C266" t="str">
        <f t="shared" si="39"/>
        <v>test.client_7_</v>
      </c>
      <c r="D266">
        <v>1</v>
      </c>
      <c r="E266" s="4">
        <v>2.3255813953488372E-2</v>
      </c>
      <c r="F266" s="4">
        <v>7.9081632653061229E-2</v>
      </c>
      <c r="G266" s="4">
        <f t="shared" si="40"/>
        <v>2.3255813953488372E-2</v>
      </c>
      <c r="H266" s="4" t="str">
        <f t="shared" si="41"/>
        <v/>
      </c>
      <c r="I266" s="4" t="str">
        <f t="shared" si="42"/>
        <v/>
      </c>
      <c r="J266" s="4" t="str">
        <f t="shared" si="43"/>
        <v/>
      </c>
      <c r="K266" s="4" t="str">
        <f t="shared" si="44"/>
        <v/>
      </c>
      <c r="L266" s="4" t="str">
        <f t="shared" si="45"/>
        <v/>
      </c>
      <c r="M266" s="4"/>
      <c r="N266" s="4"/>
      <c r="O266" s="4"/>
      <c r="P266" s="4"/>
      <c r="Q266" s="4"/>
      <c r="R266" s="4"/>
      <c r="S266" s="4"/>
      <c r="T266" s="4"/>
      <c r="U266" s="4"/>
    </row>
    <row r="267" spans="1:21">
      <c r="A267" t="s">
        <v>222</v>
      </c>
      <c r="B267">
        <v>7</v>
      </c>
      <c r="C267" t="str">
        <f t="shared" si="39"/>
        <v>test.client_7_</v>
      </c>
      <c r="D267">
        <v>2</v>
      </c>
      <c r="E267" s="4">
        <v>6.9767441860465115E-2</v>
      </c>
      <c r="F267" s="4">
        <v>0.14200680272108843</v>
      </c>
      <c r="G267" s="4">
        <f t="shared" si="40"/>
        <v>6.9767441860465115E-2</v>
      </c>
      <c r="H267" s="4" t="str">
        <f t="shared" si="41"/>
        <v/>
      </c>
      <c r="I267" s="4" t="str">
        <f t="shared" si="42"/>
        <v/>
      </c>
      <c r="J267" s="4" t="str">
        <f t="shared" si="43"/>
        <v/>
      </c>
      <c r="K267" s="4" t="str">
        <f t="shared" si="44"/>
        <v/>
      </c>
      <c r="L267" s="4" t="str">
        <f t="shared" si="45"/>
        <v/>
      </c>
      <c r="M267" s="4"/>
      <c r="N267" s="4"/>
      <c r="O267" s="4"/>
      <c r="P267" s="4"/>
      <c r="Q267" s="4"/>
      <c r="R267" s="4"/>
      <c r="S267" s="4"/>
      <c r="T267" s="4"/>
      <c r="U267" s="4"/>
    </row>
    <row r="268" spans="1:21">
      <c r="A268" t="s">
        <v>222</v>
      </c>
      <c r="B268">
        <v>7</v>
      </c>
      <c r="C268" t="str">
        <f t="shared" si="39"/>
        <v>test.client_7_</v>
      </c>
      <c r="D268">
        <v>3</v>
      </c>
      <c r="E268" s="4">
        <v>0.11627906976744186</v>
      </c>
      <c r="F268" s="4">
        <v>0.17431972789115646</v>
      </c>
      <c r="G268" s="4">
        <f t="shared" si="40"/>
        <v>0.11627906976744186</v>
      </c>
      <c r="H268" s="4" t="str">
        <f t="shared" si="41"/>
        <v/>
      </c>
      <c r="I268" s="4" t="str">
        <f t="shared" si="42"/>
        <v/>
      </c>
      <c r="J268" s="4" t="str">
        <f t="shared" si="43"/>
        <v/>
      </c>
      <c r="K268" s="4" t="str">
        <f t="shared" si="44"/>
        <v/>
      </c>
      <c r="L268" s="4" t="str">
        <f t="shared" si="45"/>
        <v/>
      </c>
      <c r="M268" s="4"/>
      <c r="N268" s="4"/>
      <c r="O268" s="4"/>
      <c r="P268" s="4"/>
      <c r="Q268" s="4"/>
      <c r="R268" s="4"/>
      <c r="S268" s="4"/>
      <c r="T268" s="4"/>
      <c r="U268" s="4"/>
    </row>
    <row r="269" spans="1:21">
      <c r="A269" t="s">
        <v>222</v>
      </c>
      <c r="B269">
        <v>7</v>
      </c>
      <c r="C269" t="str">
        <f t="shared" si="39"/>
        <v>test.client_7_</v>
      </c>
      <c r="D269">
        <v>4</v>
      </c>
      <c r="E269" s="4">
        <v>0.16279069767441862</v>
      </c>
      <c r="F269" s="4">
        <v>0.2066326530612245</v>
      </c>
      <c r="G269" s="4" t="str">
        <f t="shared" si="40"/>
        <v/>
      </c>
      <c r="H269" s="4">
        <f t="shared" si="41"/>
        <v>0.16279069767441862</v>
      </c>
      <c r="I269" s="4" t="str">
        <f t="shared" si="42"/>
        <v/>
      </c>
      <c r="J269" s="4" t="str">
        <f t="shared" si="43"/>
        <v/>
      </c>
      <c r="K269" s="4" t="str">
        <f t="shared" si="44"/>
        <v/>
      </c>
      <c r="L269" s="4" t="str">
        <f t="shared" si="45"/>
        <v/>
      </c>
      <c r="M269" s="4"/>
      <c r="N269" s="4"/>
      <c r="O269" s="4"/>
      <c r="P269" s="4"/>
      <c r="Q269" s="4"/>
      <c r="R269" s="4"/>
      <c r="S269" s="4"/>
      <c r="T269" s="4"/>
      <c r="U269" s="4"/>
    </row>
    <row r="270" spans="1:21">
      <c r="A270" t="s">
        <v>222</v>
      </c>
      <c r="B270">
        <v>7</v>
      </c>
      <c r="C270" t="str">
        <f t="shared" si="39"/>
        <v>test.client_7_</v>
      </c>
      <c r="D270">
        <v>5</v>
      </c>
      <c r="E270" s="4">
        <v>0.2558139534883721</v>
      </c>
      <c r="F270" s="4">
        <v>0.39540816326530615</v>
      </c>
      <c r="G270" s="4" t="str">
        <f t="shared" si="40"/>
        <v/>
      </c>
      <c r="H270" s="4">
        <f t="shared" si="41"/>
        <v>0.2558139534883721</v>
      </c>
      <c r="I270" s="4" t="str">
        <f t="shared" si="42"/>
        <v/>
      </c>
      <c r="J270" s="4" t="str">
        <f t="shared" si="43"/>
        <v/>
      </c>
      <c r="K270" s="4" t="str">
        <f t="shared" si="44"/>
        <v/>
      </c>
      <c r="L270" s="4" t="str">
        <f t="shared" si="45"/>
        <v/>
      </c>
      <c r="M270" s="4"/>
      <c r="N270" s="4"/>
      <c r="O270" s="4"/>
      <c r="P270" s="4"/>
      <c r="Q270" s="4"/>
      <c r="R270" s="4"/>
      <c r="S270" s="4"/>
      <c r="T270" s="4"/>
      <c r="U270" s="4"/>
    </row>
    <row r="271" spans="1:21">
      <c r="A271" t="s">
        <v>222</v>
      </c>
      <c r="B271">
        <v>7</v>
      </c>
      <c r="C271" t="str">
        <f t="shared" si="39"/>
        <v>test.client_7_</v>
      </c>
      <c r="D271">
        <v>6</v>
      </c>
      <c r="E271" s="4">
        <v>0.95348837209302328</v>
      </c>
      <c r="F271" s="4">
        <v>0.85034013605442171</v>
      </c>
      <c r="G271" s="4" t="str">
        <f t="shared" si="40"/>
        <v/>
      </c>
      <c r="H271" s="4" t="str">
        <f t="shared" si="41"/>
        <v/>
      </c>
      <c r="I271" s="4" t="str">
        <f t="shared" si="42"/>
        <v/>
      </c>
      <c r="J271" s="4" t="str">
        <f t="shared" si="43"/>
        <v/>
      </c>
      <c r="K271" s="4">
        <f t="shared" si="44"/>
        <v>0.95348837209302328</v>
      </c>
      <c r="L271" s="4" t="str">
        <f t="shared" si="45"/>
        <v/>
      </c>
      <c r="M271" s="4"/>
      <c r="N271" s="4"/>
      <c r="O271" s="4"/>
      <c r="P271" s="4"/>
      <c r="Q271" s="4"/>
      <c r="R271" s="4"/>
      <c r="S271" s="4"/>
      <c r="T271" s="4"/>
      <c r="U271" s="4"/>
    </row>
    <row r="272" spans="1:21">
      <c r="A272" t="s">
        <v>222</v>
      </c>
      <c r="B272">
        <v>7</v>
      </c>
      <c r="C272" t="str">
        <f t="shared" si="39"/>
        <v>test.client_7_</v>
      </c>
      <c r="D272">
        <v>7</v>
      </c>
      <c r="E272" s="4">
        <v>1</v>
      </c>
      <c r="F272" s="4">
        <v>0.98809523809523814</v>
      </c>
      <c r="G272" s="4" t="str">
        <f t="shared" si="40"/>
        <v/>
      </c>
      <c r="H272" s="4" t="str">
        <f t="shared" si="41"/>
        <v/>
      </c>
      <c r="I272" s="4" t="str">
        <f t="shared" si="42"/>
        <v/>
      </c>
      <c r="J272" s="4" t="str">
        <f t="shared" si="43"/>
        <v/>
      </c>
      <c r="K272" s="4">
        <f t="shared" si="44"/>
        <v>1</v>
      </c>
      <c r="L272" s="4" t="str">
        <f t="shared" si="45"/>
        <v/>
      </c>
      <c r="M272" s="4"/>
      <c r="N272" s="4"/>
      <c r="O272" s="4"/>
      <c r="P272" s="4"/>
      <c r="Q272" s="4"/>
      <c r="R272" s="4"/>
      <c r="S272" s="4"/>
      <c r="T272" s="4"/>
      <c r="U272" s="4"/>
    </row>
    <row r="273" spans="1:21">
      <c r="A273" t="s">
        <v>223</v>
      </c>
      <c r="B273">
        <v>3</v>
      </c>
      <c r="C273" t="str">
        <f t="shared" si="39"/>
        <v>test.GeoEngine_3_</v>
      </c>
      <c r="D273">
        <v>1</v>
      </c>
      <c r="E273" s="4">
        <v>9.6774193548387094E-2</v>
      </c>
      <c r="F273" s="4">
        <v>6.846709775580069E-2</v>
      </c>
      <c r="G273" s="4">
        <f t="shared" si="40"/>
        <v>9.6774193548387094E-2</v>
      </c>
      <c r="H273" s="4" t="str">
        <f t="shared" si="41"/>
        <v/>
      </c>
      <c r="I273" s="4" t="str">
        <f t="shared" si="42"/>
        <v/>
      </c>
      <c r="J273" s="4" t="str">
        <f t="shared" si="43"/>
        <v/>
      </c>
      <c r="K273" s="4" t="str">
        <f t="shared" si="44"/>
        <v/>
      </c>
      <c r="L273" s="4" t="str">
        <f t="shared" si="45"/>
        <v/>
      </c>
      <c r="M273" s="4"/>
      <c r="N273" s="4"/>
      <c r="O273" s="4"/>
      <c r="P273" s="4"/>
      <c r="Q273" s="4"/>
      <c r="R273" s="4"/>
      <c r="S273" s="4"/>
      <c r="T273" s="4"/>
      <c r="U273" s="4"/>
    </row>
    <row r="274" spans="1:21">
      <c r="A274" t="s">
        <v>223</v>
      </c>
      <c r="B274">
        <v>3</v>
      </c>
      <c r="C274" t="str">
        <f t="shared" si="39"/>
        <v>test.GeoEngine_3_</v>
      </c>
      <c r="D274">
        <v>2</v>
      </c>
      <c r="E274" s="4">
        <v>0.74193548387096775</v>
      </c>
      <c r="F274" s="4">
        <v>0.61791555724610114</v>
      </c>
      <c r="G274" s="4" t="str">
        <f t="shared" si="40"/>
        <v/>
      </c>
      <c r="H274" s="4" t="str">
        <f t="shared" si="41"/>
        <v/>
      </c>
      <c r="I274" s="4" t="str">
        <f t="shared" si="42"/>
        <v/>
      </c>
      <c r="J274" s="4">
        <f t="shared" si="43"/>
        <v>0.74193548387096775</v>
      </c>
      <c r="K274" s="4" t="str">
        <f t="shared" si="44"/>
        <v/>
      </c>
      <c r="L274" s="4" t="str">
        <f t="shared" si="45"/>
        <v/>
      </c>
      <c r="M274" s="4"/>
      <c r="N274" s="4"/>
      <c r="O274" s="4"/>
      <c r="P274" s="4"/>
      <c r="Q274" s="4"/>
      <c r="R274" s="4"/>
      <c r="S274" s="4"/>
      <c r="T274" s="4"/>
      <c r="U274" s="4"/>
    </row>
    <row r="275" spans="1:21">
      <c r="A275" t="s">
        <v>223</v>
      </c>
      <c r="B275">
        <v>3</v>
      </c>
      <c r="C275" t="str">
        <f t="shared" si="39"/>
        <v>test.GeoEngine_3_</v>
      </c>
      <c r="D275">
        <v>3</v>
      </c>
      <c r="E275" s="4">
        <v>1</v>
      </c>
      <c r="F275" s="4">
        <v>0.62628375808292125</v>
      </c>
      <c r="G275" s="4" t="str">
        <f t="shared" si="40"/>
        <v/>
      </c>
      <c r="H275" s="4" t="str">
        <f t="shared" si="41"/>
        <v/>
      </c>
      <c r="I275" s="4" t="str">
        <f t="shared" si="42"/>
        <v/>
      </c>
      <c r="J275" s="4">
        <f t="shared" si="43"/>
        <v>1</v>
      </c>
      <c r="K275" s="4" t="str">
        <f t="shared" si="44"/>
        <v/>
      </c>
      <c r="L275" s="4" t="str">
        <f t="shared" si="45"/>
        <v/>
      </c>
      <c r="M275" s="4"/>
      <c r="N275" s="4"/>
      <c r="O275" s="4"/>
      <c r="P275" s="4"/>
      <c r="Q275" s="4"/>
      <c r="R275" s="4"/>
      <c r="S275" s="4"/>
      <c r="T275" s="4"/>
      <c r="U275" s="4"/>
    </row>
    <row r="276" spans="1:21">
      <c r="A276" t="s">
        <v>223</v>
      </c>
      <c r="B276">
        <v>7</v>
      </c>
      <c r="C276" t="str">
        <f t="shared" si="39"/>
        <v>test.GeoEngine_7_</v>
      </c>
      <c r="D276">
        <v>1</v>
      </c>
      <c r="E276" s="4">
        <v>5.3571428571428568E-2</v>
      </c>
      <c r="F276" s="4">
        <v>1.1106540518305225E-2</v>
      </c>
      <c r="G276" s="4">
        <f t="shared" si="40"/>
        <v>5.3571428571428568E-2</v>
      </c>
      <c r="H276" s="4" t="str">
        <f t="shared" si="41"/>
        <v/>
      </c>
      <c r="I276" s="4" t="str">
        <f t="shared" si="42"/>
        <v/>
      </c>
      <c r="J276" s="4" t="str">
        <f t="shared" si="43"/>
        <v/>
      </c>
      <c r="K276" s="4" t="str">
        <f t="shared" si="44"/>
        <v/>
      </c>
      <c r="L276" s="4" t="str">
        <f t="shared" si="45"/>
        <v/>
      </c>
      <c r="M276" s="4"/>
      <c r="N276" s="4"/>
      <c r="O276" s="4"/>
      <c r="P276" s="4"/>
      <c r="Q276" s="4"/>
      <c r="R276" s="4"/>
      <c r="S276" s="4"/>
      <c r="T276" s="4"/>
      <c r="U276" s="4"/>
    </row>
    <row r="277" spans="1:21">
      <c r="A277" t="s">
        <v>223</v>
      </c>
      <c r="B277">
        <v>7</v>
      </c>
      <c r="C277" s="9" t="str">
        <f t="shared" si="39"/>
        <v>test.GeoEngine_7_</v>
      </c>
      <c r="D277">
        <v>2</v>
      </c>
      <c r="E277" s="4">
        <v>7.1428571428571425E-2</v>
      </c>
      <c r="F277" s="4">
        <v>2.5915261209378856E-2</v>
      </c>
      <c r="G277" s="4">
        <f t="shared" si="40"/>
        <v>7.1428571428571425E-2</v>
      </c>
      <c r="H277" s="4" t="str">
        <f t="shared" si="41"/>
        <v/>
      </c>
      <c r="I277" s="4" t="str">
        <f t="shared" si="42"/>
        <v/>
      </c>
      <c r="J277" s="4" t="str">
        <f t="shared" si="43"/>
        <v/>
      </c>
      <c r="K277" s="4" t="str">
        <f t="shared" si="44"/>
        <v/>
      </c>
      <c r="L277" s="4" t="str">
        <f t="shared" si="45"/>
        <v/>
      </c>
      <c r="M277" s="4"/>
      <c r="N277" s="4"/>
      <c r="O277" s="4"/>
      <c r="P277" s="4"/>
      <c r="Q277" s="4"/>
      <c r="R277" s="4"/>
      <c r="S277" s="4"/>
      <c r="T277" s="4"/>
      <c r="U277" s="4"/>
    </row>
    <row r="278" spans="1:21">
      <c r="A278" t="s">
        <v>223</v>
      </c>
      <c r="B278">
        <v>7</v>
      </c>
      <c r="C278" t="str">
        <f t="shared" si="39"/>
        <v>test.GeoEngine_7_</v>
      </c>
      <c r="D278">
        <v>3</v>
      </c>
      <c r="E278" s="4">
        <v>0.2857142857142857</v>
      </c>
      <c r="F278" s="4">
        <v>6.9930069930069935E-2</v>
      </c>
      <c r="G278" s="4">
        <f t="shared" si="40"/>
        <v>0.2857142857142857</v>
      </c>
      <c r="H278" s="4" t="str">
        <f t="shared" si="41"/>
        <v/>
      </c>
      <c r="I278" s="4" t="str">
        <f t="shared" si="42"/>
        <v/>
      </c>
      <c r="J278" s="4" t="str">
        <f t="shared" si="43"/>
        <v/>
      </c>
      <c r="K278" s="4" t="str">
        <f t="shared" si="44"/>
        <v/>
      </c>
      <c r="L278" s="4" t="str">
        <f t="shared" si="45"/>
        <v/>
      </c>
      <c r="M278" s="4"/>
      <c r="N278" s="4"/>
      <c r="O278" s="4"/>
      <c r="P278" s="4"/>
      <c r="Q278" s="4"/>
      <c r="R278" s="4"/>
      <c r="S278" s="4"/>
      <c r="T278" s="4"/>
      <c r="U278" s="4"/>
    </row>
    <row r="279" spans="1:21">
      <c r="A279" t="s">
        <v>223</v>
      </c>
      <c r="B279">
        <v>7</v>
      </c>
      <c r="C279" t="str">
        <f t="shared" si="39"/>
        <v>test.GeoEngine_7_</v>
      </c>
      <c r="D279">
        <v>4</v>
      </c>
      <c r="E279" s="4">
        <v>0.48214285714285715</v>
      </c>
      <c r="F279" s="4">
        <v>0.10283833813245578</v>
      </c>
      <c r="G279" s="4">
        <f t="shared" si="40"/>
        <v>0.48214285714285715</v>
      </c>
      <c r="H279" s="4" t="str">
        <f t="shared" si="41"/>
        <v/>
      </c>
      <c r="I279" s="4" t="str">
        <f t="shared" si="42"/>
        <v/>
      </c>
      <c r="J279" s="4" t="str">
        <f t="shared" si="43"/>
        <v/>
      </c>
      <c r="K279" s="4" t="str">
        <f t="shared" si="44"/>
        <v/>
      </c>
      <c r="L279" s="4" t="str">
        <f t="shared" si="45"/>
        <v/>
      </c>
      <c r="M279" s="4"/>
      <c r="N279" s="4"/>
      <c r="O279" s="4"/>
      <c r="P279" s="4"/>
      <c r="Q279" s="4"/>
      <c r="R279" s="4"/>
      <c r="S279" s="4"/>
      <c r="T279" s="4"/>
      <c r="U279" s="4"/>
    </row>
    <row r="280" spans="1:21">
      <c r="A280" t="s">
        <v>223</v>
      </c>
      <c r="B280">
        <v>7</v>
      </c>
      <c r="C280" t="str">
        <f t="shared" si="39"/>
        <v>test.GeoEngine_7_</v>
      </c>
      <c r="D280">
        <v>5</v>
      </c>
      <c r="E280" s="4">
        <v>0.5178571428571429</v>
      </c>
      <c r="F280" s="4">
        <v>0.10345536816125052</v>
      </c>
      <c r="G280" s="4">
        <f t="shared" si="40"/>
        <v>0.5178571428571429</v>
      </c>
      <c r="H280" s="4" t="str">
        <f t="shared" si="41"/>
        <v/>
      </c>
      <c r="I280" s="4" t="str">
        <f t="shared" si="42"/>
        <v/>
      </c>
      <c r="J280" s="4" t="str">
        <f t="shared" si="43"/>
        <v/>
      </c>
      <c r="K280" s="4" t="str">
        <f t="shared" si="44"/>
        <v/>
      </c>
      <c r="L280" s="4" t="str">
        <f t="shared" si="45"/>
        <v/>
      </c>
      <c r="M280" s="4"/>
      <c r="N280" s="4"/>
      <c r="O280" s="4"/>
      <c r="P280" s="4"/>
      <c r="Q280" s="4"/>
      <c r="R280" s="4"/>
      <c r="S280" s="4"/>
      <c r="T280" s="4"/>
      <c r="U280" s="4"/>
    </row>
    <row r="281" spans="1:21">
      <c r="A281" t="s">
        <v>223</v>
      </c>
      <c r="B281">
        <v>7</v>
      </c>
      <c r="C281" t="str">
        <f t="shared" si="39"/>
        <v>test.GeoEngine_7_</v>
      </c>
      <c r="D281">
        <v>6</v>
      </c>
      <c r="E281" s="4">
        <v>1</v>
      </c>
      <c r="F281" s="4">
        <v>0.97243932538050182</v>
      </c>
      <c r="G281" s="4" t="str">
        <f t="shared" si="40"/>
        <v/>
      </c>
      <c r="H281" s="4" t="str">
        <f t="shared" si="41"/>
        <v/>
      </c>
      <c r="I281" s="4" t="str">
        <f t="shared" si="42"/>
        <v/>
      </c>
      <c r="J281" s="4" t="str">
        <f t="shared" si="43"/>
        <v/>
      </c>
      <c r="K281" s="4">
        <f t="shared" si="44"/>
        <v>1</v>
      </c>
      <c r="L281" s="4" t="str">
        <f t="shared" si="45"/>
        <v/>
      </c>
      <c r="M281" s="4"/>
      <c r="N281" s="4"/>
      <c r="O281" s="4"/>
      <c r="P281" s="4"/>
      <c r="Q281" s="4"/>
      <c r="R281" s="4"/>
      <c r="S281" s="4"/>
      <c r="T281" s="4"/>
      <c r="U281" s="4"/>
    </row>
    <row r="282" spans="1:21">
      <c r="A282" t="s">
        <v>223</v>
      </c>
      <c r="B282">
        <v>8</v>
      </c>
      <c r="C282" t="str">
        <f t="shared" si="39"/>
        <v>test.GeoEngine_8_</v>
      </c>
      <c r="D282">
        <v>1</v>
      </c>
      <c r="E282" s="4">
        <v>4.6511627906976744E-2</v>
      </c>
      <c r="F282" s="4">
        <v>4.2228885557221388E-2</v>
      </c>
      <c r="G282" s="4">
        <f t="shared" si="40"/>
        <v>4.6511627906976744E-2</v>
      </c>
      <c r="H282" s="4" t="str">
        <f t="shared" si="41"/>
        <v/>
      </c>
      <c r="I282" s="4" t="str">
        <f t="shared" si="42"/>
        <v/>
      </c>
      <c r="J282" s="4" t="str">
        <f t="shared" si="43"/>
        <v/>
      </c>
      <c r="K282" s="4" t="str">
        <f t="shared" si="44"/>
        <v/>
      </c>
      <c r="L282" s="4" t="str">
        <f t="shared" si="45"/>
        <v/>
      </c>
      <c r="M282" s="4"/>
      <c r="N282" s="4"/>
      <c r="O282" s="4"/>
      <c r="P282" s="4"/>
      <c r="Q282" s="4"/>
      <c r="R282" s="4"/>
      <c r="S282" s="4"/>
      <c r="T282" s="4"/>
      <c r="U282" s="4"/>
    </row>
    <row r="283" spans="1:21">
      <c r="A283" t="s">
        <v>223</v>
      </c>
      <c r="B283">
        <v>8</v>
      </c>
      <c r="C283" t="str">
        <f t="shared" si="39"/>
        <v>test.GeoEngine_8_</v>
      </c>
      <c r="D283">
        <v>2</v>
      </c>
      <c r="E283" s="4">
        <v>0.1744186046511628</v>
      </c>
      <c r="F283" s="4">
        <v>0.10644677661169415</v>
      </c>
      <c r="G283" s="4">
        <f t="shared" si="40"/>
        <v>0.1744186046511628</v>
      </c>
      <c r="H283" s="4" t="str">
        <f t="shared" si="41"/>
        <v/>
      </c>
      <c r="I283" s="4" t="str">
        <f t="shared" si="42"/>
        <v/>
      </c>
      <c r="J283" s="4" t="str">
        <f t="shared" si="43"/>
        <v/>
      </c>
      <c r="K283" s="4" t="str">
        <f t="shared" si="44"/>
        <v/>
      </c>
      <c r="L283" s="4" t="str">
        <f t="shared" si="45"/>
        <v/>
      </c>
      <c r="M283" s="4"/>
      <c r="N283" s="4"/>
      <c r="O283" s="4"/>
      <c r="P283" s="4"/>
      <c r="Q283" s="4"/>
      <c r="R283" s="4"/>
      <c r="S283" s="4"/>
      <c r="T283" s="4"/>
      <c r="U283" s="4"/>
    </row>
    <row r="284" spans="1:21">
      <c r="A284" t="s">
        <v>223</v>
      </c>
      <c r="B284">
        <v>8</v>
      </c>
      <c r="C284" t="str">
        <f t="shared" si="39"/>
        <v>test.GeoEngine_8_</v>
      </c>
      <c r="D284">
        <v>3</v>
      </c>
      <c r="E284" s="4">
        <v>0.22093023255813954</v>
      </c>
      <c r="F284" s="4">
        <v>0.12643678160919541</v>
      </c>
      <c r="G284" s="4">
        <f t="shared" si="40"/>
        <v>0.22093023255813954</v>
      </c>
      <c r="H284" s="4" t="str">
        <f t="shared" si="41"/>
        <v/>
      </c>
      <c r="I284" s="4" t="str">
        <f t="shared" si="42"/>
        <v/>
      </c>
      <c r="J284" s="4" t="str">
        <f t="shared" si="43"/>
        <v/>
      </c>
      <c r="K284" s="4" t="str">
        <f t="shared" si="44"/>
        <v/>
      </c>
      <c r="L284" s="4" t="str">
        <f t="shared" si="45"/>
        <v/>
      </c>
      <c r="M284" s="4"/>
      <c r="N284" s="4"/>
      <c r="O284" s="4"/>
      <c r="P284" s="4"/>
      <c r="Q284" s="4"/>
      <c r="R284" s="4"/>
      <c r="S284" s="4"/>
      <c r="T284" s="4"/>
      <c r="U284" s="4"/>
    </row>
    <row r="285" spans="1:21">
      <c r="A285" t="s">
        <v>223</v>
      </c>
      <c r="B285">
        <v>8</v>
      </c>
      <c r="C285" t="str">
        <f t="shared" si="39"/>
        <v>test.GeoEngine_8_</v>
      </c>
      <c r="D285">
        <v>4</v>
      </c>
      <c r="E285" s="4">
        <v>0.33720930232558138</v>
      </c>
      <c r="F285" s="4">
        <v>0.14742628685657172</v>
      </c>
      <c r="G285" s="4">
        <f t="shared" si="40"/>
        <v>0.33720930232558138</v>
      </c>
      <c r="H285" s="4" t="str">
        <f t="shared" si="41"/>
        <v/>
      </c>
      <c r="I285" s="4" t="str">
        <f t="shared" si="42"/>
        <v/>
      </c>
      <c r="J285" s="4" t="str">
        <f t="shared" si="43"/>
        <v/>
      </c>
      <c r="K285" s="4" t="str">
        <f t="shared" si="44"/>
        <v/>
      </c>
      <c r="L285" s="4" t="str">
        <f t="shared" si="45"/>
        <v/>
      </c>
      <c r="M285" s="4"/>
      <c r="N285" s="4"/>
      <c r="O285" s="4"/>
      <c r="P285" s="4"/>
      <c r="Q285" s="4"/>
      <c r="R285" s="4"/>
      <c r="S285" s="4"/>
      <c r="T285" s="4"/>
      <c r="U285" s="4"/>
    </row>
    <row r="286" spans="1:21">
      <c r="A286" t="s">
        <v>223</v>
      </c>
      <c r="B286">
        <v>8</v>
      </c>
      <c r="C286" t="str">
        <f t="shared" si="39"/>
        <v>test.GeoEngine_8_</v>
      </c>
      <c r="D286">
        <v>5</v>
      </c>
      <c r="E286" s="4">
        <v>0.36046511627906974</v>
      </c>
      <c r="F286" s="4">
        <v>0.15767116441779111</v>
      </c>
      <c r="G286" s="4">
        <f t="shared" si="40"/>
        <v>0.36046511627906974</v>
      </c>
      <c r="H286" s="4" t="str">
        <f t="shared" si="41"/>
        <v/>
      </c>
      <c r="I286" s="4" t="str">
        <f t="shared" si="42"/>
        <v/>
      </c>
      <c r="J286" s="4" t="str">
        <f t="shared" si="43"/>
        <v/>
      </c>
      <c r="K286" s="4" t="str">
        <f t="shared" si="44"/>
        <v/>
      </c>
      <c r="L286" s="4" t="str">
        <f t="shared" si="45"/>
        <v/>
      </c>
      <c r="M286" s="4"/>
      <c r="N286" s="4"/>
      <c r="O286" s="4"/>
      <c r="P286" s="4"/>
      <c r="Q286" s="4"/>
      <c r="R286" s="4"/>
      <c r="S286" s="4"/>
      <c r="T286" s="4"/>
      <c r="U286" s="4"/>
    </row>
    <row r="287" spans="1:21">
      <c r="A287" t="s">
        <v>223</v>
      </c>
      <c r="B287">
        <v>8</v>
      </c>
      <c r="C287" t="str">
        <f t="shared" si="39"/>
        <v>test.GeoEngine_8_</v>
      </c>
      <c r="D287">
        <v>6</v>
      </c>
      <c r="E287" s="4">
        <v>0.7558139534883721</v>
      </c>
      <c r="F287" s="4">
        <v>0.61569215392303844</v>
      </c>
      <c r="G287" s="4" t="str">
        <f t="shared" si="40"/>
        <v/>
      </c>
      <c r="H287" s="4" t="str">
        <f t="shared" si="41"/>
        <v/>
      </c>
      <c r="I287" s="4" t="str">
        <f t="shared" si="42"/>
        <v/>
      </c>
      <c r="J287" s="4">
        <f t="shared" si="43"/>
        <v>0.7558139534883721</v>
      </c>
      <c r="K287" s="4" t="str">
        <f t="shared" si="44"/>
        <v/>
      </c>
      <c r="L287" s="4" t="str">
        <f t="shared" si="45"/>
        <v/>
      </c>
      <c r="M287" s="4"/>
      <c r="N287" s="4"/>
      <c r="O287" s="4"/>
      <c r="P287" s="4"/>
      <c r="Q287" s="4"/>
      <c r="R287" s="4"/>
      <c r="S287" s="4"/>
      <c r="T287" s="4"/>
      <c r="U287" s="4"/>
    </row>
    <row r="288" spans="1:21">
      <c r="A288" t="s">
        <v>223</v>
      </c>
      <c r="B288">
        <v>8</v>
      </c>
      <c r="C288" t="str">
        <f t="shared" si="39"/>
        <v>test.GeoEngine_8_</v>
      </c>
      <c r="D288">
        <v>7</v>
      </c>
      <c r="E288" s="4">
        <v>0.79069767441860461</v>
      </c>
      <c r="F288" s="4">
        <v>0.64417791104447775</v>
      </c>
      <c r="G288" s="4" t="str">
        <f t="shared" si="40"/>
        <v/>
      </c>
      <c r="H288" s="4" t="str">
        <f t="shared" si="41"/>
        <v/>
      </c>
      <c r="I288" s="4" t="str">
        <f t="shared" si="42"/>
        <v/>
      </c>
      <c r="J288" s="4">
        <f t="shared" si="43"/>
        <v>0.79069767441860461</v>
      </c>
      <c r="K288" s="4" t="str">
        <f t="shared" si="44"/>
        <v/>
      </c>
      <c r="L288" s="4" t="str">
        <f t="shared" si="45"/>
        <v/>
      </c>
      <c r="M288" s="4"/>
      <c r="N288" s="4"/>
      <c r="O288" s="4"/>
      <c r="P288" s="4"/>
      <c r="Q288" s="4"/>
      <c r="R288" s="4"/>
      <c r="S288" s="4"/>
      <c r="T288" s="4"/>
      <c r="U288" s="4"/>
    </row>
    <row r="289" spans="1:21">
      <c r="A289" t="s">
        <v>223</v>
      </c>
      <c r="B289">
        <v>8</v>
      </c>
      <c r="C289" t="str">
        <f t="shared" si="39"/>
        <v>test.GeoEngine_8_</v>
      </c>
      <c r="D289">
        <v>8</v>
      </c>
      <c r="E289" s="4">
        <v>0.81395348837209303</v>
      </c>
      <c r="F289" s="4">
        <v>0.65017491254372817</v>
      </c>
      <c r="G289" s="4" t="str">
        <f t="shared" si="40"/>
        <v/>
      </c>
      <c r="H289" s="4" t="str">
        <f t="shared" si="41"/>
        <v/>
      </c>
      <c r="I289" s="4" t="str">
        <f t="shared" si="42"/>
        <v/>
      </c>
      <c r="J289" s="4">
        <f t="shared" si="43"/>
        <v>0.81395348837209303</v>
      </c>
      <c r="K289" s="4" t="str">
        <f t="shared" si="44"/>
        <v/>
      </c>
      <c r="L289" s="4" t="str">
        <f t="shared" si="45"/>
        <v/>
      </c>
      <c r="M289" s="4"/>
      <c r="N289" s="4"/>
      <c r="O289" s="4"/>
      <c r="P289" s="4"/>
      <c r="Q289" s="4"/>
      <c r="R289" s="4"/>
      <c r="S289" s="4"/>
      <c r="T289" s="4"/>
      <c r="U289" s="4"/>
    </row>
    <row r="290" spans="1:21">
      <c r="A290" t="s">
        <v>223</v>
      </c>
      <c r="B290">
        <v>8</v>
      </c>
      <c r="C290" t="str">
        <f t="shared" si="39"/>
        <v>test.GeoEngine_8_</v>
      </c>
      <c r="D290">
        <v>9</v>
      </c>
      <c r="E290" s="4">
        <v>0.87209302325581395</v>
      </c>
      <c r="F290" s="4">
        <v>0.68715642178910541</v>
      </c>
      <c r="G290" s="4" t="str">
        <f t="shared" si="40"/>
        <v/>
      </c>
      <c r="H290" s="4" t="str">
        <f t="shared" si="41"/>
        <v/>
      </c>
      <c r="I290" s="4" t="str">
        <f t="shared" si="42"/>
        <v/>
      </c>
      <c r="J290" s="4">
        <f t="shared" si="43"/>
        <v>0.87209302325581395</v>
      </c>
      <c r="K290" s="4" t="str">
        <f t="shared" si="44"/>
        <v/>
      </c>
      <c r="L290" s="4" t="str">
        <f t="shared" si="45"/>
        <v/>
      </c>
      <c r="M290" s="4"/>
      <c r="N290" s="4"/>
      <c r="O290" s="4"/>
      <c r="P290" s="4"/>
      <c r="Q290" s="4"/>
      <c r="R290" s="4"/>
      <c r="S290" s="4"/>
      <c r="T290" s="4"/>
      <c r="U290" s="4"/>
    </row>
    <row r="291" spans="1:21">
      <c r="A291" t="s">
        <v>223</v>
      </c>
      <c r="B291">
        <v>8</v>
      </c>
      <c r="C291" t="str">
        <f t="shared" si="39"/>
        <v>test.GeoEngine_8_</v>
      </c>
      <c r="D291">
        <v>10</v>
      </c>
      <c r="E291" s="4">
        <v>0.91860465116279066</v>
      </c>
      <c r="F291" s="4">
        <v>0.708895552223888</v>
      </c>
      <c r="G291" s="4" t="str">
        <f t="shared" si="40"/>
        <v/>
      </c>
      <c r="H291" s="4" t="str">
        <f t="shared" si="41"/>
        <v/>
      </c>
      <c r="I291" s="4" t="str">
        <f t="shared" si="42"/>
        <v/>
      </c>
      <c r="J291" s="4">
        <f t="shared" si="43"/>
        <v>0.91860465116279066</v>
      </c>
      <c r="K291" s="4" t="str">
        <f t="shared" si="44"/>
        <v/>
      </c>
      <c r="L291" s="4" t="str">
        <f t="shared" si="45"/>
        <v/>
      </c>
      <c r="M291" s="4"/>
      <c r="N291" s="4"/>
      <c r="O291" s="4"/>
      <c r="P291" s="4"/>
      <c r="Q291" s="4"/>
      <c r="R291" s="4"/>
      <c r="S291" s="4"/>
      <c r="T291" s="4"/>
      <c r="U291" s="4"/>
    </row>
    <row r="292" spans="1:21">
      <c r="A292" t="s">
        <v>223</v>
      </c>
      <c r="B292">
        <v>8</v>
      </c>
      <c r="C292" t="str">
        <f t="shared" si="39"/>
        <v>test.GeoEngine_8_</v>
      </c>
      <c r="D292">
        <v>11</v>
      </c>
      <c r="E292" s="4">
        <v>1</v>
      </c>
      <c r="F292" s="4">
        <v>0.93603198400799603</v>
      </c>
      <c r="G292" s="4" t="str">
        <f t="shared" si="40"/>
        <v/>
      </c>
      <c r="H292" s="4" t="str">
        <f t="shared" si="41"/>
        <v/>
      </c>
      <c r="I292" s="4" t="str">
        <f t="shared" si="42"/>
        <v/>
      </c>
      <c r="J292" s="4" t="str">
        <f t="shared" si="43"/>
        <v/>
      </c>
      <c r="K292" s="4">
        <f t="shared" si="44"/>
        <v>1</v>
      </c>
      <c r="L292" s="4" t="str">
        <f t="shared" si="45"/>
        <v/>
      </c>
      <c r="M292" s="4"/>
      <c r="N292" s="4"/>
      <c r="O292" s="4"/>
      <c r="P292" s="4"/>
      <c r="Q292" s="4"/>
      <c r="R292" s="4"/>
      <c r="S292" s="4"/>
      <c r="T292" s="4"/>
      <c r="U292" s="4"/>
    </row>
    <row r="293" spans="1:21">
      <c r="A293" t="s">
        <v>223</v>
      </c>
      <c r="B293">
        <v>9</v>
      </c>
      <c r="C293" t="str">
        <f t="shared" si="39"/>
        <v>test.GeoEngine_9_</v>
      </c>
      <c r="D293">
        <v>1</v>
      </c>
      <c r="E293" s="4">
        <v>8.6956521739130432E-2</v>
      </c>
      <c r="F293" s="4">
        <v>7.4846044528659408E-2</v>
      </c>
      <c r="G293" s="4">
        <f t="shared" si="40"/>
        <v>8.6956521739130432E-2</v>
      </c>
      <c r="H293" s="4" t="str">
        <f t="shared" si="41"/>
        <v/>
      </c>
      <c r="I293" s="4" t="str">
        <f t="shared" si="42"/>
        <v/>
      </c>
      <c r="J293" s="4" t="str">
        <f t="shared" si="43"/>
        <v/>
      </c>
      <c r="K293" s="4" t="str">
        <f t="shared" si="44"/>
        <v/>
      </c>
      <c r="L293" s="4" t="str">
        <f t="shared" si="45"/>
        <v/>
      </c>
      <c r="M293" s="4"/>
      <c r="N293" s="4"/>
      <c r="O293" s="4"/>
      <c r="P293" s="4"/>
      <c r="Q293" s="4"/>
      <c r="R293" s="4"/>
      <c r="S293" s="4"/>
      <c r="T293" s="4"/>
      <c r="U293" s="4"/>
    </row>
    <row r="294" spans="1:21">
      <c r="A294" t="s">
        <v>223</v>
      </c>
      <c r="B294">
        <v>9</v>
      </c>
      <c r="C294" t="str">
        <f t="shared" si="39"/>
        <v>test.GeoEngine_9_</v>
      </c>
      <c r="D294">
        <v>2</v>
      </c>
      <c r="E294" s="4">
        <v>0.19565217391304349</v>
      </c>
      <c r="F294" s="4">
        <v>0.12126954050213169</v>
      </c>
      <c r="G294" s="4">
        <f t="shared" si="40"/>
        <v>0.19565217391304349</v>
      </c>
      <c r="H294" s="4" t="str">
        <f t="shared" si="41"/>
        <v/>
      </c>
      <c r="I294" s="4" t="str">
        <f t="shared" si="42"/>
        <v/>
      </c>
      <c r="J294" s="4" t="str">
        <f t="shared" si="43"/>
        <v/>
      </c>
      <c r="K294" s="4" t="str">
        <f t="shared" si="44"/>
        <v/>
      </c>
      <c r="L294" s="4" t="str">
        <f t="shared" si="45"/>
        <v/>
      </c>
      <c r="M294" s="4"/>
      <c r="N294" s="4"/>
      <c r="O294" s="4"/>
      <c r="P294" s="4"/>
      <c r="Q294" s="4"/>
      <c r="R294" s="4"/>
      <c r="S294" s="4"/>
      <c r="T294" s="4"/>
      <c r="U294" s="4"/>
    </row>
    <row r="295" spans="1:21">
      <c r="A295" t="s">
        <v>223</v>
      </c>
      <c r="B295">
        <v>9</v>
      </c>
      <c r="C295" t="str">
        <f t="shared" si="39"/>
        <v>test.GeoEngine_9_</v>
      </c>
      <c r="D295">
        <v>3</v>
      </c>
      <c r="E295" s="4">
        <v>0.41304347826086957</v>
      </c>
      <c r="F295" s="4">
        <v>0.27996210326859311</v>
      </c>
      <c r="G295" s="4" t="str">
        <f t="shared" si="40"/>
        <v/>
      </c>
      <c r="H295" s="4">
        <f t="shared" si="41"/>
        <v>0.41304347826086957</v>
      </c>
      <c r="I295" s="4" t="str">
        <f t="shared" si="42"/>
        <v/>
      </c>
      <c r="J295" s="4" t="str">
        <f t="shared" si="43"/>
        <v/>
      </c>
      <c r="K295" s="4" t="str">
        <f t="shared" si="44"/>
        <v/>
      </c>
      <c r="L295" s="4" t="str">
        <f t="shared" si="45"/>
        <v/>
      </c>
      <c r="M295" s="4"/>
      <c r="N295" s="4"/>
      <c r="O295" s="4"/>
      <c r="P295" s="4"/>
      <c r="Q295" s="4"/>
      <c r="R295" s="4"/>
      <c r="S295" s="4"/>
      <c r="T295" s="4"/>
      <c r="U295" s="4"/>
    </row>
    <row r="296" spans="1:21">
      <c r="A296" t="s">
        <v>223</v>
      </c>
      <c r="B296">
        <v>9</v>
      </c>
      <c r="C296" t="str">
        <f t="shared" si="39"/>
        <v>test.GeoEngine_9_</v>
      </c>
      <c r="D296">
        <v>4</v>
      </c>
      <c r="E296" s="4">
        <v>0.45652173913043476</v>
      </c>
      <c r="F296" s="4">
        <v>0.29417337754618667</v>
      </c>
      <c r="G296" s="4" t="str">
        <f t="shared" si="40"/>
        <v/>
      </c>
      <c r="H296" s="4">
        <f t="shared" si="41"/>
        <v>0.45652173913043476</v>
      </c>
      <c r="I296" s="4" t="str">
        <f t="shared" si="42"/>
        <v/>
      </c>
      <c r="J296" s="4" t="str">
        <f t="shared" si="43"/>
        <v/>
      </c>
      <c r="K296" s="4" t="str">
        <f t="shared" si="44"/>
        <v/>
      </c>
      <c r="L296" s="4" t="str">
        <f t="shared" si="45"/>
        <v/>
      </c>
      <c r="M296" s="4"/>
      <c r="N296" s="4"/>
      <c r="O296" s="4"/>
      <c r="P296" s="4"/>
      <c r="Q296" s="4"/>
      <c r="R296" s="4"/>
      <c r="S296" s="4"/>
      <c r="T296" s="4"/>
      <c r="U296" s="4"/>
    </row>
    <row r="297" spans="1:21">
      <c r="A297" t="s">
        <v>223</v>
      </c>
      <c r="B297">
        <v>9</v>
      </c>
      <c r="C297" t="str">
        <f t="shared" si="39"/>
        <v>test.GeoEngine_9_</v>
      </c>
      <c r="D297">
        <v>5</v>
      </c>
      <c r="E297" s="4">
        <v>1</v>
      </c>
      <c r="F297" s="4">
        <v>0.98720985315016585</v>
      </c>
      <c r="G297" s="4" t="str">
        <f t="shared" si="40"/>
        <v/>
      </c>
      <c r="H297" s="4" t="str">
        <f t="shared" si="41"/>
        <v/>
      </c>
      <c r="I297" s="4" t="str">
        <f t="shared" si="42"/>
        <v/>
      </c>
      <c r="J297" s="4" t="str">
        <f t="shared" si="43"/>
        <v/>
      </c>
      <c r="K297" s="4">
        <f t="shared" si="44"/>
        <v>1</v>
      </c>
      <c r="L297" s="4" t="str">
        <f t="shared" si="45"/>
        <v/>
      </c>
      <c r="M297" s="4"/>
      <c r="N297" s="4"/>
      <c r="O297" s="4"/>
      <c r="P297" s="4"/>
      <c r="Q297" s="4"/>
      <c r="R297" s="4"/>
      <c r="S297" s="4"/>
      <c r="T297" s="4"/>
      <c r="U297" s="4"/>
    </row>
    <row r="298" spans="1:21">
      <c r="A298" t="s">
        <v>223</v>
      </c>
      <c r="B298">
        <v>10</v>
      </c>
      <c r="C298" t="str">
        <f t="shared" si="39"/>
        <v>test.GeoEngine_10_</v>
      </c>
      <c r="D298">
        <v>1</v>
      </c>
      <c r="E298" s="4">
        <v>3.3333333333333333E-2</v>
      </c>
      <c r="F298" s="4">
        <v>7.9476861167002005E-2</v>
      </c>
      <c r="G298" s="4">
        <f t="shared" si="40"/>
        <v>3.3333333333333333E-2</v>
      </c>
      <c r="H298" s="4" t="str">
        <f t="shared" si="41"/>
        <v/>
      </c>
      <c r="I298" s="4" t="str">
        <f t="shared" si="42"/>
        <v/>
      </c>
      <c r="J298" s="4" t="str">
        <f t="shared" si="43"/>
        <v/>
      </c>
      <c r="K298" s="4" t="str">
        <f t="shared" si="44"/>
        <v/>
      </c>
      <c r="L298" s="4" t="str">
        <f t="shared" si="45"/>
        <v/>
      </c>
      <c r="M298" s="4"/>
      <c r="N298" s="4"/>
      <c r="O298" s="4"/>
      <c r="P298" s="4"/>
      <c r="Q298" s="4"/>
      <c r="R298" s="4"/>
      <c r="S298" s="4"/>
      <c r="T298" s="4"/>
      <c r="U298" s="4"/>
    </row>
    <row r="299" spans="1:21">
      <c r="A299" t="s">
        <v>223</v>
      </c>
      <c r="B299">
        <v>10</v>
      </c>
      <c r="C299" t="str">
        <f t="shared" si="39"/>
        <v>test.GeoEngine_10_</v>
      </c>
      <c r="D299">
        <v>2</v>
      </c>
      <c r="E299" s="4">
        <v>0.2</v>
      </c>
      <c r="F299" s="4">
        <v>0.33199195171026158</v>
      </c>
      <c r="G299" s="4" t="str">
        <f t="shared" si="40"/>
        <v/>
      </c>
      <c r="H299" s="4">
        <f t="shared" si="41"/>
        <v>0.2</v>
      </c>
      <c r="I299" s="4" t="str">
        <f t="shared" si="42"/>
        <v/>
      </c>
      <c r="J299" s="4" t="str">
        <f t="shared" si="43"/>
        <v/>
      </c>
      <c r="K299" s="4" t="str">
        <f t="shared" si="44"/>
        <v/>
      </c>
      <c r="L299" s="4" t="str">
        <f t="shared" si="45"/>
        <v/>
      </c>
      <c r="M299" s="4"/>
      <c r="N299" s="4"/>
      <c r="O299" s="4"/>
      <c r="P299" s="4"/>
      <c r="Q299" s="4"/>
      <c r="R299" s="4"/>
      <c r="S299" s="4"/>
      <c r="T299" s="4"/>
      <c r="U299" s="4"/>
    </row>
    <row r="300" spans="1:21">
      <c r="A300" t="s">
        <v>223</v>
      </c>
      <c r="B300">
        <v>10</v>
      </c>
      <c r="C300" t="str">
        <f t="shared" si="39"/>
        <v>test.GeoEngine_10_</v>
      </c>
      <c r="D300">
        <v>3</v>
      </c>
      <c r="E300" s="4">
        <v>0.4</v>
      </c>
      <c r="F300" s="4">
        <v>0.49094567404426559</v>
      </c>
      <c r="G300" s="4" t="str">
        <f t="shared" si="40"/>
        <v/>
      </c>
      <c r="H300" s="4" t="str">
        <f t="shared" si="41"/>
        <v/>
      </c>
      <c r="I300" s="4">
        <f t="shared" si="42"/>
        <v>0.4</v>
      </c>
      <c r="J300" s="4" t="str">
        <f t="shared" si="43"/>
        <v/>
      </c>
      <c r="K300" s="4" t="str">
        <f t="shared" si="44"/>
        <v/>
      </c>
      <c r="L300" s="4" t="str">
        <f t="shared" si="45"/>
        <v/>
      </c>
      <c r="M300" s="4"/>
      <c r="N300" s="4"/>
      <c r="O300" s="4"/>
      <c r="P300" s="4"/>
      <c r="Q300" s="4"/>
      <c r="R300" s="4"/>
      <c r="S300" s="4"/>
      <c r="T300" s="4"/>
      <c r="U300" s="4"/>
    </row>
    <row r="301" spans="1:21">
      <c r="A301" t="s">
        <v>223</v>
      </c>
      <c r="B301">
        <v>10</v>
      </c>
      <c r="C301" t="str">
        <f t="shared" si="39"/>
        <v>test.GeoEngine_10_</v>
      </c>
      <c r="D301">
        <v>4</v>
      </c>
      <c r="E301" s="4">
        <v>0.43333333333333335</v>
      </c>
      <c r="F301" s="4">
        <v>0.54627766599597583</v>
      </c>
      <c r="G301" s="4" t="str">
        <f t="shared" si="40"/>
        <v/>
      </c>
      <c r="H301" s="4" t="str">
        <f t="shared" si="41"/>
        <v/>
      </c>
      <c r="I301" s="4">
        <f t="shared" si="42"/>
        <v>0.43333333333333335</v>
      </c>
      <c r="J301" s="4" t="str">
        <f t="shared" si="43"/>
        <v/>
      </c>
      <c r="K301" s="4" t="str">
        <f t="shared" si="44"/>
        <v/>
      </c>
      <c r="L301" s="4" t="str">
        <f t="shared" si="45"/>
        <v/>
      </c>
      <c r="M301" s="4"/>
      <c r="N301" s="4"/>
      <c r="O301" s="4"/>
      <c r="P301" s="4"/>
      <c r="Q301" s="4"/>
      <c r="R301" s="4"/>
      <c r="S301" s="4"/>
      <c r="T301" s="4"/>
      <c r="U301" s="4"/>
    </row>
    <row r="302" spans="1:21">
      <c r="A302" t="s">
        <v>223</v>
      </c>
      <c r="B302">
        <v>10</v>
      </c>
      <c r="C302" t="str">
        <f t="shared" si="39"/>
        <v>test.GeoEngine_10_</v>
      </c>
      <c r="D302">
        <v>5</v>
      </c>
      <c r="E302" s="4">
        <v>0.6333333333333333</v>
      </c>
      <c r="F302" s="4">
        <v>0.63983903420523136</v>
      </c>
      <c r="G302" s="4" t="str">
        <f t="shared" si="40"/>
        <v/>
      </c>
      <c r="H302" s="4" t="str">
        <f t="shared" si="41"/>
        <v/>
      </c>
      <c r="I302" s="4" t="str">
        <f t="shared" si="42"/>
        <v/>
      </c>
      <c r="J302" s="4">
        <f t="shared" si="43"/>
        <v>0.6333333333333333</v>
      </c>
      <c r="K302" s="4" t="str">
        <f t="shared" si="44"/>
        <v/>
      </c>
      <c r="L302" s="4" t="str">
        <f t="shared" si="45"/>
        <v/>
      </c>
      <c r="M302" s="4"/>
      <c r="N302" s="4"/>
      <c r="O302" s="4"/>
      <c r="P302" s="4"/>
      <c r="Q302" s="4"/>
      <c r="R302" s="4"/>
      <c r="S302" s="4"/>
      <c r="T302" s="4"/>
      <c r="U302" s="4"/>
    </row>
    <row r="303" spans="1:21">
      <c r="A303" t="s">
        <v>223</v>
      </c>
      <c r="B303">
        <v>10</v>
      </c>
      <c r="C303" t="str">
        <f t="shared" si="39"/>
        <v>test.GeoEngine_10_</v>
      </c>
      <c r="D303">
        <v>6</v>
      </c>
      <c r="E303" s="4">
        <v>0.66666666666666663</v>
      </c>
      <c r="F303" s="4">
        <v>0.70422535211267601</v>
      </c>
      <c r="G303" s="4" t="str">
        <f t="shared" si="40"/>
        <v/>
      </c>
      <c r="H303" s="4" t="str">
        <f t="shared" si="41"/>
        <v/>
      </c>
      <c r="I303" s="4" t="str">
        <f t="shared" si="42"/>
        <v/>
      </c>
      <c r="J303" s="4">
        <f t="shared" si="43"/>
        <v>0.66666666666666663</v>
      </c>
      <c r="K303" s="4" t="str">
        <f t="shared" si="44"/>
        <v/>
      </c>
      <c r="L303" s="4" t="str">
        <f t="shared" si="45"/>
        <v/>
      </c>
      <c r="M303" s="4"/>
      <c r="N303" s="4"/>
      <c r="O303" s="4"/>
      <c r="P303" s="4"/>
      <c r="Q303" s="4"/>
      <c r="R303" s="4"/>
      <c r="S303" s="4"/>
      <c r="T303" s="4"/>
      <c r="U303" s="4"/>
    </row>
    <row r="304" spans="1:21">
      <c r="A304" t="s">
        <v>223</v>
      </c>
      <c r="B304">
        <v>10</v>
      </c>
      <c r="C304" t="str">
        <f t="shared" si="39"/>
        <v>test.GeoEngine_10_</v>
      </c>
      <c r="D304">
        <v>7</v>
      </c>
      <c r="E304" s="4">
        <v>0.66666666666666663</v>
      </c>
      <c r="F304" s="4">
        <v>0.70824949698189132</v>
      </c>
      <c r="G304" s="4" t="str">
        <f t="shared" si="40"/>
        <v/>
      </c>
      <c r="H304" s="4" t="str">
        <f t="shared" si="41"/>
        <v/>
      </c>
      <c r="I304" s="4" t="str">
        <f t="shared" si="42"/>
        <v/>
      </c>
      <c r="J304" s="4">
        <f t="shared" si="43"/>
        <v>0.66666666666666663</v>
      </c>
      <c r="K304" s="4" t="str">
        <f t="shared" si="44"/>
        <v/>
      </c>
      <c r="L304" s="4" t="str">
        <f t="shared" si="45"/>
        <v/>
      </c>
      <c r="M304" s="4"/>
      <c r="N304" s="4"/>
      <c r="O304" s="4"/>
      <c r="P304" s="4"/>
      <c r="Q304" s="4"/>
      <c r="R304" s="4"/>
      <c r="S304" s="4"/>
      <c r="T304" s="4"/>
      <c r="U304" s="4"/>
    </row>
    <row r="305" spans="1:21">
      <c r="A305" t="s">
        <v>223</v>
      </c>
      <c r="B305">
        <v>10</v>
      </c>
      <c r="C305" t="str">
        <f t="shared" si="39"/>
        <v>test.GeoEngine_10_</v>
      </c>
      <c r="D305">
        <v>8</v>
      </c>
      <c r="E305" s="4">
        <v>0.8</v>
      </c>
      <c r="F305" s="4">
        <v>0.72635814889336014</v>
      </c>
      <c r="G305" s="4" t="str">
        <f t="shared" si="40"/>
        <v/>
      </c>
      <c r="H305" s="4" t="str">
        <f t="shared" si="41"/>
        <v/>
      </c>
      <c r="I305" s="4" t="str">
        <f t="shared" si="42"/>
        <v/>
      </c>
      <c r="J305" s="4">
        <f t="shared" si="43"/>
        <v>0.8</v>
      </c>
      <c r="K305" s="4" t="str">
        <f t="shared" si="44"/>
        <v/>
      </c>
      <c r="L305" s="4" t="str">
        <f t="shared" si="45"/>
        <v/>
      </c>
      <c r="M305" s="4"/>
      <c r="N305" s="4"/>
      <c r="O305" s="4"/>
      <c r="P305" s="4"/>
      <c r="Q305" s="4"/>
      <c r="R305" s="4"/>
      <c r="S305" s="4"/>
      <c r="T305" s="4"/>
      <c r="U305" s="4"/>
    </row>
    <row r="306" spans="1:21">
      <c r="A306" t="s">
        <v>223</v>
      </c>
      <c r="B306">
        <v>10</v>
      </c>
      <c r="C306" t="str">
        <f t="shared" si="39"/>
        <v>test.GeoEngine_10_</v>
      </c>
      <c r="D306">
        <v>9</v>
      </c>
      <c r="E306" s="4">
        <v>0.8</v>
      </c>
      <c r="F306" s="4">
        <v>0.77967806841046272</v>
      </c>
      <c r="G306" s="4" t="str">
        <f t="shared" si="40"/>
        <v/>
      </c>
      <c r="H306" s="4" t="str">
        <f t="shared" si="41"/>
        <v/>
      </c>
      <c r="I306" s="4" t="str">
        <f t="shared" si="42"/>
        <v/>
      </c>
      <c r="J306" s="4">
        <f t="shared" si="43"/>
        <v>0.8</v>
      </c>
      <c r="K306" s="4" t="str">
        <f t="shared" si="44"/>
        <v/>
      </c>
      <c r="L306" s="4" t="str">
        <f t="shared" si="45"/>
        <v/>
      </c>
      <c r="M306" s="4"/>
      <c r="N306" s="4"/>
      <c r="O306" s="4"/>
      <c r="P306" s="4"/>
      <c r="Q306" s="4"/>
      <c r="R306" s="4"/>
      <c r="S306" s="4"/>
      <c r="T306" s="4"/>
      <c r="U306" s="4"/>
    </row>
    <row r="307" spans="1:21">
      <c r="A307" t="s">
        <v>223</v>
      </c>
      <c r="B307">
        <v>10</v>
      </c>
      <c r="C307" t="str">
        <f t="shared" si="39"/>
        <v>test.GeoEngine_10_</v>
      </c>
      <c r="D307">
        <v>10</v>
      </c>
      <c r="E307" s="4">
        <v>0.8</v>
      </c>
      <c r="F307" s="4">
        <v>0.79376257545271633</v>
      </c>
      <c r="G307" s="4" t="str">
        <f t="shared" si="40"/>
        <v/>
      </c>
      <c r="H307" s="4" t="str">
        <f t="shared" si="41"/>
        <v/>
      </c>
      <c r="I307" s="4" t="str">
        <f t="shared" si="42"/>
        <v/>
      </c>
      <c r="J307" s="4">
        <f t="shared" si="43"/>
        <v>0.8</v>
      </c>
      <c r="K307" s="4" t="str">
        <f t="shared" si="44"/>
        <v/>
      </c>
      <c r="L307" s="4" t="str">
        <f t="shared" si="45"/>
        <v/>
      </c>
      <c r="M307" s="4"/>
      <c r="N307" s="4"/>
      <c r="O307" s="4"/>
      <c r="P307" s="4"/>
      <c r="Q307" s="4"/>
      <c r="R307" s="4"/>
      <c r="S307" s="4"/>
      <c r="T307" s="4"/>
      <c r="U307" s="4"/>
    </row>
    <row r="308" spans="1:21">
      <c r="A308" t="s">
        <v>223</v>
      </c>
      <c r="B308">
        <v>10</v>
      </c>
      <c r="C308" t="str">
        <f t="shared" si="39"/>
        <v>test.GeoEngine_10_</v>
      </c>
      <c r="D308">
        <v>11</v>
      </c>
      <c r="E308" s="4">
        <v>0.93333333333333335</v>
      </c>
      <c r="F308" s="4">
        <v>0.79577464788732399</v>
      </c>
      <c r="G308" s="4" t="str">
        <f t="shared" si="40"/>
        <v/>
      </c>
      <c r="H308" s="4" t="str">
        <f t="shared" si="41"/>
        <v/>
      </c>
      <c r="I308" s="4" t="str">
        <f t="shared" si="42"/>
        <v/>
      </c>
      <c r="J308" s="4">
        <f t="shared" si="43"/>
        <v>0.93333333333333335</v>
      </c>
      <c r="K308" s="4" t="str">
        <f t="shared" si="44"/>
        <v/>
      </c>
      <c r="L308" s="4" t="str">
        <f t="shared" si="45"/>
        <v/>
      </c>
      <c r="M308" s="4"/>
      <c r="N308" s="4"/>
      <c r="O308" s="4"/>
      <c r="P308" s="4"/>
      <c r="Q308" s="4"/>
      <c r="R308" s="4"/>
      <c r="S308" s="4"/>
      <c r="T308" s="4"/>
      <c r="U308" s="4"/>
    </row>
    <row r="309" spans="1:21">
      <c r="A309" t="s">
        <v>223</v>
      </c>
      <c r="B309">
        <v>10</v>
      </c>
      <c r="C309" t="str">
        <f t="shared" si="39"/>
        <v>test.GeoEngine_10_</v>
      </c>
      <c r="D309">
        <v>12</v>
      </c>
      <c r="E309" s="4">
        <v>0.96666666666666667</v>
      </c>
      <c r="F309" s="4">
        <v>0.79778672032193154</v>
      </c>
      <c r="G309" s="4" t="str">
        <f t="shared" si="40"/>
        <v/>
      </c>
      <c r="H309" s="4" t="str">
        <f t="shared" si="41"/>
        <v/>
      </c>
      <c r="I309" s="4" t="str">
        <f t="shared" si="42"/>
        <v/>
      </c>
      <c r="J309" s="4">
        <f t="shared" si="43"/>
        <v>0.96666666666666667</v>
      </c>
      <c r="K309" s="4" t="str">
        <f t="shared" si="44"/>
        <v/>
      </c>
      <c r="L309" s="4" t="str">
        <f t="shared" si="45"/>
        <v/>
      </c>
      <c r="M309" s="4"/>
      <c r="N309" s="4"/>
      <c r="O309" s="4"/>
      <c r="P309" s="4"/>
      <c r="Q309" s="4"/>
      <c r="R309" s="4"/>
      <c r="S309" s="4"/>
      <c r="T309" s="4"/>
      <c r="U309" s="4"/>
    </row>
    <row r="310" spans="1:21">
      <c r="A310" t="s">
        <v>223</v>
      </c>
      <c r="B310">
        <v>10</v>
      </c>
      <c r="C310" t="str">
        <f t="shared" si="39"/>
        <v>test.GeoEngine_10_</v>
      </c>
      <c r="D310">
        <v>13</v>
      </c>
      <c r="E310" s="4">
        <v>1</v>
      </c>
      <c r="F310" s="4">
        <v>0.80181086519114686</v>
      </c>
      <c r="G310" s="4" t="str">
        <f t="shared" si="40"/>
        <v/>
      </c>
      <c r="H310" s="4" t="str">
        <f t="shared" si="41"/>
        <v/>
      </c>
      <c r="I310" s="4" t="str">
        <f t="shared" si="42"/>
        <v/>
      </c>
      <c r="J310" s="4" t="str">
        <f t="shared" si="43"/>
        <v/>
      </c>
      <c r="K310" s="4">
        <f t="shared" si="44"/>
        <v>1</v>
      </c>
      <c r="L310" s="4" t="str">
        <f t="shared" si="45"/>
        <v/>
      </c>
      <c r="M310" s="4"/>
      <c r="N310" s="4"/>
      <c r="O310" s="4"/>
      <c r="P310" s="4"/>
      <c r="Q310" s="4"/>
      <c r="R310" s="4"/>
      <c r="S310" s="4"/>
      <c r="T310" s="4"/>
      <c r="U310" s="4"/>
    </row>
    <row r="311" spans="1:21">
      <c r="A311" t="s">
        <v>223</v>
      </c>
      <c r="B311">
        <v>10</v>
      </c>
      <c r="C311" t="str">
        <f t="shared" si="39"/>
        <v>test.GeoEngine_10_</v>
      </c>
      <c r="D311">
        <v>14</v>
      </c>
      <c r="E311" s="4">
        <v>1</v>
      </c>
      <c r="F311" s="4">
        <v>0.81488933601609659</v>
      </c>
      <c r="G311" s="4" t="str">
        <f t="shared" si="40"/>
        <v/>
      </c>
      <c r="H311" s="4" t="str">
        <f t="shared" si="41"/>
        <v/>
      </c>
      <c r="I311" s="4" t="str">
        <f t="shared" si="42"/>
        <v/>
      </c>
      <c r="J311" s="4" t="str">
        <f t="shared" si="43"/>
        <v/>
      </c>
      <c r="K311" s="4">
        <f t="shared" si="44"/>
        <v>1</v>
      </c>
      <c r="L311" s="4" t="str">
        <f t="shared" si="45"/>
        <v/>
      </c>
      <c r="M311" s="4"/>
      <c r="N311" s="4"/>
      <c r="O311" s="4"/>
      <c r="P311" s="4"/>
      <c r="Q311" s="4"/>
      <c r="R311" s="4"/>
      <c r="S311" s="4"/>
      <c r="T311" s="4"/>
      <c r="U311" s="4"/>
    </row>
    <row r="312" spans="1:21">
      <c r="A312" t="s">
        <v>223</v>
      </c>
      <c r="B312">
        <v>10</v>
      </c>
      <c r="C312" t="str">
        <f t="shared" si="39"/>
        <v>test.GeoEngine_10_</v>
      </c>
      <c r="D312">
        <v>15</v>
      </c>
      <c r="E312" s="4">
        <v>1</v>
      </c>
      <c r="F312" s="4">
        <v>0.85814889336016098</v>
      </c>
      <c r="G312" s="4" t="str">
        <f t="shared" si="40"/>
        <v/>
      </c>
      <c r="H312" s="4" t="str">
        <f t="shared" si="41"/>
        <v/>
      </c>
      <c r="I312" s="4" t="str">
        <f t="shared" si="42"/>
        <v/>
      </c>
      <c r="J312" s="4" t="str">
        <f t="shared" si="43"/>
        <v/>
      </c>
      <c r="K312" s="4">
        <f t="shared" si="44"/>
        <v>1</v>
      </c>
      <c r="L312" s="4" t="str">
        <f t="shared" si="45"/>
        <v/>
      </c>
      <c r="M312" s="4"/>
      <c r="N312" s="4"/>
      <c r="O312" s="4"/>
      <c r="P312" s="4"/>
      <c r="Q312" s="4"/>
      <c r="R312" s="4"/>
      <c r="S312" s="4"/>
      <c r="T312" s="4"/>
      <c r="U312" s="4"/>
    </row>
    <row r="313" spans="1:21">
      <c r="A313" t="s">
        <v>223</v>
      </c>
      <c r="B313">
        <v>10</v>
      </c>
      <c r="C313" t="str">
        <f t="shared" si="39"/>
        <v>test.GeoEngine_10_</v>
      </c>
      <c r="D313">
        <v>16</v>
      </c>
      <c r="E313" s="4">
        <v>1</v>
      </c>
      <c r="F313" s="4">
        <v>0.86418511066398396</v>
      </c>
      <c r="G313" s="4" t="str">
        <f t="shared" si="40"/>
        <v/>
      </c>
      <c r="H313" s="4" t="str">
        <f t="shared" si="41"/>
        <v/>
      </c>
      <c r="I313" s="4" t="str">
        <f t="shared" si="42"/>
        <v/>
      </c>
      <c r="J313" s="4" t="str">
        <f t="shared" si="43"/>
        <v/>
      </c>
      <c r="K313" s="4">
        <f t="shared" si="44"/>
        <v>1</v>
      </c>
      <c r="L313" s="4" t="str">
        <f t="shared" si="45"/>
        <v/>
      </c>
      <c r="M313" s="4"/>
      <c r="N313" s="4"/>
      <c r="O313" s="4"/>
      <c r="P313" s="4"/>
      <c r="Q313" s="4"/>
      <c r="R313" s="4"/>
      <c r="S313" s="4"/>
      <c r="T313" s="4"/>
      <c r="U313" s="4"/>
    </row>
    <row r="314" spans="1:21">
      <c r="A314" t="s">
        <v>223</v>
      </c>
      <c r="B314">
        <v>10</v>
      </c>
      <c r="C314" t="str">
        <f t="shared" si="39"/>
        <v>test.GeoEngine_10_</v>
      </c>
      <c r="D314">
        <v>17</v>
      </c>
      <c r="E314" s="4">
        <v>1</v>
      </c>
      <c r="F314" s="4">
        <v>0.86720321931589539</v>
      </c>
      <c r="G314" s="4" t="str">
        <f t="shared" si="40"/>
        <v/>
      </c>
      <c r="H314" s="4" t="str">
        <f t="shared" si="41"/>
        <v/>
      </c>
      <c r="I314" s="4" t="str">
        <f t="shared" si="42"/>
        <v/>
      </c>
      <c r="J314" s="4" t="str">
        <f t="shared" si="43"/>
        <v/>
      </c>
      <c r="K314" s="4">
        <f t="shared" si="44"/>
        <v>1</v>
      </c>
      <c r="L314" s="4" t="str">
        <f t="shared" si="45"/>
        <v/>
      </c>
      <c r="M314" s="4"/>
      <c r="N314" s="4"/>
      <c r="O314" s="4"/>
      <c r="P314" s="4"/>
      <c r="Q314" s="4"/>
      <c r="R314" s="4"/>
      <c r="S314" s="4"/>
      <c r="T314" s="4"/>
      <c r="U314" s="4"/>
    </row>
    <row r="315" spans="1:21">
      <c r="A315" t="s">
        <v>223</v>
      </c>
      <c r="B315">
        <v>10</v>
      </c>
      <c r="C315" t="str">
        <f t="shared" si="39"/>
        <v>test.GeoEngine_10_</v>
      </c>
      <c r="D315">
        <v>18</v>
      </c>
      <c r="E315" s="4">
        <v>1</v>
      </c>
      <c r="F315" s="4">
        <v>0.86921529175050305</v>
      </c>
      <c r="G315" s="4" t="str">
        <f t="shared" si="40"/>
        <v/>
      </c>
      <c r="H315" s="4" t="str">
        <f t="shared" si="41"/>
        <v/>
      </c>
      <c r="I315" s="4" t="str">
        <f t="shared" si="42"/>
        <v/>
      </c>
      <c r="J315" s="4" t="str">
        <f t="shared" si="43"/>
        <v/>
      </c>
      <c r="K315" s="4">
        <f t="shared" si="44"/>
        <v>1</v>
      </c>
      <c r="L315" s="4" t="str">
        <f t="shared" si="45"/>
        <v/>
      </c>
      <c r="M315" s="4"/>
      <c r="N315" s="4"/>
      <c r="O315" s="4"/>
      <c r="P315" s="4"/>
      <c r="Q315" s="4"/>
      <c r="R315" s="4"/>
      <c r="S315" s="4"/>
      <c r="T315" s="4"/>
      <c r="U315" s="4"/>
    </row>
    <row r="316" spans="1:21">
      <c r="A316" t="s">
        <v>223</v>
      </c>
      <c r="B316">
        <v>10</v>
      </c>
      <c r="C316" t="str">
        <f t="shared" si="39"/>
        <v>test.GeoEngine_10_</v>
      </c>
      <c r="D316">
        <v>19</v>
      </c>
      <c r="E316" s="4">
        <v>1</v>
      </c>
      <c r="F316" s="4">
        <v>0.8762575452716298</v>
      </c>
      <c r="G316" s="4" t="str">
        <f t="shared" si="40"/>
        <v/>
      </c>
      <c r="H316" s="4" t="str">
        <f t="shared" si="41"/>
        <v/>
      </c>
      <c r="I316" s="4" t="str">
        <f t="shared" si="42"/>
        <v/>
      </c>
      <c r="J316" s="4" t="str">
        <f t="shared" si="43"/>
        <v/>
      </c>
      <c r="K316" s="4">
        <f t="shared" si="44"/>
        <v>1</v>
      </c>
      <c r="L316" s="4" t="str">
        <f t="shared" si="45"/>
        <v/>
      </c>
      <c r="M316" s="4"/>
      <c r="N316" s="4"/>
      <c r="O316" s="4"/>
      <c r="P316" s="4"/>
      <c r="Q316" s="4"/>
      <c r="R316" s="4"/>
      <c r="S316" s="4"/>
      <c r="T316" s="4"/>
      <c r="U316" s="4"/>
    </row>
    <row r="317" spans="1:21">
      <c r="A317" t="s">
        <v>223</v>
      </c>
      <c r="B317">
        <v>10</v>
      </c>
      <c r="C317" t="str">
        <f t="shared" si="39"/>
        <v>test.GeoEngine_10_</v>
      </c>
      <c r="D317">
        <v>20</v>
      </c>
      <c r="E317" s="4">
        <v>1</v>
      </c>
      <c r="F317" s="4">
        <v>0.88028169014084512</v>
      </c>
      <c r="G317" s="4" t="str">
        <f t="shared" si="40"/>
        <v/>
      </c>
      <c r="H317" s="4" t="str">
        <f t="shared" si="41"/>
        <v/>
      </c>
      <c r="I317" s="4" t="str">
        <f t="shared" si="42"/>
        <v/>
      </c>
      <c r="J317" s="4" t="str">
        <f t="shared" si="43"/>
        <v/>
      </c>
      <c r="K317" s="4">
        <f t="shared" si="44"/>
        <v>1</v>
      </c>
      <c r="L317" s="4" t="str">
        <f t="shared" si="45"/>
        <v/>
      </c>
      <c r="M317" s="4"/>
      <c r="N317" s="4"/>
      <c r="O317" s="4"/>
      <c r="P317" s="4"/>
      <c r="Q317" s="4"/>
      <c r="R317" s="4"/>
      <c r="S317" s="4"/>
      <c r="T317" s="4"/>
      <c r="U317" s="4"/>
    </row>
    <row r="318" spans="1:21">
      <c r="A318" t="s">
        <v>223</v>
      </c>
      <c r="B318">
        <v>10</v>
      </c>
      <c r="C318" t="str">
        <f t="shared" si="39"/>
        <v>test.GeoEngine_10_</v>
      </c>
      <c r="D318">
        <v>21</v>
      </c>
      <c r="E318" s="4">
        <v>1</v>
      </c>
      <c r="F318" s="4">
        <v>0.88430583501006033</v>
      </c>
      <c r="G318" s="4" t="str">
        <f t="shared" si="40"/>
        <v/>
      </c>
      <c r="H318" s="4" t="str">
        <f t="shared" si="41"/>
        <v/>
      </c>
      <c r="I318" s="4" t="str">
        <f t="shared" si="42"/>
        <v/>
      </c>
      <c r="J318" s="4" t="str">
        <f t="shared" si="43"/>
        <v/>
      </c>
      <c r="K318" s="4">
        <f t="shared" si="44"/>
        <v>1</v>
      </c>
      <c r="L318" s="4" t="str">
        <f t="shared" si="45"/>
        <v/>
      </c>
      <c r="M318" s="4"/>
      <c r="N318" s="4"/>
      <c r="O318" s="4"/>
      <c r="P318" s="4"/>
      <c r="Q318" s="4"/>
      <c r="R318" s="4"/>
      <c r="S318" s="4"/>
      <c r="T318" s="4"/>
      <c r="U318" s="4"/>
    </row>
    <row r="319" spans="1:21">
      <c r="A319" t="s">
        <v>223</v>
      </c>
      <c r="B319">
        <v>10</v>
      </c>
      <c r="C319" t="str">
        <f t="shared" si="39"/>
        <v>test.GeoEngine_10_</v>
      </c>
      <c r="D319">
        <v>22</v>
      </c>
      <c r="E319" s="4">
        <v>1</v>
      </c>
      <c r="F319" s="4">
        <v>0.8903420523138833</v>
      </c>
      <c r="G319" s="4" t="str">
        <f t="shared" si="40"/>
        <v/>
      </c>
      <c r="H319" s="4" t="str">
        <f t="shared" si="41"/>
        <v/>
      </c>
      <c r="I319" s="4" t="str">
        <f t="shared" si="42"/>
        <v/>
      </c>
      <c r="J319" s="4" t="str">
        <f t="shared" si="43"/>
        <v/>
      </c>
      <c r="K319" s="4">
        <f t="shared" si="44"/>
        <v>1</v>
      </c>
      <c r="L319" s="4" t="str">
        <f t="shared" si="45"/>
        <v/>
      </c>
      <c r="M319" s="4"/>
      <c r="N319" s="4"/>
      <c r="O319" s="4"/>
      <c r="P319" s="4"/>
      <c r="Q319" s="4"/>
      <c r="R319" s="4"/>
      <c r="S319" s="4"/>
      <c r="T319" s="4"/>
      <c r="U319" s="4"/>
    </row>
    <row r="320" spans="1:21">
      <c r="A320" t="s">
        <v>223</v>
      </c>
      <c r="B320">
        <v>10</v>
      </c>
      <c r="C320" t="str">
        <f t="shared" si="39"/>
        <v>test.GeoEngine_10_</v>
      </c>
      <c r="D320">
        <v>23</v>
      </c>
      <c r="E320" s="4">
        <v>1</v>
      </c>
      <c r="F320" s="4">
        <v>0.92354124748490951</v>
      </c>
      <c r="G320" s="4" t="str">
        <f t="shared" si="40"/>
        <v/>
      </c>
      <c r="H320" s="4" t="str">
        <f t="shared" si="41"/>
        <v/>
      </c>
      <c r="I320" s="4" t="str">
        <f t="shared" si="42"/>
        <v/>
      </c>
      <c r="J320" s="4" t="str">
        <f t="shared" si="43"/>
        <v/>
      </c>
      <c r="K320" s="4">
        <f t="shared" si="44"/>
        <v>1</v>
      </c>
      <c r="L320" s="4" t="str">
        <f t="shared" si="45"/>
        <v/>
      </c>
      <c r="M320" s="4"/>
      <c r="N320" s="4"/>
      <c r="O320" s="4"/>
      <c r="P320" s="4"/>
      <c r="Q320" s="4"/>
      <c r="R320" s="4"/>
      <c r="S320" s="4"/>
      <c r="T320" s="4"/>
      <c r="U320" s="4"/>
    </row>
    <row r="321" spans="1:21">
      <c r="A321" t="s">
        <v>223</v>
      </c>
      <c r="B321">
        <v>10</v>
      </c>
      <c r="C321" t="str">
        <f t="shared" si="39"/>
        <v>test.GeoEngine_10_</v>
      </c>
      <c r="D321">
        <v>24</v>
      </c>
      <c r="E321" s="4">
        <v>1</v>
      </c>
      <c r="F321" s="4">
        <v>0.92454728370221329</v>
      </c>
      <c r="G321" s="4" t="str">
        <f t="shared" si="40"/>
        <v/>
      </c>
      <c r="H321" s="4" t="str">
        <f t="shared" si="41"/>
        <v/>
      </c>
      <c r="I321" s="4" t="str">
        <f t="shared" si="42"/>
        <v/>
      </c>
      <c r="J321" s="4" t="str">
        <f t="shared" si="43"/>
        <v/>
      </c>
      <c r="K321" s="4">
        <f t="shared" si="44"/>
        <v>1</v>
      </c>
      <c r="L321" s="4" t="str">
        <f t="shared" si="45"/>
        <v/>
      </c>
      <c r="M321" s="4"/>
      <c r="N321" s="4"/>
      <c r="O321" s="4"/>
      <c r="P321" s="4"/>
      <c r="Q321" s="4"/>
      <c r="R321" s="4"/>
      <c r="S321" s="4"/>
      <c r="T321" s="4"/>
      <c r="U321" s="4"/>
    </row>
    <row r="322" spans="1:21">
      <c r="A322" t="s">
        <v>223</v>
      </c>
      <c r="B322">
        <v>10</v>
      </c>
      <c r="C322" t="str">
        <f t="shared" si="39"/>
        <v>test.GeoEngine_10_</v>
      </c>
      <c r="D322">
        <v>25</v>
      </c>
      <c r="E322" s="4">
        <v>1</v>
      </c>
      <c r="F322" s="4">
        <v>0.92655935613682094</v>
      </c>
      <c r="G322" s="4" t="str">
        <f t="shared" si="40"/>
        <v/>
      </c>
      <c r="H322" s="4" t="str">
        <f t="shared" si="41"/>
        <v/>
      </c>
      <c r="I322" s="4" t="str">
        <f t="shared" si="42"/>
        <v/>
      </c>
      <c r="J322" s="4" t="str">
        <f t="shared" si="43"/>
        <v/>
      </c>
      <c r="K322" s="4">
        <f t="shared" si="44"/>
        <v>1</v>
      </c>
      <c r="L322" s="4" t="str">
        <f t="shared" si="45"/>
        <v/>
      </c>
      <c r="M322" s="4"/>
      <c r="N322" s="4"/>
      <c r="O322" s="4"/>
      <c r="P322" s="4"/>
      <c r="Q322" s="4"/>
      <c r="R322" s="4"/>
      <c r="S322" s="4"/>
      <c r="T322" s="4"/>
      <c r="U322" s="4"/>
    </row>
    <row r="323" spans="1:21">
      <c r="A323" t="s">
        <v>223</v>
      </c>
      <c r="B323">
        <v>10</v>
      </c>
      <c r="C323" t="str">
        <f t="shared" ref="C323:C386" si="46">CONCATENATE(A323, "_",B323,"_")</f>
        <v>test.GeoEngine_10_</v>
      </c>
      <c r="D323">
        <v>26</v>
      </c>
      <c r="E323" s="4">
        <v>1</v>
      </c>
      <c r="F323" s="4">
        <v>0.9285714285714286</v>
      </c>
      <c r="G323" s="4" t="str">
        <f t="shared" ref="G323:G386" si="47">IF($F323 &lt;= 0.2,$E323,"")</f>
        <v/>
      </c>
      <c r="H323" s="4" t="str">
        <f t="shared" ref="H323:H386" si="48">IF(AND($F323 &gt; 0.2,$F323 &lt;= 0.4),$E323,"")</f>
        <v/>
      </c>
      <c r="I323" s="4" t="str">
        <f t="shared" ref="I323:I386" si="49">IF(AND($F323 &gt; 0.4,$F323 &lt;= 0.6),$E323,"")</f>
        <v/>
      </c>
      <c r="J323" s="4" t="str">
        <f t="shared" ref="J323:J386" si="50">IF(AND($F323 &gt; 0.6,$F323 &lt;= 0.8),$E323,"")</f>
        <v/>
      </c>
      <c r="K323" s="4">
        <f t="shared" ref="K323:K386" si="51">IF(AND($F323 &gt; 0.8, $F323 &lt;=1.1),$E323,"")</f>
        <v>1</v>
      </c>
      <c r="L323" s="4" t="str">
        <f t="shared" ref="L323:L386" si="52">IF(AND($F323 &gt; 1.1),$E323,"")</f>
        <v/>
      </c>
      <c r="M323" s="4"/>
      <c r="N323" s="4"/>
      <c r="O323" s="4"/>
      <c r="P323" s="4"/>
      <c r="Q323" s="4"/>
      <c r="R323" s="4"/>
      <c r="S323" s="4"/>
      <c r="T323" s="4"/>
      <c r="U323" s="4"/>
    </row>
    <row r="324" spans="1:21">
      <c r="A324" t="s">
        <v>223</v>
      </c>
      <c r="B324">
        <v>10</v>
      </c>
      <c r="C324" t="str">
        <f t="shared" si="46"/>
        <v>test.GeoEngine_10_</v>
      </c>
      <c r="D324">
        <v>27</v>
      </c>
      <c r="E324" s="4">
        <v>1</v>
      </c>
      <c r="F324" s="4">
        <v>0.92957746478873238</v>
      </c>
      <c r="G324" s="4" t="str">
        <f t="shared" si="47"/>
        <v/>
      </c>
      <c r="H324" s="4" t="str">
        <f t="shared" si="48"/>
        <v/>
      </c>
      <c r="I324" s="4" t="str">
        <f t="shared" si="49"/>
        <v/>
      </c>
      <c r="J324" s="4" t="str">
        <f t="shared" si="50"/>
        <v/>
      </c>
      <c r="K324" s="4">
        <f t="shared" si="51"/>
        <v>1</v>
      </c>
      <c r="L324" s="4" t="str">
        <f t="shared" si="52"/>
        <v/>
      </c>
      <c r="M324" s="4"/>
      <c r="N324" s="4"/>
      <c r="O324" s="4"/>
      <c r="P324" s="4"/>
      <c r="Q324" s="4"/>
      <c r="R324" s="4"/>
      <c r="S324" s="4"/>
      <c r="T324" s="4"/>
      <c r="U324" s="4"/>
    </row>
    <row r="325" spans="1:21">
      <c r="A325" t="s">
        <v>223</v>
      </c>
      <c r="B325">
        <v>10</v>
      </c>
      <c r="C325" t="str">
        <f t="shared" si="46"/>
        <v>test.GeoEngine_10_</v>
      </c>
      <c r="D325">
        <v>28</v>
      </c>
      <c r="E325" s="4">
        <v>1</v>
      </c>
      <c r="F325" s="4">
        <v>0.93259557344064381</v>
      </c>
      <c r="G325" s="4" t="str">
        <f t="shared" si="47"/>
        <v/>
      </c>
      <c r="H325" s="4" t="str">
        <f t="shared" si="48"/>
        <v/>
      </c>
      <c r="I325" s="4" t="str">
        <f t="shared" si="49"/>
        <v/>
      </c>
      <c r="J325" s="4" t="str">
        <f t="shared" si="50"/>
        <v/>
      </c>
      <c r="K325" s="4">
        <f t="shared" si="51"/>
        <v>1</v>
      </c>
      <c r="L325" s="4" t="str">
        <f t="shared" si="52"/>
        <v/>
      </c>
      <c r="M325" s="4"/>
      <c r="N325" s="4"/>
      <c r="O325" s="4"/>
      <c r="P325" s="4"/>
      <c r="Q325" s="4"/>
      <c r="R325" s="4"/>
      <c r="S325" s="4"/>
      <c r="T325" s="4"/>
      <c r="U325" s="4"/>
    </row>
    <row r="326" spans="1:21">
      <c r="A326" t="s">
        <v>223</v>
      </c>
      <c r="B326">
        <v>10</v>
      </c>
      <c r="C326" t="str">
        <f t="shared" si="46"/>
        <v>test.GeoEngine_10_</v>
      </c>
      <c r="D326">
        <v>29</v>
      </c>
      <c r="E326" s="4">
        <v>1</v>
      </c>
      <c r="F326" s="4">
        <v>0.9336016096579477</v>
      </c>
      <c r="G326" s="4" t="str">
        <f t="shared" si="47"/>
        <v/>
      </c>
      <c r="H326" s="4" t="str">
        <f t="shared" si="48"/>
        <v/>
      </c>
      <c r="I326" s="4" t="str">
        <f t="shared" si="49"/>
        <v/>
      </c>
      <c r="J326" s="4" t="str">
        <f t="shared" si="50"/>
        <v/>
      </c>
      <c r="K326" s="4">
        <f t="shared" si="51"/>
        <v>1</v>
      </c>
      <c r="L326" s="4" t="str">
        <f t="shared" si="52"/>
        <v/>
      </c>
      <c r="M326" s="4"/>
      <c r="N326" s="4"/>
      <c r="O326" s="4"/>
      <c r="P326" s="4"/>
      <c r="Q326" s="4"/>
      <c r="R326" s="4"/>
      <c r="S326" s="4"/>
      <c r="T326" s="4"/>
      <c r="U326" s="4"/>
    </row>
    <row r="327" spans="1:21">
      <c r="A327" t="s">
        <v>223</v>
      </c>
      <c r="B327">
        <v>10</v>
      </c>
      <c r="C327" t="str">
        <f t="shared" si="46"/>
        <v>test.GeoEngine_10_</v>
      </c>
      <c r="D327">
        <v>30</v>
      </c>
      <c r="E327" s="4">
        <v>1</v>
      </c>
      <c r="F327" s="4">
        <v>0.95875251509054327</v>
      </c>
      <c r="G327" s="4" t="str">
        <f t="shared" si="47"/>
        <v/>
      </c>
      <c r="H327" s="4" t="str">
        <f t="shared" si="48"/>
        <v/>
      </c>
      <c r="I327" s="4" t="str">
        <f t="shared" si="49"/>
        <v/>
      </c>
      <c r="J327" s="4" t="str">
        <f t="shared" si="50"/>
        <v/>
      </c>
      <c r="K327" s="4">
        <f t="shared" si="51"/>
        <v>1</v>
      </c>
      <c r="L327" s="4" t="str">
        <f t="shared" si="52"/>
        <v/>
      </c>
      <c r="M327" s="4"/>
      <c r="N327" s="4"/>
      <c r="O327" s="4"/>
      <c r="P327" s="4"/>
      <c r="Q327" s="4"/>
      <c r="R327" s="4"/>
      <c r="S327" s="4"/>
      <c r="T327" s="4"/>
      <c r="U327" s="4"/>
    </row>
    <row r="328" spans="1:21">
      <c r="A328" t="s">
        <v>223</v>
      </c>
      <c r="B328">
        <v>10</v>
      </c>
      <c r="C328" t="str">
        <f t="shared" si="46"/>
        <v>test.GeoEngine_10_</v>
      </c>
      <c r="D328">
        <v>31</v>
      </c>
      <c r="E328" s="4">
        <v>1</v>
      </c>
      <c r="F328" s="4">
        <v>0.99798792756539234</v>
      </c>
      <c r="G328" s="4" t="str">
        <f t="shared" si="47"/>
        <v/>
      </c>
      <c r="H328" s="4" t="str">
        <f t="shared" si="48"/>
        <v/>
      </c>
      <c r="I328" s="4" t="str">
        <f t="shared" si="49"/>
        <v/>
      </c>
      <c r="J328" s="4" t="str">
        <f t="shared" si="50"/>
        <v/>
      </c>
      <c r="K328" s="4">
        <f t="shared" si="51"/>
        <v>1</v>
      </c>
      <c r="L328" s="4" t="str">
        <f t="shared" si="52"/>
        <v/>
      </c>
      <c r="M328" s="4"/>
      <c r="N328" s="4"/>
      <c r="O328" s="4"/>
      <c r="P328" s="4"/>
      <c r="Q328" s="4"/>
      <c r="R328" s="4"/>
      <c r="S328" s="4"/>
      <c r="T328" s="4"/>
      <c r="U328" s="4"/>
    </row>
    <row r="329" spans="1:21">
      <c r="A329" t="s">
        <v>223</v>
      </c>
      <c r="B329">
        <v>10</v>
      </c>
      <c r="C329" t="str">
        <f t="shared" si="46"/>
        <v>test.GeoEngine_10_</v>
      </c>
      <c r="D329">
        <v>32</v>
      </c>
      <c r="E329" s="4">
        <v>1</v>
      </c>
      <c r="F329" s="4">
        <v>1.0070422535211268</v>
      </c>
      <c r="G329" s="4" t="str">
        <f t="shared" si="47"/>
        <v/>
      </c>
      <c r="H329" s="4" t="str">
        <f t="shared" si="48"/>
        <v/>
      </c>
      <c r="I329" s="4" t="str">
        <f t="shared" si="49"/>
        <v/>
      </c>
      <c r="J329" s="4" t="str">
        <f t="shared" si="50"/>
        <v/>
      </c>
      <c r="K329" s="4">
        <f t="shared" si="51"/>
        <v>1</v>
      </c>
      <c r="L329" s="4" t="str">
        <f t="shared" si="52"/>
        <v/>
      </c>
      <c r="M329" s="4"/>
      <c r="N329" s="4"/>
      <c r="O329" s="4"/>
      <c r="P329" s="4"/>
      <c r="Q329" s="4"/>
      <c r="R329" s="4"/>
      <c r="S329" s="4"/>
      <c r="T329" s="4"/>
      <c r="U329" s="4"/>
    </row>
    <row r="330" spans="1:21">
      <c r="A330" t="s">
        <v>224</v>
      </c>
      <c r="B330">
        <v>3</v>
      </c>
      <c r="C330" t="str">
        <f t="shared" si="46"/>
        <v>test.FastBlurFilter_3_</v>
      </c>
      <c r="D330">
        <v>1</v>
      </c>
      <c r="E330" s="4">
        <v>0.93525179856115104</v>
      </c>
      <c r="F330" s="4">
        <v>0.97456418614126483</v>
      </c>
      <c r="G330" s="4" t="str">
        <f t="shared" si="47"/>
        <v/>
      </c>
      <c r="H330" s="4" t="str">
        <f t="shared" si="48"/>
        <v/>
      </c>
      <c r="I330" s="4" t="str">
        <f t="shared" si="49"/>
        <v/>
      </c>
      <c r="J330" s="4" t="str">
        <f t="shared" si="50"/>
        <v/>
      </c>
      <c r="K330" s="4">
        <f t="shared" si="51"/>
        <v>0.93525179856115104</v>
      </c>
      <c r="L330" s="4" t="str">
        <f t="shared" si="52"/>
        <v/>
      </c>
      <c r="M330" s="4"/>
      <c r="N330" s="4"/>
      <c r="O330" s="4"/>
      <c r="P330" s="4"/>
      <c r="Q330" s="4"/>
      <c r="R330" s="4"/>
      <c r="S330" s="4"/>
      <c r="T330" s="4"/>
      <c r="U330" s="4"/>
    </row>
    <row r="331" spans="1:21">
      <c r="A331" t="s">
        <v>224</v>
      </c>
      <c r="B331">
        <v>3</v>
      </c>
      <c r="C331" t="str">
        <f t="shared" si="46"/>
        <v>test.FastBlurFilter_3_</v>
      </c>
      <c r="D331">
        <v>2</v>
      </c>
      <c r="E331" s="4">
        <v>1</v>
      </c>
      <c r="F331" s="4">
        <v>0.97654317394720758</v>
      </c>
      <c r="G331" s="4" t="str">
        <f t="shared" si="47"/>
        <v/>
      </c>
      <c r="H331" s="4" t="str">
        <f t="shared" si="48"/>
        <v/>
      </c>
      <c r="I331" s="4" t="str">
        <f t="shared" si="49"/>
        <v/>
      </c>
      <c r="J331" s="4" t="str">
        <f t="shared" si="50"/>
        <v/>
      </c>
      <c r="K331" s="4">
        <f t="shared" si="51"/>
        <v>1</v>
      </c>
      <c r="L331" s="4" t="str">
        <f t="shared" si="52"/>
        <v/>
      </c>
      <c r="M331" s="4"/>
      <c r="N331" s="4"/>
      <c r="O331" s="4"/>
      <c r="P331" s="4"/>
      <c r="Q331" s="4"/>
      <c r="R331" s="4"/>
      <c r="S331" s="4"/>
      <c r="T331" s="4"/>
      <c r="U331" s="4"/>
    </row>
    <row r="332" spans="1:21">
      <c r="A332" t="s">
        <v>225</v>
      </c>
      <c r="B332">
        <v>2</v>
      </c>
      <c r="C332" t="str">
        <f t="shared" si="46"/>
        <v>test.ImageData_2_</v>
      </c>
      <c r="D332">
        <v>1</v>
      </c>
      <c r="E332" s="4">
        <v>0.16071428571428573</v>
      </c>
      <c r="F332" s="4">
        <v>0.18284574468085107</v>
      </c>
      <c r="G332" s="4">
        <f t="shared" si="47"/>
        <v>0.16071428571428573</v>
      </c>
      <c r="H332" s="4" t="str">
        <f t="shared" si="48"/>
        <v/>
      </c>
      <c r="I332" s="4" t="str">
        <f t="shared" si="49"/>
        <v/>
      </c>
      <c r="J332" s="4" t="str">
        <f t="shared" si="50"/>
        <v/>
      </c>
      <c r="K332" s="4" t="str">
        <f t="shared" si="51"/>
        <v/>
      </c>
      <c r="L332" s="4" t="str">
        <f t="shared" si="52"/>
        <v/>
      </c>
      <c r="M332" s="4"/>
      <c r="N332" s="4"/>
      <c r="O332" s="4"/>
      <c r="P332" s="4"/>
      <c r="Q332" s="4"/>
      <c r="R332" s="4"/>
      <c r="S332" s="4"/>
      <c r="T332" s="4"/>
      <c r="U332" s="4"/>
    </row>
    <row r="333" spans="1:21">
      <c r="A333" t="s">
        <v>225</v>
      </c>
      <c r="B333">
        <v>2</v>
      </c>
      <c r="C333" t="str">
        <f t="shared" si="46"/>
        <v>test.ImageData_2_</v>
      </c>
      <c r="D333">
        <v>2</v>
      </c>
      <c r="E333" s="4">
        <v>0.23214285714285715</v>
      </c>
      <c r="F333" s="4">
        <v>0.19115691489361702</v>
      </c>
      <c r="G333" s="4">
        <f t="shared" si="47"/>
        <v>0.23214285714285715</v>
      </c>
      <c r="H333" s="4" t="str">
        <f t="shared" si="48"/>
        <v/>
      </c>
      <c r="I333" s="4" t="str">
        <f t="shared" si="49"/>
        <v/>
      </c>
      <c r="J333" s="4" t="str">
        <f t="shared" si="50"/>
        <v/>
      </c>
      <c r="K333" s="4" t="str">
        <f t="shared" si="51"/>
        <v/>
      </c>
      <c r="L333" s="4" t="str">
        <f t="shared" si="52"/>
        <v/>
      </c>
      <c r="M333" s="4"/>
      <c r="N333" s="4"/>
      <c r="O333" s="4"/>
      <c r="P333" s="4"/>
      <c r="Q333" s="4"/>
      <c r="R333" s="4"/>
      <c r="S333" s="4"/>
      <c r="T333" s="4"/>
      <c r="U333" s="4"/>
    </row>
    <row r="334" spans="1:21">
      <c r="A334" t="s">
        <v>225</v>
      </c>
      <c r="B334">
        <v>2</v>
      </c>
      <c r="C334" t="str">
        <f t="shared" si="46"/>
        <v>test.ImageData_2_</v>
      </c>
      <c r="D334">
        <v>3</v>
      </c>
      <c r="E334" s="4">
        <v>0.3482142857142857</v>
      </c>
      <c r="F334" s="4">
        <v>0.21675531914893617</v>
      </c>
      <c r="G334" s="4" t="str">
        <f t="shared" si="47"/>
        <v/>
      </c>
      <c r="H334" s="4">
        <f t="shared" si="48"/>
        <v>0.3482142857142857</v>
      </c>
      <c r="I334" s="4" t="str">
        <f t="shared" si="49"/>
        <v/>
      </c>
      <c r="J334" s="4" t="str">
        <f t="shared" si="50"/>
        <v/>
      </c>
      <c r="K334" s="4" t="str">
        <f t="shared" si="51"/>
        <v/>
      </c>
      <c r="L334" s="4" t="str">
        <f t="shared" si="52"/>
        <v/>
      </c>
      <c r="M334" s="4"/>
      <c r="N334" s="4"/>
      <c r="O334" s="4"/>
      <c r="P334" s="4"/>
      <c r="Q334" s="4"/>
      <c r="R334" s="4"/>
      <c r="S334" s="4"/>
      <c r="T334" s="4"/>
      <c r="U334" s="4"/>
    </row>
    <row r="335" spans="1:21">
      <c r="A335" t="s">
        <v>225</v>
      </c>
      <c r="B335">
        <v>2</v>
      </c>
      <c r="C335" t="str">
        <f t="shared" si="46"/>
        <v>test.ImageData_2_</v>
      </c>
      <c r="D335">
        <v>4</v>
      </c>
      <c r="E335" s="4">
        <v>0.44642857142857145</v>
      </c>
      <c r="F335" s="4">
        <v>0.21908244680851063</v>
      </c>
      <c r="G335" s="4" t="str">
        <f t="shared" si="47"/>
        <v/>
      </c>
      <c r="H335" s="4">
        <f t="shared" si="48"/>
        <v>0.44642857142857145</v>
      </c>
      <c r="I335" s="4" t="str">
        <f t="shared" si="49"/>
        <v/>
      </c>
      <c r="J335" s="4" t="str">
        <f t="shared" si="50"/>
        <v/>
      </c>
      <c r="K335" s="4" t="str">
        <f t="shared" si="51"/>
        <v/>
      </c>
      <c r="L335" s="4" t="str">
        <f t="shared" si="52"/>
        <v/>
      </c>
      <c r="M335" s="4"/>
      <c r="N335" s="4"/>
      <c r="O335" s="4"/>
      <c r="P335" s="4"/>
      <c r="Q335" s="4"/>
      <c r="R335" s="4"/>
      <c r="S335" s="4"/>
      <c r="T335" s="4"/>
      <c r="U335" s="4"/>
    </row>
    <row r="336" spans="1:21">
      <c r="A336" t="s">
        <v>225</v>
      </c>
      <c r="B336">
        <v>2</v>
      </c>
      <c r="C336" t="str">
        <f t="shared" si="46"/>
        <v>test.ImageData_2_</v>
      </c>
      <c r="D336">
        <v>5</v>
      </c>
      <c r="E336" s="4">
        <v>0.5535714285714286</v>
      </c>
      <c r="F336" s="4">
        <v>0.25531914893617019</v>
      </c>
      <c r="G336" s="4" t="str">
        <f t="shared" si="47"/>
        <v/>
      </c>
      <c r="H336" s="4">
        <f t="shared" si="48"/>
        <v>0.5535714285714286</v>
      </c>
      <c r="I336" s="4" t="str">
        <f t="shared" si="49"/>
        <v/>
      </c>
      <c r="J336" s="4" t="str">
        <f t="shared" si="50"/>
        <v/>
      </c>
      <c r="K336" s="4" t="str">
        <f t="shared" si="51"/>
        <v/>
      </c>
      <c r="L336" s="4" t="str">
        <f t="shared" si="52"/>
        <v/>
      </c>
      <c r="M336" s="4"/>
      <c r="N336" s="4"/>
      <c r="O336" s="4"/>
      <c r="P336" s="4"/>
      <c r="Q336" s="4"/>
      <c r="R336" s="4"/>
      <c r="S336" s="4"/>
      <c r="T336" s="4"/>
      <c r="U336" s="4"/>
    </row>
    <row r="337" spans="1:21">
      <c r="A337" t="s">
        <v>225</v>
      </c>
      <c r="B337">
        <v>2</v>
      </c>
      <c r="C337" t="str">
        <f t="shared" si="46"/>
        <v>test.ImageData_2_</v>
      </c>
      <c r="D337">
        <v>6</v>
      </c>
      <c r="E337" s="4">
        <v>0.6428571428571429</v>
      </c>
      <c r="F337" s="4">
        <v>0.27293882978723405</v>
      </c>
      <c r="G337" s="4" t="str">
        <f t="shared" si="47"/>
        <v/>
      </c>
      <c r="H337" s="4">
        <f t="shared" si="48"/>
        <v>0.6428571428571429</v>
      </c>
      <c r="I337" s="4" t="str">
        <f t="shared" si="49"/>
        <v/>
      </c>
      <c r="J337" s="4" t="str">
        <f t="shared" si="50"/>
        <v/>
      </c>
      <c r="K337" s="4" t="str">
        <f t="shared" si="51"/>
        <v/>
      </c>
      <c r="L337" s="4" t="str">
        <f t="shared" si="52"/>
        <v/>
      </c>
      <c r="M337" s="4"/>
      <c r="N337" s="4"/>
      <c r="O337" s="4"/>
      <c r="P337" s="4"/>
      <c r="Q337" s="4"/>
      <c r="R337" s="4"/>
      <c r="S337" s="4"/>
      <c r="T337" s="4"/>
      <c r="U337" s="4"/>
    </row>
    <row r="338" spans="1:21">
      <c r="A338" t="s">
        <v>225</v>
      </c>
      <c r="B338">
        <v>2</v>
      </c>
      <c r="C338" t="str">
        <f t="shared" si="46"/>
        <v>test.ImageData_2_</v>
      </c>
      <c r="D338">
        <v>7</v>
      </c>
      <c r="E338" s="4">
        <v>0.6428571428571429</v>
      </c>
      <c r="F338" s="4">
        <v>0.29122340425531917</v>
      </c>
      <c r="G338" s="4" t="str">
        <f t="shared" si="47"/>
        <v/>
      </c>
      <c r="H338" s="4">
        <f t="shared" si="48"/>
        <v>0.6428571428571429</v>
      </c>
      <c r="I338" s="4" t="str">
        <f t="shared" si="49"/>
        <v/>
      </c>
      <c r="J338" s="4" t="str">
        <f t="shared" si="50"/>
        <v/>
      </c>
      <c r="K338" s="4" t="str">
        <f t="shared" si="51"/>
        <v/>
      </c>
      <c r="L338" s="4" t="str">
        <f t="shared" si="52"/>
        <v/>
      </c>
      <c r="M338" s="4"/>
      <c r="N338" s="4"/>
      <c r="O338" s="4"/>
      <c r="P338" s="4"/>
      <c r="Q338" s="4"/>
      <c r="R338" s="4"/>
      <c r="S338" s="4"/>
      <c r="T338" s="4"/>
      <c r="U338" s="4"/>
    </row>
    <row r="339" spans="1:21">
      <c r="A339" t="s">
        <v>225</v>
      </c>
      <c r="B339">
        <v>2</v>
      </c>
      <c r="C339" t="str">
        <f t="shared" si="46"/>
        <v>test.ImageData_2_</v>
      </c>
      <c r="D339">
        <v>8</v>
      </c>
      <c r="E339" s="4">
        <v>0.6428571428571429</v>
      </c>
      <c r="F339" s="4">
        <v>0.30684840425531917</v>
      </c>
      <c r="G339" s="4" t="str">
        <f t="shared" si="47"/>
        <v/>
      </c>
      <c r="H339" s="4">
        <f t="shared" si="48"/>
        <v>0.6428571428571429</v>
      </c>
      <c r="I339" s="4" t="str">
        <f t="shared" si="49"/>
        <v/>
      </c>
      <c r="J339" s="4" t="str">
        <f t="shared" si="50"/>
        <v/>
      </c>
      <c r="K339" s="4" t="str">
        <f t="shared" si="51"/>
        <v/>
      </c>
      <c r="L339" s="4" t="str">
        <f t="shared" si="52"/>
        <v/>
      </c>
      <c r="M339" s="4"/>
      <c r="N339" s="4"/>
      <c r="O339" s="4"/>
      <c r="P339" s="4"/>
      <c r="Q339" s="4"/>
      <c r="R339" s="4"/>
      <c r="S339" s="4"/>
      <c r="T339" s="4"/>
      <c r="U339" s="4"/>
    </row>
    <row r="340" spans="1:21">
      <c r="A340" t="s">
        <v>225</v>
      </c>
      <c r="B340">
        <v>2</v>
      </c>
      <c r="C340" t="str">
        <f t="shared" si="46"/>
        <v>test.ImageData_2_</v>
      </c>
      <c r="D340">
        <v>9</v>
      </c>
      <c r="E340" s="4">
        <v>0.7946428571428571</v>
      </c>
      <c r="F340" s="4">
        <v>0.31117021276595747</v>
      </c>
      <c r="G340" s="4" t="str">
        <f t="shared" si="47"/>
        <v/>
      </c>
      <c r="H340" s="4">
        <f t="shared" si="48"/>
        <v>0.7946428571428571</v>
      </c>
      <c r="I340" s="4" t="str">
        <f t="shared" si="49"/>
        <v/>
      </c>
      <c r="J340" s="4" t="str">
        <f t="shared" si="50"/>
        <v/>
      </c>
      <c r="K340" s="4" t="str">
        <f t="shared" si="51"/>
        <v/>
      </c>
      <c r="L340" s="4" t="str">
        <f t="shared" si="52"/>
        <v/>
      </c>
      <c r="M340" s="4"/>
      <c r="N340" s="4"/>
      <c r="O340" s="4"/>
      <c r="P340" s="4"/>
      <c r="Q340" s="4"/>
      <c r="R340" s="4"/>
      <c r="S340" s="4"/>
      <c r="T340" s="4"/>
      <c r="U340" s="4"/>
    </row>
    <row r="341" spans="1:21">
      <c r="A341" t="s">
        <v>225</v>
      </c>
      <c r="B341">
        <v>2</v>
      </c>
      <c r="C341" t="str">
        <f t="shared" si="46"/>
        <v>test.ImageData_2_</v>
      </c>
      <c r="D341">
        <v>10</v>
      </c>
      <c r="E341" s="4">
        <v>0.7946428571428571</v>
      </c>
      <c r="F341" s="4">
        <v>0.31648936170212766</v>
      </c>
      <c r="G341" s="4" t="str">
        <f t="shared" si="47"/>
        <v/>
      </c>
      <c r="H341" s="4">
        <f t="shared" si="48"/>
        <v>0.7946428571428571</v>
      </c>
      <c r="I341" s="4" t="str">
        <f t="shared" si="49"/>
        <v/>
      </c>
      <c r="J341" s="4" t="str">
        <f t="shared" si="50"/>
        <v/>
      </c>
      <c r="K341" s="4" t="str">
        <f t="shared" si="51"/>
        <v/>
      </c>
      <c r="L341" s="4" t="str">
        <f t="shared" si="52"/>
        <v/>
      </c>
      <c r="M341" s="4"/>
      <c r="N341" s="4"/>
      <c r="O341" s="4"/>
      <c r="P341" s="4"/>
      <c r="Q341" s="4"/>
      <c r="R341" s="4"/>
      <c r="S341" s="4"/>
      <c r="T341" s="4"/>
      <c r="U341" s="4"/>
    </row>
    <row r="342" spans="1:21">
      <c r="A342" t="s">
        <v>225</v>
      </c>
      <c r="B342">
        <v>2</v>
      </c>
      <c r="C342" t="str">
        <f t="shared" si="46"/>
        <v>test.ImageData_2_</v>
      </c>
      <c r="D342">
        <v>11</v>
      </c>
      <c r="E342" s="4">
        <v>0.7946428571428571</v>
      </c>
      <c r="F342" s="4">
        <v>0.35139627659574468</v>
      </c>
      <c r="G342" s="4" t="str">
        <f t="shared" si="47"/>
        <v/>
      </c>
      <c r="H342" s="4">
        <f t="shared" si="48"/>
        <v>0.7946428571428571</v>
      </c>
      <c r="I342" s="4" t="str">
        <f t="shared" si="49"/>
        <v/>
      </c>
      <c r="J342" s="4" t="str">
        <f t="shared" si="50"/>
        <v/>
      </c>
      <c r="K342" s="4" t="str">
        <f t="shared" si="51"/>
        <v/>
      </c>
      <c r="L342" s="4" t="str">
        <f t="shared" si="52"/>
        <v/>
      </c>
      <c r="M342" s="4"/>
      <c r="N342" s="4"/>
      <c r="O342" s="4"/>
      <c r="P342" s="4"/>
      <c r="Q342" s="4"/>
      <c r="R342" s="4"/>
      <c r="S342" s="4"/>
      <c r="T342" s="4"/>
      <c r="U342" s="4"/>
    </row>
    <row r="343" spans="1:21">
      <c r="A343" t="s">
        <v>225</v>
      </c>
      <c r="B343">
        <v>2</v>
      </c>
      <c r="C343" t="str">
        <f t="shared" si="46"/>
        <v>test.ImageData_2_</v>
      </c>
      <c r="D343">
        <v>12</v>
      </c>
      <c r="E343" s="4">
        <v>1</v>
      </c>
      <c r="F343" s="4">
        <v>0.37267287234042551</v>
      </c>
      <c r="G343" s="4" t="str">
        <f t="shared" si="47"/>
        <v/>
      </c>
      <c r="H343" s="4">
        <f t="shared" si="48"/>
        <v>1</v>
      </c>
      <c r="I343" s="4" t="str">
        <f t="shared" si="49"/>
        <v/>
      </c>
      <c r="J343" s="4" t="str">
        <f t="shared" si="50"/>
        <v/>
      </c>
      <c r="K343" s="4" t="str">
        <f t="shared" si="51"/>
        <v/>
      </c>
      <c r="L343" s="4" t="str">
        <f t="shared" si="52"/>
        <v/>
      </c>
      <c r="M343" s="4"/>
      <c r="N343" s="4"/>
      <c r="O343" s="4"/>
      <c r="P343" s="4"/>
      <c r="Q343" s="4"/>
      <c r="R343" s="4"/>
      <c r="S343" s="4"/>
      <c r="T343" s="4"/>
      <c r="U343" s="4"/>
    </row>
    <row r="344" spans="1:21">
      <c r="A344" t="s">
        <v>225</v>
      </c>
      <c r="B344">
        <v>2</v>
      </c>
      <c r="C344" t="str">
        <f t="shared" si="46"/>
        <v>test.ImageData_2_</v>
      </c>
      <c r="D344">
        <v>13</v>
      </c>
      <c r="E344" s="4">
        <v>1</v>
      </c>
      <c r="F344" s="4">
        <v>0.41090425531914893</v>
      </c>
      <c r="G344" s="4" t="str">
        <f t="shared" si="47"/>
        <v/>
      </c>
      <c r="H344" s="4" t="str">
        <f t="shared" si="48"/>
        <v/>
      </c>
      <c r="I344" s="4">
        <f t="shared" si="49"/>
        <v>1</v>
      </c>
      <c r="J344" s="4" t="str">
        <f t="shared" si="50"/>
        <v/>
      </c>
      <c r="K344" s="4" t="str">
        <f t="shared" si="51"/>
        <v/>
      </c>
      <c r="L344" s="4" t="str">
        <f t="shared" si="52"/>
        <v/>
      </c>
      <c r="M344" s="4"/>
      <c r="N344" s="4"/>
      <c r="O344" s="4"/>
      <c r="P344" s="4"/>
      <c r="Q344" s="4"/>
      <c r="R344" s="4"/>
      <c r="S344" s="4"/>
      <c r="T344" s="4"/>
      <c r="U344" s="4"/>
    </row>
    <row r="345" spans="1:21">
      <c r="A345" t="s">
        <v>225</v>
      </c>
      <c r="B345">
        <v>2</v>
      </c>
      <c r="C345" t="str">
        <f t="shared" si="46"/>
        <v>test.ImageData_2_</v>
      </c>
      <c r="D345">
        <v>14</v>
      </c>
      <c r="E345" s="4">
        <v>1</v>
      </c>
      <c r="F345" s="4">
        <v>0.46675531914893614</v>
      </c>
      <c r="G345" s="4" t="str">
        <f t="shared" si="47"/>
        <v/>
      </c>
      <c r="H345" s="4" t="str">
        <f t="shared" si="48"/>
        <v/>
      </c>
      <c r="I345" s="4">
        <f t="shared" si="49"/>
        <v>1</v>
      </c>
      <c r="J345" s="4" t="str">
        <f t="shared" si="50"/>
        <v/>
      </c>
      <c r="K345" s="4" t="str">
        <f t="shared" si="51"/>
        <v/>
      </c>
      <c r="L345" s="4" t="str">
        <f t="shared" si="52"/>
        <v/>
      </c>
      <c r="M345" s="4"/>
      <c r="N345" s="4"/>
      <c r="O345" s="4"/>
      <c r="P345" s="4"/>
      <c r="Q345" s="4"/>
      <c r="R345" s="4"/>
      <c r="S345" s="4"/>
      <c r="T345" s="4"/>
      <c r="U345" s="4"/>
    </row>
    <row r="346" spans="1:21">
      <c r="A346" t="s">
        <v>225</v>
      </c>
      <c r="B346">
        <v>3</v>
      </c>
      <c r="C346" t="str">
        <f t="shared" si="46"/>
        <v>test.ImageData_3_</v>
      </c>
      <c r="D346">
        <v>1</v>
      </c>
      <c r="E346" s="4">
        <v>0.10857142857142857</v>
      </c>
      <c r="F346" s="4">
        <v>7.0346795434591741E-2</v>
      </c>
      <c r="G346" s="4">
        <f t="shared" si="47"/>
        <v>0.10857142857142857</v>
      </c>
      <c r="H346" s="4" t="str">
        <f t="shared" si="48"/>
        <v/>
      </c>
      <c r="I346" s="4" t="str">
        <f t="shared" si="49"/>
        <v/>
      </c>
      <c r="J346" s="4" t="str">
        <f t="shared" si="50"/>
        <v/>
      </c>
      <c r="K346" s="4" t="str">
        <f t="shared" si="51"/>
        <v/>
      </c>
      <c r="L346" s="4" t="str">
        <f t="shared" si="52"/>
        <v/>
      </c>
      <c r="M346" s="4"/>
      <c r="N346" s="4"/>
      <c r="O346" s="4"/>
      <c r="P346" s="4"/>
      <c r="Q346" s="4"/>
      <c r="R346" s="4"/>
      <c r="S346" s="4"/>
      <c r="T346" s="4"/>
      <c r="U346" s="4"/>
    </row>
    <row r="347" spans="1:21">
      <c r="A347" t="s">
        <v>225</v>
      </c>
      <c r="B347">
        <v>3</v>
      </c>
      <c r="C347" t="str">
        <f t="shared" si="46"/>
        <v>test.ImageData_3_</v>
      </c>
      <c r="D347">
        <v>2</v>
      </c>
      <c r="E347" s="4">
        <v>0.16</v>
      </c>
      <c r="F347" s="4">
        <v>0.11259877085162423</v>
      </c>
      <c r="G347" s="4">
        <f t="shared" si="47"/>
        <v>0.16</v>
      </c>
      <c r="H347" s="4" t="str">
        <f t="shared" si="48"/>
        <v/>
      </c>
      <c r="I347" s="4" t="str">
        <f t="shared" si="49"/>
        <v/>
      </c>
      <c r="J347" s="4" t="str">
        <f t="shared" si="50"/>
        <v/>
      </c>
      <c r="K347" s="4" t="str">
        <f t="shared" si="51"/>
        <v/>
      </c>
      <c r="L347" s="4" t="str">
        <f t="shared" si="52"/>
        <v/>
      </c>
      <c r="M347" s="4"/>
      <c r="N347" s="4"/>
      <c r="O347" s="4"/>
      <c r="P347" s="4"/>
      <c r="Q347" s="4"/>
      <c r="R347" s="4"/>
      <c r="S347" s="4"/>
      <c r="T347" s="4"/>
      <c r="U347" s="4"/>
    </row>
    <row r="348" spans="1:21">
      <c r="A348" t="s">
        <v>225</v>
      </c>
      <c r="B348">
        <v>3</v>
      </c>
      <c r="C348" t="str">
        <f t="shared" si="46"/>
        <v>test.ImageData_3_</v>
      </c>
      <c r="D348">
        <v>3</v>
      </c>
      <c r="E348" s="4">
        <v>0.36</v>
      </c>
      <c r="F348" s="4">
        <v>0.22377085162423177</v>
      </c>
      <c r="G348" s="4" t="str">
        <f t="shared" si="47"/>
        <v/>
      </c>
      <c r="H348" s="4">
        <f t="shared" si="48"/>
        <v>0.36</v>
      </c>
      <c r="I348" s="4" t="str">
        <f t="shared" si="49"/>
        <v/>
      </c>
      <c r="J348" s="4" t="str">
        <f t="shared" si="50"/>
        <v/>
      </c>
      <c r="K348" s="4" t="str">
        <f t="shared" si="51"/>
        <v/>
      </c>
      <c r="L348" s="4" t="str">
        <f t="shared" si="52"/>
        <v/>
      </c>
      <c r="M348" s="4"/>
      <c r="N348" s="4"/>
      <c r="O348" s="4"/>
      <c r="P348" s="4"/>
      <c r="Q348" s="4"/>
      <c r="R348" s="4"/>
      <c r="S348" s="4"/>
      <c r="T348" s="4"/>
      <c r="U348" s="4"/>
    </row>
    <row r="349" spans="1:21">
      <c r="A349" t="s">
        <v>225</v>
      </c>
      <c r="B349">
        <v>3</v>
      </c>
      <c r="C349" t="str">
        <f t="shared" si="46"/>
        <v>test.ImageData_3_</v>
      </c>
      <c r="D349">
        <v>4</v>
      </c>
      <c r="E349" s="4">
        <v>0.56000000000000005</v>
      </c>
      <c r="F349" s="4">
        <v>0.22607550482879718</v>
      </c>
      <c r="G349" s="4" t="str">
        <f t="shared" si="47"/>
        <v/>
      </c>
      <c r="H349" s="4">
        <f t="shared" si="48"/>
        <v>0.56000000000000005</v>
      </c>
      <c r="I349" s="4" t="str">
        <f t="shared" si="49"/>
        <v/>
      </c>
      <c r="J349" s="4" t="str">
        <f t="shared" si="50"/>
        <v/>
      </c>
      <c r="K349" s="4" t="str">
        <f t="shared" si="51"/>
        <v/>
      </c>
      <c r="L349" s="4" t="str">
        <f t="shared" si="52"/>
        <v/>
      </c>
      <c r="M349" s="4"/>
      <c r="N349" s="4"/>
      <c r="O349" s="4"/>
      <c r="P349" s="4"/>
      <c r="Q349" s="4"/>
      <c r="R349" s="4"/>
      <c r="S349" s="4"/>
      <c r="T349" s="4"/>
      <c r="U349" s="4"/>
    </row>
    <row r="350" spans="1:21">
      <c r="A350" t="s">
        <v>225</v>
      </c>
      <c r="B350">
        <v>3</v>
      </c>
      <c r="C350" t="str">
        <f t="shared" si="46"/>
        <v>test.ImageData_3_</v>
      </c>
      <c r="D350">
        <v>5</v>
      </c>
      <c r="E350" s="4">
        <v>0.88571428571428568</v>
      </c>
      <c r="F350" s="4">
        <v>0.31551799824407373</v>
      </c>
      <c r="G350" s="4" t="str">
        <f t="shared" si="47"/>
        <v/>
      </c>
      <c r="H350" s="4">
        <f t="shared" si="48"/>
        <v>0.88571428571428568</v>
      </c>
      <c r="I350" s="4" t="str">
        <f t="shared" si="49"/>
        <v/>
      </c>
      <c r="J350" s="4" t="str">
        <f t="shared" si="50"/>
        <v/>
      </c>
      <c r="K350" s="4" t="str">
        <f t="shared" si="51"/>
        <v/>
      </c>
      <c r="L350" s="4" t="str">
        <f t="shared" si="52"/>
        <v/>
      </c>
      <c r="M350" s="4"/>
      <c r="N350" s="4"/>
      <c r="O350" s="4"/>
      <c r="P350" s="4"/>
      <c r="Q350" s="4"/>
      <c r="R350" s="4"/>
      <c r="S350" s="4"/>
      <c r="T350" s="4"/>
      <c r="U350" s="4"/>
    </row>
    <row r="351" spans="1:21">
      <c r="A351" t="s">
        <v>225</v>
      </c>
      <c r="B351">
        <v>3</v>
      </c>
      <c r="C351" t="str">
        <f t="shared" si="46"/>
        <v>test.ImageData_3_</v>
      </c>
      <c r="D351">
        <v>6</v>
      </c>
      <c r="E351" s="4">
        <v>1</v>
      </c>
      <c r="F351" s="4">
        <v>0.54971466198419672</v>
      </c>
      <c r="G351" s="4" t="str">
        <f t="shared" si="47"/>
        <v/>
      </c>
      <c r="H351" s="4" t="str">
        <f t="shared" si="48"/>
        <v/>
      </c>
      <c r="I351" s="4">
        <f t="shared" si="49"/>
        <v>1</v>
      </c>
      <c r="J351" s="4" t="str">
        <f t="shared" si="50"/>
        <v/>
      </c>
      <c r="K351" s="4" t="str">
        <f t="shared" si="51"/>
        <v/>
      </c>
      <c r="L351" s="4" t="str">
        <f t="shared" si="52"/>
        <v/>
      </c>
      <c r="M351" s="4"/>
      <c r="N351" s="4"/>
      <c r="O351" s="4"/>
      <c r="P351" s="4"/>
      <c r="Q351" s="4"/>
      <c r="R351" s="4"/>
      <c r="S351" s="4"/>
      <c r="T351" s="4"/>
      <c r="U351" s="4"/>
    </row>
    <row r="352" spans="1:21">
      <c r="A352" t="s">
        <v>225</v>
      </c>
      <c r="B352">
        <v>4</v>
      </c>
      <c r="C352" t="str">
        <f t="shared" si="46"/>
        <v>test.ImageData_4_</v>
      </c>
      <c r="D352">
        <v>1</v>
      </c>
      <c r="E352" s="4">
        <v>6.985294117647059E-2</v>
      </c>
      <c r="F352" s="4">
        <v>2.7579244902079549E-2</v>
      </c>
      <c r="G352" s="4">
        <f t="shared" si="47"/>
        <v>6.985294117647059E-2</v>
      </c>
      <c r="H352" s="4" t="str">
        <f t="shared" si="48"/>
        <v/>
      </c>
      <c r="I352" s="4" t="str">
        <f t="shared" si="49"/>
        <v/>
      </c>
      <c r="J352" s="4" t="str">
        <f t="shared" si="50"/>
        <v/>
      </c>
      <c r="K352" s="4" t="str">
        <f t="shared" si="51"/>
        <v/>
      </c>
      <c r="L352" s="4" t="str">
        <f t="shared" si="52"/>
        <v/>
      </c>
      <c r="M352" s="4"/>
      <c r="N352" s="4"/>
      <c r="O352" s="4"/>
      <c r="P352" s="4"/>
      <c r="Q352" s="4"/>
      <c r="R352" s="4"/>
      <c r="S352" s="4"/>
      <c r="T352" s="4"/>
      <c r="U352" s="4"/>
    </row>
    <row r="353" spans="1:21">
      <c r="A353" t="s">
        <v>225</v>
      </c>
      <c r="B353">
        <v>4</v>
      </c>
      <c r="C353" t="str">
        <f t="shared" si="46"/>
        <v>test.ImageData_4_</v>
      </c>
      <c r="D353">
        <v>2</v>
      </c>
      <c r="E353" s="4">
        <v>0.11397058823529412</v>
      </c>
      <c r="F353" s="4">
        <v>4.9424591156874621E-2</v>
      </c>
      <c r="G353" s="4">
        <f t="shared" si="47"/>
        <v>0.11397058823529412</v>
      </c>
      <c r="H353" s="4" t="str">
        <f t="shared" si="48"/>
        <v/>
      </c>
      <c r="I353" s="4" t="str">
        <f t="shared" si="49"/>
        <v/>
      </c>
      <c r="J353" s="4" t="str">
        <f t="shared" si="50"/>
        <v/>
      </c>
      <c r="K353" s="4" t="str">
        <f t="shared" si="51"/>
        <v/>
      </c>
      <c r="L353" s="4" t="str">
        <f t="shared" si="52"/>
        <v/>
      </c>
      <c r="M353" s="4"/>
      <c r="N353" s="4"/>
      <c r="O353" s="4"/>
      <c r="P353" s="4"/>
      <c r="Q353" s="4"/>
      <c r="R353" s="4"/>
      <c r="S353" s="4"/>
      <c r="T353" s="4"/>
      <c r="U353" s="4"/>
    </row>
    <row r="354" spans="1:21">
      <c r="A354" t="s">
        <v>225</v>
      </c>
      <c r="B354">
        <v>4</v>
      </c>
      <c r="C354" t="str">
        <f t="shared" si="46"/>
        <v>test.ImageData_4_</v>
      </c>
      <c r="D354">
        <v>3</v>
      </c>
      <c r="E354" s="4">
        <v>0.24264705882352941</v>
      </c>
      <c r="F354" s="4">
        <v>8.419139915202907E-2</v>
      </c>
      <c r="G354" s="4">
        <f t="shared" si="47"/>
        <v>0.24264705882352941</v>
      </c>
      <c r="H354" s="4" t="str">
        <f t="shared" si="48"/>
        <v/>
      </c>
      <c r="I354" s="4" t="str">
        <f t="shared" si="49"/>
        <v/>
      </c>
      <c r="J354" s="4" t="str">
        <f t="shared" si="50"/>
        <v/>
      </c>
      <c r="K354" s="4" t="str">
        <f t="shared" si="51"/>
        <v/>
      </c>
      <c r="L354" s="4" t="str">
        <f t="shared" si="52"/>
        <v/>
      </c>
      <c r="M354" s="4"/>
      <c r="N354" s="4"/>
      <c r="O354" s="4"/>
      <c r="P354" s="4"/>
      <c r="Q354" s="4"/>
      <c r="R354" s="4"/>
      <c r="S354" s="4"/>
      <c r="T354" s="4"/>
      <c r="U354" s="4"/>
    </row>
    <row r="355" spans="1:21">
      <c r="A355" t="s">
        <v>225</v>
      </c>
      <c r="B355">
        <v>4</v>
      </c>
      <c r="C355" t="str">
        <f t="shared" si="46"/>
        <v>test.ImageData_4_</v>
      </c>
      <c r="D355">
        <v>4</v>
      </c>
      <c r="E355" s="4">
        <v>0.37132352941176472</v>
      </c>
      <c r="F355" s="4">
        <v>8.463557439935393E-2</v>
      </c>
      <c r="G355" s="4">
        <f t="shared" si="47"/>
        <v>0.37132352941176472</v>
      </c>
      <c r="H355" s="4" t="str">
        <f t="shared" si="48"/>
        <v/>
      </c>
      <c r="I355" s="4" t="str">
        <f t="shared" si="49"/>
        <v/>
      </c>
      <c r="J355" s="4" t="str">
        <f t="shared" si="50"/>
        <v/>
      </c>
      <c r="K355" s="4" t="str">
        <f t="shared" si="51"/>
        <v/>
      </c>
      <c r="L355" s="4" t="str">
        <f t="shared" si="52"/>
        <v/>
      </c>
      <c r="M355" s="4"/>
      <c r="N355" s="4"/>
      <c r="O355" s="4"/>
      <c r="P355" s="4"/>
      <c r="Q355" s="4"/>
      <c r="R355" s="4"/>
      <c r="S355" s="4"/>
      <c r="T355" s="4"/>
      <c r="U355" s="4"/>
    </row>
    <row r="356" spans="1:21">
      <c r="A356" t="s">
        <v>225</v>
      </c>
      <c r="B356">
        <v>4</v>
      </c>
      <c r="C356" t="str">
        <f t="shared" si="46"/>
        <v>test.ImageData_4_</v>
      </c>
      <c r="D356">
        <v>5</v>
      </c>
      <c r="E356" s="4">
        <v>0.56617647058823528</v>
      </c>
      <c r="F356" s="4">
        <v>0.1190793458509994</v>
      </c>
      <c r="G356" s="4">
        <f t="shared" si="47"/>
        <v>0.56617647058823528</v>
      </c>
      <c r="H356" s="4" t="str">
        <f t="shared" si="48"/>
        <v/>
      </c>
      <c r="I356" s="4" t="str">
        <f t="shared" si="49"/>
        <v/>
      </c>
      <c r="J356" s="4" t="str">
        <f t="shared" si="50"/>
        <v/>
      </c>
      <c r="K356" s="4" t="str">
        <f t="shared" si="51"/>
        <v/>
      </c>
      <c r="L356" s="4" t="str">
        <f t="shared" si="52"/>
        <v/>
      </c>
      <c r="M356" s="4"/>
      <c r="N356" s="4"/>
      <c r="O356" s="4"/>
      <c r="P356" s="4"/>
      <c r="Q356" s="4"/>
      <c r="R356" s="4"/>
      <c r="S356" s="4"/>
      <c r="T356" s="4"/>
      <c r="U356" s="4"/>
    </row>
    <row r="357" spans="1:21">
      <c r="A357" t="s">
        <v>225</v>
      </c>
      <c r="B357">
        <v>4</v>
      </c>
      <c r="C357" t="str">
        <f t="shared" si="46"/>
        <v>test.ImageData_4_</v>
      </c>
      <c r="D357">
        <v>6</v>
      </c>
      <c r="E357" s="4">
        <v>0.64338235294117652</v>
      </c>
      <c r="F357" s="4">
        <v>0.20060569351907934</v>
      </c>
      <c r="G357" s="4" t="str">
        <f t="shared" si="47"/>
        <v/>
      </c>
      <c r="H357" s="4">
        <f t="shared" si="48"/>
        <v>0.64338235294117652</v>
      </c>
      <c r="I357" s="4" t="str">
        <f t="shared" si="49"/>
        <v/>
      </c>
      <c r="J357" s="4" t="str">
        <f t="shared" si="50"/>
        <v/>
      </c>
      <c r="K357" s="4" t="str">
        <f t="shared" si="51"/>
        <v/>
      </c>
      <c r="L357" s="4" t="str">
        <f t="shared" si="52"/>
        <v/>
      </c>
      <c r="M357" s="4"/>
      <c r="N357" s="4"/>
      <c r="O357" s="4"/>
      <c r="P357" s="4"/>
      <c r="Q357" s="4"/>
      <c r="R357" s="4"/>
      <c r="S357" s="4"/>
      <c r="T357" s="4"/>
      <c r="U357" s="4"/>
    </row>
    <row r="358" spans="1:21">
      <c r="A358" t="s">
        <v>225</v>
      </c>
      <c r="B358">
        <v>4</v>
      </c>
      <c r="C358" t="str">
        <f t="shared" si="46"/>
        <v>test.ImageData_4_</v>
      </c>
      <c r="D358">
        <v>7</v>
      </c>
      <c r="E358" s="4">
        <v>0.74264705882352944</v>
      </c>
      <c r="F358" s="4">
        <v>0.23727034120734908</v>
      </c>
      <c r="G358" s="4" t="str">
        <f t="shared" si="47"/>
        <v/>
      </c>
      <c r="H358" s="4">
        <f t="shared" si="48"/>
        <v>0.74264705882352944</v>
      </c>
      <c r="I358" s="4" t="str">
        <f t="shared" si="49"/>
        <v/>
      </c>
      <c r="J358" s="4" t="str">
        <f t="shared" si="50"/>
        <v/>
      </c>
      <c r="K358" s="4" t="str">
        <f t="shared" si="51"/>
        <v/>
      </c>
      <c r="L358" s="4" t="str">
        <f t="shared" si="52"/>
        <v/>
      </c>
      <c r="M358" s="4"/>
      <c r="N358" s="4"/>
      <c r="O358" s="4"/>
      <c r="P358" s="4"/>
      <c r="Q358" s="4"/>
      <c r="R358" s="4"/>
      <c r="S358" s="4"/>
      <c r="T358" s="4"/>
      <c r="U358" s="4"/>
    </row>
    <row r="359" spans="1:21">
      <c r="A359" t="s">
        <v>225</v>
      </c>
      <c r="B359">
        <v>4</v>
      </c>
      <c r="C359" t="str">
        <f t="shared" si="46"/>
        <v>test.ImageData_4_</v>
      </c>
      <c r="D359">
        <v>8</v>
      </c>
      <c r="E359" s="4">
        <v>0.86029411764705888</v>
      </c>
      <c r="F359" s="4">
        <v>0.24966686856450637</v>
      </c>
      <c r="G359" s="4" t="str">
        <f t="shared" si="47"/>
        <v/>
      </c>
      <c r="H359" s="4">
        <f t="shared" si="48"/>
        <v>0.86029411764705888</v>
      </c>
      <c r="I359" s="4" t="str">
        <f t="shared" si="49"/>
        <v/>
      </c>
      <c r="J359" s="4" t="str">
        <f t="shared" si="50"/>
        <v/>
      </c>
      <c r="K359" s="4" t="str">
        <f t="shared" si="51"/>
        <v/>
      </c>
      <c r="L359" s="4" t="str">
        <f t="shared" si="52"/>
        <v/>
      </c>
      <c r="M359" s="4"/>
      <c r="N359" s="4"/>
      <c r="O359" s="4"/>
      <c r="P359" s="4"/>
      <c r="Q359" s="4"/>
      <c r="R359" s="4"/>
      <c r="S359" s="4"/>
      <c r="T359" s="4"/>
      <c r="U359" s="4"/>
    </row>
    <row r="360" spans="1:21">
      <c r="A360" t="s">
        <v>225</v>
      </c>
      <c r="B360">
        <v>4</v>
      </c>
      <c r="C360" t="str">
        <f t="shared" si="46"/>
        <v>test.ImageData_4_</v>
      </c>
      <c r="D360">
        <v>9</v>
      </c>
      <c r="E360" s="4">
        <v>1</v>
      </c>
      <c r="F360" s="4">
        <v>0.27102766000403794</v>
      </c>
      <c r="G360" s="4" t="str">
        <f t="shared" si="47"/>
        <v/>
      </c>
      <c r="H360" s="4">
        <f t="shared" si="48"/>
        <v>1</v>
      </c>
      <c r="I360" s="4" t="str">
        <f t="shared" si="49"/>
        <v/>
      </c>
      <c r="J360" s="4" t="str">
        <f t="shared" si="50"/>
        <v/>
      </c>
      <c r="K360" s="4" t="str">
        <f t="shared" si="51"/>
        <v/>
      </c>
      <c r="L360" s="4" t="str">
        <f t="shared" si="52"/>
        <v/>
      </c>
      <c r="M360" s="4"/>
      <c r="N360" s="4"/>
      <c r="O360" s="4"/>
      <c r="P360" s="4"/>
      <c r="Q360" s="4"/>
      <c r="R360" s="4"/>
      <c r="S360" s="4"/>
      <c r="T360" s="4"/>
      <c r="U360" s="4"/>
    </row>
    <row r="361" spans="1:21">
      <c r="A361" t="s">
        <v>225</v>
      </c>
      <c r="B361">
        <v>5</v>
      </c>
      <c r="C361" t="str">
        <f t="shared" si="46"/>
        <v>test.ImageData_5_</v>
      </c>
      <c r="D361">
        <v>1</v>
      </c>
      <c r="E361" s="4">
        <v>0.36363636363636365</v>
      </c>
      <c r="F361" s="4">
        <v>0.51282051282051277</v>
      </c>
      <c r="G361" s="4" t="str">
        <f t="shared" si="47"/>
        <v/>
      </c>
      <c r="H361" s="4" t="str">
        <f t="shared" si="48"/>
        <v/>
      </c>
      <c r="I361" s="4">
        <f t="shared" si="49"/>
        <v>0.36363636363636365</v>
      </c>
      <c r="J361" s="4" t="str">
        <f t="shared" si="50"/>
        <v/>
      </c>
      <c r="K361" s="4" t="str">
        <f t="shared" si="51"/>
        <v/>
      </c>
      <c r="L361" s="4" t="str">
        <f t="shared" si="52"/>
        <v/>
      </c>
      <c r="M361" s="4"/>
      <c r="N361" s="4"/>
      <c r="O361" s="4"/>
      <c r="P361" s="4"/>
      <c r="Q361" s="4"/>
      <c r="R361" s="4"/>
      <c r="S361" s="4"/>
      <c r="T361" s="4"/>
      <c r="U361" s="4"/>
    </row>
    <row r="362" spans="1:21">
      <c r="A362" t="s">
        <v>225</v>
      </c>
      <c r="B362">
        <v>5</v>
      </c>
      <c r="C362" t="str">
        <f t="shared" si="46"/>
        <v>test.ImageData_5_</v>
      </c>
      <c r="D362">
        <v>2</v>
      </c>
      <c r="E362" s="4">
        <v>0.54545454545454541</v>
      </c>
      <c r="F362" s="4">
        <v>0.69230769230769229</v>
      </c>
      <c r="G362" s="4" t="str">
        <f t="shared" si="47"/>
        <v/>
      </c>
      <c r="H362" s="4" t="str">
        <f t="shared" si="48"/>
        <v/>
      </c>
      <c r="I362" s="4" t="str">
        <f t="shared" si="49"/>
        <v/>
      </c>
      <c r="J362" s="4">
        <f t="shared" si="50"/>
        <v>0.54545454545454541</v>
      </c>
      <c r="K362" s="4" t="str">
        <f t="shared" si="51"/>
        <v/>
      </c>
      <c r="L362" s="4" t="str">
        <f t="shared" si="52"/>
        <v/>
      </c>
      <c r="M362" s="4"/>
      <c r="N362" s="4"/>
      <c r="O362" s="4"/>
      <c r="P362" s="4"/>
      <c r="Q362" s="4"/>
      <c r="R362" s="4"/>
      <c r="S362" s="4"/>
      <c r="T362" s="4"/>
      <c r="U362" s="4"/>
    </row>
    <row r="363" spans="1:21">
      <c r="A363" t="s">
        <v>225</v>
      </c>
      <c r="B363">
        <v>5</v>
      </c>
      <c r="C363" t="str">
        <f t="shared" si="46"/>
        <v>test.ImageData_5_</v>
      </c>
      <c r="D363">
        <v>3</v>
      </c>
      <c r="E363" s="4">
        <v>0.68181818181818177</v>
      </c>
      <c r="F363" s="4">
        <v>0.8</v>
      </c>
      <c r="G363" s="4" t="str">
        <f t="shared" si="47"/>
        <v/>
      </c>
      <c r="H363" s="4" t="str">
        <f t="shared" si="48"/>
        <v/>
      </c>
      <c r="I363" s="4" t="str">
        <f t="shared" si="49"/>
        <v/>
      </c>
      <c r="J363" s="4">
        <f t="shared" si="50"/>
        <v>0.68181818181818177</v>
      </c>
      <c r="K363" s="4" t="str">
        <f t="shared" si="51"/>
        <v/>
      </c>
      <c r="L363" s="4" t="str">
        <f t="shared" si="52"/>
        <v/>
      </c>
      <c r="M363" s="4"/>
      <c r="N363" s="4"/>
      <c r="O363" s="4"/>
      <c r="P363" s="4"/>
      <c r="Q363" s="4"/>
      <c r="R363" s="4"/>
      <c r="S363" s="4"/>
      <c r="T363" s="4"/>
      <c r="U363" s="4"/>
    </row>
    <row r="364" spans="1:21">
      <c r="A364" t="s">
        <v>225</v>
      </c>
      <c r="B364">
        <v>5</v>
      </c>
      <c r="C364" t="str">
        <f t="shared" si="46"/>
        <v>test.ImageData_5_</v>
      </c>
      <c r="D364">
        <v>4</v>
      </c>
      <c r="E364" s="4">
        <v>0.77272727272727271</v>
      </c>
      <c r="F364" s="4">
        <v>0.90769230769230769</v>
      </c>
      <c r="G364" s="4" t="str">
        <f t="shared" si="47"/>
        <v/>
      </c>
      <c r="H364" s="4" t="str">
        <f t="shared" si="48"/>
        <v/>
      </c>
      <c r="I364" s="4" t="str">
        <f t="shared" si="49"/>
        <v/>
      </c>
      <c r="J364" s="4" t="str">
        <f t="shared" si="50"/>
        <v/>
      </c>
      <c r="K364" s="4">
        <f t="shared" si="51"/>
        <v>0.77272727272727271</v>
      </c>
      <c r="L364" s="4" t="str">
        <f t="shared" si="52"/>
        <v/>
      </c>
      <c r="M364" s="4"/>
      <c r="N364" s="4"/>
      <c r="O364" s="4"/>
      <c r="P364" s="4"/>
      <c r="Q364" s="4"/>
      <c r="R364" s="4"/>
      <c r="S364" s="4"/>
      <c r="T364" s="4"/>
      <c r="U364" s="4"/>
    </row>
    <row r="365" spans="1:21">
      <c r="A365" t="s">
        <v>225</v>
      </c>
      <c r="B365">
        <v>5</v>
      </c>
      <c r="C365" t="str">
        <f t="shared" si="46"/>
        <v>test.ImageData_5_</v>
      </c>
      <c r="D365">
        <v>5</v>
      </c>
      <c r="E365" s="4">
        <v>0.86363636363636365</v>
      </c>
      <c r="F365" s="4">
        <v>0.96666666666666667</v>
      </c>
      <c r="G365" s="4" t="str">
        <f t="shared" si="47"/>
        <v/>
      </c>
      <c r="H365" s="4" t="str">
        <f t="shared" si="48"/>
        <v/>
      </c>
      <c r="I365" s="4" t="str">
        <f t="shared" si="49"/>
        <v/>
      </c>
      <c r="J365" s="4" t="str">
        <f t="shared" si="50"/>
        <v/>
      </c>
      <c r="K365" s="4">
        <f t="shared" si="51"/>
        <v>0.86363636363636365</v>
      </c>
      <c r="L365" s="4" t="str">
        <f t="shared" si="52"/>
        <v/>
      </c>
      <c r="M365" s="4"/>
      <c r="N365" s="4"/>
      <c r="O365" s="4"/>
      <c r="P365" s="4"/>
      <c r="Q365" s="4"/>
      <c r="R365" s="4"/>
      <c r="S365" s="4"/>
      <c r="T365" s="4"/>
      <c r="U365" s="4"/>
    </row>
    <row r="366" spans="1:21">
      <c r="A366" t="s">
        <v>225</v>
      </c>
      <c r="B366">
        <v>5</v>
      </c>
      <c r="C366" t="str">
        <f t="shared" si="46"/>
        <v>test.ImageData_5_</v>
      </c>
      <c r="D366">
        <v>6</v>
      </c>
      <c r="E366" s="4">
        <v>1</v>
      </c>
      <c r="F366" s="4">
        <v>1.0282051282051281</v>
      </c>
      <c r="G366" s="4" t="str">
        <f t="shared" si="47"/>
        <v/>
      </c>
      <c r="H366" s="4" t="str">
        <f t="shared" si="48"/>
        <v/>
      </c>
      <c r="I366" s="4" t="str">
        <f t="shared" si="49"/>
        <v/>
      </c>
      <c r="J366" s="4" t="str">
        <f t="shared" si="50"/>
        <v/>
      </c>
      <c r="K366" s="4">
        <f t="shared" si="51"/>
        <v>1</v>
      </c>
      <c r="L366" s="4" t="str">
        <f t="shared" si="52"/>
        <v/>
      </c>
      <c r="M366" s="4"/>
      <c r="N366" s="4"/>
      <c r="O366" s="4"/>
      <c r="P366" s="4"/>
      <c r="Q366" s="4"/>
      <c r="R366" s="4"/>
      <c r="S366" s="4"/>
      <c r="T366" s="4"/>
      <c r="U366" s="4"/>
    </row>
    <row r="367" spans="1:21">
      <c r="A367" t="s">
        <v>225</v>
      </c>
      <c r="B367">
        <v>6</v>
      </c>
      <c r="C367" t="str">
        <f t="shared" si="46"/>
        <v>test.ImageData_6_</v>
      </c>
      <c r="D367">
        <v>1</v>
      </c>
      <c r="E367" s="4">
        <v>0.14285714285714285</v>
      </c>
      <c r="F367" s="4">
        <v>0.1276073619631902</v>
      </c>
      <c r="G367" s="4">
        <f t="shared" si="47"/>
        <v>0.14285714285714285</v>
      </c>
      <c r="H367" s="4" t="str">
        <f t="shared" si="48"/>
        <v/>
      </c>
      <c r="I367" s="4" t="str">
        <f t="shared" si="49"/>
        <v/>
      </c>
      <c r="J367" s="4" t="str">
        <f t="shared" si="50"/>
        <v/>
      </c>
      <c r="K367" s="4" t="str">
        <f t="shared" si="51"/>
        <v/>
      </c>
      <c r="L367" s="4" t="str">
        <f t="shared" si="52"/>
        <v/>
      </c>
      <c r="M367" s="4"/>
      <c r="N367" s="4"/>
      <c r="O367" s="4"/>
      <c r="P367" s="4"/>
      <c r="Q367" s="4"/>
      <c r="R367" s="4"/>
      <c r="S367" s="4"/>
      <c r="T367" s="4"/>
      <c r="U367" s="4"/>
    </row>
    <row r="368" spans="1:21">
      <c r="A368" t="s">
        <v>225</v>
      </c>
      <c r="B368">
        <v>6</v>
      </c>
      <c r="C368" t="str">
        <f t="shared" si="46"/>
        <v>test.ImageData_6_</v>
      </c>
      <c r="D368">
        <v>2</v>
      </c>
      <c r="E368" s="4">
        <v>0.33333333333333331</v>
      </c>
      <c r="F368" s="4">
        <v>0.34601226993865031</v>
      </c>
      <c r="G368" s="4" t="str">
        <f t="shared" si="47"/>
        <v/>
      </c>
      <c r="H368" s="4">
        <f t="shared" si="48"/>
        <v>0.33333333333333331</v>
      </c>
      <c r="I368" s="4" t="str">
        <f t="shared" si="49"/>
        <v/>
      </c>
      <c r="J368" s="4" t="str">
        <f t="shared" si="50"/>
        <v/>
      </c>
      <c r="K368" s="4" t="str">
        <f t="shared" si="51"/>
        <v/>
      </c>
      <c r="L368" s="4" t="str">
        <f t="shared" si="52"/>
        <v/>
      </c>
      <c r="M368" s="4"/>
      <c r="N368" s="4"/>
      <c r="O368" s="4"/>
      <c r="P368" s="4"/>
      <c r="Q368" s="4"/>
      <c r="R368" s="4"/>
      <c r="S368" s="4"/>
      <c r="T368" s="4"/>
      <c r="U368" s="4"/>
    </row>
    <row r="369" spans="1:21">
      <c r="A369" t="s">
        <v>225</v>
      </c>
      <c r="B369">
        <v>6</v>
      </c>
      <c r="C369" t="str">
        <f t="shared" si="46"/>
        <v>test.ImageData_6_</v>
      </c>
      <c r="D369">
        <v>3</v>
      </c>
      <c r="E369" s="4">
        <v>0.47619047619047616</v>
      </c>
      <c r="F369" s="4">
        <v>0.39631901840490796</v>
      </c>
      <c r="G369" s="4" t="str">
        <f t="shared" si="47"/>
        <v/>
      </c>
      <c r="H369" s="4">
        <f t="shared" si="48"/>
        <v>0.47619047619047616</v>
      </c>
      <c r="I369" s="4" t="str">
        <f t="shared" si="49"/>
        <v/>
      </c>
      <c r="J369" s="4" t="str">
        <f t="shared" si="50"/>
        <v/>
      </c>
      <c r="K369" s="4" t="str">
        <f t="shared" si="51"/>
        <v/>
      </c>
      <c r="L369" s="4" t="str">
        <f t="shared" si="52"/>
        <v/>
      </c>
      <c r="M369" s="4"/>
      <c r="N369" s="4"/>
      <c r="O369" s="4"/>
      <c r="P369" s="4"/>
      <c r="Q369" s="4"/>
      <c r="R369" s="4"/>
      <c r="S369" s="4"/>
      <c r="T369" s="4"/>
      <c r="U369" s="4"/>
    </row>
    <row r="370" spans="1:21">
      <c r="A370" t="s">
        <v>225</v>
      </c>
      <c r="B370">
        <v>6</v>
      </c>
      <c r="C370" t="str">
        <f t="shared" si="46"/>
        <v>test.ImageData_6_</v>
      </c>
      <c r="D370">
        <v>4</v>
      </c>
      <c r="E370" s="4">
        <v>0.66666666666666663</v>
      </c>
      <c r="F370" s="4">
        <v>0.55337423312883438</v>
      </c>
      <c r="G370" s="4" t="str">
        <f t="shared" si="47"/>
        <v/>
      </c>
      <c r="H370" s="4" t="str">
        <f t="shared" si="48"/>
        <v/>
      </c>
      <c r="I370" s="4">
        <f t="shared" si="49"/>
        <v>0.66666666666666663</v>
      </c>
      <c r="J370" s="4" t="str">
        <f t="shared" si="50"/>
        <v/>
      </c>
      <c r="K370" s="4" t="str">
        <f t="shared" si="51"/>
        <v/>
      </c>
      <c r="L370" s="4" t="str">
        <f t="shared" si="52"/>
        <v/>
      </c>
      <c r="M370" s="4"/>
      <c r="N370" s="4"/>
      <c r="O370" s="4"/>
      <c r="P370" s="4"/>
      <c r="Q370" s="4"/>
      <c r="R370" s="4"/>
      <c r="S370" s="4"/>
      <c r="T370" s="4"/>
      <c r="U370" s="4"/>
    </row>
    <row r="371" spans="1:21">
      <c r="A371" t="s">
        <v>225</v>
      </c>
      <c r="B371">
        <v>6</v>
      </c>
      <c r="C371" t="str">
        <f t="shared" si="46"/>
        <v>test.ImageData_6_</v>
      </c>
      <c r="D371">
        <v>5</v>
      </c>
      <c r="E371" s="4">
        <v>0.80952380952380953</v>
      </c>
      <c r="F371" s="4">
        <v>0.62576687116564422</v>
      </c>
      <c r="G371" s="4" t="str">
        <f t="shared" si="47"/>
        <v/>
      </c>
      <c r="H371" s="4" t="str">
        <f t="shared" si="48"/>
        <v/>
      </c>
      <c r="I371" s="4" t="str">
        <f t="shared" si="49"/>
        <v/>
      </c>
      <c r="J371" s="4">
        <f t="shared" si="50"/>
        <v>0.80952380952380953</v>
      </c>
      <c r="K371" s="4" t="str">
        <f t="shared" si="51"/>
        <v/>
      </c>
      <c r="L371" s="4" t="str">
        <f t="shared" si="52"/>
        <v/>
      </c>
      <c r="M371" s="4"/>
      <c r="N371" s="4"/>
      <c r="O371" s="4"/>
      <c r="P371" s="4"/>
      <c r="Q371" s="4"/>
      <c r="R371" s="4"/>
      <c r="S371" s="4"/>
      <c r="T371" s="4"/>
      <c r="U371" s="4"/>
    </row>
    <row r="372" spans="1:21">
      <c r="A372" t="s">
        <v>225</v>
      </c>
      <c r="B372">
        <v>6</v>
      </c>
      <c r="C372" t="str">
        <f t="shared" si="46"/>
        <v>test.ImageData_6_</v>
      </c>
      <c r="D372">
        <v>6</v>
      </c>
      <c r="E372" s="4">
        <v>0.8571428571428571</v>
      </c>
      <c r="F372" s="4">
        <v>0.62822085889570556</v>
      </c>
      <c r="G372" s="4" t="str">
        <f t="shared" si="47"/>
        <v/>
      </c>
      <c r="H372" s="4" t="str">
        <f t="shared" si="48"/>
        <v/>
      </c>
      <c r="I372" s="4" t="str">
        <f t="shared" si="49"/>
        <v/>
      </c>
      <c r="J372" s="4">
        <f t="shared" si="50"/>
        <v>0.8571428571428571</v>
      </c>
      <c r="K372" s="4" t="str">
        <f t="shared" si="51"/>
        <v/>
      </c>
      <c r="L372" s="4" t="str">
        <f t="shared" si="52"/>
        <v/>
      </c>
      <c r="M372" s="4"/>
      <c r="N372" s="4"/>
      <c r="O372" s="4"/>
      <c r="P372" s="4"/>
      <c r="Q372" s="4"/>
      <c r="R372" s="4"/>
      <c r="S372" s="4"/>
      <c r="T372" s="4"/>
      <c r="U372" s="4"/>
    </row>
    <row r="373" spans="1:21">
      <c r="A373" t="s">
        <v>225</v>
      </c>
      <c r="B373">
        <v>6</v>
      </c>
      <c r="C373" t="str">
        <f t="shared" si="46"/>
        <v>test.ImageData_6_</v>
      </c>
      <c r="D373">
        <v>7</v>
      </c>
      <c r="E373" s="4">
        <v>1</v>
      </c>
      <c r="F373" s="4">
        <v>0.71042944785276074</v>
      </c>
      <c r="G373" s="4" t="str">
        <f t="shared" si="47"/>
        <v/>
      </c>
      <c r="H373" s="4" t="str">
        <f t="shared" si="48"/>
        <v/>
      </c>
      <c r="I373" s="4" t="str">
        <f t="shared" si="49"/>
        <v/>
      </c>
      <c r="J373" s="4">
        <f t="shared" si="50"/>
        <v>1</v>
      </c>
      <c r="K373" s="4" t="str">
        <f t="shared" si="51"/>
        <v/>
      </c>
      <c r="L373" s="4" t="str">
        <f t="shared" si="52"/>
        <v/>
      </c>
      <c r="M373" s="4"/>
      <c r="N373" s="4"/>
      <c r="O373" s="4"/>
      <c r="P373" s="4"/>
      <c r="Q373" s="4"/>
      <c r="R373" s="4"/>
      <c r="S373" s="4"/>
      <c r="T373" s="4"/>
      <c r="U373" s="4"/>
    </row>
    <row r="374" spans="1:21">
      <c r="A374" t="s">
        <v>225</v>
      </c>
      <c r="B374">
        <v>6</v>
      </c>
      <c r="C374" t="str">
        <f t="shared" si="46"/>
        <v>test.ImageData_6_</v>
      </c>
      <c r="D374">
        <v>8</v>
      </c>
      <c r="E374" s="4">
        <v>1</v>
      </c>
      <c r="F374" s="4">
        <v>0.81840490797546017</v>
      </c>
      <c r="G374" s="4" t="str">
        <f t="shared" si="47"/>
        <v/>
      </c>
      <c r="H374" s="4" t="str">
        <f t="shared" si="48"/>
        <v/>
      </c>
      <c r="I374" s="4" t="str">
        <f t="shared" si="49"/>
        <v/>
      </c>
      <c r="J374" s="4" t="str">
        <f t="shared" si="50"/>
        <v/>
      </c>
      <c r="K374" s="4">
        <f t="shared" si="51"/>
        <v>1</v>
      </c>
      <c r="L374" s="4" t="str">
        <f t="shared" si="52"/>
        <v/>
      </c>
      <c r="M374" s="4"/>
      <c r="N374" s="4"/>
      <c r="O374" s="4"/>
      <c r="P374" s="4"/>
      <c r="Q374" s="4"/>
      <c r="R374" s="4"/>
      <c r="S374" s="4"/>
      <c r="T374" s="4"/>
      <c r="U374" s="4"/>
    </row>
    <row r="375" spans="1:21">
      <c r="A375" t="s">
        <v>225</v>
      </c>
      <c r="B375">
        <v>6</v>
      </c>
      <c r="C375" t="str">
        <f t="shared" si="46"/>
        <v>test.ImageData_6_</v>
      </c>
      <c r="D375">
        <v>9</v>
      </c>
      <c r="E375" s="4">
        <v>1</v>
      </c>
      <c r="F375" s="4">
        <v>0.90061349693251536</v>
      </c>
      <c r="G375" s="4" t="str">
        <f t="shared" si="47"/>
        <v/>
      </c>
      <c r="H375" s="4" t="str">
        <f t="shared" si="48"/>
        <v/>
      </c>
      <c r="I375" s="4" t="str">
        <f t="shared" si="49"/>
        <v/>
      </c>
      <c r="J375" s="4" t="str">
        <f t="shared" si="50"/>
        <v/>
      </c>
      <c r="K375" s="4">
        <f t="shared" si="51"/>
        <v>1</v>
      </c>
      <c r="L375" s="4" t="str">
        <f t="shared" si="52"/>
        <v/>
      </c>
      <c r="M375" s="4"/>
      <c r="N375" s="4"/>
      <c r="O375" s="4"/>
      <c r="P375" s="4"/>
      <c r="Q375" s="4"/>
      <c r="R375" s="4"/>
      <c r="S375" s="4"/>
      <c r="T375" s="4"/>
      <c r="U375" s="4"/>
    </row>
    <row r="376" spans="1:21">
      <c r="A376" t="s">
        <v>225</v>
      </c>
      <c r="B376">
        <v>6</v>
      </c>
      <c r="C376" t="str">
        <f t="shared" si="46"/>
        <v>test.ImageData_6_</v>
      </c>
      <c r="D376">
        <v>10</v>
      </c>
      <c r="E376" s="4">
        <v>1</v>
      </c>
      <c r="F376" s="4">
        <v>0.96809815950920242</v>
      </c>
      <c r="G376" s="4" t="str">
        <f t="shared" si="47"/>
        <v/>
      </c>
      <c r="H376" s="4" t="str">
        <f t="shared" si="48"/>
        <v/>
      </c>
      <c r="I376" s="4" t="str">
        <f t="shared" si="49"/>
        <v/>
      </c>
      <c r="J376" s="4" t="str">
        <f t="shared" si="50"/>
        <v/>
      </c>
      <c r="K376" s="4">
        <f t="shared" si="51"/>
        <v>1</v>
      </c>
      <c r="L376" s="4" t="str">
        <f t="shared" si="52"/>
        <v/>
      </c>
      <c r="M376" s="4"/>
      <c r="N376" s="4"/>
      <c r="O376" s="4"/>
      <c r="P376" s="4"/>
      <c r="Q376" s="4"/>
      <c r="R376" s="4"/>
      <c r="S376" s="4"/>
      <c r="T376" s="4"/>
      <c r="U376" s="4"/>
    </row>
    <row r="377" spans="1:21">
      <c r="A377" t="s">
        <v>225</v>
      </c>
      <c r="B377">
        <v>7</v>
      </c>
      <c r="C377" t="str">
        <f t="shared" si="46"/>
        <v>test.ImageData_7_</v>
      </c>
      <c r="D377">
        <v>1</v>
      </c>
      <c r="E377" s="4">
        <v>0.24166666666666667</v>
      </c>
      <c r="F377" s="4">
        <v>0.29206349206349208</v>
      </c>
      <c r="G377" s="4" t="str">
        <f t="shared" si="47"/>
        <v/>
      </c>
      <c r="H377" s="4">
        <f t="shared" si="48"/>
        <v>0.24166666666666667</v>
      </c>
      <c r="I377" s="4" t="str">
        <f t="shared" si="49"/>
        <v/>
      </c>
      <c r="J377" s="4" t="str">
        <f t="shared" si="50"/>
        <v/>
      </c>
      <c r="K377" s="4" t="str">
        <f t="shared" si="51"/>
        <v/>
      </c>
      <c r="L377" s="4" t="str">
        <f t="shared" si="52"/>
        <v/>
      </c>
      <c r="M377" s="4"/>
      <c r="N377" s="4"/>
      <c r="O377" s="4"/>
      <c r="P377" s="4"/>
      <c r="Q377" s="4"/>
      <c r="R377" s="4"/>
      <c r="S377" s="4"/>
      <c r="T377" s="4"/>
      <c r="U377" s="4"/>
    </row>
    <row r="378" spans="1:21">
      <c r="A378" t="s">
        <v>225</v>
      </c>
      <c r="B378">
        <v>7</v>
      </c>
      <c r="C378" t="str">
        <f t="shared" si="46"/>
        <v>test.ImageData_7_</v>
      </c>
      <c r="D378">
        <v>2</v>
      </c>
      <c r="E378" s="4">
        <v>0.26666666666666666</v>
      </c>
      <c r="F378" s="4">
        <v>0.29876543209876544</v>
      </c>
      <c r="G378" s="4" t="str">
        <f t="shared" si="47"/>
        <v/>
      </c>
      <c r="H378" s="4">
        <f t="shared" si="48"/>
        <v>0.26666666666666666</v>
      </c>
      <c r="I378" s="4" t="str">
        <f t="shared" si="49"/>
        <v/>
      </c>
      <c r="J378" s="4" t="str">
        <f t="shared" si="50"/>
        <v/>
      </c>
      <c r="K378" s="4" t="str">
        <f t="shared" si="51"/>
        <v/>
      </c>
      <c r="L378" s="4" t="str">
        <f t="shared" si="52"/>
        <v/>
      </c>
      <c r="M378" s="4"/>
      <c r="N378" s="4"/>
      <c r="O378" s="4"/>
      <c r="P378" s="4"/>
      <c r="Q378" s="4"/>
      <c r="R378" s="4"/>
      <c r="S378" s="4"/>
      <c r="T378" s="4"/>
      <c r="U378" s="4"/>
    </row>
    <row r="379" spans="1:21">
      <c r="A379" t="s">
        <v>225</v>
      </c>
      <c r="B379">
        <v>7</v>
      </c>
      <c r="C379" t="str">
        <f t="shared" si="46"/>
        <v>test.ImageData_7_</v>
      </c>
      <c r="D379">
        <v>3</v>
      </c>
      <c r="E379" s="4">
        <v>0.33333333333333331</v>
      </c>
      <c r="F379" s="4">
        <v>0.30652557319223989</v>
      </c>
      <c r="G379" s="4" t="str">
        <f t="shared" si="47"/>
        <v/>
      </c>
      <c r="H379" s="4">
        <f t="shared" si="48"/>
        <v>0.33333333333333331</v>
      </c>
      <c r="I379" s="4" t="str">
        <f t="shared" si="49"/>
        <v/>
      </c>
      <c r="J379" s="4" t="str">
        <f t="shared" si="50"/>
        <v/>
      </c>
      <c r="K379" s="4" t="str">
        <f t="shared" si="51"/>
        <v/>
      </c>
      <c r="L379" s="4" t="str">
        <f t="shared" si="52"/>
        <v/>
      </c>
      <c r="M379" s="4"/>
      <c r="N379" s="4"/>
      <c r="O379" s="4"/>
      <c r="P379" s="4"/>
      <c r="Q379" s="4"/>
      <c r="R379" s="4"/>
      <c r="S379" s="4"/>
      <c r="T379" s="4"/>
      <c r="U379" s="4"/>
    </row>
    <row r="380" spans="1:21">
      <c r="A380" t="s">
        <v>225</v>
      </c>
      <c r="B380">
        <v>7</v>
      </c>
      <c r="C380" t="str">
        <f t="shared" si="46"/>
        <v>test.ImageData_7_</v>
      </c>
      <c r="D380">
        <v>4</v>
      </c>
      <c r="E380" s="4">
        <v>0.42499999999999999</v>
      </c>
      <c r="F380" s="4">
        <v>0.31957671957671957</v>
      </c>
      <c r="G380" s="4" t="str">
        <f t="shared" si="47"/>
        <v/>
      </c>
      <c r="H380" s="4">
        <f t="shared" si="48"/>
        <v>0.42499999999999999</v>
      </c>
      <c r="I380" s="4" t="str">
        <f t="shared" si="49"/>
        <v/>
      </c>
      <c r="J380" s="4" t="str">
        <f t="shared" si="50"/>
        <v/>
      </c>
      <c r="K380" s="4" t="str">
        <f t="shared" si="51"/>
        <v/>
      </c>
      <c r="L380" s="4" t="str">
        <f t="shared" si="52"/>
        <v/>
      </c>
      <c r="M380" s="4"/>
      <c r="N380" s="4"/>
      <c r="O380" s="4"/>
      <c r="P380" s="4"/>
      <c r="Q380" s="4"/>
      <c r="R380" s="4"/>
      <c r="S380" s="4"/>
      <c r="T380" s="4"/>
      <c r="U380" s="4"/>
    </row>
    <row r="381" spans="1:21">
      <c r="A381" t="s">
        <v>225</v>
      </c>
      <c r="B381">
        <v>7</v>
      </c>
      <c r="C381" t="str">
        <f t="shared" si="46"/>
        <v>test.ImageData_7_</v>
      </c>
      <c r="D381">
        <v>5</v>
      </c>
      <c r="E381" s="4">
        <v>0.45833333333333331</v>
      </c>
      <c r="F381" s="4">
        <v>0.32098765432098764</v>
      </c>
      <c r="G381" s="4" t="str">
        <f t="shared" si="47"/>
        <v/>
      </c>
      <c r="H381" s="4">
        <f t="shared" si="48"/>
        <v>0.45833333333333331</v>
      </c>
      <c r="I381" s="4" t="str">
        <f t="shared" si="49"/>
        <v/>
      </c>
      <c r="J381" s="4" t="str">
        <f t="shared" si="50"/>
        <v/>
      </c>
      <c r="K381" s="4" t="str">
        <f t="shared" si="51"/>
        <v/>
      </c>
      <c r="L381" s="4" t="str">
        <f t="shared" si="52"/>
        <v/>
      </c>
      <c r="M381" s="4"/>
      <c r="N381" s="4"/>
      <c r="O381" s="4"/>
      <c r="P381" s="4"/>
      <c r="Q381" s="4"/>
      <c r="R381" s="4"/>
      <c r="S381" s="4"/>
      <c r="T381" s="4"/>
      <c r="U381" s="4"/>
    </row>
    <row r="382" spans="1:21">
      <c r="A382" t="s">
        <v>225</v>
      </c>
      <c r="B382">
        <v>7</v>
      </c>
      <c r="C382" t="str">
        <f t="shared" si="46"/>
        <v>test.ImageData_7_</v>
      </c>
      <c r="D382">
        <v>6</v>
      </c>
      <c r="E382" s="4">
        <v>0.59166666666666667</v>
      </c>
      <c r="F382" s="4">
        <v>0.32874779541446209</v>
      </c>
      <c r="G382" s="4" t="str">
        <f t="shared" si="47"/>
        <v/>
      </c>
      <c r="H382" s="4">
        <f t="shared" si="48"/>
        <v>0.59166666666666667</v>
      </c>
      <c r="I382" s="4" t="str">
        <f t="shared" si="49"/>
        <v/>
      </c>
      <c r="J382" s="4" t="str">
        <f t="shared" si="50"/>
        <v/>
      </c>
      <c r="K382" s="4" t="str">
        <f t="shared" si="51"/>
        <v/>
      </c>
      <c r="L382" s="4" t="str">
        <f t="shared" si="52"/>
        <v/>
      </c>
      <c r="M382" s="4"/>
      <c r="N382" s="4"/>
      <c r="O382" s="4"/>
      <c r="P382" s="4"/>
      <c r="Q382" s="4"/>
      <c r="R382" s="4"/>
      <c r="S382" s="4"/>
      <c r="T382" s="4"/>
      <c r="U382" s="4"/>
    </row>
    <row r="383" spans="1:21">
      <c r="A383" t="s">
        <v>225</v>
      </c>
      <c r="B383">
        <v>7</v>
      </c>
      <c r="C383" t="str">
        <f t="shared" si="46"/>
        <v>test.ImageData_7_</v>
      </c>
      <c r="D383">
        <v>7</v>
      </c>
      <c r="E383" s="4">
        <v>0.65</v>
      </c>
      <c r="F383" s="4">
        <v>0.34285714285714286</v>
      </c>
      <c r="G383" s="4" t="str">
        <f t="shared" si="47"/>
        <v/>
      </c>
      <c r="H383" s="4">
        <f t="shared" si="48"/>
        <v>0.65</v>
      </c>
      <c r="I383" s="4" t="str">
        <f t="shared" si="49"/>
        <v/>
      </c>
      <c r="J383" s="4" t="str">
        <f t="shared" si="50"/>
        <v/>
      </c>
      <c r="K383" s="4" t="str">
        <f t="shared" si="51"/>
        <v/>
      </c>
      <c r="L383" s="4" t="str">
        <f t="shared" si="52"/>
        <v/>
      </c>
      <c r="M383" s="4"/>
      <c r="N383" s="4"/>
      <c r="O383" s="4"/>
      <c r="P383" s="4"/>
      <c r="Q383" s="4"/>
      <c r="R383" s="4"/>
      <c r="S383" s="4"/>
      <c r="T383" s="4"/>
      <c r="U383" s="4"/>
    </row>
    <row r="384" spans="1:21">
      <c r="A384" t="s">
        <v>225</v>
      </c>
      <c r="B384">
        <v>7</v>
      </c>
      <c r="C384" t="str">
        <f t="shared" si="46"/>
        <v>test.ImageData_7_</v>
      </c>
      <c r="D384">
        <v>8</v>
      </c>
      <c r="E384" s="4">
        <v>0.73333333333333328</v>
      </c>
      <c r="F384" s="4">
        <v>0.37001763668430337</v>
      </c>
      <c r="G384" s="4" t="str">
        <f t="shared" si="47"/>
        <v/>
      </c>
      <c r="H384" s="4">
        <f t="shared" si="48"/>
        <v>0.73333333333333328</v>
      </c>
      <c r="I384" s="4" t="str">
        <f t="shared" si="49"/>
        <v/>
      </c>
      <c r="J384" s="4" t="str">
        <f t="shared" si="50"/>
        <v/>
      </c>
      <c r="K384" s="4" t="str">
        <f t="shared" si="51"/>
        <v/>
      </c>
      <c r="L384" s="4" t="str">
        <f t="shared" si="52"/>
        <v/>
      </c>
      <c r="M384" s="4"/>
      <c r="N384" s="4"/>
      <c r="O384" s="4"/>
      <c r="P384" s="4"/>
      <c r="Q384" s="4"/>
      <c r="R384" s="4"/>
      <c r="S384" s="4"/>
      <c r="T384" s="4"/>
      <c r="U384" s="4"/>
    </row>
    <row r="385" spans="1:21">
      <c r="A385" t="s">
        <v>225</v>
      </c>
      <c r="B385">
        <v>7</v>
      </c>
      <c r="C385" t="str">
        <f t="shared" si="46"/>
        <v>test.ImageData_7_</v>
      </c>
      <c r="D385">
        <v>9</v>
      </c>
      <c r="E385" s="4">
        <v>0.85</v>
      </c>
      <c r="F385" s="4">
        <v>0.42010582010582009</v>
      </c>
      <c r="G385" s="4" t="str">
        <f t="shared" si="47"/>
        <v/>
      </c>
      <c r="H385" s="4" t="str">
        <f t="shared" si="48"/>
        <v/>
      </c>
      <c r="I385" s="4">
        <f t="shared" si="49"/>
        <v>0.85</v>
      </c>
      <c r="J385" s="4" t="str">
        <f t="shared" si="50"/>
        <v/>
      </c>
      <c r="K385" s="4" t="str">
        <f t="shared" si="51"/>
        <v/>
      </c>
      <c r="L385" s="4" t="str">
        <f t="shared" si="52"/>
        <v/>
      </c>
      <c r="M385" s="4"/>
      <c r="N385" s="4"/>
      <c r="O385" s="4"/>
      <c r="P385" s="4"/>
      <c r="Q385" s="4"/>
      <c r="R385" s="4"/>
      <c r="S385" s="4"/>
      <c r="T385" s="4"/>
      <c r="U385" s="4"/>
    </row>
    <row r="386" spans="1:21">
      <c r="A386" t="s">
        <v>225</v>
      </c>
      <c r="B386">
        <v>7</v>
      </c>
      <c r="C386" t="str">
        <f t="shared" si="46"/>
        <v>test.ImageData_7_</v>
      </c>
      <c r="D386">
        <v>10</v>
      </c>
      <c r="E386" s="4">
        <v>1</v>
      </c>
      <c r="F386" s="4">
        <v>0.46631393298059964</v>
      </c>
      <c r="G386" s="4" t="str">
        <f t="shared" si="47"/>
        <v/>
      </c>
      <c r="H386" s="4" t="str">
        <f t="shared" si="48"/>
        <v/>
      </c>
      <c r="I386" s="4">
        <f t="shared" si="49"/>
        <v>1</v>
      </c>
      <c r="J386" s="4" t="str">
        <f t="shared" si="50"/>
        <v/>
      </c>
      <c r="K386" s="4" t="str">
        <f t="shared" si="51"/>
        <v/>
      </c>
      <c r="L386" s="4" t="str">
        <f t="shared" si="52"/>
        <v/>
      </c>
      <c r="M386" s="4"/>
      <c r="N386" s="4"/>
      <c r="O386" s="4"/>
      <c r="P386" s="4"/>
      <c r="Q386" s="4"/>
      <c r="R386" s="4"/>
      <c r="S386" s="4"/>
      <c r="T386" s="4"/>
      <c r="U386" s="4"/>
    </row>
    <row r="387" spans="1:21">
      <c r="A387" t="s">
        <v>225</v>
      </c>
      <c r="B387">
        <v>8</v>
      </c>
      <c r="C387" t="str">
        <f t="shared" ref="C387:C450" si="53">CONCATENATE(A387, "_",B387,"_")</f>
        <v>test.ImageData_8_</v>
      </c>
      <c r="D387">
        <v>1</v>
      </c>
      <c r="E387" s="4">
        <v>0.11728395061728394</v>
      </c>
      <c r="F387" s="4">
        <v>7.3148974130240851E-2</v>
      </c>
      <c r="G387" s="4">
        <f t="shared" ref="G387:G450" si="54">IF($F387 &lt;= 0.2,$E387,"")</f>
        <v>0.11728395061728394</v>
      </c>
      <c r="H387" s="4" t="str">
        <f t="shared" ref="H387:H450" si="55">IF(AND($F387 &gt; 0.2,$F387 &lt;= 0.4),$E387,"")</f>
        <v/>
      </c>
      <c r="I387" s="4" t="str">
        <f t="shared" ref="I387:I450" si="56">IF(AND($F387 &gt; 0.4,$F387 &lt;= 0.6),$E387,"")</f>
        <v/>
      </c>
      <c r="J387" s="4" t="str">
        <f t="shared" ref="J387:J450" si="57">IF(AND($F387 &gt; 0.6,$F387 &lt;= 0.8),$E387,"")</f>
        <v/>
      </c>
      <c r="K387" s="4" t="str">
        <f t="shared" ref="K387:K450" si="58">IF(AND($F387 &gt; 0.8, $F387 &lt;=1.1),$E387,"")</f>
        <v/>
      </c>
      <c r="L387" s="4" t="str">
        <f t="shared" ref="L387:L450" si="59">IF(AND($F387 &gt; 1.1),$E387,"")</f>
        <v/>
      </c>
      <c r="M387" s="4"/>
      <c r="N387" s="4"/>
      <c r="O387" s="4"/>
      <c r="P387" s="4"/>
      <c r="Q387" s="4"/>
      <c r="R387" s="4"/>
      <c r="S387" s="4"/>
      <c r="T387" s="4"/>
      <c r="U387" s="4"/>
    </row>
    <row r="388" spans="1:21">
      <c r="A388" t="s">
        <v>225</v>
      </c>
      <c r="B388">
        <v>8</v>
      </c>
      <c r="C388" t="str">
        <f t="shared" si="53"/>
        <v>test.ImageData_8_</v>
      </c>
      <c r="D388">
        <v>2</v>
      </c>
      <c r="E388" s="4">
        <v>0.1728395061728395</v>
      </c>
      <c r="F388" s="4">
        <v>0.1148528099910794</v>
      </c>
      <c r="G388" s="4">
        <f t="shared" si="54"/>
        <v>0.1728395061728395</v>
      </c>
      <c r="H388" s="4" t="str">
        <f t="shared" si="55"/>
        <v/>
      </c>
      <c r="I388" s="4" t="str">
        <f t="shared" si="56"/>
        <v/>
      </c>
      <c r="J388" s="4" t="str">
        <f t="shared" si="57"/>
        <v/>
      </c>
      <c r="K388" s="4" t="str">
        <f t="shared" si="58"/>
        <v/>
      </c>
      <c r="L388" s="4" t="str">
        <f t="shared" si="59"/>
        <v/>
      </c>
      <c r="M388" s="4"/>
      <c r="N388" s="4"/>
      <c r="O388" s="4"/>
      <c r="P388" s="4"/>
      <c r="Q388" s="4"/>
      <c r="R388" s="4"/>
      <c r="S388" s="4"/>
      <c r="T388" s="4"/>
      <c r="U388" s="4"/>
    </row>
    <row r="389" spans="1:21">
      <c r="A389" t="s">
        <v>225</v>
      </c>
      <c r="B389">
        <v>8</v>
      </c>
      <c r="C389" t="str">
        <f t="shared" si="53"/>
        <v>test.ImageData_8_</v>
      </c>
      <c r="D389">
        <v>3</v>
      </c>
      <c r="E389" s="4">
        <v>0.3888888888888889</v>
      </c>
      <c r="F389" s="4">
        <v>0.2086306868867083</v>
      </c>
      <c r="G389" s="4" t="str">
        <f t="shared" si="54"/>
        <v/>
      </c>
      <c r="H389" s="4">
        <f t="shared" si="55"/>
        <v>0.3888888888888889</v>
      </c>
      <c r="I389" s="4" t="str">
        <f t="shared" si="56"/>
        <v/>
      </c>
      <c r="J389" s="4" t="str">
        <f t="shared" si="57"/>
        <v/>
      </c>
      <c r="K389" s="4" t="str">
        <f t="shared" si="58"/>
        <v/>
      </c>
      <c r="L389" s="4" t="str">
        <f t="shared" si="59"/>
        <v/>
      </c>
      <c r="M389" s="4"/>
      <c r="N389" s="4"/>
      <c r="O389" s="4"/>
      <c r="P389" s="4"/>
      <c r="Q389" s="4"/>
      <c r="R389" s="4"/>
      <c r="S389" s="4"/>
      <c r="T389" s="4"/>
      <c r="U389" s="4"/>
    </row>
    <row r="390" spans="1:21">
      <c r="A390" t="s">
        <v>225</v>
      </c>
      <c r="B390">
        <v>8</v>
      </c>
      <c r="C390" t="str">
        <f t="shared" si="53"/>
        <v>test.ImageData_8_</v>
      </c>
      <c r="D390">
        <v>4</v>
      </c>
      <c r="E390" s="4">
        <v>0.66049382716049387</v>
      </c>
      <c r="F390" s="4">
        <v>0.23851471900089205</v>
      </c>
      <c r="G390" s="4" t="str">
        <f t="shared" si="54"/>
        <v/>
      </c>
      <c r="H390" s="4">
        <f t="shared" si="55"/>
        <v>0.66049382716049387</v>
      </c>
      <c r="I390" s="4" t="str">
        <f t="shared" si="56"/>
        <v/>
      </c>
      <c r="J390" s="4" t="str">
        <f t="shared" si="57"/>
        <v/>
      </c>
      <c r="K390" s="4" t="str">
        <f t="shared" si="58"/>
        <v/>
      </c>
      <c r="L390" s="4" t="str">
        <f t="shared" si="59"/>
        <v/>
      </c>
      <c r="M390" s="4"/>
      <c r="N390" s="4"/>
      <c r="O390" s="4"/>
      <c r="P390" s="4"/>
      <c r="Q390" s="4"/>
      <c r="R390" s="4"/>
      <c r="S390" s="4"/>
      <c r="T390" s="4"/>
      <c r="U390" s="4"/>
    </row>
    <row r="391" spans="1:21">
      <c r="A391" t="s">
        <v>225</v>
      </c>
      <c r="B391">
        <v>8</v>
      </c>
      <c r="C391" t="str">
        <f t="shared" si="53"/>
        <v>test.ImageData_8_</v>
      </c>
      <c r="D391">
        <v>5</v>
      </c>
      <c r="E391" s="4">
        <v>0.86419753086419748</v>
      </c>
      <c r="F391" s="4">
        <v>0.3134478144513827</v>
      </c>
      <c r="G391" s="4" t="str">
        <f t="shared" si="54"/>
        <v/>
      </c>
      <c r="H391" s="4">
        <f t="shared" si="55"/>
        <v>0.86419753086419748</v>
      </c>
      <c r="I391" s="4" t="str">
        <f t="shared" si="56"/>
        <v/>
      </c>
      <c r="J391" s="4" t="str">
        <f t="shared" si="57"/>
        <v/>
      </c>
      <c r="K391" s="4" t="str">
        <f t="shared" si="58"/>
        <v/>
      </c>
      <c r="L391" s="4" t="str">
        <f t="shared" si="59"/>
        <v/>
      </c>
      <c r="M391" s="4"/>
      <c r="N391" s="4"/>
      <c r="O391" s="4"/>
      <c r="P391" s="4"/>
      <c r="Q391" s="4"/>
      <c r="R391" s="4"/>
      <c r="S391" s="4"/>
      <c r="T391" s="4"/>
      <c r="U391" s="4"/>
    </row>
    <row r="392" spans="1:21">
      <c r="A392" t="s">
        <v>225</v>
      </c>
      <c r="B392">
        <v>8</v>
      </c>
      <c r="C392" t="str">
        <f t="shared" si="53"/>
        <v>test.ImageData_8_</v>
      </c>
      <c r="D392">
        <v>6</v>
      </c>
      <c r="E392" s="4">
        <v>1</v>
      </c>
      <c r="F392" s="4">
        <v>0.55664585191793037</v>
      </c>
      <c r="G392" s="4" t="str">
        <f t="shared" si="54"/>
        <v/>
      </c>
      <c r="H392" s="4" t="str">
        <f t="shared" si="55"/>
        <v/>
      </c>
      <c r="I392" s="4">
        <f t="shared" si="56"/>
        <v>1</v>
      </c>
      <c r="J392" s="4" t="str">
        <f t="shared" si="57"/>
        <v/>
      </c>
      <c r="K392" s="4" t="str">
        <f t="shared" si="58"/>
        <v/>
      </c>
      <c r="L392" s="4" t="str">
        <f t="shared" si="59"/>
        <v/>
      </c>
      <c r="M392" s="4"/>
      <c r="N392" s="4"/>
      <c r="O392" s="4"/>
      <c r="P392" s="4"/>
      <c r="Q392" s="4"/>
      <c r="R392" s="4"/>
      <c r="S392" s="4"/>
      <c r="T392" s="4"/>
      <c r="U392" s="4"/>
    </row>
    <row r="393" spans="1:21">
      <c r="A393" t="s">
        <v>225</v>
      </c>
      <c r="B393">
        <v>9</v>
      </c>
      <c r="C393" t="str">
        <f t="shared" si="53"/>
        <v>test.ImageData_9_</v>
      </c>
      <c r="D393">
        <v>1</v>
      </c>
      <c r="E393" s="4">
        <v>7.3643410852713184E-2</v>
      </c>
      <c r="F393" s="4">
        <v>2.7368849125660837E-2</v>
      </c>
      <c r="G393" s="4">
        <f t="shared" si="54"/>
        <v>7.3643410852713184E-2</v>
      </c>
      <c r="H393" s="4" t="str">
        <f t="shared" si="55"/>
        <v/>
      </c>
      <c r="I393" s="4" t="str">
        <f t="shared" si="56"/>
        <v/>
      </c>
      <c r="J393" s="4" t="str">
        <f t="shared" si="57"/>
        <v/>
      </c>
      <c r="K393" s="4" t="str">
        <f t="shared" si="58"/>
        <v/>
      </c>
      <c r="L393" s="4" t="str">
        <f t="shared" si="59"/>
        <v/>
      </c>
      <c r="M393" s="4"/>
      <c r="N393" s="4"/>
      <c r="O393" s="4"/>
      <c r="P393" s="4"/>
      <c r="Q393" s="4"/>
      <c r="R393" s="4"/>
      <c r="S393" s="4"/>
      <c r="T393" s="4"/>
      <c r="U393" s="4"/>
    </row>
    <row r="394" spans="1:21">
      <c r="A394" t="s">
        <v>225</v>
      </c>
      <c r="B394">
        <v>9</v>
      </c>
      <c r="C394" t="str">
        <f t="shared" si="53"/>
        <v>test.ImageData_9_</v>
      </c>
      <c r="D394">
        <v>2</v>
      </c>
      <c r="E394" s="4">
        <v>0.12015503875968993</v>
      </c>
      <c r="F394" s="4">
        <v>5.0427002846685644E-2</v>
      </c>
      <c r="G394" s="4">
        <f t="shared" si="54"/>
        <v>0.12015503875968993</v>
      </c>
      <c r="H394" s="4" t="str">
        <f t="shared" si="55"/>
        <v/>
      </c>
      <c r="I394" s="4" t="str">
        <f t="shared" si="56"/>
        <v/>
      </c>
      <c r="J394" s="4" t="str">
        <f t="shared" si="57"/>
        <v/>
      </c>
      <c r="K394" s="4" t="str">
        <f t="shared" si="58"/>
        <v/>
      </c>
      <c r="L394" s="4" t="str">
        <f t="shared" si="59"/>
        <v/>
      </c>
      <c r="M394" s="4"/>
      <c r="N394" s="4"/>
      <c r="O394" s="4"/>
      <c r="P394" s="4"/>
      <c r="Q394" s="4"/>
      <c r="R394" s="4"/>
      <c r="S394" s="4"/>
      <c r="T394" s="4"/>
      <c r="U394" s="4"/>
    </row>
    <row r="395" spans="1:21">
      <c r="A395" t="s">
        <v>225</v>
      </c>
      <c r="B395">
        <v>9</v>
      </c>
      <c r="C395" t="str">
        <f t="shared" si="53"/>
        <v>test.ImageData_9_</v>
      </c>
      <c r="D395">
        <v>3</v>
      </c>
      <c r="E395" s="4">
        <v>0.2558139534883721</v>
      </c>
      <c r="F395" s="4">
        <v>7.8161854412362744E-2</v>
      </c>
      <c r="G395" s="4">
        <f t="shared" si="54"/>
        <v>0.2558139534883721</v>
      </c>
      <c r="H395" s="4" t="str">
        <f t="shared" si="55"/>
        <v/>
      </c>
      <c r="I395" s="4" t="str">
        <f t="shared" si="56"/>
        <v/>
      </c>
      <c r="J395" s="4" t="str">
        <f t="shared" si="57"/>
        <v/>
      </c>
      <c r="K395" s="4" t="str">
        <f t="shared" si="58"/>
        <v/>
      </c>
      <c r="L395" s="4" t="str">
        <f t="shared" si="59"/>
        <v/>
      </c>
      <c r="M395" s="4"/>
      <c r="N395" s="4"/>
      <c r="O395" s="4"/>
      <c r="P395" s="4"/>
      <c r="Q395" s="4"/>
      <c r="R395" s="4"/>
      <c r="S395" s="4"/>
      <c r="T395" s="4"/>
      <c r="U395" s="4"/>
    </row>
    <row r="396" spans="1:21">
      <c r="A396" t="s">
        <v>225</v>
      </c>
      <c r="B396">
        <v>9</v>
      </c>
      <c r="C396" t="str">
        <f t="shared" si="53"/>
        <v>test.ImageData_9_</v>
      </c>
      <c r="D396">
        <v>4</v>
      </c>
      <c r="E396" s="4">
        <v>0.4263565891472868</v>
      </c>
      <c r="F396" s="4">
        <v>8.8694591297275319E-2</v>
      </c>
      <c r="G396" s="4">
        <f t="shared" si="54"/>
        <v>0.4263565891472868</v>
      </c>
      <c r="H396" s="4" t="str">
        <f t="shared" si="55"/>
        <v/>
      </c>
      <c r="I396" s="4" t="str">
        <f t="shared" si="56"/>
        <v/>
      </c>
      <c r="J396" s="4" t="str">
        <f t="shared" si="57"/>
        <v/>
      </c>
      <c r="K396" s="4" t="str">
        <f t="shared" si="58"/>
        <v/>
      </c>
      <c r="L396" s="4" t="str">
        <f t="shared" si="59"/>
        <v/>
      </c>
      <c r="M396" s="4"/>
      <c r="N396" s="4"/>
      <c r="O396" s="4"/>
      <c r="P396" s="4"/>
      <c r="Q396" s="4"/>
      <c r="R396" s="4"/>
      <c r="S396" s="4"/>
      <c r="T396" s="4"/>
      <c r="U396" s="4"/>
    </row>
    <row r="397" spans="1:21">
      <c r="A397" t="s">
        <v>225</v>
      </c>
      <c r="B397">
        <v>9</v>
      </c>
      <c r="C397" t="str">
        <f t="shared" si="53"/>
        <v>test.ImageData_9_</v>
      </c>
      <c r="D397">
        <v>5</v>
      </c>
      <c r="E397" s="4">
        <v>0.55426356589147285</v>
      </c>
      <c r="F397" s="4">
        <v>0.11573810492069947</v>
      </c>
      <c r="G397" s="4">
        <f t="shared" si="54"/>
        <v>0.55426356589147285</v>
      </c>
      <c r="H397" s="4" t="str">
        <f t="shared" si="55"/>
        <v/>
      </c>
      <c r="I397" s="4" t="str">
        <f t="shared" si="56"/>
        <v/>
      </c>
      <c r="J397" s="4" t="str">
        <f t="shared" si="57"/>
        <v/>
      </c>
      <c r="K397" s="4" t="str">
        <f t="shared" si="58"/>
        <v/>
      </c>
      <c r="L397" s="4" t="str">
        <f t="shared" si="59"/>
        <v/>
      </c>
      <c r="M397" s="4"/>
      <c r="N397" s="4"/>
      <c r="O397" s="4"/>
      <c r="P397" s="4"/>
      <c r="Q397" s="4"/>
      <c r="R397" s="4"/>
      <c r="S397" s="4"/>
      <c r="T397" s="4"/>
      <c r="U397" s="4"/>
    </row>
    <row r="398" spans="1:21">
      <c r="A398" t="s">
        <v>225</v>
      </c>
      <c r="B398">
        <v>9</v>
      </c>
      <c r="C398" t="str">
        <f t="shared" si="53"/>
        <v>test.ImageData_9_</v>
      </c>
      <c r="D398">
        <v>6</v>
      </c>
      <c r="E398" s="4">
        <v>0.63953488372093026</v>
      </c>
      <c r="F398" s="4">
        <v>0.20386335908906059</v>
      </c>
      <c r="G398" s="4" t="str">
        <f t="shared" si="54"/>
        <v/>
      </c>
      <c r="H398" s="4">
        <f t="shared" si="55"/>
        <v>0.63953488372093026</v>
      </c>
      <c r="I398" s="4" t="str">
        <f t="shared" si="56"/>
        <v/>
      </c>
      <c r="J398" s="4" t="str">
        <f t="shared" si="57"/>
        <v/>
      </c>
      <c r="K398" s="4" t="str">
        <f t="shared" si="58"/>
        <v/>
      </c>
      <c r="L398" s="4" t="str">
        <f t="shared" si="59"/>
        <v/>
      </c>
      <c r="M398" s="4"/>
      <c r="N398" s="4"/>
      <c r="O398" s="4"/>
      <c r="P398" s="4"/>
      <c r="Q398" s="4"/>
      <c r="R398" s="4"/>
      <c r="S398" s="4"/>
      <c r="T398" s="4"/>
      <c r="U398" s="4"/>
    </row>
    <row r="399" spans="1:21">
      <c r="A399" t="s">
        <v>225</v>
      </c>
      <c r="B399">
        <v>9</v>
      </c>
      <c r="C399" t="str">
        <f t="shared" si="53"/>
        <v>test.ImageData_9_</v>
      </c>
      <c r="D399">
        <v>7</v>
      </c>
      <c r="E399" s="4">
        <v>0.7441860465116279</v>
      </c>
      <c r="F399" s="4">
        <v>0.23074420496136641</v>
      </c>
      <c r="G399" s="4" t="str">
        <f t="shared" si="54"/>
        <v/>
      </c>
      <c r="H399" s="4">
        <f t="shared" si="55"/>
        <v>0.7441860465116279</v>
      </c>
      <c r="I399" s="4" t="str">
        <f t="shared" si="56"/>
        <v/>
      </c>
      <c r="J399" s="4" t="str">
        <f t="shared" si="57"/>
        <v/>
      </c>
      <c r="K399" s="4" t="str">
        <f t="shared" si="58"/>
        <v/>
      </c>
      <c r="L399" s="4" t="str">
        <f t="shared" si="59"/>
        <v/>
      </c>
      <c r="M399" s="4"/>
      <c r="N399" s="4"/>
      <c r="O399" s="4"/>
      <c r="P399" s="4"/>
      <c r="Q399" s="4"/>
      <c r="R399" s="4"/>
      <c r="S399" s="4"/>
      <c r="T399" s="4"/>
      <c r="U399" s="4"/>
    </row>
    <row r="400" spans="1:21">
      <c r="A400" t="s">
        <v>225</v>
      </c>
      <c r="B400">
        <v>9</v>
      </c>
      <c r="C400" t="str">
        <f t="shared" si="53"/>
        <v>test.ImageData_9_</v>
      </c>
      <c r="D400">
        <v>8</v>
      </c>
      <c r="E400" s="4">
        <v>0.86434108527131781</v>
      </c>
      <c r="F400" s="4">
        <v>0.25681171207808051</v>
      </c>
      <c r="G400" s="4" t="str">
        <f t="shared" si="54"/>
        <v/>
      </c>
      <c r="H400" s="4">
        <f t="shared" si="55"/>
        <v>0.86434108527131781</v>
      </c>
      <c r="I400" s="4" t="str">
        <f t="shared" si="56"/>
        <v/>
      </c>
      <c r="J400" s="4" t="str">
        <f t="shared" si="57"/>
        <v/>
      </c>
      <c r="K400" s="4" t="str">
        <f t="shared" si="58"/>
        <v/>
      </c>
      <c r="L400" s="4" t="str">
        <f t="shared" si="59"/>
        <v/>
      </c>
      <c r="M400" s="4"/>
      <c r="N400" s="4"/>
      <c r="O400" s="4"/>
      <c r="P400" s="4"/>
      <c r="Q400" s="4"/>
      <c r="R400" s="4"/>
      <c r="S400" s="4"/>
      <c r="T400" s="4"/>
      <c r="U400" s="4"/>
    </row>
    <row r="401" spans="1:21">
      <c r="A401" t="s">
        <v>225</v>
      </c>
      <c r="B401">
        <v>9</v>
      </c>
      <c r="C401" t="str">
        <f t="shared" si="53"/>
        <v>test.ImageData_9_</v>
      </c>
      <c r="D401">
        <v>9</v>
      </c>
      <c r="E401" s="4">
        <v>1</v>
      </c>
      <c r="F401" s="4">
        <v>0.27706384709231396</v>
      </c>
      <c r="G401" s="4" t="str">
        <f t="shared" si="54"/>
        <v/>
      </c>
      <c r="H401" s="4">
        <f t="shared" si="55"/>
        <v>1</v>
      </c>
      <c r="I401" s="4" t="str">
        <f t="shared" si="56"/>
        <v/>
      </c>
      <c r="J401" s="4" t="str">
        <f t="shared" si="57"/>
        <v/>
      </c>
      <c r="K401" s="4" t="str">
        <f t="shared" si="58"/>
        <v/>
      </c>
      <c r="L401" s="4" t="str">
        <f t="shared" si="59"/>
        <v/>
      </c>
      <c r="M401" s="4"/>
      <c r="N401" s="4"/>
      <c r="O401" s="4"/>
      <c r="P401" s="4"/>
      <c r="Q401" s="4"/>
      <c r="R401" s="4"/>
      <c r="S401" s="4"/>
      <c r="T401" s="4"/>
      <c r="U401" s="4"/>
    </row>
    <row r="402" spans="1:21">
      <c r="A402" t="s">
        <v>225</v>
      </c>
      <c r="B402">
        <v>11</v>
      </c>
      <c r="C402" t="str">
        <f t="shared" si="53"/>
        <v>test.ImageData_11_</v>
      </c>
      <c r="D402">
        <v>1</v>
      </c>
      <c r="E402" s="4">
        <v>0.33962264150943394</v>
      </c>
      <c r="F402" s="4">
        <v>4.9307823922849589E-2</v>
      </c>
      <c r="G402" s="4">
        <f t="shared" si="54"/>
        <v>0.33962264150943394</v>
      </c>
      <c r="H402" s="4" t="str">
        <f t="shared" si="55"/>
        <v/>
      </c>
      <c r="I402" s="4" t="str">
        <f t="shared" si="56"/>
        <v/>
      </c>
      <c r="J402" s="4" t="str">
        <f t="shared" si="57"/>
        <v/>
      </c>
      <c r="K402" s="4" t="str">
        <f t="shared" si="58"/>
        <v/>
      </c>
      <c r="L402" s="4" t="str">
        <f t="shared" si="59"/>
        <v/>
      </c>
      <c r="M402" s="4"/>
      <c r="N402" s="4"/>
      <c r="O402" s="4"/>
      <c r="P402" s="4"/>
      <c r="Q402" s="4"/>
      <c r="R402" s="4"/>
      <c r="S402" s="4"/>
      <c r="T402" s="4"/>
      <c r="U402" s="4"/>
    </row>
    <row r="403" spans="1:21">
      <c r="A403" t="s">
        <v>225</v>
      </c>
      <c r="B403">
        <v>11</v>
      </c>
      <c r="C403" t="str">
        <f t="shared" si="53"/>
        <v>test.ImageData_11_</v>
      </c>
      <c r="D403">
        <v>2</v>
      </c>
      <c r="E403" s="4">
        <v>1</v>
      </c>
      <c r="F403" s="4">
        <v>0.95815834499922226</v>
      </c>
      <c r="G403" s="4" t="str">
        <f t="shared" si="54"/>
        <v/>
      </c>
      <c r="H403" s="4" t="str">
        <f t="shared" si="55"/>
        <v/>
      </c>
      <c r="I403" s="4" t="str">
        <f t="shared" si="56"/>
        <v/>
      </c>
      <c r="J403" s="4" t="str">
        <f t="shared" si="57"/>
        <v/>
      </c>
      <c r="K403" s="4">
        <f t="shared" si="58"/>
        <v>1</v>
      </c>
      <c r="L403" s="4" t="str">
        <f t="shared" si="59"/>
        <v/>
      </c>
      <c r="M403" s="4"/>
      <c r="N403" s="4"/>
      <c r="O403" s="4"/>
      <c r="P403" s="4"/>
      <c r="Q403" s="4"/>
      <c r="R403" s="4"/>
      <c r="S403" s="4"/>
      <c r="T403" s="4"/>
      <c r="U403" s="4"/>
    </row>
    <row r="404" spans="1:21">
      <c r="A404" t="s">
        <v>225</v>
      </c>
      <c r="B404">
        <v>13</v>
      </c>
      <c r="C404" t="str">
        <f t="shared" si="53"/>
        <v>test.ImageData_13_</v>
      </c>
      <c r="D404">
        <v>1</v>
      </c>
      <c r="E404" s="4">
        <v>1.3568521031207597E-3</v>
      </c>
      <c r="F404" s="4">
        <v>5.7773019271948611E-2</v>
      </c>
      <c r="G404" s="4">
        <f t="shared" si="54"/>
        <v>1.3568521031207597E-3</v>
      </c>
      <c r="H404" s="4" t="str">
        <f t="shared" si="55"/>
        <v/>
      </c>
      <c r="I404" s="4" t="str">
        <f t="shared" si="56"/>
        <v/>
      </c>
      <c r="J404" s="4" t="str">
        <f t="shared" si="57"/>
        <v/>
      </c>
      <c r="K404" s="4" t="str">
        <f t="shared" si="58"/>
        <v/>
      </c>
      <c r="L404" s="4" t="str">
        <f t="shared" si="59"/>
        <v/>
      </c>
      <c r="M404" s="4"/>
      <c r="N404" s="4"/>
      <c r="O404" s="4"/>
      <c r="P404" s="4"/>
      <c r="Q404" s="4"/>
      <c r="R404" s="4"/>
      <c r="S404" s="4"/>
      <c r="T404" s="4"/>
      <c r="U404" s="4"/>
    </row>
    <row r="405" spans="1:21">
      <c r="A405" t="s">
        <v>225</v>
      </c>
      <c r="B405">
        <v>13</v>
      </c>
      <c r="C405" t="str">
        <f t="shared" si="53"/>
        <v>test.ImageData_13_</v>
      </c>
      <c r="D405">
        <v>2</v>
      </c>
      <c r="E405" s="4">
        <v>4.0705563093622792E-3</v>
      </c>
      <c r="F405" s="4">
        <v>6.2569593147751609E-2</v>
      </c>
      <c r="G405" s="4">
        <f t="shared" si="54"/>
        <v>4.0705563093622792E-3</v>
      </c>
      <c r="H405" s="4" t="str">
        <f t="shared" si="55"/>
        <v/>
      </c>
      <c r="I405" s="4" t="str">
        <f t="shared" si="56"/>
        <v/>
      </c>
      <c r="J405" s="4" t="str">
        <f t="shared" si="57"/>
        <v/>
      </c>
      <c r="K405" s="4" t="str">
        <f t="shared" si="58"/>
        <v/>
      </c>
      <c r="L405" s="4" t="str">
        <f t="shared" si="59"/>
        <v/>
      </c>
      <c r="M405" s="4"/>
      <c r="N405" s="4"/>
      <c r="O405" s="4"/>
      <c r="P405" s="4"/>
      <c r="Q405" s="4"/>
      <c r="R405" s="4"/>
      <c r="S405" s="4"/>
      <c r="T405" s="4"/>
      <c r="U405" s="4"/>
    </row>
    <row r="406" spans="1:21">
      <c r="A406" t="s">
        <v>225</v>
      </c>
      <c r="B406">
        <v>13</v>
      </c>
      <c r="C406" t="str">
        <f t="shared" si="53"/>
        <v>test.ImageData_13_</v>
      </c>
      <c r="D406">
        <v>3</v>
      </c>
      <c r="E406" s="4">
        <v>6.7842605156037995E-3</v>
      </c>
      <c r="F406" s="4">
        <v>6.4154175588865103E-2</v>
      </c>
      <c r="G406" s="4">
        <f t="shared" si="54"/>
        <v>6.7842605156037995E-3</v>
      </c>
      <c r="H406" s="4" t="str">
        <f t="shared" si="55"/>
        <v/>
      </c>
      <c r="I406" s="4" t="str">
        <f t="shared" si="56"/>
        <v/>
      </c>
      <c r="J406" s="4" t="str">
        <f t="shared" si="57"/>
        <v/>
      </c>
      <c r="K406" s="4" t="str">
        <f t="shared" si="58"/>
        <v/>
      </c>
      <c r="L406" s="4" t="str">
        <f t="shared" si="59"/>
        <v/>
      </c>
      <c r="M406" s="4"/>
      <c r="N406" s="4"/>
      <c r="O406" s="4"/>
      <c r="P406" s="4"/>
      <c r="Q406" s="4"/>
      <c r="R406" s="4"/>
      <c r="S406" s="4"/>
      <c r="T406" s="4"/>
      <c r="U406" s="4"/>
    </row>
    <row r="407" spans="1:21">
      <c r="A407" t="s">
        <v>225</v>
      </c>
      <c r="B407">
        <v>13</v>
      </c>
      <c r="C407" t="str">
        <f t="shared" si="53"/>
        <v>test.ImageData_13_</v>
      </c>
      <c r="D407">
        <v>4</v>
      </c>
      <c r="E407" s="4">
        <v>1</v>
      </c>
      <c r="F407" s="4">
        <v>1.0096359743040686</v>
      </c>
      <c r="G407" s="4" t="str">
        <f t="shared" si="54"/>
        <v/>
      </c>
      <c r="H407" s="4" t="str">
        <f t="shared" si="55"/>
        <v/>
      </c>
      <c r="I407" s="4" t="str">
        <f t="shared" si="56"/>
        <v/>
      </c>
      <c r="J407" s="4" t="str">
        <f t="shared" si="57"/>
        <v/>
      </c>
      <c r="K407" s="4">
        <f t="shared" si="58"/>
        <v>1</v>
      </c>
      <c r="L407" s="4" t="str">
        <f t="shared" si="59"/>
        <v/>
      </c>
      <c r="M407" s="4"/>
      <c r="N407" s="4"/>
      <c r="O407" s="4"/>
      <c r="P407" s="4"/>
      <c r="Q407" s="4"/>
      <c r="R407" s="4"/>
      <c r="S407" s="4"/>
      <c r="T407" s="4"/>
      <c r="U407" s="4"/>
    </row>
    <row r="408" spans="1:21">
      <c r="A408" t="s">
        <v>225</v>
      </c>
      <c r="B408">
        <v>14</v>
      </c>
      <c r="C408" t="str">
        <f t="shared" si="53"/>
        <v>test.ImageData_14_</v>
      </c>
      <c r="D408">
        <v>1</v>
      </c>
      <c r="E408" s="4">
        <v>1.0438413361169101E-3</v>
      </c>
      <c r="F408" s="4">
        <v>3.6743251506945053E-2</v>
      </c>
      <c r="G408" s="4">
        <f t="shared" si="54"/>
        <v>1.0438413361169101E-3</v>
      </c>
      <c r="H408" s="4" t="str">
        <f t="shared" si="55"/>
        <v/>
      </c>
      <c r="I408" s="4" t="str">
        <f t="shared" si="56"/>
        <v/>
      </c>
      <c r="J408" s="4" t="str">
        <f t="shared" si="57"/>
        <v/>
      </c>
      <c r="K408" s="4" t="str">
        <f t="shared" si="58"/>
        <v/>
      </c>
      <c r="L408" s="4" t="str">
        <f t="shared" si="59"/>
        <v/>
      </c>
      <c r="M408" s="4"/>
      <c r="N408" s="4"/>
      <c r="O408" s="4"/>
      <c r="P408" s="4"/>
      <c r="Q408" s="4"/>
      <c r="R408" s="4"/>
      <c r="S408" s="4"/>
      <c r="T408" s="4"/>
      <c r="U408" s="4"/>
    </row>
    <row r="409" spans="1:21">
      <c r="A409" t="s">
        <v>225</v>
      </c>
      <c r="B409">
        <v>14</v>
      </c>
      <c r="C409" t="str">
        <f t="shared" si="53"/>
        <v>test.ImageData_14_</v>
      </c>
      <c r="D409">
        <v>2</v>
      </c>
      <c r="E409" s="4">
        <v>3.1315240083507308E-3</v>
      </c>
      <c r="F409" s="4">
        <v>3.9294138202149033E-2</v>
      </c>
      <c r="G409" s="4">
        <f t="shared" si="54"/>
        <v>3.1315240083507308E-3</v>
      </c>
      <c r="H409" s="4" t="str">
        <f t="shared" si="55"/>
        <v/>
      </c>
      <c r="I409" s="4" t="str">
        <f t="shared" si="56"/>
        <v/>
      </c>
      <c r="J409" s="4" t="str">
        <f t="shared" si="57"/>
        <v/>
      </c>
      <c r="K409" s="4" t="str">
        <f t="shared" si="58"/>
        <v/>
      </c>
      <c r="L409" s="4" t="str">
        <f t="shared" si="59"/>
        <v/>
      </c>
      <c r="M409" s="4"/>
      <c r="N409" s="4"/>
      <c r="O409" s="4"/>
      <c r="P409" s="4"/>
      <c r="Q409" s="4"/>
      <c r="R409" s="4"/>
      <c r="S409" s="4"/>
      <c r="T409" s="4"/>
      <c r="U409" s="4"/>
    </row>
    <row r="410" spans="1:21">
      <c r="A410" t="s">
        <v>225</v>
      </c>
      <c r="B410">
        <v>14</v>
      </c>
      <c r="C410" t="str">
        <f t="shared" si="53"/>
        <v>test.ImageData_14_</v>
      </c>
      <c r="D410">
        <v>3</v>
      </c>
      <c r="E410" s="4">
        <v>5.2192066805845511E-3</v>
      </c>
      <c r="F410" s="4">
        <v>4.0324975976238318E-2</v>
      </c>
      <c r="G410" s="4">
        <f t="shared" si="54"/>
        <v>5.2192066805845511E-3</v>
      </c>
      <c r="H410" s="4" t="str">
        <f t="shared" si="55"/>
        <v/>
      </c>
      <c r="I410" s="4" t="str">
        <f t="shared" si="56"/>
        <v/>
      </c>
      <c r="J410" s="4" t="str">
        <f t="shared" si="57"/>
        <v/>
      </c>
      <c r="K410" s="4" t="str">
        <f t="shared" si="58"/>
        <v/>
      </c>
      <c r="L410" s="4" t="str">
        <f t="shared" si="59"/>
        <v/>
      </c>
      <c r="M410" s="4"/>
      <c r="N410" s="4"/>
      <c r="O410" s="4"/>
      <c r="P410" s="4"/>
      <c r="Q410" s="4"/>
      <c r="R410" s="4"/>
      <c r="S410" s="4"/>
      <c r="T410" s="4"/>
      <c r="U410" s="4"/>
    </row>
    <row r="411" spans="1:21">
      <c r="A411" t="s">
        <v>225</v>
      </c>
      <c r="B411">
        <v>14</v>
      </c>
      <c r="C411" t="str">
        <f t="shared" si="53"/>
        <v>test.ImageData_14_</v>
      </c>
      <c r="D411">
        <v>4</v>
      </c>
      <c r="E411" s="4">
        <v>0.39770354906054278</v>
      </c>
      <c r="F411" s="4">
        <v>0.45627675373460297</v>
      </c>
      <c r="G411" s="4" t="str">
        <f t="shared" si="54"/>
        <v/>
      </c>
      <c r="H411" s="4" t="str">
        <f t="shared" si="55"/>
        <v/>
      </c>
      <c r="I411" s="4">
        <f t="shared" si="56"/>
        <v>0.39770354906054278</v>
      </c>
      <c r="J411" s="4" t="str">
        <f t="shared" si="57"/>
        <v/>
      </c>
      <c r="K411" s="4" t="str">
        <f t="shared" si="58"/>
        <v/>
      </c>
      <c r="L411" s="4" t="str">
        <f t="shared" si="59"/>
        <v/>
      </c>
      <c r="M411" s="4"/>
      <c r="N411" s="4"/>
      <c r="O411" s="4"/>
      <c r="P411" s="4"/>
      <c r="Q411" s="4"/>
      <c r="R411" s="4"/>
      <c r="S411" s="4"/>
      <c r="T411" s="4"/>
      <c r="U411" s="4"/>
    </row>
    <row r="412" spans="1:21">
      <c r="A412" t="s">
        <v>225</v>
      </c>
      <c r="B412">
        <v>14</v>
      </c>
      <c r="C412" t="str">
        <f t="shared" si="53"/>
        <v>test.ImageData_14_</v>
      </c>
      <c r="D412">
        <v>5</v>
      </c>
      <c r="E412" s="4">
        <v>0.39979123173277664</v>
      </c>
      <c r="F412" s="4">
        <v>0.45711540141521795</v>
      </c>
      <c r="G412" s="4" t="str">
        <f t="shared" si="54"/>
        <v/>
      </c>
      <c r="H412" s="4" t="str">
        <f t="shared" si="55"/>
        <v/>
      </c>
      <c r="I412" s="4">
        <f t="shared" si="56"/>
        <v>0.39979123173277664</v>
      </c>
      <c r="J412" s="4" t="str">
        <f t="shared" si="57"/>
        <v/>
      </c>
      <c r="K412" s="4" t="str">
        <f t="shared" si="58"/>
        <v/>
      </c>
      <c r="L412" s="4" t="str">
        <f t="shared" si="59"/>
        <v/>
      </c>
      <c r="M412" s="4"/>
      <c r="N412" s="4"/>
      <c r="O412" s="4"/>
      <c r="P412" s="4"/>
      <c r="Q412" s="4"/>
      <c r="R412" s="4"/>
      <c r="S412" s="4"/>
      <c r="T412" s="4"/>
      <c r="U412" s="4"/>
    </row>
    <row r="413" spans="1:21">
      <c r="A413" t="s">
        <v>225</v>
      </c>
      <c r="B413">
        <v>14</v>
      </c>
      <c r="C413" t="str">
        <f t="shared" si="53"/>
        <v>test.ImageData_14_</v>
      </c>
      <c r="D413">
        <v>6</v>
      </c>
      <c r="E413" s="4">
        <v>0.58663883089770352</v>
      </c>
      <c r="F413" s="4">
        <v>0.46613086398182929</v>
      </c>
      <c r="G413" s="4" t="str">
        <f t="shared" si="54"/>
        <v/>
      </c>
      <c r="H413" s="4" t="str">
        <f t="shared" si="55"/>
        <v/>
      </c>
      <c r="I413" s="4">
        <f t="shared" si="56"/>
        <v>0.58663883089770352</v>
      </c>
      <c r="J413" s="4" t="str">
        <f t="shared" si="57"/>
        <v/>
      </c>
      <c r="K413" s="4" t="str">
        <f t="shared" si="58"/>
        <v/>
      </c>
      <c r="L413" s="4" t="str">
        <f t="shared" si="59"/>
        <v/>
      </c>
      <c r="M413" s="4"/>
      <c r="N413" s="4"/>
      <c r="O413" s="4"/>
      <c r="P413" s="4"/>
      <c r="Q413" s="4"/>
      <c r="R413" s="4"/>
      <c r="S413" s="4"/>
      <c r="T413" s="4"/>
      <c r="U413" s="4"/>
    </row>
    <row r="414" spans="1:21">
      <c r="A414" t="s">
        <v>225</v>
      </c>
      <c r="B414">
        <v>14</v>
      </c>
      <c r="C414" t="str">
        <f t="shared" si="53"/>
        <v>test.ImageData_14_</v>
      </c>
      <c r="D414">
        <v>7</v>
      </c>
      <c r="E414" s="4">
        <v>0.58872651356993733</v>
      </c>
      <c r="F414" s="4">
        <v>0.46821001135668733</v>
      </c>
      <c r="G414" s="4" t="str">
        <f t="shared" si="54"/>
        <v/>
      </c>
      <c r="H414" s="4" t="str">
        <f t="shared" si="55"/>
        <v/>
      </c>
      <c r="I414" s="4">
        <f t="shared" si="56"/>
        <v>0.58872651356993733</v>
      </c>
      <c r="J414" s="4" t="str">
        <f t="shared" si="57"/>
        <v/>
      </c>
      <c r="K414" s="4" t="str">
        <f t="shared" si="58"/>
        <v/>
      </c>
      <c r="L414" s="4" t="str">
        <f t="shared" si="59"/>
        <v/>
      </c>
      <c r="M414" s="4"/>
      <c r="N414" s="4"/>
      <c r="O414" s="4"/>
      <c r="P414" s="4"/>
      <c r="Q414" s="4"/>
      <c r="R414" s="4"/>
      <c r="S414" s="4"/>
      <c r="T414" s="4"/>
      <c r="U414" s="4"/>
    </row>
    <row r="415" spans="1:21">
      <c r="A415" t="s">
        <v>225</v>
      </c>
      <c r="B415">
        <v>14</v>
      </c>
      <c r="C415" t="str">
        <f t="shared" si="53"/>
        <v>test.ImageData_14_</v>
      </c>
      <c r="D415">
        <v>8</v>
      </c>
      <c r="E415" s="4">
        <v>0.58872651356993733</v>
      </c>
      <c r="F415" s="4">
        <v>0.46843714510352058</v>
      </c>
      <c r="G415" s="4" t="str">
        <f t="shared" si="54"/>
        <v/>
      </c>
      <c r="H415" s="4" t="str">
        <f t="shared" si="55"/>
        <v/>
      </c>
      <c r="I415" s="4">
        <f t="shared" si="56"/>
        <v>0.58872651356993733</v>
      </c>
      <c r="J415" s="4" t="str">
        <f t="shared" si="57"/>
        <v/>
      </c>
      <c r="K415" s="4" t="str">
        <f t="shared" si="58"/>
        <v/>
      </c>
      <c r="L415" s="4" t="str">
        <f t="shared" si="59"/>
        <v/>
      </c>
      <c r="M415" s="4"/>
      <c r="N415" s="4"/>
      <c r="O415" s="4"/>
      <c r="P415" s="4"/>
      <c r="Q415" s="4"/>
      <c r="R415" s="4"/>
      <c r="S415" s="4"/>
      <c r="T415" s="4"/>
      <c r="U415" s="4"/>
    </row>
    <row r="416" spans="1:21">
      <c r="A416" t="s">
        <v>225</v>
      </c>
      <c r="B416">
        <v>14</v>
      </c>
      <c r="C416" t="str">
        <f t="shared" si="53"/>
        <v>test.ImageData_14_</v>
      </c>
      <c r="D416">
        <v>9</v>
      </c>
      <c r="E416" s="4">
        <v>0.58872651356993733</v>
      </c>
      <c r="F416" s="4">
        <v>0.47067353891849395</v>
      </c>
      <c r="G416" s="4" t="str">
        <f t="shared" si="54"/>
        <v/>
      </c>
      <c r="H416" s="4" t="str">
        <f t="shared" si="55"/>
        <v/>
      </c>
      <c r="I416" s="4">
        <f t="shared" si="56"/>
        <v>0.58872651356993733</v>
      </c>
      <c r="J416" s="4" t="str">
        <f t="shared" si="57"/>
        <v/>
      </c>
      <c r="K416" s="4" t="str">
        <f t="shared" si="58"/>
        <v/>
      </c>
      <c r="L416" s="4" t="str">
        <f t="shared" si="59"/>
        <v/>
      </c>
      <c r="M416" s="4"/>
      <c r="N416" s="4"/>
      <c r="O416" s="4"/>
      <c r="P416" s="4"/>
      <c r="Q416" s="4"/>
      <c r="R416" s="4"/>
      <c r="S416" s="4"/>
      <c r="T416" s="4"/>
      <c r="U416" s="4"/>
    </row>
    <row r="417" spans="1:21">
      <c r="A417" t="s">
        <v>225</v>
      </c>
      <c r="B417">
        <v>14</v>
      </c>
      <c r="C417" t="str">
        <f t="shared" si="53"/>
        <v>test.ImageData_14_</v>
      </c>
      <c r="D417">
        <v>10</v>
      </c>
      <c r="E417" s="4">
        <v>0.9989561586638831</v>
      </c>
      <c r="F417" s="4">
        <v>0.7835590110946099</v>
      </c>
      <c r="G417" s="4" t="str">
        <f t="shared" si="54"/>
        <v/>
      </c>
      <c r="H417" s="4" t="str">
        <f t="shared" si="55"/>
        <v/>
      </c>
      <c r="I417" s="4" t="str">
        <f t="shared" si="56"/>
        <v/>
      </c>
      <c r="J417" s="4">
        <f t="shared" si="57"/>
        <v>0.9989561586638831</v>
      </c>
      <c r="K417" s="4" t="str">
        <f t="shared" si="58"/>
        <v/>
      </c>
      <c r="L417" s="4" t="str">
        <f t="shared" si="59"/>
        <v/>
      </c>
      <c r="M417" s="4"/>
      <c r="N417" s="4"/>
      <c r="O417" s="4"/>
      <c r="P417" s="4"/>
      <c r="Q417" s="4"/>
      <c r="R417" s="4"/>
      <c r="S417" s="4"/>
      <c r="T417" s="4"/>
      <c r="U417" s="4"/>
    </row>
    <row r="418" spans="1:21">
      <c r="A418" t="s">
        <v>225</v>
      </c>
      <c r="B418">
        <v>14</v>
      </c>
      <c r="C418" t="str">
        <f t="shared" si="53"/>
        <v>test.ImageData_14_</v>
      </c>
      <c r="D418">
        <v>11</v>
      </c>
      <c r="E418" s="4">
        <v>1</v>
      </c>
      <c r="F418" s="4">
        <v>0.79348300864855426</v>
      </c>
      <c r="G418" s="4" t="str">
        <f t="shared" si="54"/>
        <v/>
      </c>
      <c r="H418" s="4" t="str">
        <f t="shared" si="55"/>
        <v/>
      </c>
      <c r="I418" s="4" t="str">
        <f t="shared" si="56"/>
        <v/>
      </c>
      <c r="J418" s="4">
        <f t="shared" si="57"/>
        <v>1</v>
      </c>
      <c r="K418" s="4" t="str">
        <f t="shared" si="58"/>
        <v/>
      </c>
      <c r="L418" s="4" t="str">
        <f t="shared" si="59"/>
        <v/>
      </c>
      <c r="M418" s="4"/>
      <c r="N418" s="4"/>
      <c r="O418" s="4"/>
      <c r="P418" s="4"/>
      <c r="Q418" s="4"/>
      <c r="R418" s="4"/>
      <c r="S418" s="4"/>
      <c r="T418" s="4"/>
      <c r="U418" s="4"/>
    </row>
    <row r="419" spans="1:21">
      <c r="A419" t="s">
        <v>225</v>
      </c>
      <c r="B419">
        <v>15</v>
      </c>
      <c r="C419" t="str">
        <f t="shared" si="53"/>
        <v>test.ImageData_15_</v>
      </c>
      <c r="D419">
        <v>1</v>
      </c>
      <c r="E419" s="4">
        <v>2.1008403361344537E-3</v>
      </c>
      <c r="F419" s="4">
        <v>5.5763972785655244E-2</v>
      </c>
      <c r="G419" s="4">
        <f t="shared" si="54"/>
        <v>2.1008403361344537E-3</v>
      </c>
      <c r="H419" s="4" t="str">
        <f t="shared" si="55"/>
        <v/>
      </c>
      <c r="I419" s="4" t="str">
        <f t="shared" si="56"/>
        <v/>
      </c>
      <c r="J419" s="4" t="str">
        <f t="shared" si="57"/>
        <v/>
      </c>
      <c r="K419" s="4" t="str">
        <f t="shared" si="58"/>
        <v/>
      </c>
      <c r="L419" s="4" t="str">
        <f t="shared" si="59"/>
        <v/>
      </c>
      <c r="M419" s="4"/>
      <c r="N419" s="4"/>
      <c r="O419" s="4"/>
      <c r="P419" s="4"/>
      <c r="Q419" s="4"/>
      <c r="R419" s="4"/>
      <c r="S419" s="4"/>
      <c r="T419" s="4"/>
      <c r="U419" s="4"/>
    </row>
    <row r="420" spans="1:21">
      <c r="A420" t="s">
        <v>225</v>
      </c>
      <c r="B420">
        <v>15</v>
      </c>
      <c r="C420" t="str">
        <f t="shared" si="53"/>
        <v>test.ImageData_15_</v>
      </c>
      <c r="D420">
        <v>2</v>
      </c>
      <c r="E420" s="4">
        <v>6.3025210084033615E-3</v>
      </c>
      <c r="F420" s="4">
        <v>5.7162840974120936E-2</v>
      </c>
      <c r="G420" s="4">
        <f t="shared" si="54"/>
        <v>6.3025210084033615E-3</v>
      </c>
      <c r="H420" s="4" t="str">
        <f t="shared" si="55"/>
        <v/>
      </c>
      <c r="I420" s="4" t="str">
        <f t="shared" si="56"/>
        <v/>
      </c>
      <c r="J420" s="4" t="str">
        <f t="shared" si="57"/>
        <v/>
      </c>
      <c r="K420" s="4" t="str">
        <f t="shared" si="58"/>
        <v/>
      </c>
      <c r="L420" s="4" t="str">
        <f t="shared" si="59"/>
        <v/>
      </c>
      <c r="M420" s="4"/>
      <c r="N420" s="4"/>
      <c r="O420" s="4"/>
      <c r="P420" s="4"/>
      <c r="Q420" s="4"/>
      <c r="R420" s="4"/>
      <c r="S420" s="4"/>
      <c r="T420" s="4"/>
      <c r="U420" s="4"/>
    </row>
    <row r="421" spans="1:21">
      <c r="A421" t="s">
        <v>225</v>
      </c>
      <c r="B421">
        <v>15</v>
      </c>
      <c r="C421" t="str">
        <f t="shared" si="53"/>
        <v>test.ImageData_15_</v>
      </c>
      <c r="D421">
        <v>3</v>
      </c>
      <c r="E421" s="4">
        <v>1.050420168067227E-2</v>
      </c>
      <c r="F421" s="4">
        <v>6.0278501939339986E-2</v>
      </c>
      <c r="G421" s="4">
        <f t="shared" si="54"/>
        <v>1.050420168067227E-2</v>
      </c>
      <c r="H421" s="4" t="str">
        <f t="shared" si="55"/>
        <v/>
      </c>
      <c r="I421" s="4" t="str">
        <f t="shared" si="56"/>
        <v/>
      </c>
      <c r="J421" s="4" t="str">
        <f t="shared" si="57"/>
        <v/>
      </c>
      <c r="K421" s="4" t="str">
        <f t="shared" si="58"/>
        <v/>
      </c>
      <c r="L421" s="4" t="str">
        <f t="shared" si="59"/>
        <v/>
      </c>
      <c r="M421" s="4"/>
      <c r="N421" s="4"/>
      <c r="O421" s="4"/>
      <c r="P421" s="4"/>
      <c r="Q421" s="4"/>
      <c r="R421" s="4"/>
      <c r="S421" s="4"/>
      <c r="T421" s="4"/>
      <c r="U421" s="4"/>
    </row>
    <row r="422" spans="1:21">
      <c r="A422" t="s">
        <v>225</v>
      </c>
      <c r="B422">
        <v>15</v>
      </c>
      <c r="C422" t="str">
        <f t="shared" si="53"/>
        <v>test.ImageData_15_</v>
      </c>
      <c r="D422">
        <v>4</v>
      </c>
      <c r="E422" s="4">
        <v>1</v>
      </c>
      <c r="F422" s="4">
        <v>1.0167228333439309</v>
      </c>
      <c r="G422" s="4" t="str">
        <f t="shared" si="54"/>
        <v/>
      </c>
      <c r="H422" s="4" t="str">
        <f t="shared" si="55"/>
        <v/>
      </c>
      <c r="I422" s="4" t="str">
        <f t="shared" si="56"/>
        <v/>
      </c>
      <c r="J422" s="4" t="str">
        <f t="shared" si="57"/>
        <v/>
      </c>
      <c r="K422" s="4">
        <f t="shared" si="58"/>
        <v>1</v>
      </c>
      <c r="L422" s="4" t="str">
        <f t="shared" si="59"/>
        <v/>
      </c>
      <c r="M422" s="4"/>
      <c r="N422" s="4"/>
      <c r="O422" s="4"/>
      <c r="P422" s="4"/>
      <c r="Q422" s="4"/>
      <c r="R422" s="4"/>
      <c r="S422" s="4"/>
      <c r="T422" s="4"/>
      <c r="U422" s="4"/>
    </row>
    <row r="423" spans="1:21">
      <c r="A423" t="s">
        <v>225</v>
      </c>
      <c r="B423">
        <v>16</v>
      </c>
      <c r="C423" t="str">
        <f t="shared" si="53"/>
        <v>test.ImageData_16_</v>
      </c>
      <c r="D423">
        <v>1</v>
      </c>
      <c r="E423" s="4">
        <v>1.6474464579901153E-3</v>
      </c>
      <c r="F423" s="4">
        <v>3.3688493500224133E-2</v>
      </c>
      <c r="G423" s="4">
        <f t="shared" si="54"/>
        <v>1.6474464579901153E-3</v>
      </c>
      <c r="H423" s="4" t="str">
        <f t="shared" si="55"/>
        <v/>
      </c>
      <c r="I423" s="4" t="str">
        <f t="shared" si="56"/>
        <v/>
      </c>
      <c r="J423" s="4" t="str">
        <f t="shared" si="57"/>
        <v/>
      </c>
      <c r="K423" s="4" t="str">
        <f t="shared" si="58"/>
        <v/>
      </c>
      <c r="L423" s="4" t="str">
        <f t="shared" si="59"/>
        <v/>
      </c>
      <c r="M423" s="4"/>
      <c r="N423" s="4"/>
      <c r="O423" s="4"/>
      <c r="P423" s="4"/>
      <c r="Q423" s="4"/>
      <c r="R423" s="4"/>
      <c r="S423" s="4"/>
      <c r="T423" s="4"/>
      <c r="U423" s="4"/>
    </row>
    <row r="424" spans="1:21">
      <c r="A424" t="s">
        <v>225</v>
      </c>
      <c r="B424">
        <v>16</v>
      </c>
      <c r="C424" t="str">
        <f t="shared" si="53"/>
        <v>test.ImageData_16_</v>
      </c>
      <c r="D424">
        <v>2</v>
      </c>
      <c r="E424" s="4">
        <v>4.9423393739703456E-3</v>
      </c>
      <c r="F424" s="4">
        <v>3.661942691631323E-2</v>
      </c>
      <c r="G424" s="4">
        <f t="shared" si="54"/>
        <v>4.9423393739703456E-3</v>
      </c>
      <c r="H424" s="4" t="str">
        <f t="shared" si="55"/>
        <v/>
      </c>
      <c r="I424" s="4" t="str">
        <f t="shared" si="56"/>
        <v/>
      </c>
      <c r="J424" s="4" t="str">
        <f t="shared" si="57"/>
        <v/>
      </c>
      <c r="K424" s="4" t="str">
        <f t="shared" si="58"/>
        <v/>
      </c>
      <c r="L424" s="4" t="str">
        <f t="shared" si="59"/>
        <v/>
      </c>
      <c r="M424" s="4"/>
      <c r="N424" s="4"/>
      <c r="O424" s="4"/>
      <c r="P424" s="4"/>
      <c r="Q424" s="4"/>
      <c r="R424" s="4"/>
      <c r="S424" s="4"/>
      <c r="T424" s="4"/>
      <c r="U424" s="4"/>
    </row>
    <row r="425" spans="1:21">
      <c r="A425" t="s">
        <v>225</v>
      </c>
      <c r="B425">
        <v>16</v>
      </c>
      <c r="C425" t="str">
        <f t="shared" si="53"/>
        <v>test.ImageData_16_</v>
      </c>
      <c r="D425">
        <v>3</v>
      </c>
      <c r="E425" s="4">
        <v>8.2372322899505763E-3</v>
      </c>
      <c r="F425" s="4">
        <v>3.8826247370780317E-2</v>
      </c>
      <c r="G425" s="4">
        <f t="shared" si="54"/>
        <v>8.2372322899505763E-3</v>
      </c>
      <c r="H425" s="4" t="str">
        <f t="shared" si="55"/>
        <v/>
      </c>
      <c r="I425" s="4" t="str">
        <f t="shared" si="56"/>
        <v/>
      </c>
      <c r="J425" s="4" t="str">
        <f t="shared" si="57"/>
        <v/>
      </c>
      <c r="K425" s="4" t="str">
        <f t="shared" si="58"/>
        <v/>
      </c>
      <c r="L425" s="4" t="str">
        <f t="shared" si="59"/>
        <v/>
      </c>
      <c r="M425" s="4"/>
      <c r="N425" s="4"/>
      <c r="O425" s="4"/>
      <c r="P425" s="4"/>
      <c r="Q425" s="4"/>
      <c r="R425" s="4"/>
      <c r="S425" s="4"/>
      <c r="T425" s="4"/>
      <c r="U425" s="4"/>
    </row>
    <row r="426" spans="1:21">
      <c r="A426" t="s">
        <v>225</v>
      </c>
      <c r="B426">
        <v>16</v>
      </c>
      <c r="C426" t="str">
        <f t="shared" si="53"/>
        <v>test.ImageData_16_</v>
      </c>
      <c r="D426">
        <v>4</v>
      </c>
      <c r="E426" s="4">
        <v>1</v>
      </c>
      <c r="F426" s="4">
        <v>0.99958622116478746</v>
      </c>
      <c r="G426" s="4" t="str">
        <f t="shared" si="54"/>
        <v/>
      </c>
      <c r="H426" s="4" t="str">
        <f t="shared" si="55"/>
        <v/>
      </c>
      <c r="I426" s="4" t="str">
        <f t="shared" si="56"/>
        <v/>
      </c>
      <c r="J426" s="4" t="str">
        <f t="shared" si="57"/>
        <v/>
      </c>
      <c r="K426" s="4">
        <f t="shared" si="58"/>
        <v>1</v>
      </c>
      <c r="L426" s="4" t="str">
        <f t="shared" si="59"/>
        <v/>
      </c>
      <c r="M426" s="4"/>
      <c r="N426" s="4"/>
      <c r="O426" s="4"/>
      <c r="P426" s="4"/>
      <c r="Q426" s="4"/>
      <c r="R426" s="4"/>
      <c r="S426" s="4"/>
      <c r="T426" s="4"/>
      <c r="U426" s="4"/>
    </row>
    <row r="427" spans="1:21">
      <c r="A427" t="s">
        <v>225</v>
      </c>
      <c r="B427">
        <v>20</v>
      </c>
      <c r="C427" t="str">
        <f t="shared" si="53"/>
        <v>test.ImageData_20_</v>
      </c>
      <c r="D427">
        <v>1</v>
      </c>
      <c r="E427" s="4">
        <v>0.59259259259259256</v>
      </c>
      <c r="F427" s="4">
        <v>0.5429178040643009</v>
      </c>
      <c r="G427" s="4" t="str">
        <f t="shared" si="54"/>
        <v/>
      </c>
      <c r="H427" s="4" t="str">
        <f t="shared" si="55"/>
        <v/>
      </c>
      <c r="I427" s="4">
        <f t="shared" si="56"/>
        <v>0.59259259259259256</v>
      </c>
      <c r="J427" s="4" t="str">
        <f t="shared" si="57"/>
        <v/>
      </c>
      <c r="K427" s="4" t="str">
        <f t="shared" si="58"/>
        <v/>
      </c>
      <c r="L427" s="4" t="str">
        <f t="shared" si="59"/>
        <v/>
      </c>
      <c r="M427" s="4"/>
      <c r="N427" s="4"/>
      <c r="O427" s="4"/>
      <c r="P427" s="4"/>
      <c r="Q427" s="4"/>
      <c r="R427" s="4"/>
      <c r="S427" s="4"/>
      <c r="T427" s="4"/>
      <c r="U427" s="4"/>
    </row>
    <row r="428" spans="1:21">
      <c r="A428" t="s">
        <v>225</v>
      </c>
      <c r="B428">
        <v>20</v>
      </c>
      <c r="C428" t="str">
        <f t="shared" si="53"/>
        <v>test.ImageData_20_</v>
      </c>
      <c r="D428">
        <v>2</v>
      </c>
      <c r="E428" s="4">
        <v>1</v>
      </c>
      <c r="F428" s="4">
        <v>0.55444343342432512</v>
      </c>
      <c r="G428" s="4" t="str">
        <f t="shared" si="54"/>
        <v/>
      </c>
      <c r="H428" s="4" t="str">
        <f t="shared" si="55"/>
        <v/>
      </c>
      <c r="I428" s="4">
        <f t="shared" si="56"/>
        <v>1</v>
      </c>
      <c r="J428" s="4" t="str">
        <f t="shared" si="57"/>
        <v/>
      </c>
      <c r="K428" s="4" t="str">
        <f t="shared" si="58"/>
        <v/>
      </c>
      <c r="L428" s="4" t="str">
        <f t="shared" si="59"/>
        <v/>
      </c>
      <c r="M428" s="4"/>
      <c r="N428" s="4"/>
      <c r="O428" s="4"/>
      <c r="P428" s="4"/>
      <c r="Q428" s="4"/>
      <c r="R428" s="4"/>
      <c r="S428" s="4"/>
      <c r="T428" s="4"/>
      <c r="U428" s="4"/>
    </row>
    <row r="429" spans="1:21">
      <c r="A429" t="s">
        <v>225</v>
      </c>
      <c r="B429">
        <v>21</v>
      </c>
      <c r="C429" t="str">
        <f t="shared" si="53"/>
        <v>test.ImageData_21_</v>
      </c>
      <c r="D429">
        <v>1</v>
      </c>
      <c r="E429" s="4">
        <v>0.54385964912280704</v>
      </c>
      <c r="F429" s="4">
        <v>0.51061746987951806</v>
      </c>
      <c r="G429" s="4" t="str">
        <f t="shared" si="54"/>
        <v/>
      </c>
      <c r="H429" s="4" t="str">
        <f t="shared" si="55"/>
        <v/>
      </c>
      <c r="I429" s="4">
        <f t="shared" si="56"/>
        <v>0.54385964912280704</v>
      </c>
      <c r="J429" s="4" t="str">
        <f t="shared" si="57"/>
        <v/>
      </c>
      <c r="K429" s="4" t="str">
        <f t="shared" si="58"/>
        <v/>
      </c>
      <c r="L429" s="4" t="str">
        <f t="shared" si="59"/>
        <v/>
      </c>
      <c r="M429" s="4"/>
      <c r="N429" s="4"/>
      <c r="O429" s="4"/>
      <c r="P429" s="4"/>
      <c r="Q429" s="4"/>
      <c r="R429" s="4"/>
      <c r="S429" s="4"/>
      <c r="T429" s="4"/>
      <c r="U429" s="4"/>
    </row>
    <row r="430" spans="1:21">
      <c r="A430" t="s">
        <v>225</v>
      </c>
      <c r="B430">
        <v>21</v>
      </c>
      <c r="C430" t="str">
        <f t="shared" si="53"/>
        <v>test.ImageData_21_</v>
      </c>
      <c r="D430">
        <v>2</v>
      </c>
      <c r="E430" s="4">
        <v>1</v>
      </c>
      <c r="F430" s="4">
        <v>0.51762048192771082</v>
      </c>
      <c r="G430" s="4" t="str">
        <f t="shared" si="54"/>
        <v/>
      </c>
      <c r="H430" s="4" t="str">
        <f t="shared" si="55"/>
        <v/>
      </c>
      <c r="I430" s="4">
        <f t="shared" si="56"/>
        <v>1</v>
      </c>
      <c r="J430" s="4" t="str">
        <f t="shared" si="57"/>
        <v/>
      </c>
      <c r="K430" s="4" t="str">
        <f t="shared" si="58"/>
        <v/>
      </c>
      <c r="L430" s="4" t="str">
        <f t="shared" si="59"/>
        <v/>
      </c>
      <c r="M430" s="4"/>
      <c r="N430" s="4"/>
      <c r="O430" s="4"/>
      <c r="P430" s="4"/>
      <c r="Q430" s="4"/>
      <c r="R430" s="4"/>
      <c r="S430" s="4"/>
      <c r="T430" s="4"/>
      <c r="U430" s="4"/>
    </row>
    <row r="431" spans="1:21">
      <c r="A431" t="s">
        <v>227</v>
      </c>
      <c r="B431">
        <v>0</v>
      </c>
      <c r="C431" t="str">
        <f t="shared" si="53"/>
        <v>test.QRCodeDataBlockReader_0_</v>
      </c>
      <c r="D431">
        <v>1</v>
      </c>
      <c r="E431" s="4">
        <v>0.1</v>
      </c>
      <c r="F431" s="4">
        <v>0.41326530612244899</v>
      </c>
      <c r="G431" s="4" t="str">
        <f t="shared" si="54"/>
        <v/>
      </c>
      <c r="H431" s="4" t="str">
        <f t="shared" si="55"/>
        <v/>
      </c>
      <c r="I431" s="4">
        <f t="shared" si="56"/>
        <v>0.1</v>
      </c>
      <c r="J431" s="4" t="str">
        <f t="shared" si="57"/>
        <v/>
      </c>
      <c r="K431" s="4" t="str">
        <f t="shared" si="58"/>
        <v/>
      </c>
      <c r="L431" s="4" t="str">
        <f t="shared" si="59"/>
        <v/>
      </c>
      <c r="M431" s="4"/>
      <c r="N431" s="4"/>
      <c r="O431" s="4"/>
      <c r="P431" s="4"/>
      <c r="Q431" s="4"/>
      <c r="R431" s="4"/>
      <c r="S431" s="4"/>
      <c r="T431" s="4"/>
      <c r="U431" s="4"/>
    </row>
    <row r="432" spans="1:21">
      <c r="A432" t="s">
        <v>227</v>
      </c>
      <c r="B432">
        <v>0</v>
      </c>
      <c r="C432" t="str">
        <f t="shared" si="53"/>
        <v>test.QRCodeDataBlockReader_0_</v>
      </c>
      <c r="D432">
        <v>2</v>
      </c>
      <c r="E432" s="4">
        <v>0.4</v>
      </c>
      <c r="F432" s="4">
        <v>0.63265306122448983</v>
      </c>
      <c r="G432" s="4" t="str">
        <f t="shared" si="54"/>
        <v/>
      </c>
      <c r="H432" s="4" t="str">
        <f t="shared" si="55"/>
        <v/>
      </c>
      <c r="I432" s="4" t="str">
        <f t="shared" si="56"/>
        <v/>
      </c>
      <c r="J432" s="4">
        <f t="shared" si="57"/>
        <v>0.4</v>
      </c>
      <c r="K432" s="4" t="str">
        <f t="shared" si="58"/>
        <v/>
      </c>
      <c r="L432" s="4" t="str">
        <f t="shared" si="59"/>
        <v/>
      </c>
      <c r="M432" s="4"/>
      <c r="N432" s="4"/>
      <c r="O432" s="4"/>
      <c r="P432" s="4"/>
      <c r="Q432" s="4"/>
      <c r="R432" s="4"/>
      <c r="S432" s="4"/>
      <c r="T432" s="4"/>
      <c r="U432" s="4"/>
    </row>
    <row r="433" spans="1:21">
      <c r="A433" t="s">
        <v>227</v>
      </c>
      <c r="B433">
        <v>0</v>
      </c>
      <c r="C433" t="str">
        <f t="shared" si="53"/>
        <v>test.QRCodeDataBlockReader_0_</v>
      </c>
      <c r="D433">
        <v>3</v>
      </c>
      <c r="E433" s="4">
        <v>0.6</v>
      </c>
      <c r="F433" s="4">
        <v>0.69897959183673475</v>
      </c>
      <c r="G433" s="4" t="str">
        <f t="shared" si="54"/>
        <v/>
      </c>
      <c r="H433" s="4" t="str">
        <f t="shared" si="55"/>
        <v/>
      </c>
      <c r="I433" s="4" t="str">
        <f t="shared" si="56"/>
        <v/>
      </c>
      <c r="J433" s="4">
        <f t="shared" si="57"/>
        <v>0.6</v>
      </c>
      <c r="K433" s="4" t="str">
        <f t="shared" si="58"/>
        <v/>
      </c>
      <c r="L433" s="4" t="str">
        <f t="shared" si="59"/>
        <v/>
      </c>
      <c r="M433" s="4"/>
      <c r="N433" s="4"/>
      <c r="O433" s="4"/>
      <c r="P433" s="4"/>
      <c r="Q433" s="4"/>
      <c r="R433" s="4"/>
      <c r="S433" s="4"/>
      <c r="T433" s="4"/>
      <c r="U433" s="4"/>
    </row>
    <row r="434" spans="1:21">
      <c r="A434" t="s">
        <v>227</v>
      </c>
      <c r="B434">
        <v>0</v>
      </c>
      <c r="C434" t="str">
        <f t="shared" si="53"/>
        <v>test.QRCodeDataBlockReader_0_</v>
      </c>
      <c r="D434">
        <v>4</v>
      </c>
      <c r="E434" s="4">
        <v>1</v>
      </c>
      <c r="F434" s="4">
        <v>1.0051020408163265</v>
      </c>
      <c r="G434" s="4" t="str">
        <f t="shared" si="54"/>
        <v/>
      </c>
      <c r="H434" s="4" t="str">
        <f t="shared" si="55"/>
        <v/>
      </c>
      <c r="I434" s="4" t="str">
        <f t="shared" si="56"/>
        <v/>
      </c>
      <c r="J434" s="4" t="str">
        <f t="shared" si="57"/>
        <v/>
      </c>
      <c r="K434" s="4">
        <f t="shared" si="58"/>
        <v>1</v>
      </c>
      <c r="L434" s="4" t="str">
        <f t="shared" si="59"/>
        <v/>
      </c>
      <c r="M434" s="4"/>
      <c r="N434" s="4"/>
      <c r="O434" s="4"/>
      <c r="P434" s="4"/>
      <c r="Q434" s="4"/>
      <c r="R434" s="4"/>
      <c r="S434" s="4"/>
      <c r="T434" s="4"/>
      <c r="U434" s="4"/>
    </row>
    <row r="435" spans="1:21">
      <c r="A435" t="s">
        <v>227</v>
      </c>
      <c r="B435">
        <v>1</v>
      </c>
      <c r="C435" t="str">
        <f t="shared" si="53"/>
        <v>test.QRCodeDataBlockReader_1_</v>
      </c>
      <c r="D435">
        <v>1</v>
      </c>
      <c r="E435" s="4">
        <v>9.7345132743362831E-2</v>
      </c>
      <c r="F435" s="4">
        <v>8.1902552204176332E-2</v>
      </c>
      <c r="G435" s="4">
        <f t="shared" si="54"/>
        <v>9.7345132743362831E-2</v>
      </c>
      <c r="H435" s="4" t="str">
        <f t="shared" si="55"/>
        <v/>
      </c>
      <c r="I435" s="4" t="str">
        <f t="shared" si="56"/>
        <v/>
      </c>
      <c r="J435" s="4" t="str">
        <f t="shared" si="57"/>
        <v/>
      </c>
      <c r="K435" s="4" t="str">
        <f t="shared" si="58"/>
        <v/>
      </c>
      <c r="L435" s="4" t="str">
        <f t="shared" si="59"/>
        <v/>
      </c>
      <c r="M435" s="4"/>
      <c r="N435" s="4"/>
      <c r="O435" s="4"/>
      <c r="P435" s="4"/>
      <c r="Q435" s="4"/>
      <c r="R435" s="4"/>
      <c r="S435" s="4"/>
      <c r="T435" s="4"/>
      <c r="U435" s="4"/>
    </row>
    <row r="436" spans="1:21">
      <c r="A436" t="s">
        <v>227</v>
      </c>
      <c r="B436">
        <v>1</v>
      </c>
      <c r="C436" t="str">
        <f t="shared" si="53"/>
        <v>test.QRCodeDataBlockReader_1_</v>
      </c>
      <c r="D436">
        <v>2</v>
      </c>
      <c r="E436" s="4">
        <v>0.26548672566371684</v>
      </c>
      <c r="F436" s="4">
        <v>0.2005800464037123</v>
      </c>
      <c r="G436" s="4" t="str">
        <f t="shared" si="54"/>
        <v/>
      </c>
      <c r="H436" s="4">
        <f t="shared" si="55"/>
        <v>0.26548672566371684</v>
      </c>
      <c r="I436" s="4" t="str">
        <f t="shared" si="56"/>
        <v/>
      </c>
      <c r="J436" s="4" t="str">
        <f t="shared" si="57"/>
        <v/>
      </c>
      <c r="K436" s="4" t="str">
        <f t="shared" si="58"/>
        <v/>
      </c>
      <c r="L436" s="4" t="str">
        <f t="shared" si="59"/>
        <v/>
      </c>
      <c r="M436" s="4"/>
      <c r="N436" s="4"/>
      <c r="O436" s="4"/>
      <c r="P436" s="4"/>
      <c r="Q436" s="4"/>
      <c r="R436" s="4"/>
      <c r="S436" s="4"/>
      <c r="T436" s="4"/>
      <c r="U436" s="4"/>
    </row>
    <row r="437" spans="1:21">
      <c r="A437" t="s">
        <v>227</v>
      </c>
      <c r="B437">
        <v>1</v>
      </c>
      <c r="C437" t="str">
        <f t="shared" si="53"/>
        <v>test.QRCodeDataBlockReader_1_</v>
      </c>
      <c r="D437">
        <v>3</v>
      </c>
      <c r="E437" s="4">
        <v>0.51327433628318586</v>
      </c>
      <c r="F437" s="4">
        <v>0.29025522041763341</v>
      </c>
      <c r="G437" s="4" t="str">
        <f t="shared" si="54"/>
        <v/>
      </c>
      <c r="H437" s="4">
        <f t="shared" si="55"/>
        <v>0.51327433628318586</v>
      </c>
      <c r="I437" s="4" t="str">
        <f t="shared" si="56"/>
        <v/>
      </c>
      <c r="J437" s="4" t="str">
        <f t="shared" si="57"/>
        <v/>
      </c>
      <c r="K437" s="4" t="str">
        <f t="shared" si="58"/>
        <v/>
      </c>
      <c r="L437" s="4" t="str">
        <f t="shared" si="59"/>
        <v/>
      </c>
      <c r="M437" s="4"/>
      <c r="N437" s="4"/>
      <c r="O437" s="4"/>
      <c r="P437" s="4"/>
      <c r="Q437" s="4"/>
      <c r="R437" s="4"/>
      <c r="S437" s="4"/>
      <c r="T437" s="4"/>
      <c r="U437" s="4"/>
    </row>
    <row r="438" spans="1:21">
      <c r="A438" t="s">
        <v>227</v>
      </c>
      <c r="B438">
        <v>1</v>
      </c>
      <c r="C438" t="str">
        <f t="shared" si="53"/>
        <v>test.QRCodeDataBlockReader_1_</v>
      </c>
      <c r="D438">
        <v>4</v>
      </c>
      <c r="E438" s="4">
        <v>1</v>
      </c>
      <c r="F438" s="4">
        <v>0.60510440835266821</v>
      </c>
      <c r="G438" s="4" t="str">
        <f t="shared" si="54"/>
        <v/>
      </c>
      <c r="H438" s="4" t="str">
        <f t="shared" si="55"/>
        <v/>
      </c>
      <c r="I438" s="4" t="str">
        <f t="shared" si="56"/>
        <v/>
      </c>
      <c r="J438" s="4">
        <f t="shared" si="57"/>
        <v>1</v>
      </c>
      <c r="K438" s="4" t="str">
        <f t="shared" si="58"/>
        <v/>
      </c>
      <c r="L438" s="4" t="str">
        <f t="shared" si="59"/>
        <v/>
      </c>
      <c r="M438" s="4"/>
      <c r="N438" s="4"/>
      <c r="O438" s="4"/>
      <c r="P438" s="4"/>
      <c r="Q438" s="4"/>
      <c r="R438" s="4"/>
      <c r="S438" s="4"/>
      <c r="T438" s="4"/>
      <c r="U438" s="4"/>
    </row>
    <row r="439" spans="1:21">
      <c r="A439" t="s">
        <v>228</v>
      </c>
      <c r="B439">
        <v>1</v>
      </c>
      <c r="C439" t="str">
        <f t="shared" si="53"/>
        <v>test.StructurePanel_1_</v>
      </c>
      <c r="D439">
        <v>1</v>
      </c>
      <c r="E439" s="4">
        <v>0.10638297872340426</v>
      </c>
      <c r="F439" s="4">
        <v>0.13227953410981697</v>
      </c>
      <c r="G439" s="4">
        <f t="shared" si="54"/>
        <v>0.10638297872340426</v>
      </c>
      <c r="H439" s="4" t="str">
        <f t="shared" si="55"/>
        <v/>
      </c>
      <c r="I439" s="4" t="str">
        <f t="shared" si="56"/>
        <v/>
      </c>
      <c r="J439" s="4" t="str">
        <f t="shared" si="57"/>
        <v/>
      </c>
      <c r="K439" s="4" t="str">
        <f t="shared" si="58"/>
        <v/>
      </c>
      <c r="L439" s="4" t="str">
        <f t="shared" si="59"/>
        <v/>
      </c>
      <c r="M439" s="4"/>
      <c r="N439" s="4"/>
      <c r="O439" s="4"/>
      <c r="P439" s="4"/>
      <c r="Q439" s="4"/>
      <c r="R439" s="4"/>
      <c r="S439" s="4"/>
      <c r="T439" s="4"/>
      <c r="U439" s="4"/>
    </row>
    <row r="440" spans="1:21">
      <c r="A440" t="s">
        <v>228</v>
      </c>
      <c r="B440">
        <v>1</v>
      </c>
      <c r="C440" t="str">
        <f t="shared" si="53"/>
        <v>test.StructurePanel_1_</v>
      </c>
      <c r="D440">
        <v>2</v>
      </c>
      <c r="E440" s="4">
        <v>0.18085106382978725</v>
      </c>
      <c r="F440" s="4">
        <v>0.13533000554631169</v>
      </c>
      <c r="G440" s="4">
        <f t="shared" si="54"/>
        <v>0.18085106382978725</v>
      </c>
      <c r="H440" s="4" t="str">
        <f t="shared" si="55"/>
        <v/>
      </c>
      <c r="I440" s="4" t="str">
        <f t="shared" si="56"/>
        <v/>
      </c>
      <c r="J440" s="4" t="str">
        <f t="shared" si="57"/>
        <v/>
      </c>
      <c r="K440" s="4" t="str">
        <f t="shared" si="58"/>
        <v/>
      </c>
      <c r="L440" s="4" t="str">
        <f t="shared" si="59"/>
        <v/>
      </c>
      <c r="M440" s="4"/>
      <c r="N440" s="4"/>
      <c r="O440" s="4"/>
      <c r="P440" s="4"/>
      <c r="Q440" s="4"/>
      <c r="R440" s="4"/>
      <c r="S440" s="4"/>
      <c r="T440" s="4"/>
      <c r="U440" s="4"/>
    </row>
    <row r="441" spans="1:21">
      <c r="A441" t="s">
        <v>228</v>
      </c>
      <c r="B441">
        <v>1</v>
      </c>
      <c r="C441" t="str">
        <f t="shared" si="53"/>
        <v>test.StructurePanel_1_</v>
      </c>
      <c r="D441">
        <v>3</v>
      </c>
      <c r="E441" s="4">
        <v>0.2978723404255319</v>
      </c>
      <c r="F441" s="4">
        <v>0.24181919023849141</v>
      </c>
      <c r="G441" s="4" t="str">
        <f t="shared" si="54"/>
        <v/>
      </c>
      <c r="H441" s="4">
        <f t="shared" si="55"/>
        <v>0.2978723404255319</v>
      </c>
      <c r="I441" s="4" t="str">
        <f t="shared" si="56"/>
        <v/>
      </c>
      <c r="J441" s="4" t="str">
        <f t="shared" si="57"/>
        <v/>
      </c>
      <c r="K441" s="4" t="str">
        <f t="shared" si="58"/>
        <v/>
      </c>
      <c r="L441" s="4" t="str">
        <f t="shared" si="59"/>
        <v/>
      </c>
      <c r="M441" s="4"/>
      <c r="N441" s="4"/>
      <c r="O441" s="4"/>
      <c r="P441" s="4"/>
      <c r="Q441" s="4"/>
      <c r="R441" s="4"/>
      <c r="S441" s="4"/>
      <c r="T441" s="4"/>
      <c r="U441" s="4"/>
    </row>
    <row r="442" spans="1:21">
      <c r="A442" t="s">
        <v>228</v>
      </c>
      <c r="B442">
        <v>1</v>
      </c>
      <c r="C442" t="str">
        <f t="shared" si="53"/>
        <v>test.StructurePanel_1_</v>
      </c>
      <c r="D442">
        <v>4</v>
      </c>
      <c r="E442" s="4">
        <v>0.43617021276595747</v>
      </c>
      <c r="F442" s="4">
        <v>0.24514697726012202</v>
      </c>
      <c r="G442" s="4" t="str">
        <f t="shared" si="54"/>
        <v/>
      </c>
      <c r="H442" s="4">
        <f t="shared" si="55"/>
        <v>0.43617021276595747</v>
      </c>
      <c r="I442" s="4" t="str">
        <f t="shared" si="56"/>
        <v/>
      </c>
      <c r="J442" s="4" t="str">
        <f t="shared" si="57"/>
        <v/>
      </c>
      <c r="K442" s="4" t="str">
        <f t="shared" si="58"/>
        <v/>
      </c>
      <c r="L442" s="4" t="str">
        <f t="shared" si="59"/>
        <v/>
      </c>
      <c r="M442" s="4"/>
      <c r="N442" s="4"/>
      <c r="O442" s="4"/>
      <c r="P442" s="4"/>
      <c r="Q442" s="4"/>
      <c r="R442" s="4"/>
      <c r="S442" s="4"/>
      <c r="T442" s="4"/>
      <c r="U442" s="4"/>
    </row>
    <row r="443" spans="1:21">
      <c r="A443" t="s">
        <v>228</v>
      </c>
      <c r="B443">
        <v>1</v>
      </c>
      <c r="C443" t="str">
        <f t="shared" si="53"/>
        <v>test.StructurePanel_1_</v>
      </c>
      <c r="D443">
        <v>5</v>
      </c>
      <c r="E443" s="4">
        <v>0.56382978723404253</v>
      </c>
      <c r="F443" s="4">
        <v>0.25291181364392679</v>
      </c>
      <c r="G443" s="4" t="str">
        <f t="shared" si="54"/>
        <v/>
      </c>
      <c r="H443" s="4">
        <f t="shared" si="55"/>
        <v>0.56382978723404253</v>
      </c>
      <c r="I443" s="4" t="str">
        <f t="shared" si="56"/>
        <v/>
      </c>
      <c r="J443" s="4" t="str">
        <f t="shared" si="57"/>
        <v/>
      </c>
      <c r="K443" s="4" t="str">
        <f t="shared" si="58"/>
        <v/>
      </c>
      <c r="L443" s="4" t="str">
        <f t="shared" si="59"/>
        <v/>
      </c>
      <c r="M443" s="4"/>
      <c r="N443" s="4"/>
      <c r="O443" s="4"/>
      <c r="P443" s="4"/>
      <c r="Q443" s="4"/>
      <c r="R443" s="4"/>
      <c r="S443" s="4"/>
      <c r="T443" s="4"/>
      <c r="U443" s="4"/>
    </row>
    <row r="444" spans="1:21">
      <c r="A444" t="s">
        <v>228</v>
      </c>
      <c r="B444">
        <v>1</v>
      </c>
      <c r="C444" t="str">
        <f t="shared" si="53"/>
        <v>test.StructurePanel_1_</v>
      </c>
      <c r="D444">
        <v>6</v>
      </c>
      <c r="E444" s="4">
        <v>0.69148936170212771</v>
      </c>
      <c r="F444" s="4">
        <v>0.25845812534664447</v>
      </c>
      <c r="G444" s="4" t="str">
        <f t="shared" si="54"/>
        <v/>
      </c>
      <c r="H444" s="4">
        <f t="shared" si="55"/>
        <v>0.69148936170212771</v>
      </c>
      <c r="I444" s="4" t="str">
        <f t="shared" si="56"/>
        <v/>
      </c>
      <c r="J444" s="4" t="str">
        <f t="shared" si="57"/>
        <v/>
      </c>
      <c r="K444" s="4" t="str">
        <f t="shared" si="58"/>
        <v/>
      </c>
      <c r="L444" s="4" t="str">
        <f t="shared" si="59"/>
        <v/>
      </c>
      <c r="M444" s="4"/>
      <c r="N444" s="4"/>
      <c r="O444" s="4"/>
      <c r="P444" s="4"/>
      <c r="Q444" s="4"/>
      <c r="R444" s="4"/>
      <c r="S444" s="4"/>
      <c r="T444" s="4"/>
      <c r="U444" s="4"/>
    </row>
    <row r="445" spans="1:21">
      <c r="A445" t="s">
        <v>228</v>
      </c>
      <c r="B445">
        <v>1</v>
      </c>
      <c r="C445" t="str">
        <f t="shared" si="53"/>
        <v>test.StructurePanel_1_</v>
      </c>
      <c r="D445">
        <v>7</v>
      </c>
      <c r="E445" s="4">
        <v>0.85106382978723405</v>
      </c>
      <c r="F445" s="4">
        <v>0.26428175263449805</v>
      </c>
      <c r="G445" s="4" t="str">
        <f t="shared" si="54"/>
        <v/>
      </c>
      <c r="H445" s="4">
        <f t="shared" si="55"/>
        <v>0.85106382978723405</v>
      </c>
      <c r="I445" s="4" t="str">
        <f t="shared" si="56"/>
        <v/>
      </c>
      <c r="J445" s="4" t="str">
        <f t="shared" si="57"/>
        <v/>
      </c>
      <c r="K445" s="4" t="str">
        <f t="shared" si="58"/>
        <v/>
      </c>
      <c r="L445" s="4" t="str">
        <f t="shared" si="59"/>
        <v/>
      </c>
      <c r="M445" s="4"/>
      <c r="N445" s="4"/>
      <c r="O445" s="4"/>
      <c r="P445" s="4"/>
      <c r="Q445" s="4"/>
      <c r="R445" s="4"/>
      <c r="S445" s="4"/>
      <c r="T445" s="4"/>
      <c r="U445" s="4"/>
    </row>
    <row r="446" spans="1:21">
      <c r="A446" t="s">
        <v>228</v>
      </c>
      <c r="B446">
        <v>1</v>
      </c>
      <c r="C446" t="str">
        <f t="shared" si="53"/>
        <v>test.StructurePanel_1_</v>
      </c>
      <c r="D446">
        <v>8</v>
      </c>
      <c r="E446" s="4">
        <v>1</v>
      </c>
      <c r="F446" s="4">
        <v>0.30282861896838603</v>
      </c>
      <c r="G446" s="4" t="str">
        <f t="shared" si="54"/>
        <v/>
      </c>
      <c r="H446" s="4">
        <f t="shared" si="55"/>
        <v>1</v>
      </c>
      <c r="I446" s="4" t="str">
        <f t="shared" si="56"/>
        <v/>
      </c>
      <c r="J446" s="4" t="str">
        <f t="shared" si="57"/>
        <v/>
      </c>
      <c r="K446" s="4" t="str">
        <f t="shared" si="58"/>
        <v/>
      </c>
      <c r="L446" s="4" t="str">
        <f t="shared" si="59"/>
        <v/>
      </c>
      <c r="M446" s="4"/>
      <c r="N446" s="4"/>
      <c r="O446" s="4"/>
      <c r="P446" s="4"/>
      <c r="Q446" s="4"/>
      <c r="R446" s="4"/>
      <c r="S446" s="4"/>
      <c r="T446" s="4"/>
      <c r="U446" s="4"/>
    </row>
    <row r="447" spans="1:21">
      <c r="A447" t="s">
        <v>230</v>
      </c>
      <c r="B447">
        <v>1</v>
      </c>
      <c r="C447" t="str">
        <f t="shared" si="53"/>
        <v>test.WorldController_1_</v>
      </c>
      <c r="D447">
        <v>1</v>
      </c>
      <c r="E447" s="4">
        <v>0.21301775147928995</v>
      </c>
      <c r="F447" s="4">
        <v>0.21534169142691501</v>
      </c>
      <c r="G447" s="4" t="str">
        <f t="shared" si="54"/>
        <v/>
      </c>
      <c r="H447" s="4">
        <f t="shared" si="55"/>
        <v>0.21301775147928995</v>
      </c>
      <c r="I447" s="4" t="str">
        <f t="shared" si="56"/>
        <v/>
      </c>
      <c r="J447" s="4" t="str">
        <f t="shared" si="57"/>
        <v/>
      </c>
      <c r="K447" s="4" t="str">
        <f t="shared" si="58"/>
        <v/>
      </c>
      <c r="L447" s="4" t="str">
        <f t="shared" si="59"/>
        <v/>
      </c>
      <c r="M447" s="4"/>
      <c r="N447" s="4"/>
      <c r="O447" s="4"/>
      <c r="P447" s="4"/>
      <c r="Q447" s="4"/>
      <c r="R447" s="4"/>
      <c r="S447" s="4"/>
      <c r="T447" s="4"/>
      <c r="U447" s="4"/>
    </row>
    <row r="448" spans="1:21">
      <c r="A448" t="s">
        <v>230</v>
      </c>
      <c r="B448">
        <v>1</v>
      </c>
      <c r="C448" t="str">
        <f t="shared" si="53"/>
        <v>test.WorldController_1_</v>
      </c>
      <c r="D448">
        <v>2</v>
      </c>
      <c r="E448" s="4">
        <v>0.40828402366863903</v>
      </c>
      <c r="F448" s="4">
        <v>0.23128487571563155</v>
      </c>
      <c r="G448" s="4" t="str">
        <f t="shared" si="54"/>
        <v/>
      </c>
      <c r="H448" s="4">
        <f t="shared" si="55"/>
        <v>0.40828402366863903</v>
      </c>
      <c r="I448" s="4" t="str">
        <f t="shared" si="56"/>
        <v/>
      </c>
      <c r="J448" s="4" t="str">
        <f t="shared" si="57"/>
        <v/>
      </c>
      <c r="K448" s="4" t="str">
        <f t="shared" si="58"/>
        <v/>
      </c>
      <c r="L448" s="4" t="str">
        <f t="shared" si="59"/>
        <v/>
      </c>
      <c r="M448" s="4"/>
      <c r="N448" s="4"/>
      <c r="O448" s="4"/>
      <c r="P448" s="4"/>
      <c r="Q448" s="4"/>
      <c r="R448" s="4"/>
      <c r="S448" s="4"/>
      <c r="T448" s="4"/>
      <c r="U448" s="4"/>
    </row>
    <row r="449" spans="1:21">
      <c r="A449" t="s">
        <v>230</v>
      </c>
      <c r="B449">
        <v>1</v>
      </c>
      <c r="C449" t="str">
        <f t="shared" si="53"/>
        <v>test.WorldController_1_</v>
      </c>
      <c r="D449">
        <v>3</v>
      </c>
      <c r="E449" s="4">
        <v>0.60355029585798814</v>
      </c>
      <c r="F449" s="4">
        <v>0.25795347488948472</v>
      </c>
      <c r="G449" s="4" t="str">
        <f t="shared" si="54"/>
        <v/>
      </c>
      <c r="H449" s="4">
        <f t="shared" si="55"/>
        <v>0.60355029585798814</v>
      </c>
      <c r="I449" s="4" t="str">
        <f t="shared" si="56"/>
        <v/>
      </c>
      <c r="J449" s="4" t="str">
        <f t="shared" si="57"/>
        <v/>
      </c>
      <c r="K449" s="4" t="str">
        <f t="shared" si="58"/>
        <v/>
      </c>
      <c r="L449" s="4" t="str">
        <f t="shared" si="59"/>
        <v/>
      </c>
      <c r="M449" s="4"/>
      <c r="N449" s="4"/>
      <c r="O449" s="4"/>
      <c r="P449" s="4"/>
      <c r="Q449" s="4"/>
      <c r="R449" s="4"/>
      <c r="S449" s="4"/>
      <c r="T449" s="4"/>
      <c r="U449" s="4"/>
    </row>
    <row r="450" spans="1:21">
      <c r="A450" t="s">
        <v>230</v>
      </c>
      <c r="B450">
        <v>1</v>
      </c>
      <c r="C450" t="str">
        <f t="shared" si="53"/>
        <v>test.WorldController_1_</v>
      </c>
      <c r="D450">
        <v>4</v>
      </c>
      <c r="E450" s="4">
        <v>0.79881656804733725</v>
      </c>
      <c r="F450" s="4">
        <v>0.26987462859627509</v>
      </c>
      <c r="G450" s="4" t="str">
        <f t="shared" si="54"/>
        <v/>
      </c>
      <c r="H450" s="4">
        <f t="shared" si="55"/>
        <v>0.79881656804733725</v>
      </c>
      <c r="I450" s="4" t="str">
        <f t="shared" si="56"/>
        <v/>
      </c>
      <c r="J450" s="4" t="str">
        <f t="shared" si="57"/>
        <v/>
      </c>
      <c r="K450" s="4" t="str">
        <f t="shared" si="58"/>
        <v/>
      </c>
      <c r="L450" s="4" t="str">
        <f t="shared" si="59"/>
        <v/>
      </c>
      <c r="M450" s="4"/>
      <c r="N450" s="4"/>
      <c r="O450" s="4"/>
      <c r="P450" s="4"/>
      <c r="Q450" s="4"/>
      <c r="R450" s="4"/>
      <c r="S450" s="4"/>
      <c r="T450" s="4"/>
      <c r="U450" s="4"/>
    </row>
    <row r="451" spans="1:21">
      <c r="A451" t="s">
        <v>230</v>
      </c>
      <c r="B451">
        <v>1</v>
      </c>
      <c r="C451" t="str">
        <f t="shared" ref="C451:C514" si="60">CONCATENATE(A451, "_",B451,"_")</f>
        <v>test.WorldController_1_</v>
      </c>
      <c r="D451">
        <v>5</v>
      </c>
      <c r="E451" s="4">
        <v>1</v>
      </c>
      <c r="F451" s="4">
        <v>0.27799115877962172</v>
      </c>
      <c r="G451" s="4" t="str">
        <f t="shared" ref="G451:G514" si="61">IF($F451 &lt;= 0.2,$E451,"")</f>
        <v/>
      </c>
      <c r="H451" s="4">
        <f t="shared" ref="H451:H514" si="62">IF(AND($F451 &gt; 0.2,$F451 &lt;= 0.4),$E451,"")</f>
        <v>1</v>
      </c>
      <c r="I451" s="4" t="str">
        <f t="shared" ref="I451:I514" si="63">IF(AND($F451 &gt; 0.4,$F451 &lt;= 0.6),$E451,"")</f>
        <v/>
      </c>
      <c r="J451" s="4" t="str">
        <f t="shared" ref="J451:J514" si="64">IF(AND($F451 &gt; 0.6,$F451 &lt;= 0.8),$E451,"")</f>
        <v/>
      </c>
      <c r="K451" s="4" t="str">
        <f t="shared" ref="K451:K514" si="65">IF(AND($F451 &gt; 0.8, $F451 &lt;=1.1),$E451,"")</f>
        <v/>
      </c>
      <c r="L451" s="4" t="str">
        <f t="shared" ref="L451:L514" si="66">IF(AND($F451 &gt; 1.1),$E451,"")</f>
        <v/>
      </c>
      <c r="M451" s="4"/>
      <c r="N451" s="4"/>
      <c r="O451" s="4"/>
      <c r="P451" s="4"/>
      <c r="Q451" s="4"/>
      <c r="R451" s="4"/>
      <c r="S451" s="4"/>
      <c r="T451" s="4"/>
      <c r="U451" s="4"/>
    </row>
    <row r="452" spans="1:21">
      <c r="A452" t="s">
        <v>231</v>
      </c>
      <c r="B452">
        <v>5</v>
      </c>
      <c r="C452" t="str">
        <f t="shared" si="60"/>
        <v>test.TIFFFaxDecoder_5_</v>
      </c>
      <c r="D452">
        <v>1</v>
      </c>
      <c r="E452" s="4">
        <v>0.31707317073170732</v>
      </c>
      <c r="F452" s="4">
        <v>0.19705510180605085</v>
      </c>
      <c r="G452" s="4">
        <f t="shared" si="61"/>
        <v>0.31707317073170732</v>
      </c>
      <c r="H452" s="4" t="str">
        <f t="shared" si="62"/>
        <v/>
      </c>
      <c r="I452" s="4" t="str">
        <f t="shared" si="63"/>
        <v/>
      </c>
      <c r="J452" s="4" t="str">
        <f t="shared" si="64"/>
        <v/>
      </c>
      <c r="K452" s="4" t="str">
        <f t="shared" si="65"/>
        <v/>
      </c>
      <c r="L452" s="4" t="str">
        <f t="shared" si="66"/>
        <v/>
      </c>
      <c r="M452" s="4"/>
      <c r="N452" s="4"/>
      <c r="O452" s="4"/>
      <c r="P452" s="4"/>
      <c r="Q452" s="4"/>
      <c r="R452" s="4"/>
      <c r="S452" s="4"/>
      <c r="T452" s="4"/>
      <c r="U452" s="4"/>
    </row>
    <row r="453" spans="1:21">
      <c r="A453" t="s">
        <v>231</v>
      </c>
      <c r="B453">
        <v>5</v>
      </c>
      <c r="C453" t="str">
        <f t="shared" si="60"/>
        <v>test.TIFFFaxDecoder_5_</v>
      </c>
      <c r="D453">
        <v>2</v>
      </c>
      <c r="E453" s="4">
        <v>0.35772357723577236</v>
      </c>
      <c r="F453" s="4">
        <v>0.20150312511982821</v>
      </c>
      <c r="G453" s="4" t="str">
        <f t="shared" si="61"/>
        <v/>
      </c>
      <c r="H453" s="4">
        <f t="shared" si="62"/>
        <v>0.35772357723577236</v>
      </c>
      <c r="I453" s="4" t="str">
        <f t="shared" si="63"/>
        <v/>
      </c>
      <c r="J453" s="4" t="str">
        <f t="shared" si="64"/>
        <v/>
      </c>
      <c r="K453" s="4" t="str">
        <f t="shared" si="65"/>
        <v/>
      </c>
      <c r="L453" s="4" t="str">
        <f t="shared" si="66"/>
        <v/>
      </c>
      <c r="M453" s="4"/>
      <c r="N453" s="4"/>
      <c r="O453" s="4"/>
      <c r="P453" s="4"/>
      <c r="Q453" s="4"/>
      <c r="R453" s="4"/>
      <c r="S453" s="4"/>
      <c r="T453" s="4"/>
      <c r="U453" s="4"/>
    </row>
    <row r="454" spans="1:21">
      <c r="A454" t="s">
        <v>231</v>
      </c>
      <c r="B454">
        <v>5</v>
      </c>
      <c r="C454" t="str">
        <f t="shared" si="60"/>
        <v>test.TIFFFaxDecoder_5_</v>
      </c>
      <c r="D454">
        <v>3</v>
      </c>
      <c r="E454" s="4">
        <v>0.44715447154471544</v>
      </c>
      <c r="F454" s="4">
        <v>0.36270562521569077</v>
      </c>
      <c r="G454" s="4" t="str">
        <f t="shared" si="61"/>
        <v/>
      </c>
      <c r="H454" s="4">
        <f t="shared" si="62"/>
        <v>0.44715447154471544</v>
      </c>
      <c r="I454" s="4" t="str">
        <f t="shared" si="63"/>
        <v/>
      </c>
      <c r="J454" s="4" t="str">
        <f t="shared" si="64"/>
        <v/>
      </c>
      <c r="K454" s="4" t="str">
        <f t="shared" si="65"/>
        <v/>
      </c>
      <c r="L454" s="4" t="str">
        <f t="shared" si="66"/>
        <v/>
      </c>
      <c r="M454" s="4"/>
      <c r="N454" s="4"/>
      <c r="O454" s="4"/>
      <c r="P454" s="4"/>
      <c r="Q454" s="4"/>
      <c r="R454" s="4"/>
      <c r="S454" s="4"/>
      <c r="T454" s="4"/>
      <c r="U454" s="4"/>
    </row>
    <row r="455" spans="1:21">
      <c r="A455" t="s">
        <v>231</v>
      </c>
      <c r="B455">
        <v>5</v>
      </c>
      <c r="C455" t="str">
        <f t="shared" si="60"/>
        <v>test.TIFFFaxDecoder_5_</v>
      </c>
      <c r="D455">
        <v>4</v>
      </c>
      <c r="E455" s="4">
        <v>0.57723577235772361</v>
      </c>
      <c r="F455" s="4">
        <v>0.47590014954561138</v>
      </c>
      <c r="G455" s="4" t="str">
        <f t="shared" si="61"/>
        <v/>
      </c>
      <c r="H455" s="4" t="str">
        <f t="shared" si="62"/>
        <v/>
      </c>
      <c r="I455" s="4">
        <f t="shared" si="63"/>
        <v>0.57723577235772361</v>
      </c>
      <c r="J455" s="4" t="str">
        <f t="shared" si="64"/>
        <v/>
      </c>
      <c r="K455" s="4" t="str">
        <f t="shared" si="65"/>
        <v/>
      </c>
      <c r="L455" s="4" t="str">
        <f t="shared" si="66"/>
        <v/>
      </c>
      <c r="M455" s="4"/>
      <c r="N455" s="4"/>
      <c r="O455" s="4"/>
      <c r="P455" s="4"/>
      <c r="Q455" s="4"/>
      <c r="R455" s="4"/>
      <c r="S455" s="4"/>
      <c r="T455" s="4"/>
      <c r="U455" s="4"/>
    </row>
    <row r="456" spans="1:21">
      <c r="A456" t="s">
        <v>231</v>
      </c>
      <c r="B456">
        <v>5</v>
      </c>
      <c r="C456" t="str">
        <f t="shared" si="60"/>
        <v>test.TIFFFaxDecoder_5_</v>
      </c>
      <c r="D456">
        <v>5</v>
      </c>
      <c r="E456" s="4">
        <v>1</v>
      </c>
      <c r="F456" s="4">
        <v>0.67088461980904179</v>
      </c>
      <c r="G456" s="4" t="str">
        <f t="shared" si="61"/>
        <v/>
      </c>
      <c r="H456" s="4" t="str">
        <f t="shared" si="62"/>
        <v/>
      </c>
      <c r="I456" s="4" t="str">
        <f t="shared" si="63"/>
        <v/>
      </c>
      <c r="J456" s="4">
        <f t="shared" si="64"/>
        <v>1</v>
      </c>
      <c r="K456" s="4" t="str">
        <f t="shared" si="65"/>
        <v/>
      </c>
      <c r="L456" s="4" t="str">
        <f t="shared" si="66"/>
        <v/>
      </c>
      <c r="M456" s="4"/>
      <c r="N456" s="4"/>
      <c r="O456" s="4"/>
      <c r="P456" s="4"/>
      <c r="Q456" s="4"/>
      <c r="R456" s="4"/>
      <c r="S456" s="4"/>
      <c r="T456" s="4"/>
      <c r="U456" s="4"/>
    </row>
    <row r="457" spans="1:21">
      <c r="A457" t="s">
        <v>231</v>
      </c>
      <c r="B457">
        <v>7</v>
      </c>
      <c r="C457" t="str">
        <f t="shared" si="60"/>
        <v>test.TIFFFaxDecoder_7_</v>
      </c>
      <c r="D457">
        <v>1</v>
      </c>
      <c r="E457" s="4">
        <v>0.30303030303030304</v>
      </c>
      <c r="F457" s="4">
        <v>0.29736211031175058</v>
      </c>
      <c r="G457" s="4" t="str">
        <f t="shared" si="61"/>
        <v/>
      </c>
      <c r="H457" s="4">
        <f t="shared" si="62"/>
        <v>0.30303030303030304</v>
      </c>
      <c r="I457" s="4" t="str">
        <f t="shared" si="63"/>
        <v/>
      </c>
      <c r="J457" s="4" t="str">
        <f t="shared" si="64"/>
        <v/>
      </c>
      <c r="K457" s="4" t="str">
        <f t="shared" si="65"/>
        <v/>
      </c>
      <c r="L457" s="4" t="str">
        <f t="shared" si="66"/>
        <v/>
      </c>
      <c r="M457" s="4"/>
      <c r="N457" s="4"/>
      <c r="O457" s="4"/>
      <c r="P457" s="4"/>
      <c r="Q457" s="4"/>
      <c r="R457" s="4"/>
      <c r="S457" s="4"/>
      <c r="T457" s="4"/>
      <c r="U457" s="4"/>
    </row>
    <row r="458" spans="1:21">
      <c r="A458" t="s">
        <v>231</v>
      </c>
      <c r="B458">
        <v>7</v>
      </c>
      <c r="C458" t="str">
        <f t="shared" si="60"/>
        <v>test.TIFFFaxDecoder_7_</v>
      </c>
      <c r="D458">
        <v>2</v>
      </c>
      <c r="E458" s="4">
        <v>0.66666666666666663</v>
      </c>
      <c r="F458" s="4">
        <v>0.54076738609112707</v>
      </c>
      <c r="G458" s="4" t="str">
        <f t="shared" si="61"/>
        <v/>
      </c>
      <c r="H458" s="4" t="str">
        <f t="shared" si="62"/>
        <v/>
      </c>
      <c r="I458" s="4">
        <f t="shared" si="63"/>
        <v>0.66666666666666663</v>
      </c>
      <c r="J458" s="4" t="str">
        <f t="shared" si="64"/>
        <v/>
      </c>
      <c r="K458" s="4" t="str">
        <f t="shared" si="65"/>
        <v/>
      </c>
      <c r="L458" s="4" t="str">
        <f t="shared" si="66"/>
        <v/>
      </c>
      <c r="M458" s="4"/>
      <c r="N458" s="4"/>
      <c r="O458" s="4"/>
      <c r="P458" s="4"/>
      <c r="Q458" s="4"/>
      <c r="R458" s="4"/>
      <c r="S458" s="4"/>
      <c r="T458" s="4"/>
      <c r="U458" s="4"/>
    </row>
    <row r="459" spans="1:21">
      <c r="A459" t="s">
        <v>231</v>
      </c>
      <c r="B459">
        <v>7</v>
      </c>
      <c r="C459" t="str">
        <f t="shared" si="60"/>
        <v>test.TIFFFaxDecoder_7_</v>
      </c>
      <c r="D459">
        <v>3</v>
      </c>
      <c r="E459" s="4">
        <v>1</v>
      </c>
      <c r="F459" s="4">
        <v>0.85971223021582732</v>
      </c>
      <c r="G459" s="4" t="str">
        <f t="shared" si="61"/>
        <v/>
      </c>
      <c r="H459" s="4" t="str">
        <f t="shared" si="62"/>
        <v/>
      </c>
      <c r="I459" s="4" t="str">
        <f t="shared" si="63"/>
        <v/>
      </c>
      <c r="J459" s="4" t="str">
        <f t="shared" si="64"/>
        <v/>
      </c>
      <c r="K459" s="4">
        <f t="shared" si="65"/>
        <v>1</v>
      </c>
      <c r="L459" s="4" t="str">
        <f t="shared" si="66"/>
        <v/>
      </c>
      <c r="M459" s="4"/>
      <c r="N459" s="4"/>
      <c r="O459" s="4"/>
      <c r="P459" s="4"/>
      <c r="Q459" s="4"/>
      <c r="R459" s="4"/>
      <c r="S459" s="4"/>
      <c r="T459" s="4"/>
      <c r="U459" s="4"/>
    </row>
    <row r="460" spans="1:21">
      <c r="A460" t="s">
        <v>231</v>
      </c>
      <c r="B460">
        <v>9</v>
      </c>
      <c r="C460" t="str">
        <f t="shared" si="60"/>
        <v>test.TIFFFaxDecoder_9_</v>
      </c>
      <c r="D460">
        <v>1</v>
      </c>
      <c r="E460" s="4">
        <v>0.19444444444444445</v>
      </c>
      <c r="F460" s="4">
        <v>0.24685714285714286</v>
      </c>
      <c r="G460" s="4" t="str">
        <f t="shared" si="61"/>
        <v/>
      </c>
      <c r="H460" s="4">
        <f t="shared" si="62"/>
        <v>0.19444444444444445</v>
      </c>
      <c r="I460" s="4" t="str">
        <f t="shared" si="63"/>
        <v/>
      </c>
      <c r="J460" s="4" t="str">
        <f t="shared" si="64"/>
        <v/>
      </c>
      <c r="K460" s="4" t="str">
        <f t="shared" si="65"/>
        <v/>
      </c>
      <c r="L460" s="4" t="str">
        <f t="shared" si="66"/>
        <v/>
      </c>
      <c r="M460" s="4"/>
      <c r="N460" s="4"/>
      <c r="O460" s="4"/>
      <c r="P460" s="4"/>
      <c r="Q460" s="4"/>
      <c r="R460" s="4"/>
      <c r="S460" s="4"/>
      <c r="T460" s="4"/>
      <c r="U460" s="4"/>
    </row>
    <row r="461" spans="1:21">
      <c r="A461" t="s">
        <v>231</v>
      </c>
      <c r="B461">
        <v>9</v>
      </c>
      <c r="C461" t="str">
        <f t="shared" si="60"/>
        <v>test.TIFFFaxDecoder_9_</v>
      </c>
      <c r="D461">
        <v>2</v>
      </c>
      <c r="E461" s="4">
        <v>0.22222222222222221</v>
      </c>
      <c r="F461" s="4">
        <v>0.25942857142857145</v>
      </c>
      <c r="G461" s="4" t="str">
        <f t="shared" si="61"/>
        <v/>
      </c>
      <c r="H461" s="4">
        <f t="shared" si="62"/>
        <v>0.22222222222222221</v>
      </c>
      <c r="I461" s="4" t="str">
        <f t="shared" si="63"/>
        <v/>
      </c>
      <c r="J461" s="4" t="str">
        <f t="shared" si="64"/>
        <v/>
      </c>
      <c r="K461" s="4" t="str">
        <f t="shared" si="65"/>
        <v/>
      </c>
      <c r="L461" s="4" t="str">
        <f t="shared" si="66"/>
        <v/>
      </c>
      <c r="M461" s="4"/>
      <c r="N461" s="4"/>
      <c r="O461" s="4"/>
      <c r="P461" s="4"/>
      <c r="Q461" s="4"/>
      <c r="R461" s="4"/>
      <c r="S461" s="4"/>
      <c r="T461" s="4"/>
      <c r="U461" s="4"/>
    </row>
    <row r="462" spans="1:21">
      <c r="A462" t="s">
        <v>231</v>
      </c>
      <c r="B462">
        <v>9</v>
      </c>
      <c r="C462" t="str">
        <f t="shared" si="60"/>
        <v>test.TIFFFaxDecoder_9_</v>
      </c>
      <c r="D462">
        <v>3</v>
      </c>
      <c r="E462" s="4">
        <v>0.33333333333333331</v>
      </c>
      <c r="F462" s="4">
        <v>0.26628571428571429</v>
      </c>
      <c r="G462" s="4" t="str">
        <f t="shared" si="61"/>
        <v/>
      </c>
      <c r="H462" s="4">
        <f t="shared" si="62"/>
        <v>0.33333333333333331</v>
      </c>
      <c r="I462" s="4" t="str">
        <f t="shared" si="63"/>
        <v/>
      </c>
      <c r="J462" s="4" t="str">
        <f t="shared" si="64"/>
        <v/>
      </c>
      <c r="K462" s="4" t="str">
        <f t="shared" si="65"/>
        <v/>
      </c>
      <c r="L462" s="4" t="str">
        <f t="shared" si="66"/>
        <v/>
      </c>
      <c r="M462" s="4"/>
      <c r="N462" s="4"/>
      <c r="O462" s="4"/>
      <c r="P462" s="4"/>
      <c r="Q462" s="4"/>
      <c r="R462" s="4"/>
      <c r="S462" s="4"/>
      <c r="T462" s="4"/>
      <c r="U462" s="4"/>
    </row>
    <row r="463" spans="1:21">
      <c r="A463" t="s">
        <v>231</v>
      </c>
      <c r="B463">
        <v>9</v>
      </c>
      <c r="C463" t="str">
        <f t="shared" si="60"/>
        <v>test.TIFFFaxDecoder_9_</v>
      </c>
      <c r="D463">
        <v>4</v>
      </c>
      <c r="E463" s="4">
        <v>0.47222222222222221</v>
      </c>
      <c r="F463" s="4">
        <v>0.29257142857142859</v>
      </c>
      <c r="G463" s="4" t="str">
        <f t="shared" si="61"/>
        <v/>
      </c>
      <c r="H463" s="4">
        <f t="shared" si="62"/>
        <v>0.47222222222222221</v>
      </c>
      <c r="I463" s="4" t="str">
        <f t="shared" si="63"/>
        <v/>
      </c>
      <c r="J463" s="4" t="str">
        <f t="shared" si="64"/>
        <v/>
      </c>
      <c r="K463" s="4" t="str">
        <f t="shared" si="65"/>
        <v/>
      </c>
      <c r="L463" s="4" t="str">
        <f t="shared" si="66"/>
        <v/>
      </c>
      <c r="M463" s="4"/>
      <c r="N463" s="4"/>
      <c r="O463" s="4"/>
      <c r="P463" s="4"/>
      <c r="Q463" s="4"/>
      <c r="R463" s="4"/>
      <c r="S463" s="4"/>
      <c r="T463" s="4"/>
      <c r="U463" s="4"/>
    </row>
    <row r="464" spans="1:21">
      <c r="A464" t="s">
        <v>231</v>
      </c>
      <c r="B464">
        <v>9</v>
      </c>
      <c r="C464" t="str">
        <f t="shared" si="60"/>
        <v>test.TIFFFaxDecoder_9_</v>
      </c>
      <c r="D464">
        <v>5</v>
      </c>
      <c r="E464" s="4">
        <v>0.52777777777777779</v>
      </c>
      <c r="F464" s="4">
        <v>0.312</v>
      </c>
      <c r="G464" s="4" t="str">
        <f t="shared" si="61"/>
        <v/>
      </c>
      <c r="H464" s="4">
        <f t="shared" si="62"/>
        <v>0.52777777777777779</v>
      </c>
      <c r="I464" s="4" t="str">
        <f t="shared" si="63"/>
        <v/>
      </c>
      <c r="J464" s="4" t="str">
        <f t="shared" si="64"/>
        <v/>
      </c>
      <c r="K464" s="4" t="str">
        <f t="shared" si="65"/>
        <v/>
      </c>
      <c r="L464" s="4" t="str">
        <f t="shared" si="66"/>
        <v/>
      </c>
      <c r="M464" s="4"/>
      <c r="N464" s="4"/>
      <c r="O464" s="4"/>
      <c r="P464" s="4"/>
      <c r="Q464" s="4"/>
      <c r="R464" s="4"/>
      <c r="S464" s="4"/>
      <c r="T464" s="4"/>
      <c r="U464" s="4"/>
    </row>
    <row r="465" spans="1:21">
      <c r="A465" t="s">
        <v>231</v>
      </c>
      <c r="B465">
        <v>9</v>
      </c>
      <c r="C465" t="str">
        <f t="shared" si="60"/>
        <v>test.TIFFFaxDecoder_9_</v>
      </c>
      <c r="D465">
        <v>6</v>
      </c>
      <c r="E465" s="4">
        <v>0.55555555555555558</v>
      </c>
      <c r="F465" s="4">
        <v>0.32114285714285712</v>
      </c>
      <c r="G465" s="4" t="str">
        <f t="shared" si="61"/>
        <v/>
      </c>
      <c r="H465" s="4">
        <f t="shared" si="62"/>
        <v>0.55555555555555558</v>
      </c>
      <c r="I465" s="4" t="str">
        <f t="shared" si="63"/>
        <v/>
      </c>
      <c r="J465" s="4" t="str">
        <f t="shared" si="64"/>
        <v/>
      </c>
      <c r="K465" s="4" t="str">
        <f t="shared" si="65"/>
        <v/>
      </c>
      <c r="L465" s="4" t="str">
        <f t="shared" si="66"/>
        <v/>
      </c>
      <c r="M465" s="4"/>
      <c r="N465" s="4"/>
      <c r="O465" s="4"/>
      <c r="P465" s="4"/>
      <c r="Q465" s="4"/>
      <c r="R465" s="4"/>
      <c r="S465" s="4"/>
      <c r="T465" s="4"/>
      <c r="U465" s="4"/>
    </row>
    <row r="466" spans="1:21">
      <c r="A466" t="s">
        <v>231</v>
      </c>
      <c r="B466">
        <v>9</v>
      </c>
      <c r="C466" t="str">
        <f t="shared" si="60"/>
        <v>test.TIFFFaxDecoder_9_</v>
      </c>
      <c r="D466">
        <v>7</v>
      </c>
      <c r="E466" s="4">
        <v>0.55555555555555558</v>
      </c>
      <c r="F466" s="4">
        <v>0.32228571428571429</v>
      </c>
      <c r="G466" s="4" t="str">
        <f t="shared" si="61"/>
        <v/>
      </c>
      <c r="H466" s="4">
        <f t="shared" si="62"/>
        <v>0.55555555555555558</v>
      </c>
      <c r="I466" s="4" t="str">
        <f t="shared" si="63"/>
        <v/>
      </c>
      <c r="J466" s="4" t="str">
        <f t="shared" si="64"/>
        <v/>
      </c>
      <c r="K466" s="4" t="str">
        <f t="shared" si="65"/>
        <v/>
      </c>
      <c r="L466" s="4" t="str">
        <f t="shared" si="66"/>
        <v/>
      </c>
      <c r="M466" s="4"/>
      <c r="N466" s="4"/>
      <c r="O466" s="4"/>
      <c r="P466" s="4"/>
      <c r="Q466" s="4"/>
      <c r="R466" s="4"/>
      <c r="S466" s="4"/>
      <c r="T466" s="4"/>
      <c r="U466" s="4"/>
    </row>
    <row r="467" spans="1:21">
      <c r="A467" t="s">
        <v>231</v>
      </c>
      <c r="B467">
        <v>9</v>
      </c>
      <c r="C467" t="str">
        <f t="shared" si="60"/>
        <v>test.TIFFFaxDecoder_9_</v>
      </c>
      <c r="D467">
        <v>8</v>
      </c>
      <c r="E467" s="4">
        <v>0.63888888888888884</v>
      </c>
      <c r="F467" s="4">
        <v>0.33028571428571429</v>
      </c>
      <c r="G467" s="4" t="str">
        <f t="shared" si="61"/>
        <v/>
      </c>
      <c r="H467" s="4">
        <f t="shared" si="62"/>
        <v>0.63888888888888884</v>
      </c>
      <c r="I467" s="4" t="str">
        <f t="shared" si="63"/>
        <v/>
      </c>
      <c r="J467" s="4" t="str">
        <f t="shared" si="64"/>
        <v/>
      </c>
      <c r="K467" s="4" t="str">
        <f t="shared" si="65"/>
        <v/>
      </c>
      <c r="L467" s="4" t="str">
        <f t="shared" si="66"/>
        <v/>
      </c>
      <c r="M467" s="4"/>
      <c r="N467" s="4"/>
      <c r="O467" s="4"/>
      <c r="P467" s="4"/>
      <c r="Q467" s="4"/>
      <c r="R467" s="4"/>
      <c r="S467" s="4"/>
      <c r="T467" s="4"/>
      <c r="U467" s="4"/>
    </row>
    <row r="468" spans="1:21">
      <c r="A468" t="s">
        <v>231</v>
      </c>
      <c r="B468">
        <v>9</v>
      </c>
      <c r="C468" t="str">
        <f t="shared" si="60"/>
        <v>test.TIFFFaxDecoder_9_</v>
      </c>
      <c r="D468">
        <v>9</v>
      </c>
      <c r="E468" s="4">
        <v>0.63888888888888884</v>
      </c>
      <c r="F468" s="4">
        <v>0.33371428571428574</v>
      </c>
      <c r="G468" s="4" t="str">
        <f t="shared" si="61"/>
        <v/>
      </c>
      <c r="H468" s="4">
        <f t="shared" si="62"/>
        <v>0.63888888888888884</v>
      </c>
      <c r="I468" s="4" t="str">
        <f t="shared" si="63"/>
        <v/>
      </c>
      <c r="J468" s="4" t="str">
        <f t="shared" si="64"/>
        <v/>
      </c>
      <c r="K468" s="4" t="str">
        <f t="shared" si="65"/>
        <v/>
      </c>
      <c r="L468" s="4" t="str">
        <f t="shared" si="66"/>
        <v/>
      </c>
      <c r="M468" s="4"/>
      <c r="N468" s="4"/>
      <c r="O468" s="4"/>
      <c r="P468" s="4"/>
      <c r="Q468" s="4"/>
      <c r="R468" s="4"/>
      <c r="S468" s="4"/>
      <c r="T468" s="4"/>
      <c r="U468" s="4"/>
    </row>
    <row r="469" spans="1:21">
      <c r="A469" t="s">
        <v>231</v>
      </c>
      <c r="B469">
        <v>9</v>
      </c>
      <c r="C469" t="str">
        <f t="shared" si="60"/>
        <v>test.TIFFFaxDecoder_9_</v>
      </c>
      <c r="D469">
        <v>10</v>
      </c>
      <c r="E469" s="4">
        <v>0.66666666666666663</v>
      </c>
      <c r="F469" s="4">
        <v>0.33485714285714285</v>
      </c>
      <c r="G469" s="4" t="str">
        <f t="shared" si="61"/>
        <v/>
      </c>
      <c r="H469" s="4">
        <f t="shared" si="62"/>
        <v>0.66666666666666663</v>
      </c>
      <c r="I469" s="4" t="str">
        <f t="shared" si="63"/>
        <v/>
      </c>
      <c r="J469" s="4" t="str">
        <f t="shared" si="64"/>
        <v/>
      </c>
      <c r="K469" s="4" t="str">
        <f t="shared" si="65"/>
        <v/>
      </c>
      <c r="L469" s="4" t="str">
        <f t="shared" si="66"/>
        <v/>
      </c>
      <c r="M469" s="4"/>
      <c r="N469" s="4"/>
      <c r="O469" s="4"/>
      <c r="P469" s="4"/>
      <c r="Q469" s="4"/>
      <c r="R469" s="4"/>
      <c r="S469" s="4"/>
      <c r="T469" s="4"/>
      <c r="U469" s="4"/>
    </row>
    <row r="470" spans="1:21">
      <c r="A470" t="s">
        <v>231</v>
      </c>
      <c r="B470">
        <v>9</v>
      </c>
      <c r="C470" t="str">
        <f t="shared" si="60"/>
        <v>test.TIFFFaxDecoder_9_</v>
      </c>
      <c r="D470">
        <v>11</v>
      </c>
      <c r="E470" s="4">
        <v>0.66666666666666663</v>
      </c>
      <c r="F470" s="4">
        <v>0.3382857142857143</v>
      </c>
      <c r="G470" s="4" t="str">
        <f t="shared" si="61"/>
        <v/>
      </c>
      <c r="H470" s="4">
        <f t="shared" si="62"/>
        <v>0.66666666666666663</v>
      </c>
      <c r="I470" s="4" t="str">
        <f t="shared" si="63"/>
        <v/>
      </c>
      <c r="J470" s="4" t="str">
        <f t="shared" si="64"/>
        <v/>
      </c>
      <c r="K470" s="4" t="str">
        <f t="shared" si="65"/>
        <v/>
      </c>
      <c r="L470" s="4" t="str">
        <f t="shared" si="66"/>
        <v/>
      </c>
      <c r="M470" s="4"/>
      <c r="N470" s="4"/>
      <c r="O470" s="4"/>
      <c r="P470" s="4"/>
      <c r="Q470" s="4"/>
      <c r="R470" s="4"/>
      <c r="S470" s="4"/>
      <c r="T470" s="4"/>
      <c r="U470" s="4"/>
    </row>
    <row r="471" spans="1:21">
      <c r="A471" t="s">
        <v>231</v>
      </c>
      <c r="B471">
        <v>9</v>
      </c>
      <c r="C471" t="str">
        <f t="shared" si="60"/>
        <v>test.TIFFFaxDecoder_9_</v>
      </c>
      <c r="D471">
        <v>12</v>
      </c>
      <c r="E471" s="4">
        <v>0.66666666666666663</v>
      </c>
      <c r="F471" s="4">
        <v>0.39657142857142857</v>
      </c>
      <c r="G471" s="4" t="str">
        <f t="shared" si="61"/>
        <v/>
      </c>
      <c r="H471" s="4">
        <f t="shared" si="62"/>
        <v>0.66666666666666663</v>
      </c>
      <c r="I471" s="4" t="str">
        <f t="shared" si="63"/>
        <v/>
      </c>
      <c r="J471" s="4" t="str">
        <f t="shared" si="64"/>
        <v/>
      </c>
      <c r="K471" s="4" t="str">
        <f t="shared" si="65"/>
        <v/>
      </c>
      <c r="L471" s="4" t="str">
        <f t="shared" si="66"/>
        <v/>
      </c>
      <c r="M471" s="4"/>
      <c r="N471" s="4"/>
      <c r="O471" s="4"/>
      <c r="P471" s="4"/>
      <c r="Q471" s="4"/>
      <c r="R471" s="4"/>
      <c r="S471" s="4"/>
      <c r="T471" s="4"/>
      <c r="U471" s="4"/>
    </row>
    <row r="472" spans="1:21">
      <c r="A472" t="s">
        <v>231</v>
      </c>
      <c r="B472">
        <v>9</v>
      </c>
      <c r="C472" t="str">
        <f t="shared" si="60"/>
        <v>test.TIFFFaxDecoder_9_</v>
      </c>
      <c r="D472">
        <v>13</v>
      </c>
      <c r="E472" s="4">
        <v>0.66666666666666663</v>
      </c>
      <c r="F472" s="4">
        <v>0.39771428571428569</v>
      </c>
      <c r="G472" s="4" t="str">
        <f t="shared" si="61"/>
        <v/>
      </c>
      <c r="H472" s="4">
        <f t="shared" si="62"/>
        <v>0.66666666666666663</v>
      </c>
      <c r="I472" s="4" t="str">
        <f t="shared" si="63"/>
        <v/>
      </c>
      <c r="J472" s="4" t="str">
        <f t="shared" si="64"/>
        <v/>
      </c>
      <c r="K472" s="4" t="str">
        <f t="shared" si="65"/>
        <v/>
      </c>
      <c r="L472" s="4" t="str">
        <f t="shared" si="66"/>
        <v/>
      </c>
      <c r="M472" s="4"/>
      <c r="N472" s="4"/>
      <c r="O472" s="4"/>
      <c r="P472" s="4"/>
      <c r="Q472" s="4"/>
      <c r="R472" s="4"/>
      <c r="S472" s="4"/>
      <c r="T472" s="4"/>
      <c r="U472" s="4"/>
    </row>
    <row r="473" spans="1:21">
      <c r="A473" t="s">
        <v>231</v>
      </c>
      <c r="B473">
        <v>9</v>
      </c>
      <c r="C473" t="str">
        <f t="shared" si="60"/>
        <v>test.TIFFFaxDecoder_9_</v>
      </c>
      <c r="D473">
        <v>14</v>
      </c>
      <c r="E473" s="4">
        <v>0.77777777777777779</v>
      </c>
      <c r="F473" s="4">
        <v>0.45371428571428574</v>
      </c>
      <c r="G473" s="4" t="str">
        <f t="shared" si="61"/>
        <v/>
      </c>
      <c r="H473" s="4" t="str">
        <f t="shared" si="62"/>
        <v/>
      </c>
      <c r="I473" s="4">
        <f t="shared" si="63"/>
        <v>0.77777777777777779</v>
      </c>
      <c r="J473" s="4" t="str">
        <f t="shared" si="64"/>
        <v/>
      </c>
      <c r="K473" s="4" t="str">
        <f t="shared" si="65"/>
        <v/>
      </c>
      <c r="L473" s="4" t="str">
        <f t="shared" si="66"/>
        <v/>
      </c>
      <c r="M473" s="4"/>
      <c r="N473" s="4"/>
      <c r="O473" s="4"/>
      <c r="P473" s="4"/>
      <c r="Q473" s="4"/>
      <c r="R473" s="4"/>
      <c r="S473" s="4"/>
      <c r="T473" s="4"/>
      <c r="U473" s="4"/>
    </row>
    <row r="474" spans="1:21">
      <c r="A474" t="s">
        <v>231</v>
      </c>
      <c r="B474">
        <v>9</v>
      </c>
      <c r="C474" t="str">
        <f t="shared" si="60"/>
        <v>test.TIFFFaxDecoder_9_</v>
      </c>
      <c r="D474">
        <v>15</v>
      </c>
      <c r="E474" s="4">
        <v>0.97222222222222221</v>
      </c>
      <c r="F474" s="4">
        <v>0.65257142857142858</v>
      </c>
      <c r="G474" s="4" t="str">
        <f t="shared" si="61"/>
        <v/>
      </c>
      <c r="H474" s="4" t="str">
        <f t="shared" si="62"/>
        <v/>
      </c>
      <c r="I474" s="4" t="str">
        <f t="shared" si="63"/>
        <v/>
      </c>
      <c r="J474" s="4">
        <f t="shared" si="64"/>
        <v>0.97222222222222221</v>
      </c>
      <c r="K474" s="4" t="str">
        <f t="shared" si="65"/>
        <v/>
      </c>
      <c r="L474" s="4" t="str">
        <f t="shared" si="66"/>
        <v/>
      </c>
      <c r="M474" s="4"/>
      <c r="N474" s="4"/>
      <c r="O474" s="4"/>
      <c r="P474" s="4"/>
      <c r="Q474" s="4"/>
      <c r="R474" s="4"/>
      <c r="S474" s="4"/>
      <c r="T474" s="4"/>
      <c r="U474" s="4"/>
    </row>
    <row r="475" spans="1:21">
      <c r="A475" t="s">
        <v>231</v>
      </c>
      <c r="B475">
        <v>9</v>
      </c>
      <c r="C475" t="str">
        <f t="shared" si="60"/>
        <v>test.TIFFFaxDecoder_9_</v>
      </c>
      <c r="D475">
        <v>16</v>
      </c>
      <c r="E475" s="4">
        <v>0.97222222222222221</v>
      </c>
      <c r="F475" s="4">
        <v>0.65600000000000003</v>
      </c>
      <c r="G475" s="4" t="str">
        <f t="shared" si="61"/>
        <v/>
      </c>
      <c r="H475" s="4" t="str">
        <f t="shared" si="62"/>
        <v/>
      </c>
      <c r="I475" s="4" t="str">
        <f t="shared" si="63"/>
        <v/>
      </c>
      <c r="J475" s="4">
        <f t="shared" si="64"/>
        <v>0.97222222222222221</v>
      </c>
      <c r="K475" s="4" t="str">
        <f t="shared" si="65"/>
        <v/>
      </c>
      <c r="L475" s="4" t="str">
        <f t="shared" si="66"/>
        <v/>
      </c>
      <c r="M475" s="4"/>
      <c r="N475" s="4"/>
      <c r="O475" s="4"/>
      <c r="P475" s="4"/>
      <c r="Q475" s="4"/>
      <c r="R475" s="4"/>
      <c r="S475" s="4"/>
      <c r="T475" s="4"/>
      <c r="U475" s="4"/>
    </row>
    <row r="476" spans="1:21">
      <c r="A476" t="s">
        <v>231</v>
      </c>
      <c r="B476">
        <v>9</v>
      </c>
      <c r="C476" t="str">
        <f t="shared" si="60"/>
        <v>test.TIFFFaxDecoder_9_</v>
      </c>
      <c r="D476">
        <v>17</v>
      </c>
      <c r="E476" s="4">
        <v>1</v>
      </c>
      <c r="F476" s="4">
        <v>0.7142857142857143</v>
      </c>
      <c r="G476" s="4" t="str">
        <f t="shared" si="61"/>
        <v/>
      </c>
      <c r="H476" s="4" t="str">
        <f t="shared" si="62"/>
        <v/>
      </c>
      <c r="I476" s="4" t="str">
        <f t="shared" si="63"/>
        <v/>
      </c>
      <c r="J476" s="4">
        <f t="shared" si="64"/>
        <v>1</v>
      </c>
      <c r="K476" s="4" t="str">
        <f t="shared" si="65"/>
        <v/>
      </c>
      <c r="L476" s="4" t="str">
        <f t="shared" si="66"/>
        <v/>
      </c>
      <c r="M476" s="4"/>
      <c r="N476" s="4"/>
      <c r="O476" s="4"/>
      <c r="P476" s="4"/>
      <c r="Q476" s="4"/>
      <c r="R476" s="4"/>
      <c r="S476" s="4"/>
      <c r="T476" s="4"/>
      <c r="U476" s="4"/>
    </row>
    <row r="477" spans="1:21">
      <c r="A477" t="s">
        <v>231</v>
      </c>
      <c r="B477">
        <v>9</v>
      </c>
      <c r="C477" t="str">
        <f t="shared" si="60"/>
        <v>test.TIFFFaxDecoder_9_</v>
      </c>
      <c r="D477">
        <v>18</v>
      </c>
      <c r="E477" s="4">
        <v>1</v>
      </c>
      <c r="F477" s="4">
        <v>0.7211428571428572</v>
      </c>
      <c r="G477" s="4" t="str">
        <f t="shared" si="61"/>
        <v/>
      </c>
      <c r="H477" s="4" t="str">
        <f t="shared" si="62"/>
        <v/>
      </c>
      <c r="I477" s="4" t="str">
        <f t="shared" si="63"/>
        <v/>
      </c>
      <c r="J477" s="4">
        <f t="shared" si="64"/>
        <v>1</v>
      </c>
      <c r="K477" s="4" t="str">
        <f t="shared" si="65"/>
        <v/>
      </c>
      <c r="L477" s="4" t="str">
        <f t="shared" si="66"/>
        <v/>
      </c>
      <c r="M477" s="4"/>
      <c r="N477" s="4"/>
      <c r="O477" s="4"/>
      <c r="P477" s="4"/>
      <c r="Q477" s="4"/>
      <c r="R477" s="4"/>
      <c r="S477" s="4"/>
      <c r="T477" s="4"/>
      <c r="U477" s="4"/>
    </row>
    <row r="478" spans="1:21">
      <c r="A478" t="s">
        <v>231</v>
      </c>
      <c r="B478">
        <v>10</v>
      </c>
      <c r="C478" t="str">
        <f t="shared" si="60"/>
        <v>test.TIFFFaxDecoder_10_</v>
      </c>
      <c r="D478">
        <v>1</v>
      </c>
      <c r="E478" s="4">
        <v>0.8</v>
      </c>
      <c r="F478" s="4">
        <v>0.94498069498069504</v>
      </c>
      <c r="G478" s="4" t="str">
        <f t="shared" si="61"/>
        <v/>
      </c>
      <c r="H478" s="4" t="str">
        <f t="shared" si="62"/>
        <v/>
      </c>
      <c r="I478" s="4" t="str">
        <f t="shared" si="63"/>
        <v/>
      </c>
      <c r="J478" s="4" t="str">
        <f t="shared" si="64"/>
        <v/>
      </c>
      <c r="K478" s="4">
        <f t="shared" si="65"/>
        <v>0.8</v>
      </c>
      <c r="L478" s="4" t="str">
        <f t="shared" si="66"/>
        <v/>
      </c>
      <c r="M478" s="4"/>
      <c r="N478" s="4"/>
      <c r="O478" s="4"/>
      <c r="P478" s="4"/>
      <c r="Q478" s="4"/>
      <c r="R478" s="4"/>
      <c r="S478" s="4"/>
      <c r="T478" s="4"/>
      <c r="U478" s="4"/>
    </row>
    <row r="479" spans="1:21">
      <c r="A479" t="s">
        <v>231</v>
      </c>
      <c r="B479">
        <v>10</v>
      </c>
      <c r="C479" t="str">
        <f t="shared" si="60"/>
        <v>test.TIFFFaxDecoder_10_</v>
      </c>
      <c r="D479">
        <v>2</v>
      </c>
      <c r="E479" s="4">
        <v>0.8666666666666667</v>
      </c>
      <c r="F479" s="4">
        <v>0.96042471042471045</v>
      </c>
      <c r="G479" s="4" t="str">
        <f t="shared" si="61"/>
        <v/>
      </c>
      <c r="H479" s="4" t="str">
        <f t="shared" si="62"/>
        <v/>
      </c>
      <c r="I479" s="4" t="str">
        <f t="shared" si="63"/>
        <v/>
      </c>
      <c r="J479" s="4" t="str">
        <f t="shared" si="64"/>
        <v/>
      </c>
      <c r="K479" s="4">
        <f t="shared" si="65"/>
        <v>0.8666666666666667</v>
      </c>
      <c r="L479" s="4" t="str">
        <f t="shared" si="66"/>
        <v/>
      </c>
      <c r="M479" s="4"/>
      <c r="N479" s="4"/>
      <c r="O479" s="4"/>
      <c r="P479" s="4"/>
      <c r="Q479" s="4"/>
      <c r="R479" s="4"/>
      <c r="S479" s="4"/>
      <c r="T479" s="4"/>
      <c r="U479" s="4"/>
    </row>
    <row r="480" spans="1:21">
      <c r="A480" t="s">
        <v>231</v>
      </c>
      <c r="B480">
        <v>10</v>
      </c>
      <c r="C480" t="str">
        <f t="shared" si="60"/>
        <v>test.TIFFFaxDecoder_10_</v>
      </c>
      <c r="D480">
        <v>3</v>
      </c>
      <c r="E480" s="4">
        <v>1</v>
      </c>
      <c r="F480" s="4">
        <v>0.96525096525096521</v>
      </c>
      <c r="G480" s="4" t="str">
        <f t="shared" si="61"/>
        <v/>
      </c>
      <c r="H480" s="4" t="str">
        <f t="shared" si="62"/>
        <v/>
      </c>
      <c r="I480" s="4" t="str">
        <f t="shared" si="63"/>
        <v/>
      </c>
      <c r="J480" s="4" t="str">
        <f t="shared" si="64"/>
        <v/>
      </c>
      <c r="K480" s="4">
        <f t="shared" si="65"/>
        <v>1</v>
      </c>
      <c r="L480" s="4" t="str">
        <f t="shared" si="66"/>
        <v/>
      </c>
      <c r="M480" s="4"/>
      <c r="N480" s="4"/>
      <c r="O480" s="4"/>
      <c r="P480" s="4"/>
      <c r="Q480" s="4"/>
      <c r="R480" s="4"/>
      <c r="S480" s="4"/>
      <c r="T480" s="4"/>
      <c r="U480" s="4"/>
    </row>
    <row r="481" spans="1:21">
      <c r="A481" t="s">
        <v>231</v>
      </c>
      <c r="B481">
        <v>10</v>
      </c>
      <c r="C481" t="str">
        <f t="shared" si="60"/>
        <v>test.TIFFFaxDecoder_10_</v>
      </c>
      <c r="D481">
        <v>4</v>
      </c>
      <c r="E481" s="4">
        <v>1</v>
      </c>
      <c r="F481" s="4">
        <v>0.97104247104247099</v>
      </c>
      <c r="G481" s="4" t="str">
        <f t="shared" si="61"/>
        <v/>
      </c>
      <c r="H481" s="4" t="str">
        <f t="shared" si="62"/>
        <v/>
      </c>
      <c r="I481" s="4" t="str">
        <f t="shared" si="63"/>
        <v/>
      </c>
      <c r="J481" s="4" t="str">
        <f t="shared" si="64"/>
        <v/>
      </c>
      <c r="K481" s="4">
        <f t="shared" si="65"/>
        <v>1</v>
      </c>
      <c r="L481" s="4" t="str">
        <f t="shared" si="66"/>
        <v/>
      </c>
      <c r="M481" s="4"/>
      <c r="N481" s="4"/>
      <c r="O481" s="4"/>
      <c r="P481" s="4"/>
      <c r="Q481" s="4"/>
      <c r="R481" s="4"/>
      <c r="S481" s="4"/>
      <c r="T481" s="4"/>
      <c r="U481" s="4"/>
    </row>
    <row r="482" spans="1:21">
      <c r="A482" t="s">
        <v>231</v>
      </c>
      <c r="B482">
        <v>11</v>
      </c>
      <c r="C482" t="str">
        <f t="shared" si="60"/>
        <v>test.TIFFFaxDecoder_11_</v>
      </c>
      <c r="D482">
        <v>1</v>
      </c>
      <c r="E482" s="4">
        <v>7.9545454545454544E-2</v>
      </c>
      <c r="F482" s="4">
        <v>0.10754414125200643</v>
      </c>
      <c r="G482" s="4">
        <f t="shared" si="61"/>
        <v>7.9545454545454544E-2</v>
      </c>
      <c r="H482" s="4" t="str">
        <f t="shared" si="62"/>
        <v/>
      </c>
      <c r="I482" s="4" t="str">
        <f t="shared" si="63"/>
        <v/>
      </c>
      <c r="J482" s="4" t="str">
        <f t="shared" si="64"/>
        <v/>
      </c>
      <c r="K482" s="4" t="str">
        <f t="shared" si="65"/>
        <v/>
      </c>
      <c r="L482" s="4" t="str">
        <f t="shared" si="66"/>
        <v/>
      </c>
      <c r="M482" s="4"/>
      <c r="N482" s="4"/>
      <c r="O482" s="4"/>
      <c r="P482" s="4"/>
      <c r="Q482" s="4"/>
      <c r="R482" s="4"/>
      <c r="S482" s="4"/>
      <c r="T482" s="4"/>
      <c r="U482" s="4"/>
    </row>
    <row r="483" spans="1:21">
      <c r="A483" t="s">
        <v>231</v>
      </c>
      <c r="B483">
        <v>11</v>
      </c>
      <c r="C483" t="str">
        <f t="shared" si="60"/>
        <v>test.TIFFFaxDecoder_11_</v>
      </c>
      <c r="D483">
        <v>2</v>
      </c>
      <c r="E483" s="4">
        <v>0.38636363636363635</v>
      </c>
      <c r="F483" s="4">
        <v>0.43873729266987693</v>
      </c>
      <c r="G483" s="4" t="str">
        <f t="shared" si="61"/>
        <v/>
      </c>
      <c r="H483" s="4" t="str">
        <f t="shared" si="62"/>
        <v/>
      </c>
      <c r="I483" s="4">
        <f t="shared" si="63"/>
        <v>0.38636363636363635</v>
      </c>
      <c r="J483" s="4" t="str">
        <f t="shared" si="64"/>
        <v/>
      </c>
      <c r="K483" s="4" t="str">
        <f t="shared" si="65"/>
        <v/>
      </c>
      <c r="L483" s="4" t="str">
        <f t="shared" si="66"/>
        <v/>
      </c>
      <c r="M483" s="4"/>
      <c r="N483" s="4"/>
      <c r="O483" s="4"/>
      <c r="P483" s="4"/>
      <c r="Q483" s="4"/>
      <c r="R483" s="4"/>
      <c r="S483" s="4"/>
      <c r="T483" s="4"/>
      <c r="U483" s="4"/>
    </row>
    <row r="484" spans="1:21">
      <c r="A484" t="s">
        <v>231</v>
      </c>
      <c r="B484">
        <v>11</v>
      </c>
      <c r="C484" t="str">
        <f t="shared" si="60"/>
        <v>test.TIFFFaxDecoder_11_</v>
      </c>
      <c r="D484">
        <v>3</v>
      </c>
      <c r="E484" s="4">
        <v>0.48863636363636365</v>
      </c>
      <c r="F484" s="4">
        <v>0.44141252006420545</v>
      </c>
      <c r="G484" s="4" t="str">
        <f t="shared" si="61"/>
        <v/>
      </c>
      <c r="H484" s="4" t="str">
        <f t="shared" si="62"/>
        <v/>
      </c>
      <c r="I484" s="4">
        <f t="shared" si="63"/>
        <v>0.48863636363636365</v>
      </c>
      <c r="J484" s="4" t="str">
        <f t="shared" si="64"/>
        <v/>
      </c>
      <c r="K484" s="4" t="str">
        <f t="shared" si="65"/>
        <v/>
      </c>
      <c r="L484" s="4" t="str">
        <f t="shared" si="66"/>
        <v/>
      </c>
      <c r="M484" s="4"/>
      <c r="N484" s="4"/>
      <c r="O484" s="4"/>
      <c r="P484" s="4"/>
      <c r="Q484" s="4"/>
      <c r="R484" s="4"/>
      <c r="S484" s="4"/>
      <c r="T484" s="4"/>
      <c r="U484" s="4"/>
    </row>
    <row r="485" spans="1:21">
      <c r="A485" t="s">
        <v>231</v>
      </c>
      <c r="B485">
        <v>11</v>
      </c>
      <c r="C485" t="str">
        <f t="shared" si="60"/>
        <v>test.TIFFFaxDecoder_11_</v>
      </c>
      <c r="D485">
        <v>4</v>
      </c>
      <c r="E485" s="4">
        <v>0.52272727272727271</v>
      </c>
      <c r="F485" s="4">
        <v>0.45211342964151952</v>
      </c>
      <c r="G485" s="4" t="str">
        <f t="shared" si="61"/>
        <v/>
      </c>
      <c r="H485" s="4" t="str">
        <f t="shared" si="62"/>
        <v/>
      </c>
      <c r="I485" s="4">
        <f t="shared" si="63"/>
        <v>0.52272727272727271</v>
      </c>
      <c r="J485" s="4" t="str">
        <f t="shared" si="64"/>
        <v/>
      </c>
      <c r="K485" s="4" t="str">
        <f t="shared" si="65"/>
        <v/>
      </c>
      <c r="L485" s="4" t="str">
        <f t="shared" si="66"/>
        <v/>
      </c>
      <c r="M485" s="4"/>
      <c r="N485" s="4"/>
      <c r="O485" s="4"/>
      <c r="P485" s="4"/>
      <c r="Q485" s="4"/>
      <c r="R485" s="4"/>
      <c r="S485" s="4"/>
      <c r="T485" s="4"/>
      <c r="U485" s="4"/>
    </row>
    <row r="486" spans="1:21">
      <c r="A486" t="s">
        <v>231</v>
      </c>
      <c r="B486">
        <v>11</v>
      </c>
      <c r="C486" t="str">
        <f t="shared" si="60"/>
        <v>test.TIFFFaxDecoder_11_</v>
      </c>
      <c r="D486">
        <v>5</v>
      </c>
      <c r="E486" s="4">
        <v>0.61363636363636365</v>
      </c>
      <c r="F486" s="4">
        <v>0.4606741573033708</v>
      </c>
      <c r="G486" s="4" t="str">
        <f t="shared" si="61"/>
        <v/>
      </c>
      <c r="H486" s="4" t="str">
        <f t="shared" si="62"/>
        <v/>
      </c>
      <c r="I486" s="4">
        <f t="shared" si="63"/>
        <v>0.61363636363636365</v>
      </c>
      <c r="J486" s="4" t="str">
        <f t="shared" si="64"/>
        <v/>
      </c>
      <c r="K486" s="4" t="str">
        <f t="shared" si="65"/>
        <v/>
      </c>
      <c r="L486" s="4" t="str">
        <f t="shared" si="66"/>
        <v/>
      </c>
      <c r="M486" s="4"/>
      <c r="N486" s="4"/>
      <c r="O486" s="4"/>
      <c r="P486" s="4"/>
      <c r="Q486" s="4"/>
      <c r="R486" s="4"/>
      <c r="S486" s="4"/>
      <c r="T486" s="4"/>
      <c r="U486" s="4"/>
    </row>
    <row r="487" spans="1:21">
      <c r="A487" t="s">
        <v>231</v>
      </c>
      <c r="B487">
        <v>11</v>
      </c>
      <c r="C487" t="str">
        <f t="shared" si="60"/>
        <v>test.TIFFFaxDecoder_11_</v>
      </c>
      <c r="D487">
        <v>6</v>
      </c>
      <c r="E487" s="4">
        <v>0.61363636363636365</v>
      </c>
      <c r="F487" s="4">
        <v>0.47298020331728197</v>
      </c>
      <c r="G487" s="4" t="str">
        <f t="shared" si="61"/>
        <v/>
      </c>
      <c r="H487" s="4" t="str">
        <f t="shared" si="62"/>
        <v/>
      </c>
      <c r="I487" s="4">
        <f t="shared" si="63"/>
        <v>0.61363636363636365</v>
      </c>
      <c r="J487" s="4" t="str">
        <f t="shared" si="64"/>
        <v/>
      </c>
      <c r="K487" s="4" t="str">
        <f t="shared" si="65"/>
        <v/>
      </c>
      <c r="L487" s="4" t="str">
        <f t="shared" si="66"/>
        <v/>
      </c>
      <c r="M487" s="4"/>
      <c r="N487" s="4"/>
      <c r="O487" s="4"/>
      <c r="P487" s="4"/>
      <c r="Q487" s="4"/>
      <c r="R487" s="4"/>
      <c r="S487" s="4"/>
      <c r="T487" s="4"/>
      <c r="U487" s="4"/>
    </row>
    <row r="488" spans="1:21">
      <c r="A488" t="s">
        <v>231</v>
      </c>
      <c r="B488">
        <v>11</v>
      </c>
      <c r="C488" t="str">
        <f t="shared" si="60"/>
        <v>test.TIFFFaxDecoder_11_</v>
      </c>
      <c r="D488">
        <v>7</v>
      </c>
      <c r="E488" s="4">
        <v>0.61363636363636365</v>
      </c>
      <c r="F488" s="4">
        <v>0.4799357945425361</v>
      </c>
      <c r="G488" s="4" t="str">
        <f t="shared" si="61"/>
        <v/>
      </c>
      <c r="H488" s="4" t="str">
        <f t="shared" si="62"/>
        <v/>
      </c>
      <c r="I488" s="4">
        <f t="shared" si="63"/>
        <v>0.61363636363636365</v>
      </c>
      <c r="J488" s="4" t="str">
        <f t="shared" si="64"/>
        <v/>
      </c>
      <c r="K488" s="4" t="str">
        <f t="shared" si="65"/>
        <v/>
      </c>
      <c r="L488" s="4" t="str">
        <f t="shared" si="66"/>
        <v/>
      </c>
      <c r="M488" s="4"/>
      <c r="N488" s="4"/>
      <c r="O488" s="4"/>
      <c r="P488" s="4"/>
      <c r="Q488" s="4"/>
      <c r="R488" s="4"/>
      <c r="S488" s="4"/>
      <c r="T488" s="4"/>
      <c r="U488" s="4"/>
    </row>
    <row r="489" spans="1:21">
      <c r="A489" t="s">
        <v>231</v>
      </c>
      <c r="B489">
        <v>11</v>
      </c>
      <c r="C489" t="str">
        <f t="shared" si="60"/>
        <v>test.TIFFFaxDecoder_11_</v>
      </c>
      <c r="D489">
        <v>8</v>
      </c>
      <c r="E489" s="4">
        <v>0.70454545454545459</v>
      </c>
      <c r="F489" s="4">
        <v>0.53558052434456926</v>
      </c>
      <c r="G489" s="4" t="str">
        <f t="shared" si="61"/>
        <v/>
      </c>
      <c r="H489" s="4" t="str">
        <f t="shared" si="62"/>
        <v/>
      </c>
      <c r="I489" s="4">
        <f t="shared" si="63"/>
        <v>0.70454545454545459</v>
      </c>
      <c r="J489" s="4" t="str">
        <f t="shared" si="64"/>
        <v/>
      </c>
      <c r="K489" s="4" t="str">
        <f t="shared" si="65"/>
        <v/>
      </c>
      <c r="L489" s="4" t="str">
        <f t="shared" si="66"/>
        <v/>
      </c>
      <c r="M489" s="4"/>
      <c r="N489" s="4"/>
      <c r="O489" s="4"/>
      <c r="P489" s="4"/>
      <c r="Q489" s="4"/>
      <c r="R489" s="4"/>
      <c r="S489" s="4"/>
      <c r="T489" s="4"/>
      <c r="U489" s="4"/>
    </row>
    <row r="490" spans="1:21">
      <c r="A490" t="s">
        <v>231</v>
      </c>
      <c r="B490">
        <v>11</v>
      </c>
      <c r="C490" t="str">
        <f t="shared" si="60"/>
        <v>test.TIFFFaxDecoder_11_</v>
      </c>
      <c r="D490">
        <v>9</v>
      </c>
      <c r="E490" s="4">
        <v>0.77272727272727271</v>
      </c>
      <c r="F490" s="4">
        <v>0.54039593365436067</v>
      </c>
      <c r="G490" s="4" t="str">
        <f t="shared" si="61"/>
        <v/>
      </c>
      <c r="H490" s="4" t="str">
        <f t="shared" si="62"/>
        <v/>
      </c>
      <c r="I490" s="4">
        <f t="shared" si="63"/>
        <v>0.77272727272727271</v>
      </c>
      <c r="J490" s="4" t="str">
        <f t="shared" si="64"/>
        <v/>
      </c>
      <c r="K490" s="4" t="str">
        <f t="shared" si="65"/>
        <v/>
      </c>
      <c r="L490" s="4" t="str">
        <f t="shared" si="66"/>
        <v/>
      </c>
      <c r="M490" s="4"/>
      <c r="N490" s="4"/>
      <c r="O490" s="4"/>
      <c r="P490" s="4"/>
      <c r="Q490" s="4"/>
      <c r="R490" s="4"/>
      <c r="S490" s="4"/>
      <c r="T490" s="4"/>
      <c r="U490" s="4"/>
    </row>
    <row r="491" spans="1:21">
      <c r="A491" t="s">
        <v>231</v>
      </c>
      <c r="B491">
        <v>11</v>
      </c>
      <c r="C491" t="str">
        <f t="shared" si="60"/>
        <v>test.TIFFFaxDecoder_11_</v>
      </c>
      <c r="D491">
        <v>10</v>
      </c>
      <c r="E491" s="4">
        <v>0.77272727272727271</v>
      </c>
      <c r="F491" s="4">
        <v>0.55323702514713746</v>
      </c>
      <c r="G491" s="4" t="str">
        <f t="shared" si="61"/>
        <v/>
      </c>
      <c r="H491" s="4" t="str">
        <f t="shared" si="62"/>
        <v/>
      </c>
      <c r="I491" s="4">
        <f t="shared" si="63"/>
        <v>0.77272727272727271</v>
      </c>
      <c r="J491" s="4" t="str">
        <f t="shared" si="64"/>
        <v/>
      </c>
      <c r="K491" s="4" t="str">
        <f t="shared" si="65"/>
        <v/>
      </c>
      <c r="L491" s="4" t="str">
        <f t="shared" si="66"/>
        <v/>
      </c>
      <c r="M491" s="4"/>
      <c r="N491" s="4"/>
      <c r="O491" s="4"/>
      <c r="P491" s="4"/>
      <c r="Q491" s="4"/>
      <c r="R491" s="4"/>
      <c r="S491" s="4"/>
      <c r="T491" s="4"/>
      <c r="U491" s="4"/>
    </row>
    <row r="492" spans="1:21">
      <c r="A492" t="s">
        <v>231</v>
      </c>
      <c r="B492">
        <v>11</v>
      </c>
      <c r="C492" t="str">
        <f t="shared" si="60"/>
        <v>test.TIFFFaxDecoder_11_</v>
      </c>
      <c r="D492">
        <v>11</v>
      </c>
      <c r="E492" s="4">
        <v>0.77272727272727271</v>
      </c>
      <c r="F492" s="4">
        <v>0.55591225254146603</v>
      </c>
      <c r="G492" s="4" t="str">
        <f t="shared" si="61"/>
        <v/>
      </c>
      <c r="H492" s="4" t="str">
        <f t="shared" si="62"/>
        <v/>
      </c>
      <c r="I492" s="4">
        <f t="shared" si="63"/>
        <v>0.77272727272727271</v>
      </c>
      <c r="J492" s="4" t="str">
        <f t="shared" si="64"/>
        <v/>
      </c>
      <c r="K492" s="4" t="str">
        <f t="shared" si="65"/>
        <v/>
      </c>
      <c r="L492" s="4" t="str">
        <f t="shared" si="66"/>
        <v/>
      </c>
      <c r="M492" s="4"/>
      <c r="N492" s="4"/>
      <c r="O492" s="4"/>
      <c r="P492" s="4"/>
      <c r="Q492" s="4"/>
      <c r="R492" s="4"/>
      <c r="S492" s="4"/>
      <c r="T492" s="4"/>
      <c r="U492" s="4"/>
    </row>
    <row r="493" spans="1:21">
      <c r="A493" t="s">
        <v>231</v>
      </c>
      <c r="B493">
        <v>11</v>
      </c>
      <c r="C493" t="str">
        <f t="shared" si="60"/>
        <v>test.TIFFFaxDecoder_11_</v>
      </c>
      <c r="D493">
        <v>12</v>
      </c>
      <c r="E493" s="4">
        <v>0.77272727272727271</v>
      </c>
      <c r="F493" s="4">
        <v>0.56233279828785443</v>
      </c>
      <c r="G493" s="4" t="str">
        <f t="shared" si="61"/>
        <v/>
      </c>
      <c r="H493" s="4" t="str">
        <f t="shared" si="62"/>
        <v/>
      </c>
      <c r="I493" s="4">
        <f t="shared" si="63"/>
        <v>0.77272727272727271</v>
      </c>
      <c r="J493" s="4" t="str">
        <f t="shared" si="64"/>
        <v/>
      </c>
      <c r="K493" s="4" t="str">
        <f t="shared" si="65"/>
        <v/>
      </c>
      <c r="L493" s="4" t="str">
        <f t="shared" si="66"/>
        <v/>
      </c>
      <c r="M493" s="4"/>
      <c r="N493" s="4"/>
      <c r="O493" s="4"/>
      <c r="P493" s="4"/>
      <c r="Q493" s="4"/>
      <c r="R493" s="4"/>
      <c r="S493" s="4"/>
      <c r="T493" s="4"/>
      <c r="U493" s="4"/>
    </row>
    <row r="494" spans="1:21">
      <c r="A494" t="s">
        <v>231</v>
      </c>
      <c r="B494">
        <v>11</v>
      </c>
      <c r="C494" t="str">
        <f t="shared" si="60"/>
        <v>test.TIFFFaxDecoder_11_</v>
      </c>
      <c r="D494">
        <v>13</v>
      </c>
      <c r="E494" s="4">
        <v>0.92045454545454541</v>
      </c>
      <c r="F494" s="4">
        <v>0.56393793472445153</v>
      </c>
      <c r="G494" s="4" t="str">
        <f t="shared" si="61"/>
        <v/>
      </c>
      <c r="H494" s="4" t="str">
        <f t="shared" si="62"/>
        <v/>
      </c>
      <c r="I494" s="4">
        <f t="shared" si="63"/>
        <v>0.92045454545454541</v>
      </c>
      <c r="J494" s="4" t="str">
        <f t="shared" si="64"/>
        <v/>
      </c>
      <c r="K494" s="4" t="str">
        <f t="shared" si="65"/>
        <v/>
      </c>
      <c r="L494" s="4" t="str">
        <f t="shared" si="66"/>
        <v/>
      </c>
      <c r="M494" s="4"/>
      <c r="N494" s="4"/>
      <c r="O494" s="4"/>
      <c r="P494" s="4"/>
      <c r="Q494" s="4"/>
      <c r="R494" s="4"/>
      <c r="S494" s="4"/>
      <c r="T494" s="4"/>
      <c r="U494" s="4"/>
    </row>
    <row r="495" spans="1:21">
      <c r="A495" t="s">
        <v>231</v>
      </c>
      <c r="B495">
        <v>11</v>
      </c>
      <c r="C495" t="str">
        <f t="shared" si="60"/>
        <v>test.TIFFFaxDecoder_11_</v>
      </c>
      <c r="D495">
        <v>14</v>
      </c>
      <c r="E495" s="4">
        <v>0.92045454545454541</v>
      </c>
      <c r="F495" s="4">
        <v>0.56447298020331726</v>
      </c>
      <c r="G495" s="4" t="str">
        <f t="shared" si="61"/>
        <v/>
      </c>
      <c r="H495" s="4" t="str">
        <f t="shared" si="62"/>
        <v/>
      </c>
      <c r="I495" s="4">
        <f t="shared" si="63"/>
        <v>0.92045454545454541</v>
      </c>
      <c r="J495" s="4" t="str">
        <f t="shared" si="64"/>
        <v/>
      </c>
      <c r="K495" s="4" t="str">
        <f t="shared" si="65"/>
        <v/>
      </c>
      <c r="L495" s="4" t="str">
        <f t="shared" si="66"/>
        <v/>
      </c>
      <c r="M495" s="4"/>
      <c r="N495" s="4"/>
      <c r="O495" s="4"/>
      <c r="P495" s="4"/>
      <c r="Q495" s="4"/>
      <c r="R495" s="4"/>
      <c r="S495" s="4"/>
      <c r="T495" s="4"/>
      <c r="U495" s="4"/>
    </row>
    <row r="496" spans="1:21">
      <c r="A496" t="s">
        <v>231</v>
      </c>
      <c r="B496">
        <v>11</v>
      </c>
      <c r="C496" t="str">
        <f t="shared" si="60"/>
        <v>test.TIFFFaxDecoder_11_</v>
      </c>
      <c r="D496">
        <v>15</v>
      </c>
      <c r="E496" s="4">
        <v>1</v>
      </c>
      <c r="F496" s="4">
        <v>0.57731407169609417</v>
      </c>
      <c r="G496" s="4" t="str">
        <f t="shared" si="61"/>
        <v/>
      </c>
      <c r="H496" s="4" t="str">
        <f t="shared" si="62"/>
        <v/>
      </c>
      <c r="I496" s="4">
        <f t="shared" si="63"/>
        <v>1</v>
      </c>
      <c r="J496" s="4" t="str">
        <f t="shared" si="64"/>
        <v/>
      </c>
      <c r="K496" s="4" t="str">
        <f t="shared" si="65"/>
        <v/>
      </c>
      <c r="L496" s="4" t="str">
        <f t="shared" si="66"/>
        <v/>
      </c>
      <c r="M496" s="4"/>
      <c r="N496" s="4"/>
      <c r="O496" s="4"/>
      <c r="P496" s="4"/>
      <c r="Q496" s="4"/>
      <c r="R496" s="4"/>
      <c r="S496" s="4"/>
      <c r="T496" s="4"/>
      <c r="U496" s="4"/>
    </row>
    <row r="497" spans="1:21">
      <c r="A497" t="s">
        <v>231</v>
      </c>
      <c r="B497">
        <v>11</v>
      </c>
      <c r="C497" t="str">
        <f t="shared" si="60"/>
        <v>test.TIFFFaxDecoder_11_</v>
      </c>
      <c r="D497">
        <v>16</v>
      </c>
      <c r="E497" s="4">
        <v>1</v>
      </c>
      <c r="F497" s="4">
        <v>0.58640984483681113</v>
      </c>
      <c r="G497" s="4" t="str">
        <f t="shared" si="61"/>
        <v/>
      </c>
      <c r="H497" s="4" t="str">
        <f t="shared" si="62"/>
        <v/>
      </c>
      <c r="I497" s="4">
        <f t="shared" si="63"/>
        <v>1</v>
      </c>
      <c r="J497" s="4" t="str">
        <f t="shared" si="64"/>
        <v/>
      </c>
      <c r="K497" s="4" t="str">
        <f t="shared" si="65"/>
        <v/>
      </c>
      <c r="L497" s="4" t="str">
        <f t="shared" si="66"/>
        <v/>
      </c>
      <c r="M497" s="4"/>
      <c r="N497" s="4"/>
      <c r="O497" s="4"/>
      <c r="P497" s="4"/>
      <c r="Q497" s="4"/>
      <c r="R497" s="4"/>
      <c r="S497" s="4"/>
      <c r="T497" s="4"/>
      <c r="U497" s="4"/>
    </row>
    <row r="498" spans="1:21">
      <c r="A498" t="s">
        <v>231</v>
      </c>
      <c r="B498">
        <v>11</v>
      </c>
      <c r="C498" t="str">
        <f t="shared" si="60"/>
        <v>test.TIFFFaxDecoder_11_</v>
      </c>
      <c r="D498">
        <v>17</v>
      </c>
      <c r="E498" s="4">
        <v>1</v>
      </c>
      <c r="F498" s="4">
        <v>0.58962011771000533</v>
      </c>
      <c r="G498" s="4" t="str">
        <f t="shared" si="61"/>
        <v/>
      </c>
      <c r="H498" s="4" t="str">
        <f t="shared" si="62"/>
        <v/>
      </c>
      <c r="I498" s="4">
        <f t="shared" si="63"/>
        <v>1</v>
      </c>
      <c r="J498" s="4" t="str">
        <f t="shared" si="64"/>
        <v/>
      </c>
      <c r="K498" s="4" t="str">
        <f t="shared" si="65"/>
        <v/>
      </c>
      <c r="L498" s="4" t="str">
        <f t="shared" si="66"/>
        <v/>
      </c>
      <c r="M498" s="4"/>
      <c r="N498" s="4"/>
      <c r="O498" s="4"/>
      <c r="P498" s="4"/>
      <c r="Q498" s="4"/>
      <c r="R498" s="4"/>
      <c r="S498" s="4"/>
      <c r="T498" s="4"/>
      <c r="U498" s="4"/>
    </row>
    <row r="499" spans="1:21">
      <c r="A499" t="s">
        <v>231</v>
      </c>
      <c r="B499">
        <v>11</v>
      </c>
      <c r="C499" t="str">
        <f t="shared" si="60"/>
        <v>test.TIFFFaxDecoder_11_</v>
      </c>
      <c r="D499">
        <v>18</v>
      </c>
      <c r="E499" s="4">
        <v>1</v>
      </c>
      <c r="F499" s="4">
        <v>0.59015516318887107</v>
      </c>
      <c r="G499" s="4" t="str">
        <f t="shared" si="61"/>
        <v/>
      </c>
      <c r="H499" s="4" t="str">
        <f t="shared" si="62"/>
        <v/>
      </c>
      <c r="I499" s="4">
        <f t="shared" si="63"/>
        <v>1</v>
      </c>
      <c r="J499" s="4" t="str">
        <f t="shared" si="64"/>
        <v/>
      </c>
      <c r="K499" s="4" t="str">
        <f t="shared" si="65"/>
        <v/>
      </c>
      <c r="L499" s="4" t="str">
        <f t="shared" si="66"/>
        <v/>
      </c>
      <c r="M499" s="4"/>
      <c r="N499" s="4"/>
      <c r="O499" s="4"/>
      <c r="P499" s="4"/>
      <c r="Q499" s="4"/>
      <c r="R499" s="4"/>
      <c r="S499" s="4"/>
      <c r="T499" s="4"/>
      <c r="U499" s="4"/>
    </row>
    <row r="500" spans="1:21">
      <c r="A500" t="s">
        <v>231</v>
      </c>
      <c r="B500">
        <v>11</v>
      </c>
      <c r="C500" t="str">
        <f t="shared" si="60"/>
        <v>test.TIFFFaxDecoder_11_</v>
      </c>
      <c r="D500">
        <v>19</v>
      </c>
      <c r="E500" s="4">
        <v>1</v>
      </c>
      <c r="F500" s="4">
        <v>0.59176029962546817</v>
      </c>
      <c r="G500" s="4" t="str">
        <f t="shared" si="61"/>
        <v/>
      </c>
      <c r="H500" s="4" t="str">
        <f t="shared" si="62"/>
        <v/>
      </c>
      <c r="I500" s="4">
        <f t="shared" si="63"/>
        <v>1</v>
      </c>
      <c r="J500" s="4" t="str">
        <f t="shared" si="64"/>
        <v/>
      </c>
      <c r="K500" s="4" t="str">
        <f t="shared" si="65"/>
        <v/>
      </c>
      <c r="L500" s="4" t="str">
        <f t="shared" si="66"/>
        <v/>
      </c>
      <c r="M500" s="4"/>
      <c r="N500" s="4"/>
      <c r="O500" s="4"/>
      <c r="P500" s="4"/>
      <c r="Q500" s="4"/>
      <c r="R500" s="4"/>
      <c r="S500" s="4"/>
      <c r="T500" s="4"/>
      <c r="U500" s="4"/>
    </row>
    <row r="501" spans="1:21">
      <c r="A501" t="s">
        <v>231</v>
      </c>
      <c r="B501">
        <v>12</v>
      </c>
      <c r="C501" t="str">
        <f t="shared" si="60"/>
        <v>test.TIFFFaxDecoder_12_</v>
      </c>
      <c r="D501">
        <v>1</v>
      </c>
      <c r="E501" s="4">
        <v>0.125</v>
      </c>
      <c r="F501" s="4">
        <v>0.18369259606373009</v>
      </c>
      <c r="G501" s="4">
        <f t="shared" si="61"/>
        <v>0.125</v>
      </c>
      <c r="H501" s="4" t="str">
        <f t="shared" si="62"/>
        <v/>
      </c>
      <c r="I501" s="4" t="str">
        <f t="shared" si="63"/>
        <v/>
      </c>
      <c r="J501" s="4" t="str">
        <f t="shared" si="64"/>
        <v/>
      </c>
      <c r="K501" s="4" t="str">
        <f t="shared" si="65"/>
        <v/>
      </c>
      <c r="L501" s="4" t="str">
        <f t="shared" si="66"/>
        <v/>
      </c>
      <c r="M501" s="4"/>
      <c r="N501" s="4"/>
      <c r="O501" s="4"/>
      <c r="P501" s="4"/>
      <c r="Q501" s="4"/>
      <c r="R501" s="4"/>
      <c r="S501" s="4"/>
      <c r="T501" s="4"/>
      <c r="U501" s="4"/>
    </row>
    <row r="502" spans="1:21">
      <c r="A502" t="s">
        <v>231</v>
      </c>
      <c r="B502">
        <v>12</v>
      </c>
      <c r="C502" t="str">
        <f t="shared" si="60"/>
        <v>test.TIFFFaxDecoder_12_</v>
      </c>
      <c r="D502">
        <v>2</v>
      </c>
      <c r="E502" s="4">
        <v>0.5178571428571429</v>
      </c>
      <c r="F502" s="4">
        <v>0.57263355201499533</v>
      </c>
      <c r="G502" s="4" t="str">
        <f t="shared" si="61"/>
        <v/>
      </c>
      <c r="H502" s="4" t="str">
        <f t="shared" si="62"/>
        <v/>
      </c>
      <c r="I502" s="4">
        <f t="shared" si="63"/>
        <v>0.5178571428571429</v>
      </c>
      <c r="J502" s="4" t="str">
        <f t="shared" si="64"/>
        <v/>
      </c>
      <c r="K502" s="4" t="str">
        <f t="shared" si="65"/>
        <v/>
      </c>
      <c r="L502" s="4" t="str">
        <f t="shared" si="66"/>
        <v/>
      </c>
      <c r="M502" s="4"/>
      <c r="N502" s="4"/>
      <c r="O502" s="4"/>
      <c r="P502" s="4"/>
      <c r="Q502" s="4"/>
      <c r="R502" s="4"/>
      <c r="S502" s="4"/>
      <c r="T502" s="4"/>
      <c r="U502" s="4"/>
    </row>
    <row r="503" spans="1:21">
      <c r="A503" t="s">
        <v>231</v>
      </c>
      <c r="B503">
        <v>12</v>
      </c>
      <c r="C503" t="str">
        <f t="shared" si="60"/>
        <v>test.TIFFFaxDecoder_12_</v>
      </c>
      <c r="D503">
        <v>3</v>
      </c>
      <c r="E503" s="4">
        <v>0.5714285714285714</v>
      </c>
      <c r="F503" s="4">
        <v>0.5801312089971884</v>
      </c>
      <c r="G503" s="4" t="str">
        <f t="shared" si="61"/>
        <v/>
      </c>
      <c r="H503" s="4" t="str">
        <f t="shared" si="62"/>
        <v/>
      </c>
      <c r="I503" s="4">
        <f t="shared" si="63"/>
        <v>0.5714285714285714</v>
      </c>
      <c r="J503" s="4" t="str">
        <f t="shared" si="64"/>
        <v/>
      </c>
      <c r="K503" s="4" t="str">
        <f t="shared" si="65"/>
        <v/>
      </c>
      <c r="L503" s="4" t="str">
        <f t="shared" si="66"/>
        <v/>
      </c>
      <c r="M503" s="4"/>
      <c r="N503" s="4"/>
      <c r="O503" s="4"/>
      <c r="P503" s="4"/>
      <c r="Q503" s="4"/>
      <c r="R503" s="4"/>
      <c r="S503" s="4"/>
      <c r="T503" s="4"/>
      <c r="U503" s="4"/>
    </row>
    <row r="504" spans="1:21">
      <c r="A504" t="s">
        <v>231</v>
      </c>
      <c r="B504">
        <v>12</v>
      </c>
      <c r="C504" t="str">
        <f t="shared" si="60"/>
        <v>test.TIFFFaxDecoder_12_</v>
      </c>
      <c r="D504">
        <v>4</v>
      </c>
      <c r="E504" s="4">
        <v>0.7678571428571429</v>
      </c>
      <c r="F504" s="4">
        <v>0.61761949390815374</v>
      </c>
      <c r="G504" s="4" t="str">
        <f t="shared" si="61"/>
        <v/>
      </c>
      <c r="H504" s="4" t="str">
        <f t="shared" si="62"/>
        <v/>
      </c>
      <c r="I504" s="4" t="str">
        <f t="shared" si="63"/>
        <v/>
      </c>
      <c r="J504" s="4">
        <f t="shared" si="64"/>
        <v>0.7678571428571429</v>
      </c>
      <c r="K504" s="4" t="str">
        <f t="shared" si="65"/>
        <v/>
      </c>
      <c r="L504" s="4" t="str">
        <f t="shared" si="66"/>
        <v/>
      </c>
      <c r="M504" s="4"/>
      <c r="N504" s="4"/>
      <c r="O504" s="4"/>
      <c r="P504" s="4"/>
      <c r="Q504" s="4"/>
      <c r="R504" s="4"/>
      <c r="S504" s="4"/>
      <c r="T504" s="4"/>
      <c r="U504" s="4"/>
    </row>
    <row r="505" spans="1:21">
      <c r="A505" t="s">
        <v>231</v>
      </c>
      <c r="B505">
        <v>12</v>
      </c>
      <c r="C505" t="str">
        <f t="shared" si="60"/>
        <v>test.TIFFFaxDecoder_12_</v>
      </c>
      <c r="D505">
        <v>5</v>
      </c>
      <c r="E505" s="4">
        <v>0.7678571428571429</v>
      </c>
      <c r="F505" s="4">
        <v>0.62699156513589505</v>
      </c>
      <c r="G505" s="4" t="str">
        <f t="shared" si="61"/>
        <v/>
      </c>
      <c r="H505" s="4" t="str">
        <f t="shared" si="62"/>
        <v/>
      </c>
      <c r="I505" s="4" t="str">
        <f t="shared" si="63"/>
        <v/>
      </c>
      <c r="J505" s="4">
        <f t="shared" si="64"/>
        <v>0.7678571428571429</v>
      </c>
      <c r="K505" s="4" t="str">
        <f t="shared" si="65"/>
        <v/>
      </c>
      <c r="L505" s="4" t="str">
        <f t="shared" si="66"/>
        <v/>
      </c>
      <c r="M505" s="4"/>
      <c r="N505" s="4"/>
      <c r="O505" s="4"/>
      <c r="P505" s="4"/>
      <c r="Q505" s="4"/>
      <c r="R505" s="4"/>
      <c r="S505" s="4"/>
      <c r="T505" s="4"/>
      <c r="U505" s="4"/>
    </row>
    <row r="506" spans="1:21">
      <c r="A506" t="s">
        <v>231</v>
      </c>
      <c r="B506">
        <v>12</v>
      </c>
      <c r="C506" t="str">
        <f t="shared" si="60"/>
        <v>test.TIFFFaxDecoder_12_</v>
      </c>
      <c r="D506">
        <v>6</v>
      </c>
      <c r="E506" s="4">
        <v>0.8928571428571429</v>
      </c>
      <c r="F506" s="4">
        <v>0.64761012183692601</v>
      </c>
      <c r="G506" s="4" t="str">
        <f t="shared" si="61"/>
        <v/>
      </c>
      <c r="H506" s="4" t="str">
        <f t="shared" si="62"/>
        <v/>
      </c>
      <c r="I506" s="4" t="str">
        <f t="shared" si="63"/>
        <v/>
      </c>
      <c r="J506" s="4">
        <f t="shared" si="64"/>
        <v>0.8928571428571429</v>
      </c>
      <c r="K506" s="4" t="str">
        <f t="shared" si="65"/>
        <v/>
      </c>
      <c r="L506" s="4" t="str">
        <f t="shared" si="66"/>
        <v/>
      </c>
      <c r="M506" s="4"/>
      <c r="N506" s="4"/>
      <c r="O506" s="4"/>
      <c r="P506" s="4"/>
      <c r="Q506" s="4"/>
      <c r="R506" s="4"/>
      <c r="S506" s="4"/>
      <c r="T506" s="4"/>
      <c r="U506" s="4"/>
    </row>
    <row r="507" spans="1:21">
      <c r="A507" t="s">
        <v>231</v>
      </c>
      <c r="B507">
        <v>12</v>
      </c>
      <c r="C507" t="str">
        <f t="shared" si="60"/>
        <v>test.TIFFFaxDecoder_12_</v>
      </c>
      <c r="D507">
        <v>7</v>
      </c>
      <c r="E507" s="4">
        <v>1</v>
      </c>
      <c r="F507" s="4">
        <v>0.65323336457357073</v>
      </c>
      <c r="G507" s="4" t="str">
        <f t="shared" si="61"/>
        <v/>
      </c>
      <c r="H507" s="4" t="str">
        <f t="shared" si="62"/>
        <v/>
      </c>
      <c r="I507" s="4" t="str">
        <f t="shared" si="63"/>
        <v/>
      </c>
      <c r="J507" s="4">
        <f t="shared" si="64"/>
        <v>1</v>
      </c>
      <c r="K507" s="4" t="str">
        <f t="shared" si="65"/>
        <v/>
      </c>
      <c r="L507" s="4" t="str">
        <f t="shared" si="66"/>
        <v/>
      </c>
      <c r="M507" s="4"/>
      <c r="N507" s="4"/>
      <c r="O507" s="4"/>
      <c r="P507" s="4"/>
      <c r="Q507" s="4"/>
      <c r="R507" s="4"/>
      <c r="S507" s="4"/>
      <c r="T507" s="4"/>
      <c r="U507" s="4"/>
    </row>
    <row r="508" spans="1:21">
      <c r="A508" t="s">
        <v>231</v>
      </c>
      <c r="B508">
        <v>12</v>
      </c>
      <c r="C508" t="str">
        <f t="shared" si="60"/>
        <v>test.TIFFFaxDecoder_12_</v>
      </c>
      <c r="D508">
        <v>8</v>
      </c>
      <c r="E508" s="4">
        <v>1</v>
      </c>
      <c r="F508" s="4">
        <v>0.67478912839737581</v>
      </c>
      <c r="G508" s="4" t="str">
        <f t="shared" si="61"/>
        <v/>
      </c>
      <c r="H508" s="4" t="str">
        <f t="shared" si="62"/>
        <v/>
      </c>
      <c r="I508" s="4" t="str">
        <f t="shared" si="63"/>
        <v/>
      </c>
      <c r="J508" s="4">
        <f t="shared" si="64"/>
        <v>1</v>
      </c>
      <c r="K508" s="4" t="str">
        <f t="shared" si="65"/>
        <v/>
      </c>
      <c r="L508" s="4" t="str">
        <f t="shared" si="66"/>
        <v/>
      </c>
      <c r="M508" s="4"/>
      <c r="N508" s="4"/>
      <c r="O508" s="4"/>
      <c r="P508" s="4"/>
      <c r="Q508" s="4"/>
      <c r="R508" s="4"/>
      <c r="S508" s="4"/>
      <c r="T508" s="4"/>
      <c r="U508" s="4"/>
    </row>
    <row r="509" spans="1:21">
      <c r="A509" t="s">
        <v>231</v>
      </c>
      <c r="B509">
        <v>12</v>
      </c>
      <c r="C509" t="str">
        <f t="shared" si="60"/>
        <v>test.TIFFFaxDecoder_12_</v>
      </c>
      <c r="D509">
        <v>9</v>
      </c>
      <c r="E509" s="4">
        <v>1</v>
      </c>
      <c r="F509" s="4">
        <v>0.68134957825679476</v>
      </c>
      <c r="G509" s="4" t="str">
        <f t="shared" si="61"/>
        <v/>
      </c>
      <c r="H509" s="4" t="str">
        <f t="shared" si="62"/>
        <v/>
      </c>
      <c r="I509" s="4" t="str">
        <f t="shared" si="63"/>
        <v/>
      </c>
      <c r="J509" s="4">
        <f t="shared" si="64"/>
        <v>1</v>
      </c>
      <c r="K509" s="4" t="str">
        <f t="shared" si="65"/>
        <v/>
      </c>
      <c r="L509" s="4" t="str">
        <f t="shared" si="66"/>
        <v/>
      </c>
      <c r="M509" s="4"/>
      <c r="N509" s="4"/>
      <c r="O509" s="4"/>
      <c r="P509" s="4"/>
      <c r="Q509" s="4"/>
      <c r="R509" s="4"/>
      <c r="S509" s="4"/>
      <c r="T509" s="4"/>
      <c r="U509" s="4"/>
    </row>
    <row r="510" spans="1:21">
      <c r="A510" t="s">
        <v>231</v>
      </c>
      <c r="B510">
        <v>13</v>
      </c>
      <c r="C510" t="str">
        <f t="shared" si="60"/>
        <v>test.TIFFFaxDecoder_13_</v>
      </c>
      <c r="D510">
        <v>1</v>
      </c>
      <c r="E510" s="4">
        <v>0.42857142857142855</v>
      </c>
      <c r="F510" s="4">
        <v>0.66321243523316065</v>
      </c>
      <c r="G510" s="4" t="str">
        <f t="shared" si="61"/>
        <v/>
      </c>
      <c r="H510" s="4" t="str">
        <f t="shared" si="62"/>
        <v/>
      </c>
      <c r="I510" s="4" t="str">
        <f t="shared" si="63"/>
        <v/>
      </c>
      <c r="J510" s="4">
        <f t="shared" si="64"/>
        <v>0.42857142857142855</v>
      </c>
      <c r="K510" s="4" t="str">
        <f t="shared" si="65"/>
        <v/>
      </c>
      <c r="L510" s="4" t="str">
        <f t="shared" si="66"/>
        <v/>
      </c>
      <c r="M510" s="4"/>
      <c r="N510" s="4"/>
      <c r="O510" s="4"/>
      <c r="P510" s="4"/>
      <c r="Q510" s="4"/>
      <c r="R510" s="4"/>
      <c r="S510" s="4"/>
      <c r="T510" s="4"/>
      <c r="U510" s="4"/>
    </row>
    <row r="511" spans="1:21">
      <c r="A511" t="s">
        <v>231</v>
      </c>
      <c r="B511">
        <v>13</v>
      </c>
      <c r="C511" t="str">
        <f t="shared" si="60"/>
        <v>test.TIFFFaxDecoder_13_</v>
      </c>
      <c r="D511">
        <v>2</v>
      </c>
      <c r="E511" s="4">
        <v>1</v>
      </c>
      <c r="F511" s="4">
        <v>1.0466321243523315</v>
      </c>
      <c r="G511" s="4" t="str">
        <f t="shared" si="61"/>
        <v/>
      </c>
      <c r="H511" s="4" t="str">
        <f t="shared" si="62"/>
        <v/>
      </c>
      <c r="I511" s="4" t="str">
        <f t="shared" si="63"/>
        <v/>
      </c>
      <c r="J511" s="4" t="str">
        <f t="shared" si="64"/>
        <v/>
      </c>
      <c r="K511" s="4">
        <f t="shared" si="65"/>
        <v>1</v>
      </c>
      <c r="L511" s="4" t="str">
        <f t="shared" si="66"/>
        <v/>
      </c>
      <c r="M511" s="4"/>
      <c r="N511" s="4"/>
      <c r="O511" s="4"/>
      <c r="P511" s="4"/>
      <c r="Q511" s="4"/>
      <c r="R511" s="4"/>
      <c r="S511" s="4"/>
      <c r="T511" s="4"/>
      <c r="U511" s="4"/>
    </row>
    <row r="512" spans="1:21">
      <c r="A512" t="s">
        <v>598</v>
      </c>
      <c r="B512">
        <v>2</v>
      </c>
      <c r="C512" t="str">
        <f t="shared" si="60"/>
        <v>test.TIFFFaxEncoder_2_</v>
      </c>
      <c r="D512">
        <v>1</v>
      </c>
      <c r="E512" s="4">
        <v>0.352112676056338</v>
      </c>
      <c r="F512" s="4">
        <v>0.29642395519172771</v>
      </c>
      <c r="G512" s="4" t="str">
        <f t="shared" si="61"/>
        <v/>
      </c>
      <c r="H512" s="4">
        <f t="shared" si="62"/>
        <v>0.352112676056338</v>
      </c>
      <c r="I512" s="4" t="str">
        <f t="shared" si="63"/>
        <v/>
      </c>
      <c r="J512" s="4" t="str">
        <f t="shared" si="64"/>
        <v/>
      </c>
      <c r="K512" s="4" t="str">
        <f t="shared" si="65"/>
        <v/>
      </c>
      <c r="L512" s="4" t="str">
        <f t="shared" si="66"/>
        <v/>
      </c>
      <c r="M512" s="4"/>
      <c r="N512" s="4"/>
      <c r="O512" s="4"/>
      <c r="P512" s="4"/>
      <c r="Q512" s="4"/>
      <c r="R512" s="4"/>
      <c r="S512" s="4"/>
      <c r="T512" s="4"/>
      <c r="U512" s="4"/>
    </row>
    <row r="513" spans="1:21">
      <c r="A513" t="s">
        <v>598</v>
      </c>
      <c r="B513">
        <v>2</v>
      </c>
      <c r="C513" t="str">
        <f t="shared" si="60"/>
        <v>test.TIFFFaxEncoder_2_</v>
      </c>
      <c r="D513">
        <v>2</v>
      </c>
      <c r="E513" s="4">
        <v>0.70422535211267601</v>
      </c>
      <c r="F513" s="4">
        <v>0.45756139595002154</v>
      </c>
      <c r="G513" s="4" t="str">
        <f t="shared" si="61"/>
        <v/>
      </c>
      <c r="H513" s="4" t="str">
        <f t="shared" si="62"/>
        <v/>
      </c>
      <c r="I513" s="4">
        <f t="shared" si="63"/>
        <v>0.70422535211267601</v>
      </c>
      <c r="J513" s="4" t="str">
        <f t="shared" si="64"/>
        <v/>
      </c>
      <c r="K513" s="4" t="str">
        <f t="shared" si="65"/>
        <v/>
      </c>
      <c r="L513" s="4" t="str">
        <f t="shared" si="66"/>
        <v/>
      </c>
      <c r="M513" s="4"/>
      <c r="N513" s="4"/>
      <c r="O513" s="4"/>
      <c r="P513" s="4"/>
      <c r="Q513" s="4"/>
      <c r="R513" s="4"/>
      <c r="S513" s="4"/>
      <c r="T513" s="4"/>
      <c r="U513" s="4"/>
    </row>
    <row r="514" spans="1:21">
      <c r="A514" t="s">
        <v>598</v>
      </c>
      <c r="B514">
        <v>2</v>
      </c>
      <c r="C514" t="str">
        <f t="shared" si="60"/>
        <v>test.TIFFFaxEncoder_2_</v>
      </c>
      <c r="D514">
        <v>3</v>
      </c>
      <c r="E514" s="4">
        <v>1</v>
      </c>
      <c r="F514" s="4">
        <v>0.65747522619560539</v>
      </c>
      <c r="G514" s="4" t="str">
        <f t="shared" si="61"/>
        <v/>
      </c>
      <c r="H514" s="4" t="str">
        <f t="shared" si="62"/>
        <v/>
      </c>
      <c r="I514" s="4" t="str">
        <f t="shared" si="63"/>
        <v/>
      </c>
      <c r="J514" s="4">
        <f t="shared" si="64"/>
        <v>1</v>
      </c>
      <c r="K514" s="4" t="str">
        <f t="shared" si="65"/>
        <v/>
      </c>
      <c r="L514" s="4" t="str">
        <f t="shared" si="66"/>
        <v/>
      </c>
      <c r="M514" s="4"/>
      <c r="N514" s="4"/>
      <c r="O514" s="4"/>
      <c r="P514" s="4"/>
      <c r="Q514" s="4"/>
      <c r="R514" s="4"/>
      <c r="S514" s="4"/>
      <c r="T514" s="4"/>
      <c r="U514" s="4"/>
    </row>
    <row r="515" spans="1:21">
      <c r="A515" t="s">
        <v>598</v>
      </c>
      <c r="B515">
        <v>6</v>
      </c>
      <c r="C515" t="str">
        <f t="shared" ref="C515:C522" si="67">CONCATENATE(A515, "_",B515,"_")</f>
        <v>test.TIFFFaxEncoder_6_</v>
      </c>
      <c r="D515">
        <v>1</v>
      </c>
      <c r="E515" s="4">
        <v>0.67741935483870963</v>
      </c>
      <c r="F515" s="4">
        <v>0.76502145922746778</v>
      </c>
      <c r="G515" s="4" t="str">
        <f t="shared" ref="G515:G522" si="68">IF($F515 &lt;= 0.2,$E515,"")</f>
        <v/>
      </c>
      <c r="H515" s="4" t="str">
        <f t="shared" ref="H515:H522" si="69">IF(AND($F515 &gt; 0.2,$F515 &lt;= 0.4),$E515,"")</f>
        <v/>
      </c>
      <c r="I515" s="4" t="str">
        <f t="shared" ref="I515:I522" si="70">IF(AND($F515 &gt; 0.4,$F515 &lt;= 0.6),$E515,"")</f>
        <v/>
      </c>
      <c r="J515" s="4">
        <f t="shared" ref="J515:J522" si="71">IF(AND($F515 &gt; 0.6,$F515 &lt;= 0.8),$E515,"")</f>
        <v>0.67741935483870963</v>
      </c>
      <c r="K515" s="4" t="str">
        <f t="shared" ref="K515:K522" si="72">IF(AND($F515 &gt; 0.8, $F515 &lt;=1.1),$E515,"")</f>
        <v/>
      </c>
      <c r="L515" s="4" t="str">
        <f t="shared" ref="L515:L522" si="73">IF(AND($F515 &gt; 1.1),$E515,"")</f>
        <v/>
      </c>
      <c r="M515" s="4"/>
      <c r="N515" s="4"/>
      <c r="O515" s="4"/>
      <c r="P515" s="4"/>
      <c r="Q515" s="4"/>
      <c r="R515" s="4"/>
      <c r="S515" s="4"/>
      <c r="T515" s="4"/>
      <c r="U515" s="4"/>
    </row>
    <row r="516" spans="1:21">
      <c r="A516" t="s">
        <v>598</v>
      </c>
      <c r="B516">
        <v>6</v>
      </c>
      <c r="C516" t="str">
        <f t="shared" si="67"/>
        <v>test.TIFFFaxEncoder_6_</v>
      </c>
      <c r="D516">
        <v>2</v>
      </c>
      <c r="E516" s="4">
        <v>0.74193548387096775</v>
      </c>
      <c r="F516" s="4">
        <v>0.78218884120171672</v>
      </c>
      <c r="G516" s="4" t="str">
        <f t="shared" si="68"/>
        <v/>
      </c>
      <c r="H516" s="4" t="str">
        <f t="shared" si="69"/>
        <v/>
      </c>
      <c r="I516" s="4" t="str">
        <f t="shared" si="70"/>
        <v/>
      </c>
      <c r="J516" s="4">
        <f t="shared" si="71"/>
        <v>0.74193548387096775</v>
      </c>
      <c r="K516" s="4" t="str">
        <f t="shared" si="72"/>
        <v/>
      </c>
      <c r="L516" s="4" t="str">
        <f t="shared" si="73"/>
        <v/>
      </c>
      <c r="M516" s="4"/>
      <c r="N516" s="4"/>
      <c r="O516" s="4"/>
      <c r="P516" s="4"/>
      <c r="Q516" s="4"/>
      <c r="R516" s="4"/>
      <c r="S516" s="4"/>
      <c r="T516" s="4"/>
      <c r="U516" s="4"/>
    </row>
    <row r="517" spans="1:21">
      <c r="A517" t="s">
        <v>598</v>
      </c>
      <c r="B517">
        <v>6</v>
      </c>
      <c r="C517" t="str">
        <f t="shared" si="67"/>
        <v>test.TIFFFaxEncoder_6_</v>
      </c>
      <c r="D517">
        <v>3</v>
      </c>
      <c r="E517" s="4">
        <v>0.967741935483871</v>
      </c>
      <c r="F517" s="4">
        <v>0.87339055793991416</v>
      </c>
      <c r="G517" s="4" t="str">
        <f t="shared" si="68"/>
        <v/>
      </c>
      <c r="H517" s="4" t="str">
        <f t="shared" si="69"/>
        <v/>
      </c>
      <c r="I517" s="4" t="str">
        <f t="shared" si="70"/>
        <v/>
      </c>
      <c r="J517" s="4" t="str">
        <f t="shared" si="71"/>
        <v/>
      </c>
      <c r="K517" s="4">
        <f t="shared" si="72"/>
        <v>0.967741935483871</v>
      </c>
      <c r="L517" s="4" t="str">
        <f t="shared" si="73"/>
        <v/>
      </c>
      <c r="M517" s="4"/>
      <c r="N517" s="4"/>
      <c r="O517" s="4"/>
      <c r="P517" s="4"/>
      <c r="Q517" s="4"/>
      <c r="R517" s="4"/>
      <c r="S517" s="4"/>
      <c r="T517" s="4"/>
      <c r="U517" s="4"/>
    </row>
    <row r="518" spans="1:21">
      <c r="A518" t="s">
        <v>598</v>
      </c>
      <c r="B518">
        <v>6</v>
      </c>
      <c r="C518" t="str">
        <f t="shared" si="67"/>
        <v>test.TIFFFaxEncoder_6_</v>
      </c>
      <c r="D518">
        <v>4</v>
      </c>
      <c r="E518" s="4">
        <v>0.967741935483871</v>
      </c>
      <c r="F518" s="4">
        <v>0.87446351931330468</v>
      </c>
      <c r="G518" s="4" t="str">
        <f t="shared" si="68"/>
        <v/>
      </c>
      <c r="H518" s="4" t="str">
        <f t="shared" si="69"/>
        <v/>
      </c>
      <c r="I518" s="4" t="str">
        <f t="shared" si="70"/>
        <v/>
      </c>
      <c r="J518" s="4" t="str">
        <f t="shared" si="71"/>
        <v/>
      </c>
      <c r="K518" s="4">
        <f t="shared" si="72"/>
        <v>0.967741935483871</v>
      </c>
      <c r="L518" s="4" t="str">
        <f t="shared" si="73"/>
        <v/>
      </c>
      <c r="M518" s="4"/>
      <c r="N518" s="4"/>
      <c r="O518" s="4"/>
      <c r="P518" s="4"/>
      <c r="Q518" s="4"/>
      <c r="R518" s="4"/>
      <c r="S518" s="4"/>
      <c r="T518" s="4"/>
      <c r="U518" s="4"/>
    </row>
    <row r="519" spans="1:21">
      <c r="A519" t="s">
        <v>598</v>
      </c>
      <c r="B519">
        <v>6</v>
      </c>
      <c r="C519" t="str">
        <f t="shared" si="67"/>
        <v>test.TIFFFaxEncoder_6_</v>
      </c>
      <c r="D519">
        <v>5</v>
      </c>
      <c r="E519" s="4">
        <v>1</v>
      </c>
      <c r="F519" s="4">
        <v>0.89699570815450647</v>
      </c>
      <c r="G519" s="4" t="str">
        <f t="shared" si="68"/>
        <v/>
      </c>
      <c r="H519" s="4" t="str">
        <f t="shared" si="69"/>
        <v/>
      </c>
      <c r="I519" s="4" t="str">
        <f t="shared" si="70"/>
        <v/>
      </c>
      <c r="J519" s="4" t="str">
        <f t="shared" si="71"/>
        <v/>
      </c>
      <c r="K519" s="4">
        <f t="shared" si="72"/>
        <v>1</v>
      </c>
      <c r="L519" s="4" t="str">
        <f t="shared" si="73"/>
        <v/>
      </c>
      <c r="M519" s="4"/>
      <c r="N519" s="4"/>
      <c r="O519" s="4"/>
      <c r="P519" s="4"/>
      <c r="Q519" s="4"/>
      <c r="R519" s="4"/>
      <c r="S519" s="4"/>
      <c r="T519" s="4"/>
      <c r="U519" s="4"/>
    </row>
    <row r="520" spans="1:21">
      <c r="A520" t="s">
        <v>598</v>
      </c>
      <c r="B520">
        <v>6</v>
      </c>
      <c r="C520" t="str">
        <f t="shared" si="67"/>
        <v>test.TIFFFaxEncoder_6_</v>
      </c>
      <c r="D520">
        <v>6</v>
      </c>
      <c r="E520" s="4">
        <v>1</v>
      </c>
      <c r="F520" s="4">
        <v>1.5793991416309012</v>
      </c>
      <c r="G520" s="4" t="str">
        <f t="shared" si="68"/>
        <v/>
      </c>
      <c r="H520" s="4" t="str">
        <f t="shared" si="69"/>
        <v/>
      </c>
      <c r="I520" s="4" t="str">
        <f t="shared" si="70"/>
        <v/>
      </c>
      <c r="J520" s="4" t="str">
        <f t="shared" si="71"/>
        <v/>
      </c>
      <c r="K520" s="4" t="str">
        <f t="shared" si="72"/>
        <v/>
      </c>
      <c r="L520" s="4">
        <f t="shared" si="73"/>
        <v>1</v>
      </c>
      <c r="M520" s="4"/>
      <c r="N520" s="4"/>
      <c r="O520" s="4"/>
      <c r="P520" s="4"/>
      <c r="Q520" s="4"/>
      <c r="R520" s="4"/>
      <c r="S520" s="4"/>
      <c r="T520" s="4"/>
      <c r="U520" s="4"/>
    </row>
    <row r="521" spans="1:21">
      <c r="A521" t="s">
        <v>598</v>
      </c>
      <c r="B521">
        <v>8</v>
      </c>
      <c r="C521" t="str">
        <f t="shared" si="67"/>
        <v>test.TIFFFaxEncoder_8_</v>
      </c>
      <c r="D521">
        <v>1</v>
      </c>
      <c r="E521" s="4">
        <v>0.89655172413793105</v>
      </c>
      <c r="F521" s="4">
        <v>0.93908153701968133</v>
      </c>
      <c r="G521" s="4" t="str">
        <f t="shared" si="68"/>
        <v/>
      </c>
      <c r="H521" s="4" t="str">
        <f t="shared" si="69"/>
        <v/>
      </c>
      <c r="I521" s="4" t="str">
        <f t="shared" si="70"/>
        <v/>
      </c>
      <c r="J521" s="4" t="str">
        <f t="shared" si="71"/>
        <v/>
      </c>
      <c r="K521" s="4">
        <f t="shared" si="72"/>
        <v>0.89655172413793105</v>
      </c>
      <c r="L521" s="4" t="str">
        <f t="shared" si="73"/>
        <v/>
      </c>
      <c r="M521" s="4"/>
      <c r="N521" s="4"/>
      <c r="O521" s="4"/>
      <c r="P521" s="4"/>
      <c r="Q521" s="4"/>
      <c r="R521" s="4"/>
      <c r="S521" s="4"/>
      <c r="T521" s="4"/>
      <c r="U521" s="4"/>
    </row>
    <row r="522" spans="1:21">
      <c r="A522" t="s">
        <v>598</v>
      </c>
      <c r="B522">
        <v>8</v>
      </c>
      <c r="C522" t="str">
        <f t="shared" si="67"/>
        <v>test.TIFFFaxEncoder_8_</v>
      </c>
      <c r="D522">
        <v>2</v>
      </c>
      <c r="E522" s="4">
        <v>1</v>
      </c>
      <c r="F522" s="4">
        <v>0.96719775070290537</v>
      </c>
      <c r="G522" s="4" t="str">
        <f t="shared" si="68"/>
        <v/>
      </c>
      <c r="H522" s="4" t="str">
        <f t="shared" si="69"/>
        <v/>
      </c>
      <c r="I522" s="4" t="str">
        <f t="shared" si="70"/>
        <v/>
      </c>
      <c r="J522" s="4" t="str">
        <f t="shared" si="71"/>
        <v/>
      </c>
      <c r="K522" s="4">
        <f t="shared" si="72"/>
        <v>1</v>
      </c>
      <c r="L522" s="4" t="str">
        <f t="shared" si="73"/>
        <v/>
      </c>
      <c r="M522" s="4"/>
      <c r="N522" s="4"/>
      <c r="O522" s="4"/>
      <c r="P522" s="4"/>
      <c r="Q522" s="4"/>
      <c r="R522" s="4"/>
      <c r="S522" s="4"/>
      <c r="T522" s="4"/>
      <c r="U522" s="4"/>
    </row>
    <row r="523" spans="1:21">
      <c r="E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1:21">
      <c r="E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1:21">
      <c r="E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1:21">
      <c r="E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1:21">
      <c r="E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1:21">
      <c r="E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5:21">
      <c r="E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5:21">
      <c r="E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5:21">
      <c r="E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5:21">
      <c r="E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5:21">
      <c r="E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5:21">
      <c r="E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5:21">
      <c r="E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5:21">
      <c r="E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5:21">
      <c r="E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5:21">
      <c r="E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5:21">
      <c r="E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5:21">
      <c r="E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3"/>
  <sheetViews>
    <sheetView workbookViewId="0">
      <selection activeCell="I341" sqref="I1:I1048576"/>
    </sheetView>
  </sheetViews>
  <sheetFormatPr baseColWidth="10" defaultRowHeight="15" x14ac:dyDescent="0"/>
  <cols>
    <col min="1" max="1" width="25.33203125" bestFit="1" customWidth="1"/>
  </cols>
  <sheetData>
    <row r="1" spans="1:11">
      <c r="A1" t="s">
        <v>216</v>
      </c>
      <c r="B1" t="s">
        <v>217</v>
      </c>
      <c r="C1" t="s">
        <v>218</v>
      </c>
      <c r="D1" s="2" t="s">
        <v>181</v>
      </c>
      <c r="E1" s="2" t="s">
        <v>183</v>
      </c>
      <c r="F1" s="2" t="s">
        <v>182</v>
      </c>
      <c r="G1" s="2" t="s">
        <v>184</v>
      </c>
      <c r="H1" s="2" t="s">
        <v>10</v>
      </c>
      <c r="I1" s="2" t="s">
        <v>232</v>
      </c>
      <c r="K1" t="s">
        <v>608</v>
      </c>
    </row>
    <row r="2" spans="1:11">
      <c r="A2" t="s">
        <v>188</v>
      </c>
      <c r="B2">
        <v>1</v>
      </c>
      <c r="C2">
        <v>1</v>
      </c>
      <c r="D2">
        <v>46</v>
      </c>
      <c r="E2">
        <v>0</v>
      </c>
      <c r="F2">
        <v>5</v>
      </c>
      <c r="G2">
        <v>0</v>
      </c>
      <c r="H2">
        <v>51</v>
      </c>
      <c r="I2" s="4">
        <f>D2/H2</f>
        <v>0.90196078431372551</v>
      </c>
      <c r="K2" t="s">
        <v>619</v>
      </c>
    </row>
    <row r="3" spans="1:11">
      <c r="A3" t="s">
        <v>188</v>
      </c>
      <c r="B3">
        <v>1</v>
      </c>
      <c r="C3">
        <v>2</v>
      </c>
      <c r="D3">
        <v>49</v>
      </c>
      <c r="E3">
        <v>0</v>
      </c>
      <c r="F3">
        <v>2</v>
      </c>
      <c r="G3">
        <v>0</v>
      </c>
      <c r="H3">
        <v>51</v>
      </c>
      <c r="I3" s="4">
        <f t="shared" ref="I3:I66" si="0">D3/H3</f>
        <v>0.96078431372549022</v>
      </c>
      <c r="K3" t="s">
        <v>619</v>
      </c>
    </row>
    <row r="4" spans="1:11">
      <c r="A4" t="s">
        <v>188</v>
      </c>
      <c r="B4">
        <v>1</v>
      </c>
      <c r="C4">
        <v>3</v>
      </c>
      <c r="D4">
        <v>51</v>
      </c>
      <c r="E4">
        <v>0</v>
      </c>
      <c r="F4">
        <v>0</v>
      </c>
      <c r="G4">
        <v>0</v>
      </c>
      <c r="H4">
        <v>51</v>
      </c>
      <c r="I4" s="4">
        <f t="shared" si="0"/>
        <v>1</v>
      </c>
      <c r="K4" t="s">
        <v>619</v>
      </c>
    </row>
    <row r="5" spans="1:11">
      <c r="A5" t="s">
        <v>188</v>
      </c>
      <c r="B5">
        <v>1</v>
      </c>
      <c r="C5">
        <v>4</v>
      </c>
      <c r="D5">
        <v>51</v>
      </c>
      <c r="E5">
        <v>0</v>
      </c>
      <c r="F5">
        <v>0</v>
      </c>
      <c r="G5">
        <v>0</v>
      </c>
      <c r="H5">
        <v>51</v>
      </c>
      <c r="I5" s="4">
        <f t="shared" si="0"/>
        <v>1</v>
      </c>
      <c r="K5" t="s">
        <v>619</v>
      </c>
    </row>
    <row r="6" spans="1:11">
      <c r="A6" t="s">
        <v>188</v>
      </c>
      <c r="B6">
        <v>2</v>
      </c>
      <c r="C6">
        <v>1</v>
      </c>
      <c r="D6">
        <v>11</v>
      </c>
      <c r="E6">
        <v>0</v>
      </c>
      <c r="F6">
        <v>2</v>
      </c>
      <c r="G6">
        <v>0</v>
      </c>
      <c r="H6">
        <v>33</v>
      </c>
      <c r="I6" s="4">
        <f t="shared" si="0"/>
        <v>0.33333333333333331</v>
      </c>
      <c r="K6" t="s">
        <v>620</v>
      </c>
    </row>
    <row r="7" spans="1:11">
      <c r="A7" t="s">
        <v>188</v>
      </c>
      <c r="B7">
        <v>2</v>
      </c>
      <c r="C7">
        <v>2</v>
      </c>
      <c r="D7">
        <v>19</v>
      </c>
      <c r="E7">
        <v>0</v>
      </c>
      <c r="F7">
        <v>3</v>
      </c>
      <c r="G7">
        <v>0</v>
      </c>
      <c r="H7">
        <v>33</v>
      </c>
      <c r="I7" s="4">
        <f t="shared" si="0"/>
        <v>0.5757575757575758</v>
      </c>
      <c r="K7" t="s">
        <v>620</v>
      </c>
    </row>
    <row r="8" spans="1:11">
      <c r="A8" t="s">
        <v>188</v>
      </c>
      <c r="B8">
        <v>2</v>
      </c>
      <c r="C8">
        <v>3</v>
      </c>
      <c r="D8">
        <v>20</v>
      </c>
      <c r="E8">
        <v>0</v>
      </c>
      <c r="F8">
        <v>2</v>
      </c>
      <c r="G8">
        <v>0</v>
      </c>
      <c r="H8">
        <v>33</v>
      </c>
      <c r="I8" s="4">
        <f t="shared" si="0"/>
        <v>0.60606060606060608</v>
      </c>
      <c r="K8" t="s">
        <v>620</v>
      </c>
    </row>
    <row r="9" spans="1:11">
      <c r="A9" t="s">
        <v>188</v>
      </c>
      <c r="B9">
        <v>2</v>
      </c>
      <c r="C9">
        <v>4</v>
      </c>
      <c r="D9">
        <v>26</v>
      </c>
      <c r="E9">
        <v>0</v>
      </c>
      <c r="F9">
        <v>3</v>
      </c>
      <c r="G9">
        <v>0</v>
      </c>
      <c r="H9">
        <v>33</v>
      </c>
      <c r="I9" s="4">
        <f t="shared" si="0"/>
        <v>0.78787878787878785</v>
      </c>
      <c r="K9" t="s">
        <v>620</v>
      </c>
    </row>
    <row r="10" spans="1:11">
      <c r="A10" t="s">
        <v>188</v>
      </c>
      <c r="B10">
        <v>2</v>
      </c>
      <c r="C10">
        <v>5</v>
      </c>
      <c r="D10">
        <v>26</v>
      </c>
      <c r="E10">
        <v>0</v>
      </c>
      <c r="F10">
        <v>3</v>
      </c>
      <c r="G10">
        <v>0</v>
      </c>
      <c r="H10">
        <v>33</v>
      </c>
      <c r="I10" s="4">
        <f t="shared" si="0"/>
        <v>0.78787878787878785</v>
      </c>
      <c r="K10" t="s">
        <v>620</v>
      </c>
    </row>
    <row r="11" spans="1:11">
      <c r="A11" t="s">
        <v>188</v>
      </c>
      <c r="B11">
        <v>2</v>
      </c>
      <c r="C11">
        <v>6</v>
      </c>
      <c r="D11">
        <v>27</v>
      </c>
      <c r="E11">
        <v>0</v>
      </c>
      <c r="F11">
        <v>2</v>
      </c>
      <c r="G11">
        <v>0</v>
      </c>
      <c r="H11">
        <v>33</v>
      </c>
      <c r="I11" s="4">
        <f t="shared" si="0"/>
        <v>0.81818181818181823</v>
      </c>
      <c r="K11" t="s">
        <v>620</v>
      </c>
    </row>
    <row r="12" spans="1:11">
      <c r="A12" t="s">
        <v>188</v>
      </c>
      <c r="B12">
        <v>2</v>
      </c>
      <c r="C12">
        <v>7</v>
      </c>
      <c r="D12">
        <v>32</v>
      </c>
      <c r="E12">
        <v>0</v>
      </c>
      <c r="F12">
        <v>1</v>
      </c>
      <c r="G12">
        <v>0</v>
      </c>
      <c r="H12">
        <v>33</v>
      </c>
      <c r="I12" s="4">
        <f t="shared" si="0"/>
        <v>0.96969696969696972</v>
      </c>
      <c r="K12" t="s">
        <v>620</v>
      </c>
    </row>
    <row r="13" spans="1:11">
      <c r="A13" t="s">
        <v>188</v>
      </c>
      <c r="B13">
        <v>2</v>
      </c>
      <c r="C13">
        <v>8</v>
      </c>
      <c r="D13">
        <v>32</v>
      </c>
      <c r="E13">
        <v>0</v>
      </c>
      <c r="F13">
        <v>1</v>
      </c>
      <c r="G13">
        <v>0</v>
      </c>
      <c r="H13">
        <v>33</v>
      </c>
      <c r="I13" s="4">
        <f t="shared" si="0"/>
        <v>0.96969696969696972</v>
      </c>
      <c r="K13" t="s">
        <v>620</v>
      </c>
    </row>
    <row r="14" spans="1:11">
      <c r="A14" t="s">
        <v>188</v>
      </c>
      <c r="B14">
        <v>2</v>
      </c>
      <c r="C14">
        <v>9</v>
      </c>
      <c r="D14">
        <v>32</v>
      </c>
      <c r="E14">
        <v>0</v>
      </c>
      <c r="F14">
        <v>1</v>
      </c>
      <c r="G14">
        <v>0</v>
      </c>
      <c r="H14">
        <v>33</v>
      </c>
      <c r="I14" s="4">
        <f t="shared" si="0"/>
        <v>0.96969696969696972</v>
      </c>
      <c r="K14" t="s">
        <v>620</v>
      </c>
    </row>
    <row r="15" spans="1:11">
      <c r="A15" t="s">
        <v>188</v>
      </c>
      <c r="B15">
        <v>2</v>
      </c>
      <c r="C15">
        <v>10</v>
      </c>
      <c r="D15">
        <v>33</v>
      </c>
      <c r="E15">
        <v>0</v>
      </c>
      <c r="F15">
        <v>0</v>
      </c>
      <c r="G15">
        <v>0</v>
      </c>
      <c r="H15">
        <v>33</v>
      </c>
      <c r="I15" s="4">
        <f t="shared" si="0"/>
        <v>1</v>
      </c>
      <c r="K15" t="s">
        <v>620</v>
      </c>
    </row>
    <row r="16" spans="1:11">
      <c r="A16" t="s">
        <v>188</v>
      </c>
      <c r="B16">
        <v>2</v>
      </c>
      <c r="C16">
        <v>11</v>
      </c>
      <c r="D16">
        <v>33</v>
      </c>
      <c r="E16">
        <v>0</v>
      </c>
      <c r="F16">
        <v>0</v>
      </c>
      <c r="G16">
        <v>0</v>
      </c>
      <c r="H16">
        <v>33</v>
      </c>
      <c r="I16" s="4">
        <f t="shared" si="0"/>
        <v>1</v>
      </c>
      <c r="K16" t="s">
        <v>620</v>
      </c>
    </row>
    <row r="17" spans="1:11">
      <c r="A17" t="s">
        <v>188</v>
      </c>
      <c r="B17">
        <v>2</v>
      </c>
      <c r="C17">
        <v>12</v>
      </c>
      <c r="D17">
        <v>33</v>
      </c>
      <c r="E17">
        <v>0</v>
      </c>
      <c r="F17">
        <v>0</v>
      </c>
      <c r="G17">
        <v>0</v>
      </c>
      <c r="H17">
        <v>33</v>
      </c>
      <c r="I17" s="4">
        <f t="shared" si="0"/>
        <v>1</v>
      </c>
      <c r="K17" t="s">
        <v>620</v>
      </c>
    </row>
    <row r="18" spans="1:11">
      <c r="A18" t="s">
        <v>188</v>
      </c>
      <c r="B18">
        <v>2</v>
      </c>
      <c r="C18">
        <v>13</v>
      </c>
      <c r="D18">
        <v>33</v>
      </c>
      <c r="E18">
        <v>0</v>
      </c>
      <c r="F18">
        <v>0</v>
      </c>
      <c r="G18">
        <v>0</v>
      </c>
      <c r="H18">
        <v>33</v>
      </c>
      <c r="I18" s="4">
        <f t="shared" si="0"/>
        <v>1</v>
      </c>
      <c r="K18" t="s">
        <v>620</v>
      </c>
    </row>
    <row r="19" spans="1:11">
      <c r="A19" t="s">
        <v>188</v>
      </c>
      <c r="B19">
        <v>2</v>
      </c>
      <c r="C19">
        <v>14</v>
      </c>
      <c r="D19">
        <v>33</v>
      </c>
      <c r="E19">
        <v>0</v>
      </c>
      <c r="F19">
        <v>0</v>
      </c>
      <c r="G19">
        <v>0</v>
      </c>
      <c r="H19">
        <v>33</v>
      </c>
      <c r="I19" s="4">
        <f t="shared" si="0"/>
        <v>1</v>
      </c>
      <c r="K19" t="s">
        <v>620</v>
      </c>
    </row>
    <row r="20" spans="1:11">
      <c r="A20" t="s">
        <v>188</v>
      </c>
      <c r="B20">
        <v>2</v>
      </c>
      <c r="C20">
        <v>15</v>
      </c>
      <c r="D20">
        <v>33</v>
      </c>
      <c r="E20">
        <v>0</v>
      </c>
      <c r="F20">
        <v>0</v>
      </c>
      <c r="G20">
        <v>0</v>
      </c>
      <c r="H20">
        <v>33</v>
      </c>
      <c r="I20" s="4">
        <f t="shared" si="0"/>
        <v>1</v>
      </c>
      <c r="K20" t="s">
        <v>620</v>
      </c>
    </row>
    <row r="21" spans="1:11">
      <c r="A21" t="s">
        <v>188</v>
      </c>
      <c r="B21">
        <v>6</v>
      </c>
      <c r="C21">
        <v>1</v>
      </c>
      <c r="D21">
        <v>2</v>
      </c>
      <c r="E21">
        <v>0</v>
      </c>
      <c r="F21">
        <v>1</v>
      </c>
      <c r="G21">
        <v>0</v>
      </c>
      <c r="H21">
        <v>18</v>
      </c>
      <c r="I21" s="4">
        <f t="shared" si="0"/>
        <v>0.1111111111111111</v>
      </c>
      <c r="K21" t="s">
        <v>621</v>
      </c>
    </row>
    <row r="22" spans="1:11">
      <c r="A22" t="s">
        <v>188</v>
      </c>
      <c r="B22">
        <v>6</v>
      </c>
      <c r="C22">
        <v>2</v>
      </c>
      <c r="D22">
        <v>5</v>
      </c>
      <c r="E22">
        <v>0</v>
      </c>
      <c r="F22">
        <v>1</v>
      </c>
      <c r="G22">
        <v>0</v>
      </c>
      <c r="H22">
        <v>18</v>
      </c>
      <c r="I22" s="4">
        <f t="shared" si="0"/>
        <v>0.27777777777777779</v>
      </c>
      <c r="K22" t="s">
        <v>621</v>
      </c>
    </row>
    <row r="23" spans="1:11">
      <c r="A23" t="s">
        <v>188</v>
      </c>
      <c r="B23">
        <v>6</v>
      </c>
      <c r="C23">
        <v>3</v>
      </c>
      <c r="D23">
        <v>11</v>
      </c>
      <c r="E23">
        <v>0</v>
      </c>
      <c r="F23">
        <v>2</v>
      </c>
      <c r="G23">
        <v>0</v>
      </c>
      <c r="H23">
        <v>18</v>
      </c>
      <c r="I23" s="4">
        <f t="shared" si="0"/>
        <v>0.61111111111111116</v>
      </c>
      <c r="K23" t="s">
        <v>621</v>
      </c>
    </row>
    <row r="24" spans="1:11">
      <c r="A24" t="s">
        <v>188</v>
      </c>
      <c r="B24">
        <v>6</v>
      </c>
      <c r="C24">
        <v>4</v>
      </c>
      <c r="D24">
        <v>16</v>
      </c>
      <c r="E24">
        <v>0</v>
      </c>
      <c r="F24">
        <v>2</v>
      </c>
      <c r="G24">
        <v>0</v>
      </c>
      <c r="H24">
        <v>18</v>
      </c>
      <c r="I24" s="4">
        <f t="shared" si="0"/>
        <v>0.88888888888888884</v>
      </c>
      <c r="K24" t="s">
        <v>621</v>
      </c>
    </row>
    <row r="25" spans="1:11">
      <c r="A25" t="s">
        <v>188</v>
      </c>
      <c r="B25">
        <v>6</v>
      </c>
      <c r="C25">
        <v>5</v>
      </c>
      <c r="D25">
        <v>18</v>
      </c>
      <c r="E25">
        <v>0</v>
      </c>
      <c r="F25">
        <v>0</v>
      </c>
      <c r="G25">
        <v>0</v>
      </c>
      <c r="H25">
        <v>18</v>
      </c>
      <c r="I25" s="4">
        <f t="shared" si="0"/>
        <v>1</v>
      </c>
      <c r="K25" t="s">
        <v>621</v>
      </c>
    </row>
    <row r="26" spans="1:11">
      <c r="A26" t="s">
        <v>188</v>
      </c>
      <c r="B26">
        <v>9</v>
      </c>
      <c r="C26">
        <v>1</v>
      </c>
      <c r="D26">
        <v>3</v>
      </c>
      <c r="E26">
        <v>0</v>
      </c>
      <c r="F26">
        <v>0</v>
      </c>
      <c r="G26">
        <v>0</v>
      </c>
      <c r="H26">
        <v>46</v>
      </c>
      <c r="I26" s="4">
        <f t="shared" si="0"/>
        <v>6.5217391304347824E-2</v>
      </c>
      <c r="K26" t="s">
        <v>622</v>
      </c>
    </row>
    <row r="27" spans="1:11">
      <c r="A27" t="s">
        <v>188</v>
      </c>
      <c r="B27">
        <v>9</v>
      </c>
      <c r="C27">
        <v>2</v>
      </c>
      <c r="D27">
        <v>3</v>
      </c>
      <c r="E27">
        <v>0</v>
      </c>
      <c r="F27">
        <v>0</v>
      </c>
      <c r="G27">
        <v>0</v>
      </c>
      <c r="H27">
        <v>46</v>
      </c>
      <c r="I27" s="4">
        <f t="shared" si="0"/>
        <v>6.5217391304347824E-2</v>
      </c>
      <c r="K27" t="s">
        <v>622</v>
      </c>
    </row>
    <row r="28" spans="1:11">
      <c r="A28" t="s">
        <v>188</v>
      </c>
      <c r="B28">
        <v>9</v>
      </c>
      <c r="C28">
        <v>3</v>
      </c>
      <c r="D28">
        <v>3</v>
      </c>
      <c r="E28">
        <v>0</v>
      </c>
      <c r="F28">
        <v>0</v>
      </c>
      <c r="G28">
        <v>0</v>
      </c>
      <c r="H28">
        <v>46</v>
      </c>
      <c r="I28" s="4">
        <f t="shared" si="0"/>
        <v>6.5217391304347824E-2</v>
      </c>
      <c r="K28" t="s">
        <v>622</v>
      </c>
    </row>
    <row r="29" spans="1:11">
      <c r="A29" t="s">
        <v>188</v>
      </c>
      <c r="B29">
        <v>9</v>
      </c>
      <c r="C29">
        <v>4</v>
      </c>
      <c r="D29">
        <v>7</v>
      </c>
      <c r="E29">
        <v>0</v>
      </c>
      <c r="F29">
        <v>0</v>
      </c>
      <c r="G29">
        <v>0</v>
      </c>
      <c r="H29">
        <v>46</v>
      </c>
      <c r="I29" s="4">
        <f t="shared" si="0"/>
        <v>0.15217391304347827</v>
      </c>
      <c r="K29" t="s">
        <v>622</v>
      </c>
    </row>
    <row r="30" spans="1:11">
      <c r="A30" t="s">
        <v>188</v>
      </c>
      <c r="B30">
        <v>9</v>
      </c>
      <c r="C30">
        <v>5</v>
      </c>
      <c r="D30">
        <v>11</v>
      </c>
      <c r="E30">
        <v>0</v>
      </c>
      <c r="F30">
        <v>0</v>
      </c>
      <c r="G30">
        <v>0</v>
      </c>
      <c r="H30">
        <v>46</v>
      </c>
      <c r="I30" s="4">
        <f t="shared" si="0"/>
        <v>0.2391304347826087</v>
      </c>
      <c r="K30" t="s">
        <v>622</v>
      </c>
    </row>
    <row r="31" spans="1:11">
      <c r="A31" t="s">
        <v>188</v>
      </c>
      <c r="B31">
        <v>9</v>
      </c>
      <c r="C31">
        <v>6</v>
      </c>
      <c r="D31">
        <v>23</v>
      </c>
      <c r="E31">
        <v>0</v>
      </c>
      <c r="F31">
        <v>2</v>
      </c>
      <c r="G31">
        <v>0</v>
      </c>
      <c r="H31">
        <v>46</v>
      </c>
      <c r="I31" s="4">
        <f t="shared" si="0"/>
        <v>0.5</v>
      </c>
      <c r="K31" t="s">
        <v>622</v>
      </c>
    </row>
    <row r="32" spans="1:11">
      <c r="A32" t="s">
        <v>188</v>
      </c>
      <c r="B32">
        <v>9</v>
      </c>
      <c r="C32">
        <v>7</v>
      </c>
      <c r="D32">
        <v>30</v>
      </c>
      <c r="E32">
        <v>0</v>
      </c>
      <c r="F32">
        <v>2</v>
      </c>
      <c r="G32">
        <v>0</v>
      </c>
      <c r="H32">
        <v>46</v>
      </c>
      <c r="I32" s="4">
        <f t="shared" si="0"/>
        <v>0.65217391304347827</v>
      </c>
      <c r="K32" t="s">
        <v>622</v>
      </c>
    </row>
    <row r="33" spans="1:11">
      <c r="A33" t="s">
        <v>188</v>
      </c>
      <c r="B33">
        <v>9</v>
      </c>
      <c r="C33">
        <v>8</v>
      </c>
      <c r="D33">
        <v>42</v>
      </c>
      <c r="E33">
        <v>0</v>
      </c>
      <c r="F33">
        <v>1</v>
      </c>
      <c r="G33">
        <v>0</v>
      </c>
      <c r="H33">
        <v>46</v>
      </c>
      <c r="I33" s="4">
        <f t="shared" si="0"/>
        <v>0.91304347826086951</v>
      </c>
      <c r="K33" t="s">
        <v>622</v>
      </c>
    </row>
    <row r="34" spans="1:11">
      <c r="A34" t="s">
        <v>188</v>
      </c>
      <c r="B34">
        <v>9</v>
      </c>
      <c r="C34">
        <v>9</v>
      </c>
      <c r="D34">
        <v>46</v>
      </c>
      <c r="E34">
        <v>0</v>
      </c>
      <c r="F34">
        <v>0</v>
      </c>
      <c r="G34">
        <v>0</v>
      </c>
      <c r="H34">
        <v>46</v>
      </c>
      <c r="I34" s="4">
        <f t="shared" si="0"/>
        <v>1</v>
      </c>
      <c r="K34" t="s">
        <v>622</v>
      </c>
    </row>
    <row r="35" spans="1:11">
      <c r="A35" t="s">
        <v>188</v>
      </c>
      <c r="B35">
        <v>9</v>
      </c>
      <c r="C35">
        <v>10</v>
      </c>
      <c r="D35">
        <v>46</v>
      </c>
      <c r="E35">
        <v>0</v>
      </c>
      <c r="F35">
        <v>0</v>
      </c>
      <c r="G35">
        <v>0</v>
      </c>
      <c r="H35">
        <v>46</v>
      </c>
      <c r="I35" s="4">
        <f t="shared" si="0"/>
        <v>1</v>
      </c>
      <c r="K35" t="s">
        <v>622</v>
      </c>
    </row>
    <row r="36" spans="1:11">
      <c r="A36" t="s">
        <v>219</v>
      </c>
      <c r="B36">
        <v>2</v>
      </c>
      <c r="C36">
        <v>1</v>
      </c>
      <c r="D36">
        <v>6</v>
      </c>
      <c r="E36">
        <v>0</v>
      </c>
      <c r="F36">
        <v>2</v>
      </c>
      <c r="G36">
        <v>0</v>
      </c>
      <c r="H36">
        <v>31</v>
      </c>
      <c r="I36" s="4">
        <f t="shared" si="0"/>
        <v>0.19354838709677419</v>
      </c>
      <c r="K36" t="s">
        <v>623</v>
      </c>
    </row>
    <row r="37" spans="1:11">
      <c r="A37" t="s">
        <v>219</v>
      </c>
      <c r="B37">
        <v>2</v>
      </c>
      <c r="C37">
        <v>2</v>
      </c>
      <c r="D37">
        <v>22</v>
      </c>
      <c r="E37">
        <v>0</v>
      </c>
      <c r="F37">
        <v>2</v>
      </c>
      <c r="G37">
        <v>0</v>
      </c>
      <c r="H37">
        <v>31</v>
      </c>
      <c r="I37" s="4">
        <f t="shared" si="0"/>
        <v>0.70967741935483875</v>
      </c>
      <c r="K37" t="s">
        <v>623</v>
      </c>
    </row>
    <row r="38" spans="1:11">
      <c r="A38" t="s">
        <v>219</v>
      </c>
      <c r="B38">
        <v>2</v>
      </c>
      <c r="C38">
        <v>3</v>
      </c>
      <c r="D38">
        <v>29</v>
      </c>
      <c r="E38">
        <v>0</v>
      </c>
      <c r="F38">
        <v>2</v>
      </c>
      <c r="G38">
        <v>0</v>
      </c>
      <c r="H38">
        <v>31</v>
      </c>
      <c r="I38" s="4">
        <f t="shared" si="0"/>
        <v>0.93548387096774188</v>
      </c>
      <c r="K38" t="s">
        <v>623</v>
      </c>
    </row>
    <row r="39" spans="1:11">
      <c r="A39" t="s">
        <v>219</v>
      </c>
      <c r="B39">
        <v>2</v>
      </c>
      <c r="C39">
        <v>4</v>
      </c>
      <c r="D39">
        <v>31</v>
      </c>
      <c r="E39">
        <v>0</v>
      </c>
      <c r="F39">
        <v>0</v>
      </c>
      <c r="G39">
        <v>0</v>
      </c>
      <c r="H39">
        <v>31</v>
      </c>
      <c r="I39" s="4">
        <f t="shared" si="0"/>
        <v>1</v>
      </c>
      <c r="K39" t="s">
        <v>623</v>
      </c>
    </row>
    <row r="40" spans="1:11">
      <c r="A40" t="s">
        <v>219</v>
      </c>
      <c r="B40">
        <v>4</v>
      </c>
      <c r="C40">
        <v>1</v>
      </c>
      <c r="D40">
        <v>6</v>
      </c>
      <c r="E40">
        <v>0</v>
      </c>
      <c r="F40">
        <v>2</v>
      </c>
      <c r="G40">
        <v>0</v>
      </c>
      <c r="H40">
        <v>31</v>
      </c>
      <c r="I40" s="4">
        <f t="shared" si="0"/>
        <v>0.19354838709677419</v>
      </c>
      <c r="K40" t="s">
        <v>624</v>
      </c>
    </row>
    <row r="41" spans="1:11">
      <c r="A41" t="s">
        <v>219</v>
      </c>
      <c r="B41">
        <v>4</v>
      </c>
      <c r="C41">
        <v>2</v>
      </c>
      <c r="D41">
        <v>22</v>
      </c>
      <c r="E41">
        <v>0</v>
      </c>
      <c r="F41">
        <v>2</v>
      </c>
      <c r="G41">
        <v>0</v>
      </c>
      <c r="H41">
        <v>31</v>
      </c>
      <c r="I41" s="4">
        <f t="shared" si="0"/>
        <v>0.70967741935483875</v>
      </c>
      <c r="K41" t="s">
        <v>624</v>
      </c>
    </row>
    <row r="42" spans="1:11">
      <c r="A42" t="s">
        <v>219</v>
      </c>
      <c r="B42">
        <v>4</v>
      </c>
      <c r="C42">
        <v>3</v>
      </c>
      <c r="D42">
        <v>29</v>
      </c>
      <c r="E42">
        <v>0</v>
      </c>
      <c r="F42">
        <v>2</v>
      </c>
      <c r="G42">
        <v>0</v>
      </c>
      <c r="H42">
        <v>31</v>
      </c>
      <c r="I42" s="4">
        <f t="shared" si="0"/>
        <v>0.93548387096774188</v>
      </c>
      <c r="K42" t="s">
        <v>624</v>
      </c>
    </row>
    <row r="43" spans="1:11">
      <c r="A43" t="s">
        <v>219</v>
      </c>
      <c r="B43">
        <v>4</v>
      </c>
      <c r="C43">
        <v>4</v>
      </c>
      <c r="D43">
        <v>31</v>
      </c>
      <c r="E43">
        <v>0</v>
      </c>
      <c r="F43">
        <v>0</v>
      </c>
      <c r="G43">
        <v>0</v>
      </c>
      <c r="H43">
        <v>31</v>
      </c>
      <c r="I43" s="4">
        <f t="shared" si="0"/>
        <v>1</v>
      </c>
      <c r="K43" t="s">
        <v>624</v>
      </c>
    </row>
    <row r="44" spans="1:11">
      <c r="A44" t="s">
        <v>219</v>
      </c>
      <c r="B44">
        <v>13</v>
      </c>
      <c r="C44">
        <v>1</v>
      </c>
      <c r="D44">
        <v>1</v>
      </c>
      <c r="E44">
        <v>0</v>
      </c>
      <c r="F44">
        <v>1</v>
      </c>
      <c r="G44">
        <v>0</v>
      </c>
      <c r="H44">
        <v>8</v>
      </c>
      <c r="I44" s="4">
        <f t="shared" si="0"/>
        <v>0.125</v>
      </c>
      <c r="K44" t="s">
        <v>625</v>
      </c>
    </row>
    <row r="45" spans="1:11">
      <c r="A45" t="s">
        <v>219</v>
      </c>
      <c r="B45">
        <v>13</v>
      </c>
      <c r="C45">
        <v>2</v>
      </c>
      <c r="D45">
        <v>3</v>
      </c>
      <c r="E45">
        <v>0</v>
      </c>
      <c r="F45">
        <v>1</v>
      </c>
      <c r="G45">
        <v>0</v>
      </c>
      <c r="H45">
        <v>8</v>
      </c>
      <c r="I45" s="4">
        <f t="shared" si="0"/>
        <v>0.375</v>
      </c>
      <c r="K45" t="s">
        <v>625</v>
      </c>
    </row>
    <row r="46" spans="1:11">
      <c r="A46" t="s">
        <v>219</v>
      </c>
      <c r="B46">
        <v>13</v>
      </c>
      <c r="C46">
        <v>3</v>
      </c>
      <c r="D46">
        <v>5</v>
      </c>
      <c r="E46">
        <v>0</v>
      </c>
      <c r="F46">
        <v>1</v>
      </c>
      <c r="G46">
        <v>0</v>
      </c>
      <c r="H46">
        <v>8</v>
      </c>
      <c r="I46" s="4">
        <f t="shared" si="0"/>
        <v>0.625</v>
      </c>
      <c r="K46" t="s">
        <v>625</v>
      </c>
    </row>
    <row r="47" spans="1:11">
      <c r="A47" t="s">
        <v>219</v>
      </c>
      <c r="B47">
        <v>13</v>
      </c>
      <c r="C47">
        <v>4</v>
      </c>
      <c r="D47">
        <v>7</v>
      </c>
      <c r="E47">
        <v>0</v>
      </c>
      <c r="F47">
        <v>1</v>
      </c>
      <c r="G47">
        <v>0</v>
      </c>
      <c r="H47">
        <v>8</v>
      </c>
      <c r="I47" s="4">
        <f t="shared" si="0"/>
        <v>0.875</v>
      </c>
      <c r="K47" t="s">
        <v>625</v>
      </c>
    </row>
    <row r="48" spans="1:11">
      <c r="A48" t="s">
        <v>219</v>
      </c>
      <c r="B48">
        <v>13</v>
      </c>
      <c r="C48">
        <v>5</v>
      </c>
      <c r="D48">
        <v>8</v>
      </c>
      <c r="E48">
        <v>0</v>
      </c>
      <c r="F48">
        <v>0</v>
      </c>
      <c r="G48">
        <v>0</v>
      </c>
      <c r="H48">
        <v>8</v>
      </c>
      <c r="I48" s="4">
        <f t="shared" si="0"/>
        <v>1</v>
      </c>
      <c r="K48" t="s">
        <v>625</v>
      </c>
    </row>
    <row r="49" spans="1:11">
      <c r="A49" t="s">
        <v>219</v>
      </c>
      <c r="B49">
        <v>16</v>
      </c>
      <c r="C49">
        <v>1</v>
      </c>
      <c r="D49">
        <v>3</v>
      </c>
      <c r="E49">
        <v>0</v>
      </c>
      <c r="F49">
        <v>0</v>
      </c>
      <c r="G49">
        <v>0</v>
      </c>
      <c r="H49">
        <v>183</v>
      </c>
      <c r="I49" s="4">
        <f t="shared" si="0"/>
        <v>1.6393442622950821E-2</v>
      </c>
      <c r="K49" t="s">
        <v>626</v>
      </c>
    </row>
    <row r="50" spans="1:11">
      <c r="A50" t="s">
        <v>219</v>
      </c>
      <c r="B50">
        <v>16</v>
      </c>
      <c r="C50">
        <v>2</v>
      </c>
      <c r="D50">
        <v>6</v>
      </c>
      <c r="E50">
        <v>0</v>
      </c>
      <c r="F50">
        <v>1</v>
      </c>
      <c r="G50">
        <v>0</v>
      </c>
      <c r="H50">
        <v>183</v>
      </c>
      <c r="I50" s="4">
        <f t="shared" si="0"/>
        <v>3.2786885245901641E-2</v>
      </c>
      <c r="K50" t="s">
        <v>626</v>
      </c>
    </row>
    <row r="51" spans="1:11">
      <c r="A51" t="s">
        <v>219</v>
      </c>
      <c r="B51">
        <v>16</v>
      </c>
      <c r="C51">
        <v>3</v>
      </c>
      <c r="D51">
        <v>149</v>
      </c>
      <c r="E51">
        <v>0</v>
      </c>
      <c r="F51">
        <v>1</v>
      </c>
      <c r="G51">
        <v>0</v>
      </c>
      <c r="H51">
        <v>183</v>
      </c>
      <c r="I51" s="4">
        <f t="shared" si="0"/>
        <v>0.81420765027322406</v>
      </c>
      <c r="K51" t="s">
        <v>626</v>
      </c>
    </row>
    <row r="52" spans="1:11">
      <c r="A52" t="s">
        <v>219</v>
      </c>
      <c r="B52">
        <v>16</v>
      </c>
      <c r="C52">
        <v>4</v>
      </c>
      <c r="D52">
        <v>183</v>
      </c>
      <c r="E52">
        <v>0</v>
      </c>
      <c r="F52">
        <v>0</v>
      </c>
      <c r="G52">
        <v>0</v>
      </c>
      <c r="H52">
        <v>183</v>
      </c>
      <c r="I52" s="4">
        <f t="shared" si="0"/>
        <v>1</v>
      </c>
      <c r="K52" t="s">
        <v>626</v>
      </c>
    </row>
    <row r="53" spans="1:11">
      <c r="A53" t="s">
        <v>219</v>
      </c>
      <c r="B53">
        <v>18</v>
      </c>
      <c r="C53">
        <v>1</v>
      </c>
      <c r="D53">
        <v>3</v>
      </c>
      <c r="E53">
        <v>0</v>
      </c>
      <c r="F53">
        <v>1</v>
      </c>
      <c r="G53">
        <v>0</v>
      </c>
      <c r="H53">
        <v>141</v>
      </c>
      <c r="I53" s="4">
        <f t="shared" si="0"/>
        <v>2.1276595744680851E-2</v>
      </c>
      <c r="K53" t="s">
        <v>627</v>
      </c>
    </row>
    <row r="54" spans="1:11">
      <c r="A54" t="s">
        <v>219</v>
      </c>
      <c r="B54">
        <v>18</v>
      </c>
      <c r="C54">
        <v>2</v>
      </c>
      <c r="D54">
        <v>6</v>
      </c>
      <c r="E54">
        <v>0</v>
      </c>
      <c r="F54">
        <v>1</v>
      </c>
      <c r="G54">
        <v>0</v>
      </c>
      <c r="H54">
        <v>141</v>
      </c>
      <c r="I54" s="4">
        <f t="shared" si="0"/>
        <v>4.2553191489361701E-2</v>
      </c>
      <c r="K54" t="s">
        <v>627</v>
      </c>
    </row>
    <row r="55" spans="1:11">
      <c r="A55" t="s">
        <v>219</v>
      </c>
      <c r="B55">
        <v>18</v>
      </c>
      <c r="C55">
        <v>3</v>
      </c>
      <c r="D55">
        <v>17</v>
      </c>
      <c r="E55">
        <v>0</v>
      </c>
      <c r="F55">
        <v>1</v>
      </c>
      <c r="G55">
        <v>0</v>
      </c>
      <c r="H55">
        <v>141</v>
      </c>
      <c r="I55" s="4">
        <f t="shared" si="0"/>
        <v>0.12056737588652482</v>
      </c>
      <c r="K55" t="s">
        <v>627</v>
      </c>
    </row>
    <row r="56" spans="1:11">
      <c r="A56" t="s">
        <v>219</v>
      </c>
      <c r="B56">
        <v>18</v>
      </c>
      <c r="C56">
        <v>4</v>
      </c>
      <c r="D56">
        <v>23</v>
      </c>
      <c r="E56">
        <v>0</v>
      </c>
      <c r="F56">
        <v>1</v>
      </c>
      <c r="G56">
        <v>0</v>
      </c>
      <c r="H56">
        <v>141</v>
      </c>
      <c r="I56" s="4">
        <f t="shared" si="0"/>
        <v>0.16312056737588654</v>
      </c>
      <c r="K56" t="s">
        <v>627</v>
      </c>
    </row>
    <row r="57" spans="1:11">
      <c r="A57" t="s">
        <v>219</v>
      </c>
      <c r="B57">
        <v>18</v>
      </c>
      <c r="C57">
        <v>5</v>
      </c>
      <c r="D57">
        <v>35</v>
      </c>
      <c r="E57">
        <v>0</v>
      </c>
      <c r="F57">
        <v>5</v>
      </c>
      <c r="G57">
        <v>0</v>
      </c>
      <c r="H57">
        <v>141</v>
      </c>
      <c r="I57" s="4">
        <f t="shared" si="0"/>
        <v>0.24822695035460993</v>
      </c>
      <c r="K57" t="s">
        <v>627</v>
      </c>
    </row>
    <row r="58" spans="1:11">
      <c r="A58" t="s">
        <v>219</v>
      </c>
      <c r="B58">
        <v>18</v>
      </c>
      <c r="C58">
        <v>6</v>
      </c>
      <c r="D58">
        <v>38</v>
      </c>
      <c r="E58">
        <v>0</v>
      </c>
      <c r="F58">
        <v>5</v>
      </c>
      <c r="G58">
        <v>0</v>
      </c>
      <c r="H58">
        <v>141</v>
      </c>
      <c r="I58" s="4">
        <f t="shared" si="0"/>
        <v>0.26950354609929078</v>
      </c>
      <c r="K58" t="s">
        <v>627</v>
      </c>
    </row>
    <row r="59" spans="1:11">
      <c r="A59" t="s">
        <v>219</v>
      </c>
      <c r="B59">
        <v>18</v>
      </c>
      <c r="C59">
        <v>7</v>
      </c>
      <c r="D59">
        <v>41</v>
      </c>
      <c r="E59">
        <v>0</v>
      </c>
      <c r="F59">
        <v>4</v>
      </c>
      <c r="G59">
        <v>0</v>
      </c>
      <c r="H59">
        <v>141</v>
      </c>
      <c r="I59" s="4">
        <f t="shared" si="0"/>
        <v>0.29078014184397161</v>
      </c>
      <c r="K59" t="s">
        <v>627</v>
      </c>
    </row>
    <row r="60" spans="1:11">
      <c r="A60" t="s">
        <v>219</v>
      </c>
      <c r="B60">
        <v>18</v>
      </c>
      <c r="C60">
        <v>8</v>
      </c>
      <c r="D60">
        <v>44</v>
      </c>
      <c r="E60">
        <v>0</v>
      </c>
      <c r="F60">
        <v>4</v>
      </c>
      <c r="G60">
        <v>0</v>
      </c>
      <c r="H60">
        <v>141</v>
      </c>
      <c r="I60" s="4">
        <f t="shared" si="0"/>
        <v>0.31205673758865249</v>
      </c>
      <c r="K60" t="s">
        <v>627</v>
      </c>
    </row>
    <row r="61" spans="1:11">
      <c r="A61" t="s">
        <v>219</v>
      </c>
      <c r="B61">
        <v>18</v>
      </c>
      <c r="C61">
        <v>9</v>
      </c>
      <c r="D61">
        <v>47</v>
      </c>
      <c r="E61">
        <v>0</v>
      </c>
      <c r="F61">
        <v>4</v>
      </c>
      <c r="G61">
        <v>0</v>
      </c>
      <c r="H61">
        <v>141</v>
      </c>
      <c r="I61" s="4">
        <f t="shared" si="0"/>
        <v>0.33333333333333331</v>
      </c>
      <c r="K61" t="s">
        <v>627</v>
      </c>
    </row>
    <row r="62" spans="1:11">
      <c r="A62" t="s">
        <v>219</v>
      </c>
      <c r="B62">
        <v>18</v>
      </c>
      <c r="C62">
        <v>10</v>
      </c>
      <c r="D62">
        <v>47</v>
      </c>
      <c r="E62">
        <v>0</v>
      </c>
      <c r="F62">
        <v>4</v>
      </c>
      <c r="G62">
        <v>0</v>
      </c>
      <c r="H62">
        <v>141</v>
      </c>
      <c r="I62" s="4">
        <f t="shared" si="0"/>
        <v>0.33333333333333331</v>
      </c>
      <c r="K62" t="s">
        <v>627</v>
      </c>
    </row>
    <row r="63" spans="1:11">
      <c r="A63" t="s">
        <v>219</v>
      </c>
      <c r="B63">
        <v>18</v>
      </c>
      <c r="C63">
        <v>11</v>
      </c>
      <c r="D63">
        <v>47</v>
      </c>
      <c r="E63">
        <v>0</v>
      </c>
      <c r="F63">
        <v>4</v>
      </c>
      <c r="G63">
        <v>0</v>
      </c>
      <c r="H63">
        <v>141</v>
      </c>
      <c r="I63" s="4">
        <f t="shared" si="0"/>
        <v>0.33333333333333331</v>
      </c>
      <c r="K63" t="s">
        <v>627</v>
      </c>
    </row>
    <row r="64" spans="1:11">
      <c r="A64" t="s">
        <v>219</v>
      </c>
      <c r="B64">
        <v>18</v>
      </c>
      <c r="C64">
        <v>12</v>
      </c>
      <c r="D64">
        <v>51</v>
      </c>
      <c r="E64">
        <v>0</v>
      </c>
      <c r="F64">
        <v>4</v>
      </c>
      <c r="G64">
        <v>0</v>
      </c>
      <c r="H64">
        <v>141</v>
      </c>
      <c r="I64" s="4">
        <f t="shared" si="0"/>
        <v>0.36170212765957449</v>
      </c>
      <c r="K64" t="s">
        <v>627</v>
      </c>
    </row>
    <row r="65" spans="1:11">
      <c r="A65" t="s">
        <v>219</v>
      </c>
      <c r="B65">
        <v>18</v>
      </c>
      <c r="C65">
        <v>13</v>
      </c>
      <c r="D65">
        <v>51</v>
      </c>
      <c r="E65">
        <v>0</v>
      </c>
      <c r="F65">
        <v>4</v>
      </c>
      <c r="G65">
        <v>0</v>
      </c>
      <c r="H65">
        <v>141</v>
      </c>
      <c r="I65" s="4">
        <f t="shared" si="0"/>
        <v>0.36170212765957449</v>
      </c>
      <c r="K65" t="s">
        <v>627</v>
      </c>
    </row>
    <row r="66" spans="1:11">
      <c r="A66" t="s">
        <v>219</v>
      </c>
      <c r="B66">
        <v>18</v>
      </c>
      <c r="C66">
        <v>14</v>
      </c>
      <c r="D66">
        <v>51</v>
      </c>
      <c r="E66">
        <v>0</v>
      </c>
      <c r="F66">
        <v>4</v>
      </c>
      <c r="G66">
        <v>0</v>
      </c>
      <c r="H66">
        <v>141</v>
      </c>
      <c r="I66" s="4">
        <f t="shared" si="0"/>
        <v>0.36170212765957449</v>
      </c>
      <c r="K66" t="s">
        <v>627</v>
      </c>
    </row>
    <row r="67" spans="1:11">
      <c r="A67" t="s">
        <v>219</v>
      </c>
      <c r="B67">
        <v>18</v>
      </c>
      <c r="C67">
        <v>15</v>
      </c>
      <c r="D67">
        <v>51</v>
      </c>
      <c r="E67">
        <v>0</v>
      </c>
      <c r="F67">
        <v>4</v>
      </c>
      <c r="G67">
        <v>0</v>
      </c>
      <c r="H67">
        <v>141</v>
      </c>
      <c r="I67" s="4">
        <f t="shared" ref="I67:I130" si="1">D67/H67</f>
        <v>0.36170212765957449</v>
      </c>
      <c r="K67" t="s">
        <v>627</v>
      </c>
    </row>
    <row r="68" spans="1:11">
      <c r="A68" t="s">
        <v>219</v>
      </c>
      <c r="B68">
        <v>18</v>
      </c>
      <c r="C68">
        <v>16</v>
      </c>
      <c r="D68">
        <v>51</v>
      </c>
      <c r="E68">
        <v>0</v>
      </c>
      <c r="F68">
        <v>4</v>
      </c>
      <c r="G68">
        <v>0</v>
      </c>
      <c r="H68">
        <v>141</v>
      </c>
      <c r="I68" s="4">
        <f t="shared" si="1"/>
        <v>0.36170212765957449</v>
      </c>
      <c r="K68" t="s">
        <v>627</v>
      </c>
    </row>
    <row r="69" spans="1:11">
      <c r="A69" t="s">
        <v>219</v>
      </c>
      <c r="B69">
        <v>18</v>
      </c>
      <c r="C69">
        <v>17</v>
      </c>
      <c r="D69">
        <v>51</v>
      </c>
      <c r="E69">
        <v>0</v>
      </c>
      <c r="F69">
        <v>4</v>
      </c>
      <c r="G69">
        <v>0</v>
      </c>
      <c r="H69">
        <v>141</v>
      </c>
      <c r="I69" s="4">
        <f t="shared" si="1"/>
        <v>0.36170212765957449</v>
      </c>
      <c r="K69" t="s">
        <v>627</v>
      </c>
    </row>
    <row r="70" spans="1:11">
      <c r="A70" t="s">
        <v>219</v>
      </c>
      <c r="B70">
        <v>18</v>
      </c>
      <c r="C70">
        <v>18</v>
      </c>
      <c r="D70">
        <v>51</v>
      </c>
      <c r="E70">
        <v>0</v>
      </c>
      <c r="F70">
        <v>4</v>
      </c>
      <c r="G70">
        <v>0</v>
      </c>
      <c r="H70">
        <v>141</v>
      </c>
      <c r="I70" s="4">
        <f t="shared" si="1"/>
        <v>0.36170212765957449</v>
      </c>
      <c r="K70" t="s">
        <v>627</v>
      </c>
    </row>
    <row r="71" spans="1:11">
      <c r="A71" t="s">
        <v>219</v>
      </c>
      <c r="B71">
        <v>18</v>
      </c>
      <c r="C71">
        <v>19</v>
      </c>
      <c r="D71">
        <v>65</v>
      </c>
      <c r="E71">
        <v>0</v>
      </c>
      <c r="F71">
        <v>9</v>
      </c>
      <c r="G71">
        <v>0</v>
      </c>
      <c r="H71">
        <v>141</v>
      </c>
      <c r="I71" s="4">
        <f t="shared" si="1"/>
        <v>0.46099290780141844</v>
      </c>
      <c r="K71" t="s">
        <v>627</v>
      </c>
    </row>
    <row r="72" spans="1:11">
      <c r="A72" t="s">
        <v>219</v>
      </c>
      <c r="B72">
        <v>18</v>
      </c>
      <c r="C72">
        <v>20</v>
      </c>
      <c r="D72">
        <v>84</v>
      </c>
      <c r="E72">
        <v>0</v>
      </c>
      <c r="F72">
        <v>8</v>
      </c>
      <c r="G72">
        <v>0</v>
      </c>
      <c r="H72">
        <v>141</v>
      </c>
      <c r="I72" s="4">
        <f t="shared" si="1"/>
        <v>0.5957446808510638</v>
      </c>
      <c r="K72" t="s">
        <v>627</v>
      </c>
    </row>
    <row r="73" spans="1:11">
      <c r="A73" t="s">
        <v>219</v>
      </c>
      <c r="B73">
        <v>18</v>
      </c>
      <c r="C73">
        <v>21</v>
      </c>
      <c r="D73">
        <v>84</v>
      </c>
      <c r="E73">
        <v>0</v>
      </c>
      <c r="F73">
        <v>8</v>
      </c>
      <c r="G73">
        <v>0</v>
      </c>
      <c r="H73">
        <v>141</v>
      </c>
      <c r="I73" s="4">
        <f t="shared" si="1"/>
        <v>0.5957446808510638</v>
      </c>
      <c r="K73" t="s">
        <v>627</v>
      </c>
    </row>
    <row r="74" spans="1:11">
      <c r="A74" t="s">
        <v>219</v>
      </c>
      <c r="B74">
        <v>18</v>
      </c>
      <c r="C74">
        <v>22</v>
      </c>
      <c r="D74">
        <v>89</v>
      </c>
      <c r="E74">
        <v>0</v>
      </c>
      <c r="F74">
        <v>9</v>
      </c>
      <c r="G74">
        <v>0</v>
      </c>
      <c r="H74">
        <v>141</v>
      </c>
      <c r="I74" s="4">
        <f t="shared" si="1"/>
        <v>0.63120567375886527</v>
      </c>
      <c r="K74" t="s">
        <v>627</v>
      </c>
    </row>
    <row r="75" spans="1:11">
      <c r="A75" t="s">
        <v>219</v>
      </c>
      <c r="B75">
        <v>18</v>
      </c>
      <c r="C75">
        <v>23</v>
      </c>
      <c r="D75">
        <v>89</v>
      </c>
      <c r="E75">
        <v>0</v>
      </c>
      <c r="F75">
        <v>9</v>
      </c>
      <c r="G75">
        <v>0</v>
      </c>
      <c r="H75">
        <v>141</v>
      </c>
      <c r="I75" s="4">
        <f t="shared" si="1"/>
        <v>0.63120567375886527</v>
      </c>
      <c r="K75" t="s">
        <v>627</v>
      </c>
    </row>
    <row r="76" spans="1:11">
      <c r="A76" t="s">
        <v>219</v>
      </c>
      <c r="B76">
        <v>18</v>
      </c>
      <c r="C76">
        <v>24</v>
      </c>
      <c r="D76">
        <v>89</v>
      </c>
      <c r="E76">
        <v>0</v>
      </c>
      <c r="F76">
        <v>9</v>
      </c>
      <c r="G76">
        <v>0</v>
      </c>
      <c r="H76">
        <v>141</v>
      </c>
      <c r="I76" s="4">
        <f t="shared" si="1"/>
        <v>0.63120567375886527</v>
      </c>
      <c r="K76" t="s">
        <v>627</v>
      </c>
    </row>
    <row r="77" spans="1:11">
      <c r="A77" t="s">
        <v>219</v>
      </c>
      <c r="B77">
        <v>18</v>
      </c>
      <c r="C77">
        <v>25</v>
      </c>
      <c r="D77">
        <v>102</v>
      </c>
      <c r="E77">
        <v>0</v>
      </c>
      <c r="F77">
        <v>7</v>
      </c>
      <c r="G77">
        <v>0</v>
      </c>
      <c r="H77">
        <v>141</v>
      </c>
      <c r="I77" s="4">
        <f t="shared" si="1"/>
        <v>0.72340425531914898</v>
      </c>
      <c r="K77" t="s">
        <v>627</v>
      </c>
    </row>
    <row r="78" spans="1:11">
      <c r="A78" t="s">
        <v>219</v>
      </c>
      <c r="B78">
        <v>18</v>
      </c>
      <c r="C78">
        <v>26</v>
      </c>
      <c r="D78">
        <v>102</v>
      </c>
      <c r="E78">
        <v>0</v>
      </c>
      <c r="F78">
        <v>7</v>
      </c>
      <c r="G78">
        <v>0</v>
      </c>
      <c r="H78">
        <v>141</v>
      </c>
      <c r="I78" s="4">
        <f t="shared" si="1"/>
        <v>0.72340425531914898</v>
      </c>
      <c r="K78" t="s">
        <v>627</v>
      </c>
    </row>
    <row r="79" spans="1:11">
      <c r="A79" t="s">
        <v>219</v>
      </c>
      <c r="B79">
        <v>18</v>
      </c>
      <c r="C79">
        <v>27</v>
      </c>
      <c r="D79">
        <v>107</v>
      </c>
      <c r="E79">
        <v>0</v>
      </c>
      <c r="F79">
        <v>8</v>
      </c>
      <c r="G79">
        <v>0</v>
      </c>
      <c r="H79">
        <v>141</v>
      </c>
      <c r="I79" s="4">
        <f t="shared" si="1"/>
        <v>0.75886524822695034</v>
      </c>
      <c r="K79" t="s">
        <v>627</v>
      </c>
    </row>
    <row r="80" spans="1:11">
      <c r="A80" t="s">
        <v>219</v>
      </c>
      <c r="B80">
        <v>18</v>
      </c>
      <c r="C80">
        <v>28</v>
      </c>
      <c r="D80">
        <v>107</v>
      </c>
      <c r="E80">
        <v>0</v>
      </c>
      <c r="F80">
        <v>8</v>
      </c>
      <c r="G80">
        <v>0</v>
      </c>
      <c r="H80">
        <v>141</v>
      </c>
      <c r="I80" s="4">
        <f t="shared" si="1"/>
        <v>0.75886524822695034</v>
      </c>
      <c r="K80" t="s">
        <v>627</v>
      </c>
    </row>
    <row r="81" spans="1:11">
      <c r="A81" t="s">
        <v>219</v>
      </c>
      <c r="B81">
        <v>18</v>
      </c>
      <c r="C81">
        <v>29</v>
      </c>
      <c r="D81">
        <v>107</v>
      </c>
      <c r="E81">
        <v>0</v>
      </c>
      <c r="F81">
        <v>8</v>
      </c>
      <c r="G81">
        <v>0</v>
      </c>
      <c r="H81">
        <v>141</v>
      </c>
      <c r="I81" s="4">
        <f t="shared" si="1"/>
        <v>0.75886524822695034</v>
      </c>
      <c r="K81" t="s">
        <v>627</v>
      </c>
    </row>
    <row r="82" spans="1:11">
      <c r="A82" t="s">
        <v>219</v>
      </c>
      <c r="B82">
        <v>18</v>
      </c>
      <c r="C82">
        <v>30</v>
      </c>
      <c r="D82">
        <v>107</v>
      </c>
      <c r="E82">
        <v>0</v>
      </c>
      <c r="F82">
        <v>8</v>
      </c>
      <c r="G82">
        <v>0</v>
      </c>
      <c r="H82">
        <v>141</v>
      </c>
      <c r="I82" s="4">
        <f t="shared" si="1"/>
        <v>0.75886524822695034</v>
      </c>
      <c r="K82" t="s">
        <v>627</v>
      </c>
    </row>
    <row r="83" spans="1:11">
      <c r="A83" t="s">
        <v>219</v>
      </c>
      <c r="B83">
        <v>18</v>
      </c>
      <c r="C83">
        <v>31</v>
      </c>
      <c r="D83">
        <v>107</v>
      </c>
      <c r="E83">
        <v>0</v>
      </c>
      <c r="F83">
        <v>8</v>
      </c>
      <c r="G83">
        <v>0</v>
      </c>
      <c r="H83">
        <v>141</v>
      </c>
      <c r="I83" s="4">
        <f t="shared" si="1"/>
        <v>0.75886524822695034</v>
      </c>
      <c r="K83" t="s">
        <v>627</v>
      </c>
    </row>
    <row r="84" spans="1:11">
      <c r="A84" t="s">
        <v>219</v>
      </c>
      <c r="B84">
        <v>18</v>
      </c>
      <c r="C84">
        <v>32</v>
      </c>
      <c r="D84">
        <v>107</v>
      </c>
      <c r="E84">
        <v>0</v>
      </c>
      <c r="F84">
        <v>8</v>
      </c>
      <c r="G84">
        <v>0</v>
      </c>
      <c r="H84">
        <v>141</v>
      </c>
      <c r="I84" s="4">
        <f t="shared" si="1"/>
        <v>0.75886524822695034</v>
      </c>
      <c r="K84" t="s">
        <v>627</v>
      </c>
    </row>
    <row r="85" spans="1:11">
      <c r="A85" t="s">
        <v>219</v>
      </c>
      <c r="B85">
        <v>18</v>
      </c>
      <c r="C85">
        <v>33</v>
      </c>
      <c r="D85">
        <v>107</v>
      </c>
      <c r="E85">
        <v>0</v>
      </c>
      <c r="F85">
        <v>8</v>
      </c>
      <c r="G85">
        <v>0</v>
      </c>
      <c r="H85">
        <v>141</v>
      </c>
      <c r="I85" s="4">
        <f t="shared" si="1"/>
        <v>0.75886524822695034</v>
      </c>
      <c r="K85" t="s">
        <v>627</v>
      </c>
    </row>
    <row r="86" spans="1:11">
      <c r="A86" t="s">
        <v>219</v>
      </c>
      <c r="B86">
        <v>18</v>
      </c>
      <c r="C86">
        <v>34</v>
      </c>
      <c r="D86">
        <v>107</v>
      </c>
      <c r="E86">
        <v>0</v>
      </c>
      <c r="F86">
        <v>8</v>
      </c>
      <c r="G86">
        <v>0</v>
      </c>
      <c r="H86">
        <v>141</v>
      </c>
      <c r="I86" s="4">
        <f t="shared" si="1"/>
        <v>0.75886524822695034</v>
      </c>
      <c r="K86" t="s">
        <v>627</v>
      </c>
    </row>
    <row r="87" spans="1:11">
      <c r="A87" t="s">
        <v>219</v>
      </c>
      <c r="B87">
        <v>18</v>
      </c>
      <c r="C87">
        <v>35</v>
      </c>
      <c r="D87">
        <v>107</v>
      </c>
      <c r="E87">
        <v>0</v>
      </c>
      <c r="F87">
        <v>8</v>
      </c>
      <c r="G87">
        <v>0</v>
      </c>
      <c r="H87">
        <v>141</v>
      </c>
      <c r="I87" s="4">
        <f t="shared" si="1"/>
        <v>0.75886524822695034</v>
      </c>
      <c r="K87" t="s">
        <v>627</v>
      </c>
    </row>
    <row r="88" spans="1:11">
      <c r="A88" t="s">
        <v>219</v>
      </c>
      <c r="B88">
        <v>18</v>
      </c>
      <c r="C88">
        <v>36</v>
      </c>
      <c r="D88">
        <v>107</v>
      </c>
      <c r="E88">
        <v>0</v>
      </c>
      <c r="F88">
        <v>8</v>
      </c>
      <c r="G88">
        <v>0</v>
      </c>
      <c r="H88">
        <v>141</v>
      </c>
      <c r="I88" s="4">
        <f t="shared" si="1"/>
        <v>0.75886524822695034</v>
      </c>
      <c r="K88" t="s">
        <v>627</v>
      </c>
    </row>
    <row r="89" spans="1:11">
      <c r="A89" t="s">
        <v>219</v>
      </c>
      <c r="B89">
        <v>18</v>
      </c>
      <c r="C89">
        <v>37</v>
      </c>
      <c r="D89">
        <v>107</v>
      </c>
      <c r="E89">
        <v>0</v>
      </c>
      <c r="F89">
        <v>8</v>
      </c>
      <c r="G89">
        <v>0</v>
      </c>
      <c r="H89">
        <v>141</v>
      </c>
      <c r="I89" s="4">
        <f t="shared" si="1"/>
        <v>0.75886524822695034</v>
      </c>
      <c r="K89" t="s">
        <v>627</v>
      </c>
    </row>
    <row r="90" spans="1:11">
      <c r="A90" t="s">
        <v>219</v>
      </c>
      <c r="B90">
        <v>18</v>
      </c>
      <c r="C90">
        <v>38</v>
      </c>
      <c r="D90">
        <v>107</v>
      </c>
      <c r="E90">
        <v>0</v>
      </c>
      <c r="F90">
        <v>8</v>
      </c>
      <c r="G90">
        <v>0</v>
      </c>
      <c r="H90">
        <v>141</v>
      </c>
      <c r="I90" s="4">
        <f t="shared" si="1"/>
        <v>0.75886524822695034</v>
      </c>
      <c r="K90" t="s">
        <v>627</v>
      </c>
    </row>
    <row r="91" spans="1:11">
      <c r="A91" t="s">
        <v>219</v>
      </c>
      <c r="B91">
        <v>18</v>
      </c>
      <c r="C91">
        <v>39</v>
      </c>
      <c r="D91">
        <v>107</v>
      </c>
      <c r="E91">
        <v>0</v>
      </c>
      <c r="F91">
        <v>8</v>
      </c>
      <c r="G91">
        <v>0</v>
      </c>
      <c r="H91">
        <v>141</v>
      </c>
      <c r="I91" s="4">
        <f t="shared" si="1"/>
        <v>0.75886524822695034</v>
      </c>
      <c r="K91" t="s">
        <v>627</v>
      </c>
    </row>
    <row r="92" spans="1:11">
      <c r="A92" t="s">
        <v>219</v>
      </c>
      <c r="B92">
        <v>18</v>
      </c>
      <c r="C92">
        <v>40</v>
      </c>
      <c r="D92">
        <v>141</v>
      </c>
      <c r="E92">
        <v>0</v>
      </c>
      <c r="F92">
        <v>0</v>
      </c>
      <c r="G92">
        <v>0</v>
      </c>
      <c r="H92">
        <v>141</v>
      </c>
      <c r="I92" s="4">
        <f t="shared" si="1"/>
        <v>1</v>
      </c>
      <c r="K92" t="s">
        <v>627</v>
      </c>
    </row>
    <row r="93" spans="1:11">
      <c r="A93" t="s">
        <v>219</v>
      </c>
      <c r="B93">
        <v>18</v>
      </c>
      <c r="C93">
        <v>41</v>
      </c>
      <c r="D93">
        <v>141</v>
      </c>
      <c r="E93">
        <v>0</v>
      </c>
      <c r="F93">
        <v>0</v>
      </c>
      <c r="G93">
        <v>0</v>
      </c>
      <c r="H93">
        <v>141</v>
      </c>
      <c r="I93" s="4">
        <f t="shared" si="1"/>
        <v>1</v>
      </c>
      <c r="K93" t="s">
        <v>627</v>
      </c>
    </row>
    <row r="94" spans="1:11">
      <c r="A94" t="s">
        <v>219</v>
      </c>
      <c r="B94">
        <v>18</v>
      </c>
      <c r="C94">
        <v>42</v>
      </c>
      <c r="D94">
        <v>141</v>
      </c>
      <c r="E94">
        <v>0</v>
      </c>
      <c r="F94">
        <v>0</v>
      </c>
      <c r="G94">
        <v>0</v>
      </c>
      <c r="H94">
        <v>141</v>
      </c>
      <c r="I94" s="4">
        <f t="shared" si="1"/>
        <v>1</v>
      </c>
      <c r="K94" t="s">
        <v>627</v>
      </c>
    </row>
    <row r="95" spans="1:11">
      <c r="A95" t="s">
        <v>219</v>
      </c>
      <c r="B95">
        <v>18</v>
      </c>
      <c r="C95">
        <v>43</v>
      </c>
      <c r="D95">
        <v>141</v>
      </c>
      <c r="E95">
        <v>0</v>
      </c>
      <c r="F95">
        <v>0</v>
      </c>
      <c r="G95">
        <v>0</v>
      </c>
      <c r="H95">
        <v>141</v>
      </c>
      <c r="I95" s="4">
        <f t="shared" si="1"/>
        <v>1</v>
      </c>
      <c r="K95" t="s">
        <v>627</v>
      </c>
    </row>
    <row r="96" spans="1:11">
      <c r="A96" t="s">
        <v>219</v>
      </c>
      <c r="B96">
        <v>18</v>
      </c>
      <c r="C96">
        <v>44</v>
      </c>
      <c r="D96">
        <v>141</v>
      </c>
      <c r="E96">
        <v>0</v>
      </c>
      <c r="F96">
        <v>0</v>
      </c>
      <c r="G96">
        <v>0</v>
      </c>
      <c r="H96">
        <v>141</v>
      </c>
      <c r="I96" s="4">
        <f t="shared" si="1"/>
        <v>1</v>
      </c>
      <c r="K96" t="s">
        <v>627</v>
      </c>
    </row>
    <row r="97" spans="1:11">
      <c r="A97" t="s">
        <v>219</v>
      </c>
      <c r="B97">
        <v>18</v>
      </c>
      <c r="C97">
        <v>45</v>
      </c>
      <c r="D97">
        <v>141</v>
      </c>
      <c r="E97">
        <v>0</v>
      </c>
      <c r="F97">
        <v>0</v>
      </c>
      <c r="G97">
        <v>0</v>
      </c>
      <c r="H97">
        <v>141</v>
      </c>
      <c r="I97" s="4">
        <f t="shared" si="1"/>
        <v>1</v>
      </c>
      <c r="K97" t="s">
        <v>627</v>
      </c>
    </row>
    <row r="98" spans="1:11">
      <c r="A98" t="s">
        <v>219</v>
      </c>
      <c r="B98">
        <v>18</v>
      </c>
      <c r="C98">
        <v>46</v>
      </c>
      <c r="D98">
        <v>141</v>
      </c>
      <c r="E98">
        <v>0</v>
      </c>
      <c r="F98">
        <v>0</v>
      </c>
      <c r="G98">
        <v>0</v>
      </c>
      <c r="H98">
        <v>141</v>
      </c>
      <c r="I98" s="4">
        <f t="shared" si="1"/>
        <v>1</v>
      </c>
      <c r="K98" t="s">
        <v>627</v>
      </c>
    </row>
    <row r="99" spans="1:11">
      <c r="A99" t="s">
        <v>219</v>
      </c>
      <c r="B99">
        <v>19</v>
      </c>
      <c r="C99">
        <v>1</v>
      </c>
      <c r="D99">
        <v>3</v>
      </c>
      <c r="E99">
        <v>0</v>
      </c>
      <c r="F99">
        <v>1</v>
      </c>
      <c r="G99">
        <v>0</v>
      </c>
      <c r="H99">
        <v>127</v>
      </c>
      <c r="I99" s="4">
        <f t="shared" si="1"/>
        <v>2.3622047244094488E-2</v>
      </c>
      <c r="K99" t="s">
        <v>628</v>
      </c>
    </row>
    <row r="100" spans="1:11">
      <c r="A100" t="s">
        <v>219</v>
      </c>
      <c r="B100">
        <v>19</v>
      </c>
      <c r="C100">
        <v>2</v>
      </c>
      <c r="D100">
        <v>6</v>
      </c>
      <c r="E100">
        <v>0</v>
      </c>
      <c r="F100">
        <v>1</v>
      </c>
      <c r="G100">
        <v>0</v>
      </c>
      <c r="H100">
        <v>127</v>
      </c>
      <c r="I100" s="4">
        <f t="shared" si="1"/>
        <v>4.7244094488188976E-2</v>
      </c>
      <c r="K100" t="s">
        <v>628</v>
      </c>
    </row>
    <row r="101" spans="1:11">
      <c r="A101" t="s">
        <v>219</v>
      </c>
      <c r="B101">
        <v>19</v>
      </c>
      <c r="C101">
        <v>3</v>
      </c>
      <c r="D101">
        <v>83</v>
      </c>
      <c r="E101">
        <v>0</v>
      </c>
      <c r="F101">
        <v>9</v>
      </c>
      <c r="G101">
        <v>0</v>
      </c>
      <c r="H101">
        <v>127</v>
      </c>
      <c r="I101" s="4">
        <f t="shared" si="1"/>
        <v>0.65354330708661412</v>
      </c>
      <c r="K101" t="s">
        <v>628</v>
      </c>
    </row>
    <row r="102" spans="1:11">
      <c r="A102" t="s">
        <v>219</v>
      </c>
      <c r="B102">
        <v>19</v>
      </c>
      <c r="C102">
        <v>4</v>
      </c>
      <c r="D102">
        <v>88</v>
      </c>
      <c r="E102">
        <v>0</v>
      </c>
      <c r="F102">
        <v>10</v>
      </c>
      <c r="G102">
        <v>0</v>
      </c>
      <c r="H102">
        <v>127</v>
      </c>
      <c r="I102" s="4">
        <f t="shared" si="1"/>
        <v>0.69291338582677164</v>
      </c>
      <c r="K102" t="s">
        <v>628</v>
      </c>
    </row>
    <row r="103" spans="1:11">
      <c r="A103" t="s">
        <v>219</v>
      </c>
      <c r="B103">
        <v>19</v>
      </c>
      <c r="C103">
        <v>5</v>
      </c>
      <c r="D103">
        <v>93</v>
      </c>
      <c r="E103">
        <v>0</v>
      </c>
      <c r="F103">
        <v>11</v>
      </c>
      <c r="G103">
        <v>0</v>
      </c>
      <c r="H103">
        <v>127</v>
      </c>
      <c r="I103" s="4">
        <f t="shared" si="1"/>
        <v>0.73228346456692917</v>
      </c>
      <c r="K103" t="s">
        <v>628</v>
      </c>
    </row>
    <row r="104" spans="1:11">
      <c r="A104" t="s">
        <v>219</v>
      </c>
      <c r="B104">
        <v>19</v>
      </c>
      <c r="C104">
        <v>6</v>
      </c>
      <c r="D104">
        <v>126</v>
      </c>
      <c r="E104">
        <v>0</v>
      </c>
      <c r="F104">
        <v>1</v>
      </c>
      <c r="G104">
        <v>0</v>
      </c>
      <c r="H104">
        <v>127</v>
      </c>
      <c r="I104" s="4">
        <f t="shared" si="1"/>
        <v>0.99212598425196852</v>
      </c>
      <c r="K104" t="s">
        <v>628</v>
      </c>
    </row>
    <row r="105" spans="1:11">
      <c r="A105" t="s">
        <v>219</v>
      </c>
      <c r="B105">
        <v>19</v>
      </c>
      <c r="C105">
        <v>7</v>
      </c>
      <c r="D105">
        <v>126</v>
      </c>
      <c r="E105">
        <v>0</v>
      </c>
      <c r="F105">
        <v>1</v>
      </c>
      <c r="G105">
        <v>0</v>
      </c>
      <c r="H105">
        <v>127</v>
      </c>
      <c r="I105" s="4">
        <f t="shared" si="1"/>
        <v>0.99212598425196852</v>
      </c>
      <c r="K105" t="s">
        <v>628</v>
      </c>
    </row>
    <row r="106" spans="1:11">
      <c r="A106" t="s">
        <v>219</v>
      </c>
      <c r="B106">
        <v>19</v>
      </c>
      <c r="C106">
        <v>8</v>
      </c>
      <c r="D106">
        <v>127</v>
      </c>
      <c r="E106">
        <v>0</v>
      </c>
      <c r="F106">
        <v>0</v>
      </c>
      <c r="G106">
        <v>0</v>
      </c>
      <c r="H106">
        <v>127</v>
      </c>
      <c r="I106" s="4">
        <f t="shared" si="1"/>
        <v>1</v>
      </c>
      <c r="K106" t="s">
        <v>628</v>
      </c>
    </row>
    <row r="107" spans="1:11">
      <c r="A107" t="s">
        <v>219</v>
      </c>
      <c r="B107">
        <v>19</v>
      </c>
      <c r="C107">
        <v>9</v>
      </c>
      <c r="D107">
        <v>127</v>
      </c>
      <c r="E107">
        <v>0</v>
      </c>
      <c r="F107">
        <v>0</v>
      </c>
      <c r="G107">
        <v>0</v>
      </c>
      <c r="H107">
        <v>127</v>
      </c>
      <c r="I107" s="4">
        <f t="shared" si="1"/>
        <v>1</v>
      </c>
      <c r="K107" t="s">
        <v>628</v>
      </c>
    </row>
    <row r="108" spans="1:11">
      <c r="A108" t="s">
        <v>219</v>
      </c>
      <c r="B108">
        <v>19</v>
      </c>
      <c r="C108">
        <v>10</v>
      </c>
      <c r="D108">
        <v>127</v>
      </c>
      <c r="E108">
        <v>0</v>
      </c>
      <c r="F108">
        <v>0</v>
      </c>
      <c r="G108">
        <v>0</v>
      </c>
      <c r="H108">
        <v>127</v>
      </c>
      <c r="I108" s="4">
        <f t="shared" si="1"/>
        <v>1</v>
      </c>
      <c r="K108" t="s">
        <v>628</v>
      </c>
    </row>
    <row r="109" spans="1:11">
      <c r="A109" t="s">
        <v>219</v>
      </c>
      <c r="B109">
        <v>19</v>
      </c>
      <c r="C109">
        <v>11</v>
      </c>
      <c r="D109">
        <v>127</v>
      </c>
      <c r="E109">
        <v>0</v>
      </c>
      <c r="F109">
        <v>0</v>
      </c>
      <c r="G109">
        <v>0</v>
      </c>
      <c r="H109">
        <v>127</v>
      </c>
      <c r="I109" s="4">
        <f t="shared" si="1"/>
        <v>1</v>
      </c>
      <c r="K109" t="s">
        <v>628</v>
      </c>
    </row>
    <row r="110" spans="1:11">
      <c r="A110" t="s">
        <v>219</v>
      </c>
      <c r="B110">
        <v>19</v>
      </c>
      <c r="C110">
        <v>12</v>
      </c>
      <c r="D110">
        <v>127</v>
      </c>
      <c r="E110">
        <v>0</v>
      </c>
      <c r="F110">
        <v>0</v>
      </c>
      <c r="G110">
        <v>0</v>
      </c>
      <c r="H110">
        <v>127</v>
      </c>
      <c r="I110" s="4">
        <f t="shared" si="1"/>
        <v>1</v>
      </c>
      <c r="K110" t="s">
        <v>628</v>
      </c>
    </row>
    <row r="111" spans="1:11">
      <c r="A111" t="s">
        <v>219</v>
      </c>
      <c r="B111">
        <v>19</v>
      </c>
      <c r="C111">
        <v>13</v>
      </c>
      <c r="D111">
        <v>127</v>
      </c>
      <c r="E111">
        <v>0</v>
      </c>
      <c r="F111">
        <v>0</v>
      </c>
      <c r="G111">
        <v>0</v>
      </c>
      <c r="H111">
        <v>127</v>
      </c>
      <c r="I111" s="4">
        <f t="shared" si="1"/>
        <v>1</v>
      </c>
      <c r="K111" t="s">
        <v>628</v>
      </c>
    </row>
    <row r="112" spans="1:11">
      <c r="A112" t="s">
        <v>219</v>
      </c>
      <c r="B112">
        <v>19</v>
      </c>
      <c r="C112">
        <v>14</v>
      </c>
      <c r="D112">
        <v>127</v>
      </c>
      <c r="E112">
        <v>0</v>
      </c>
      <c r="F112">
        <v>0</v>
      </c>
      <c r="G112">
        <v>0</v>
      </c>
      <c r="H112">
        <v>127</v>
      </c>
      <c r="I112" s="4">
        <f t="shared" si="1"/>
        <v>1</v>
      </c>
      <c r="K112" t="s">
        <v>628</v>
      </c>
    </row>
    <row r="113" spans="1:11">
      <c r="A113" t="s">
        <v>219</v>
      </c>
      <c r="B113">
        <v>19</v>
      </c>
      <c r="C113">
        <v>15</v>
      </c>
      <c r="D113">
        <v>127</v>
      </c>
      <c r="E113">
        <v>0</v>
      </c>
      <c r="F113">
        <v>0</v>
      </c>
      <c r="G113">
        <v>0</v>
      </c>
      <c r="H113">
        <v>127</v>
      </c>
      <c r="I113" s="4">
        <f t="shared" si="1"/>
        <v>1</v>
      </c>
      <c r="K113" t="s">
        <v>628</v>
      </c>
    </row>
    <row r="114" spans="1:11">
      <c r="A114" t="s">
        <v>219</v>
      </c>
      <c r="B114">
        <v>19</v>
      </c>
      <c r="C114">
        <v>16</v>
      </c>
      <c r="D114">
        <v>127</v>
      </c>
      <c r="E114">
        <v>0</v>
      </c>
      <c r="F114">
        <v>0</v>
      </c>
      <c r="G114">
        <v>0</v>
      </c>
      <c r="H114">
        <v>127</v>
      </c>
      <c r="I114" s="4">
        <f t="shared" si="1"/>
        <v>1</v>
      </c>
      <c r="K114" t="s">
        <v>628</v>
      </c>
    </row>
    <row r="115" spans="1:11">
      <c r="A115" t="s">
        <v>219</v>
      </c>
      <c r="B115">
        <v>19</v>
      </c>
      <c r="C115">
        <v>17</v>
      </c>
      <c r="D115">
        <v>127</v>
      </c>
      <c r="E115">
        <v>0</v>
      </c>
      <c r="F115">
        <v>0</v>
      </c>
      <c r="G115">
        <v>0</v>
      </c>
      <c r="H115">
        <v>127</v>
      </c>
      <c r="I115" s="4">
        <f t="shared" si="1"/>
        <v>1</v>
      </c>
      <c r="K115" t="s">
        <v>628</v>
      </c>
    </row>
    <row r="116" spans="1:11">
      <c r="A116" t="s">
        <v>219</v>
      </c>
      <c r="B116">
        <v>19</v>
      </c>
      <c r="C116">
        <v>18</v>
      </c>
      <c r="D116">
        <v>127</v>
      </c>
      <c r="E116">
        <v>0</v>
      </c>
      <c r="F116">
        <v>0</v>
      </c>
      <c r="G116">
        <v>0</v>
      </c>
      <c r="H116">
        <v>127</v>
      </c>
      <c r="I116" s="4">
        <f t="shared" si="1"/>
        <v>1</v>
      </c>
      <c r="K116" t="s">
        <v>628</v>
      </c>
    </row>
    <row r="117" spans="1:11">
      <c r="A117" t="s">
        <v>219</v>
      </c>
      <c r="B117">
        <v>19</v>
      </c>
      <c r="C117">
        <v>19</v>
      </c>
      <c r="D117">
        <v>127</v>
      </c>
      <c r="E117">
        <v>0</v>
      </c>
      <c r="F117">
        <v>0</v>
      </c>
      <c r="G117">
        <v>0</v>
      </c>
      <c r="H117">
        <v>127</v>
      </c>
      <c r="I117" s="4">
        <f t="shared" si="1"/>
        <v>1</v>
      </c>
      <c r="K117" t="s">
        <v>628</v>
      </c>
    </row>
    <row r="118" spans="1:11">
      <c r="A118" t="s">
        <v>219</v>
      </c>
      <c r="B118">
        <v>19</v>
      </c>
      <c r="C118">
        <v>20</v>
      </c>
      <c r="D118">
        <v>127</v>
      </c>
      <c r="E118">
        <v>0</v>
      </c>
      <c r="F118">
        <v>0</v>
      </c>
      <c r="G118">
        <v>0</v>
      </c>
      <c r="H118">
        <v>127</v>
      </c>
      <c r="I118" s="4">
        <f t="shared" si="1"/>
        <v>1</v>
      </c>
      <c r="K118" t="s">
        <v>628</v>
      </c>
    </row>
    <row r="119" spans="1:11">
      <c r="A119" t="s">
        <v>219</v>
      </c>
      <c r="B119">
        <v>19</v>
      </c>
      <c r="C119">
        <v>21</v>
      </c>
      <c r="D119">
        <v>127</v>
      </c>
      <c r="E119">
        <v>0</v>
      </c>
      <c r="F119">
        <v>0</v>
      </c>
      <c r="G119">
        <v>0</v>
      </c>
      <c r="H119">
        <v>127</v>
      </c>
      <c r="I119" s="4">
        <f t="shared" si="1"/>
        <v>1</v>
      </c>
      <c r="K119" t="s">
        <v>628</v>
      </c>
    </row>
    <row r="120" spans="1:11">
      <c r="A120" t="s">
        <v>219</v>
      </c>
      <c r="B120">
        <v>19</v>
      </c>
      <c r="C120">
        <v>22</v>
      </c>
      <c r="D120">
        <v>127</v>
      </c>
      <c r="E120">
        <v>0</v>
      </c>
      <c r="F120">
        <v>0</v>
      </c>
      <c r="G120">
        <v>0</v>
      </c>
      <c r="H120">
        <v>127</v>
      </c>
      <c r="I120" s="4">
        <f t="shared" si="1"/>
        <v>1</v>
      </c>
      <c r="K120" t="s">
        <v>628</v>
      </c>
    </row>
    <row r="121" spans="1:11">
      <c r="A121" t="s">
        <v>219</v>
      </c>
      <c r="B121">
        <v>19</v>
      </c>
      <c r="C121">
        <v>23</v>
      </c>
      <c r="D121">
        <v>127</v>
      </c>
      <c r="E121">
        <v>0</v>
      </c>
      <c r="F121">
        <v>0</v>
      </c>
      <c r="G121">
        <v>0</v>
      </c>
      <c r="H121">
        <v>127</v>
      </c>
      <c r="I121" s="4">
        <f t="shared" si="1"/>
        <v>1</v>
      </c>
      <c r="K121" t="s">
        <v>628</v>
      </c>
    </row>
    <row r="122" spans="1:11">
      <c r="A122" t="s">
        <v>219</v>
      </c>
      <c r="B122">
        <v>19</v>
      </c>
      <c r="C122">
        <v>24</v>
      </c>
      <c r="D122">
        <v>127</v>
      </c>
      <c r="E122">
        <v>0</v>
      </c>
      <c r="F122">
        <v>0</v>
      </c>
      <c r="G122">
        <v>0</v>
      </c>
      <c r="H122">
        <v>127</v>
      </c>
      <c r="I122" s="4">
        <f t="shared" si="1"/>
        <v>1</v>
      </c>
      <c r="K122" t="s">
        <v>628</v>
      </c>
    </row>
    <row r="123" spans="1:11">
      <c r="A123" t="s">
        <v>219</v>
      </c>
      <c r="B123">
        <v>19</v>
      </c>
      <c r="C123">
        <v>25</v>
      </c>
      <c r="D123">
        <v>127</v>
      </c>
      <c r="E123">
        <v>0</v>
      </c>
      <c r="F123">
        <v>0</v>
      </c>
      <c r="G123">
        <v>0</v>
      </c>
      <c r="H123">
        <v>127</v>
      </c>
      <c r="I123" s="4">
        <f t="shared" si="1"/>
        <v>1</v>
      </c>
      <c r="K123" t="s">
        <v>628</v>
      </c>
    </row>
    <row r="124" spans="1:11">
      <c r="A124" t="s">
        <v>219</v>
      </c>
      <c r="B124">
        <v>19</v>
      </c>
      <c r="C124">
        <v>26</v>
      </c>
      <c r="D124">
        <v>127</v>
      </c>
      <c r="E124">
        <v>0</v>
      </c>
      <c r="F124">
        <v>0</v>
      </c>
      <c r="G124">
        <v>0</v>
      </c>
      <c r="H124">
        <v>127</v>
      </c>
      <c r="I124" s="4">
        <f t="shared" si="1"/>
        <v>1</v>
      </c>
      <c r="K124" t="s">
        <v>628</v>
      </c>
    </row>
    <row r="125" spans="1:11">
      <c r="A125" t="s">
        <v>219</v>
      </c>
      <c r="B125">
        <v>19</v>
      </c>
      <c r="C125">
        <v>27</v>
      </c>
      <c r="D125">
        <v>127</v>
      </c>
      <c r="E125">
        <v>0</v>
      </c>
      <c r="F125">
        <v>0</v>
      </c>
      <c r="G125">
        <v>0</v>
      </c>
      <c r="H125">
        <v>127</v>
      </c>
      <c r="I125" s="4">
        <f t="shared" si="1"/>
        <v>1</v>
      </c>
      <c r="K125" t="s">
        <v>628</v>
      </c>
    </row>
    <row r="126" spans="1:11">
      <c r="A126" t="s">
        <v>219</v>
      </c>
      <c r="B126">
        <v>19</v>
      </c>
      <c r="C126">
        <v>28</v>
      </c>
      <c r="D126">
        <v>127</v>
      </c>
      <c r="E126">
        <v>0</v>
      </c>
      <c r="F126">
        <v>0</v>
      </c>
      <c r="G126">
        <v>0</v>
      </c>
      <c r="H126">
        <v>127</v>
      </c>
      <c r="I126" s="4">
        <f t="shared" si="1"/>
        <v>1</v>
      </c>
      <c r="K126" t="s">
        <v>628</v>
      </c>
    </row>
    <row r="127" spans="1:11">
      <c r="A127" t="s">
        <v>219</v>
      </c>
      <c r="B127">
        <v>20</v>
      </c>
      <c r="C127">
        <v>1</v>
      </c>
      <c r="D127">
        <v>20</v>
      </c>
      <c r="E127">
        <v>0</v>
      </c>
      <c r="F127">
        <v>7</v>
      </c>
      <c r="G127">
        <v>0</v>
      </c>
      <c r="H127">
        <v>101</v>
      </c>
      <c r="I127" s="4">
        <f t="shared" si="1"/>
        <v>0.19801980198019803</v>
      </c>
      <c r="K127" t="s">
        <v>629</v>
      </c>
    </row>
    <row r="128" spans="1:11">
      <c r="A128" t="s">
        <v>219</v>
      </c>
      <c r="B128">
        <v>20</v>
      </c>
      <c r="C128">
        <v>2</v>
      </c>
      <c r="D128">
        <v>23</v>
      </c>
      <c r="E128">
        <v>0</v>
      </c>
      <c r="F128">
        <v>6</v>
      </c>
      <c r="G128">
        <v>0</v>
      </c>
      <c r="H128">
        <v>101</v>
      </c>
      <c r="I128" s="4">
        <f t="shared" si="1"/>
        <v>0.22772277227722773</v>
      </c>
      <c r="K128" t="s">
        <v>629</v>
      </c>
    </row>
    <row r="129" spans="1:11">
      <c r="A129" t="s">
        <v>219</v>
      </c>
      <c r="B129">
        <v>20</v>
      </c>
      <c r="C129">
        <v>3</v>
      </c>
      <c r="D129">
        <v>26</v>
      </c>
      <c r="E129">
        <v>0</v>
      </c>
      <c r="F129">
        <v>6</v>
      </c>
      <c r="G129">
        <v>0</v>
      </c>
      <c r="H129">
        <v>101</v>
      </c>
      <c r="I129" s="4">
        <f t="shared" si="1"/>
        <v>0.25742574257425743</v>
      </c>
      <c r="K129" t="s">
        <v>629</v>
      </c>
    </row>
    <row r="130" spans="1:11">
      <c r="A130" t="s">
        <v>219</v>
      </c>
      <c r="B130">
        <v>20</v>
      </c>
      <c r="C130">
        <v>4</v>
      </c>
      <c r="D130">
        <v>29</v>
      </c>
      <c r="E130">
        <v>0</v>
      </c>
      <c r="F130">
        <v>9</v>
      </c>
      <c r="G130">
        <v>0</v>
      </c>
      <c r="H130">
        <v>101</v>
      </c>
      <c r="I130" s="4">
        <f t="shared" si="1"/>
        <v>0.28712871287128711</v>
      </c>
      <c r="K130" t="s">
        <v>629</v>
      </c>
    </row>
    <row r="131" spans="1:11">
      <c r="A131" t="s">
        <v>219</v>
      </c>
      <c r="B131">
        <v>20</v>
      </c>
      <c r="C131">
        <v>5</v>
      </c>
      <c r="D131">
        <v>45</v>
      </c>
      <c r="E131">
        <v>0</v>
      </c>
      <c r="F131">
        <v>9</v>
      </c>
      <c r="G131">
        <v>0</v>
      </c>
      <c r="H131">
        <v>101</v>
      </c>
      <c r="I131" s="4">
        <f t="shared" ref="I131:I194" si="2">D131/H131</f>
        <v>0.44554455445544555</v>
      </c>
      <c r="K131" t="s">
        <v>629</v>
      </c>
    </row>
    <row r="132" spans="1:11">
      <c r="A132" t="s">
        <v>219</v>
      </c>
      <c r="B132">
        <v>20</v>
      </c>
      <c r="C132">
        <v>6</v>
      </c>
      <c r="D132">
        <v>53</v>
      </c>
      <c r="E132">
        <v>0</v>
      </c>
      <c r="F132">
        <v>7</v>
      </c>
      <c r="G132">
        <v>0</v>
      </c>
      <c r="H132">
        <v>101</v>
      </c>
      <c r="I132" s="4">
        <f t="shared" si="2"/>
        <v>0.52475247524752477</v>
      </c>
      <c r="K132" t="s">
        <v>629</v>
      </c>
    </row>
    <row r="133" spans="1:11">
      <c r="A133" t="s">
        <v>219</v>
      </c>
      <c r="B133">
        <v>20</v>
      </c>
      <c r="C133">
        <v>7</v>
      </c>
      <c r="D133">
        <v>53</v>
      </c>
      <c r="E133">
        <v>0</v>
      </c>
      <c r="F133">
        <v>7</v>
      </c>
      <c r="G133">
        <v>0</v>
      </c>
      <c r="H133">
        <v>101</v>
      </c>
      <c r="I133" s="4">
        <f t="shared" si="2"/>
        <v>0.52475247524752477</v>
      </c>
      <c r="K133" t="s">
        <v>629</v>
      </c>
    </row>
    <row r="134" spans="1:11">
      <c r="A134" t="s">
        <v>219</v>
      </c>
      <c r="B134">
        <v>20</v>
      </c>
      <c r="C134">
        <v>8</v>
      </c>
      <c r="D134">
        <v>53</v>
      </c>
      <c r="E134">
        <v>0</v>
      </c>
      <c r="F134">
        <v>7</v>
      </c>
      <c r="G134">
        <v>0</v>
      </c>
      <c r="H134">
        <v>101</v>
      </c>
      <c r="I134" s="4">
        <f t="shared" si="2"/>
        <v>0.52475247524752477</v>
      </c>
      <c r="K134" t="s">
        <v>629</v>
      </c>
    </row>
    <row r="135" spans="1:11">
      <c r="A135" t="s">
        <v>219</v>
      </c>
      <c r="B135">
        <v>20</v>
      </c>
      <c r="C135">
        <v>9</v>
      </c>
      <c r="D135">
        <v>53</v>
      </c>
      <c r="E135">
        <v>0</v>
      </c>
      <c r="F135">
        <v>7</v>
      </c>
      <c r="G135">
        <v>0</v>
      </c>
      <c r="H135">
        <v>101</v>
      </c>
      <c r="I135" s="4">
        <f t="shared" si="2"/>
        <v>0.52475247524752477</v>
      </c>
      <c r="K135" t="s">
        <v>629</v>
      </c>
    </row>
    <row r="136" spans="1:11">
      <c r="A136" t="s">
        <v>219</v>
      </c>
      <c r="B136">
        <v>20</v>
      </c>
      <c r="C136">
        <v>10</v>
      </c>
      <c r="D136">
        <v>53</v>
      </c>
      <c r="E136">
        <v>0</v>
      </c>
      <c r="F136">
        <v>7</v>
      </c>
      <c r="G136">
        <v>0</v>
      </c>
      <c r="H136">
        <v>101</v>
      </c>
      <c r="I136" s="4">
        <f t="shared" si="2"/>
        <v>0.52475247524752477</v>
      </c>
      <c r="K136" t="s">
        <v>629</v>
      </c>
    </row>
    <row r="137" spans="1:11">
      <c r="A137" t="s">
        <v>219</v>
      </c>
      <c r="B137">
        <v>20</v>
      </c>
      <c r="C137">
        <v>11</v>
      </c>
      <c r="D137">
        <v>53</v>
      </c>
      <c r="E137">
        <v>0</v>
      </c>
      <c r="F137">
        <v>7</v>
      </c>
      <c r="G137">
        <v>0</v>
      </c>
      <c r="H137">
        <v>101</v>
      </c>
      <c r="I137" s="4">
        <f t="shared" si="2"/>
        <v>0.52475247524752477</v>
      </c>
      <c r="K137" t="s">
        <v>629</v>
      </c>
    </row>
    <row r="138" spans="1:11">
      <c r="A138" t="s">
        <v>219</v>
      </c>
      <c r="B138">
        <v>20</v>
      </c>
      <c r="C138">
        <v>12</v>
      </c>
      <c r="D138">
        <v>53</v>
      </c>
      <c r="E138">
        <v>0</v>
      </c>
      <c r="F138">
        <v>7</v>
      </c>
      <c r="G138">
        <v>0</v>
      </c>
      <c r="H138">
        <v>101</v>
      </c>
      <c r="I138" s="4">
        <f t="shared" si="2"/>
        <v>0.52475247524752477</v>
      </c>
      <c r="K138" t="s">
        <v>629</v>
      </c>
    </row>
    <row r="139" spans="1:11">
      <c r="A139" t="s">
        <v>219</v>
      </c>
      <c r="B139">
        <v>20</v>
      </c>
      <c r="C139">
        <v>13</v>
      </c>
      <c r="D139">
        <v>53</v>
      </c>
      <c r="E139">
        <v>0</v>
      </c>
      <c r="F139">
        <v>7</v>
      </c>
      <c r="G139">
        <v>0</v>
      </c>
      <c r="H139">
        <v>101</v>
      </c>
      <c r="I139" s="4">
        <f t="shared" si="2"/>
        <v>0.52475247524752477</v>
      </c>
      <c r="K139" t="s">
        <v>629</v>
      </c>
    </row>
    <row r="140" spans="1:11">
      <c r="A140" t="s">
        <v>219</v>
      </c>
      <c r="B140">
        <v>20</v>
      </c>
      <c r="C140">
        <v>14</v>
      </c>
      <c r="D140">
        <v>71</v>
      </c>
      <c r="E140">
        <v>0</v>
      </c>
      <c r="F140">
        <v>5</v>
      </c>
      <c r="G140">
        <v>0</v>
      </c>
      <c r="H140">
        <v>101</v>
      </c>
      <c r="I140" s="4">
        <f t="shared" si="2"/>
        <v>0.70297029702970293</v>
      </c>
      <c r="K140" t="s">
        <v>629</v>
      </c>
    </row>
    <row r="141" spans="1:11">
      <c r="A141" t="s">
        <v>219</v>
      </c>
      <c r="B141">
        <v>20</v>
      </c>
      <c r="C141">
        <v>15</v>
      </c>
      <c r="D141">
        <v>71</v>
      </c>
      <c r="E141">
        <v>0</v>
      </c>
      <c r="F141">
        <v>5</v>
      </c>
      <c r="G141">
        <v>0</v>
      </c>
      <c r="H141">
        <v>101</v>
      </c>
      <c r="I141" s="4">
        <f t="shared" si="2"/>
        <v>0.70297029702970293</v>
      </c>
      <c r="K141" t="s">
        <v>629</v>
      </c>
    </row>
    <row r="142" spans="1:11">
      <c r="A142" t="s">
        <v>219</v>
      </c>
      <c r="B142">
        <v>20</v>
      </c>
      <c r="C142">
        <v>16</v>
      </c>
      <c r="D142">
        <v>71</v>
      </c>
      <c r="E142">
        <v>0</v>
      </c>
      <c r="F142">
        <v>5</v>
      </c>
      <c r="G142">
        <v>0</v>
      </c>
      <c r="H142">
        <v>101</v>
      </c>
      <c r="I142" s="4">
        <f t="shared" si="2"/>
        <v>0.70297029702970293</v>
      </c>
      <c r="K142" t="s">
        <v>629</v>
      </c>
    </row>
    <row r="143" spans="1:11">
      <c r="A143" t="s">
        <v>219</v>
      </c>
      <c r="B143">
        <v>20</v>
      </c>
      <c r="C143">
        <v>17</v>
      </c>
      <c r="D143">
        <v>71</v>
      </c>
      <c r="E143">
        <v>0</v>
      </c>
      <c r="F143">
        <v>5</v>
      </c>
      <c r="G143">
        <v>0</v>
      </c>
      <c r="H143">
        <v>101</v>
      </c>
      <c r="I143" s="4">
        <f t="shared" si="2"/>
        <v>0.70297029702970293</v>
      </c>
      <c r="K143" t="s">
        <v>629</v>
      </c>
    </row>
    <row r="144" spans="1:11">
      <c r="A144" t="s">
        <v>219</v>
      </c>
      <c r="B144">
        <v>20</v>
      </c>
      <c r="C144">
        <v>18</v>
      </c>
      <c r="D144">
        <v>71</v>
      </c>
      <c r="E144">
        <v>0</v>
      </c>
      <c r="F144">
        <v>5</v>
      </c>
      <c r="G144">
        <v>0</v>
      </c>
      <c r="H144">
        <v>101</v>
      </c>
      <c r="I144" s="4">
        <f t="shared" si="2"/>
        <v>0.70297029702970293</v>
      </c>
      <c r="K144" t="s">
        <v>629</v>
      </c>
    </row>
    <row r="145" spans="1:11">
      <c r="A145" t="s">
        <v>219</v>
      </c>
      <c r="B145">
        <v>20</v>
      </c>
      <c r="C145">
        <v>19</v>
      </c>
      <c r="D145">
        <v>71</v>
      </c>
      <c r="E145">
        <v>0</v>
      </c>
      <c r="F145">
        <v>5</v>
      </c>
      <c r="G145">
        <v>0</v>
      </c>
      <c r="H145">
        <v>101</v>
      </c>
      <c r="I145" s="4">
        <f t="shared" si="2"/>
        <v>0.70297029702970293</v>
      </c>
      <c r="K145" t="s">
        <v>629</v>
      </c>
    </row>
    <row r="146" spans="1:11">
      <c r="A146" t="s">
        <v>219</v>
      </c>
      <c r="B146">
        <v>20</v>
      </c>
      <c r="C146">
        <v>20</v>
      </c>
      <c r="D146">
        <v>71</v>
      </c>
      <c r="E146">
        <v>0</v>
      </c>
      <c r="F146">
        <v>5</v>
      </c>
      <c r="G146">
        <v>0</v>
      </c>
      <c r="H146">
        <v>101</v>
      </c>
      <c r="I146" s="4">
        <f t="shared" si="2"/>
        <v>0.70297029702970293</v>
      </c>
      <c r="K146" t="s">
        <v>629</v>
      </c>
    </row>
    <row r="147" spans="1:11">
      <c r="A147" t="s">
        <v>219</v>
      </c>
      <c r="B147">
        <v>20</v>
      </c>
      <c r="C147">
        <v>21</v>
      </c>
      <c r="D147">
        <v>71</v>
      </c>
      <c r="E147">
        <v>0</v>
      </c>
      <c r="F147">
        <v>5</v>
      </c>
      <c r="G147">
        <v>0</v>
      </c>
      <c r="H147">
        <v>101</v>
      </c>
      <c r="I147" s="4">
        <f t="shared" si="2"/>
        <v>0.70297029702970293</v>
      </c>
      <c r="K147" t="s">
        <v>629</v>
      </c>
    </row>
    <row r="148" spans="1:11">
      <c r="A148" t="s">
        <v>219</v>
      </c>
      <c r="B148">
        <v>20</v>
      </c>
      <c r="C148">
        <v>22</v>
      </c>
      <c r="D148">
        <v>71</v>
      </c>
      <c r="E148">
        <v>0</v>
      </c>
      <c r="F148">
        <v>5</v>
      </c>
      <c r="G148">
        <v>0</v>
      </c>
      <c r="H148">
        <v>101</v>
      </c>
      <c r="I148" s="4">
        <f t="shared" si="2"/>
        <v>0.70297029702970293</v>
      </c>
      <c r="K148" t="s">
        <v>629</v>
      </c>
    </row>
    <row r="149" spans="1:11">
      <c r="A149" t="s">
        <v>219</v>
      </c>
      <c r="B149">
        <v>20</v>
      </c>
      <c r="C149">
        <v>23</v>
      </c>
      <c r="D149">
        <v>101</v>
      </c>
      <c r="E149">
        <v>0</v>
      </c>
      <c r="F149">
        <v>4</v>
      </c>
      <c r="G149">
        <v>0</v>
      </c>
      <c r="H149">
        <v>101</v>
      </c>
      <c r="I149" s="4">
        <f t="shared" si="2"/>
        <v>1</v>
      </c>
      <c r="K149" t="s">
        <v>629</v>
      </c>
    </row>
    <row r="150" spans="1:11">
      <c r="A150" t="s">
        <v>219</v>
      </c>
      <c r="B150">
        <v>20</v>
      </c>
      <c r="C150">
        <v>24</v>
      </c>
      <c r="D150">
        <v>101</v>
      </c>
      <c r="E150">
        <v>0</v>
      </c>
      <c r="F150">
        <v>4</v>
      </c>
      <c r="G150">
        <v>0</v>
      </c>
      <c r="H150">
        <v>101</v>
      </c>
      <c r="I150" s="4">
        <f t="shared" si="2"/>
        <v>1</v>
      </c>
      <c r="K150" t="s">
        <v>629</v>
      </c>
    </row>
    <row r="151" spans="1:11">
      <c r="A151" t="s">
        <v>219</v>
      </c>
      <c r="B151">
        <v>20</v>
      </c>
      <c r="C151">
        <v>25</v>
      </c>
      <c r="D151">
        <v>101</v>
      </c>
      <c r="E151">
        <v>0</v>
      </c>
      <c r="F151">
        <v>4</v>
      </c>
      <c r="G151">
        <v>0</v>
      </c>
      <c r="H151">
        <v>101</v>
      </c>
      <c r="I151" s="4">
        <f t="shared" si="2"/>
        <v>1</v>
      </c>
      <c r="K151" t="s">
        <v>629</v>
      </c>
    </row>
    <row r="152" spans="1:11">
      <c r="A152" t="s">
        <v>219</v>
      </c>
      <c r="B152">
        <v>20</v>
      </c>
      <c r="C152">
        <v>26</v>
      </c>
      <c r="D152">
        <v>101</v>
      </c>
      <c r="E152">
        <v>0</v>
      </c>
      <c r="F152">
        <v>4</v>
      </c>
      <c r="G152">
        <v>0</v>
      </c>
      <c r="H152">
        <v>101</v>
      </c>
      <c r="I152" s="4">
        <f t="shared" si="2"/>
        <v>1</v>
      </c>
      <c r="K152" t="s">
        <v>629</v>
      </c>
    </row>
    <row r="153" spans="1:11">
      <c r="A153" t="s">
        <v>219</v>
      </c>
      <c r="B153">
        <v>20</v>
      </c>
      <c r="C153">
        <v>27</v>
      </c>
      <c r="D153">
        <v>101</v>
      </c>
      <c r="E153">
        <v>0</v>
      </c>
      <c r="F153">
        <v>4</v>
      </c>
      <c r="G153">
        <v>0</v>
      </c>
      <c r="H153">
        <v>101</v>
      </c>
      <c r="I153" s="4">
        <f t="shared" si="2"/>
        <v>1</v>
      </c>
      <c r="K153" t="s">
        <v>629</v>
      </c>
    </row>
    <row r="154" spans="1:11">
      <c r="A154" t="s">
        <v>219</v>
      </c>
      <c r="B154">
        <v>20</v>
      </c>
      <c r="C154">
        <v>28</v>
      </c>
      <c r="D154">
        <v>101</v>
      </c>
      <c r="E154">
        <v>0</v>
      </c>
      <c r="F154">
        <v>4</v>
      </c>
      <c r="G154">
        <v>0</v>
      </c>
      <c r="H154">
        <v>101</v>
      </c>
      <c r="I154" s="4">
        <f t="shared" si="2"/>
        <v>1</v>
      </c>
      <c r="K154" t="s">
        <v>629</v>
      </c>
    </row>
    <row r="155" spans="1:11">
      <c r="A155" t="s">
        <v>219</v>
      </c>
      <c r="B155">
        <v>20</v>
      </c>
      <c r="C155">
        <v>29</v>
      </c>
      <c r="D155">
        <v>101</v>
      </c>
      <c r="E155">
        <v>0</v>
      </c>
      <c r="F155">
        <v>4</v>
      </c>
      <c r="G155">
        <v>0</v>
      </c>
      <c r="H155">
        <v>101</v>
      </c>
      <c r="I155" s="4">
        <f t="shared" si="2"/>
        <v>1</v>
      </c>
      <c r="K155" t="s">
        <v>629</v>
      </c>
    </row>
    <row r="156" spans="1:11">
      <c r="A156" t="s">
        <v>219</v>
      </c>
      <c r="B156">
        <v>20</v>
      </c>
      <c r="C156">
        <v>30</v>
      </c>
      <c r="D156">
        <v>101</v>
      </c>
      <c r="E156">
        <v>0</v>
      </c>
      <c r="F156">
        <v>4</v>
      </c>
      <c r="G156">
        <v>0</v>
      </c>
      <c r="H156">
        <v>101</v>
      </c>
      <c r="I156" s="4">
        <f t="shared" si="2"/>
        <v>1</v>
      </c>
      <c r="K156" t="s">
        <v>629</v>
      </c>
    </row>
    <row r="157" spans="1:11">
      <c r="A157" t="s">
        <v>219</v>
      </c>
      <c r="B157">
        <v>20</v>
      </c>
      <c r="C157">
        <v>31</v>
      </c>
      <c r="D157">
        <v>101</v>
      </c>
      <c r="E157">
        <v>0</v>
      </c>
      <c r="F157">
        <v>4</v>
      </c>
      <c r="G157">
        <v>0</v>
      </c>
      <c r="H157">
        <v>101</v>
      </c>
      <c r="I157" s="4">
        <f t="shared" si="2"/>
        <v>1</v>
      </c>
      <c r="K157" t="s">
        <v>629</v>
      </c>
    </row>
    <row r="158" spans="1:11">
      <c r="A158" t="s">
        <v>219</v>
      </c>
      <c r="B158">
        <v>20</v>
      </c>
      <c r="C158">
        <v>32</v>
      </c>
      <c r="D158">
        <v>101</v>
      </c>
      <c r="E158">
        <v>0</v>
      </c>
      <c r="F158">
        <v>4</v>
      </c>
      <c r="G158">
        <v>0</v>
      </c>
      <c r="H158">
        <v>101</v>
      </c>
      <c r="I158" s="4">
        <f t="shared" si="2"/>
        <v>1</v>
      </c>
      <c r="K158" t="s">
        <v>629</v>
      </c>
    </row>
    <row r="159" spans="1:11">
      <c r="A159" s="6" t="s">
        <v>219</v>
      </c>
      <c r="B159" s="6">
        <v>20</v>
      </c>
      <c r="C159" s="6">
        <v>33</v>
      </c>
      <c r="D159" s="6">
        <v>101</v>
      </c>
      <c r="E159" s="6">
        <v>0</v>
      </c>
      <c r="F159" s="6">
        <v>4</v>
      </c>
      <c r="G159" s="6">
        <v>0</v>
      </c>
      <c r="H159" s="6">
        <v>101</v>
      </c>
      <c r="I159" s="4">
        <f t="shared" si="2"/>
        <v>1</v>
      </c>
      <c r="K159" t="s">
        <v>629</v>
      </c>
    </row>
    <row r="160" spans="1:11">
      <c r="A160" t="s">
        <v>220</v>
      </c>
      <c r="B160">
        <v>2</v>
      </c>
      <c r="C160">
        <v>1</v>
      </c>
      <c r="D160">
        <v>5</v>
      </c>
      <c r="E160">
        <v>0</v>
      </c>
      <c r="F160">
        <v>1</v>
      </c>
      <c r="G160">
        <v>0</v>
      </c>
      <c r="H160">
        <v>112</v>
      </c>
      <c r="I160" s="4">
        <f t="shared" si="2"/>
        <v>4.4642857142857144E-2</v>
      </c>
      <c r="K160" t="s">
        <v>617</v>
      </c>
    </row>
    <row r="161" spans="1:11">
      <c r="A161" t="s">
        <v>220</v>
      </c>
      <c r="B161">
        <v>2</v>
      </c>
      <c r="C161">
        <v>2</v>
      </c>
      <c r="D161">
        <v>56</v>
      </c>
      <c r="E161">
        <v>0</v>
      </c>
      <c r="F161">
        <v>12</v>
      </c>
      <c r="G161">
        <v>0</v>
      </c>
      <c r="H161">
        <v>112</v>
      </c>
      <c r="I161" s="4">
        <f t="shared" si="2"/>
        <v>0.5</v>
      </c>
      <c r="K161" t="s">
        <v>617</v>
      </c>
    </row>
    <row r="162" spans="1:11">
      <c r="A162" t="s">
        <v>220</v>
      </c>
      <c r="B162">
        <v>2</v>
      </c>
      <c r="C162">
        <v>3</v>
      </c>
      <c r="D162">
        <v>112</v>
      </c>
      <c r="E162">
        <v>0</v>
      </c>
      <c r="F162">
        <v>0</v>
      </c>
      <c r="G162">
        <v>0</v>
      </c>
      <c r="H162">
        <v>112</v>
      </c>
      <c r="I162" s="4">
        <f t="shared" si="2"/>
        <v>1</v>
      </c>
      <c r="K162" t="s">
        <v>617</v>
      </c>
    </row>
    <row r="163" spans="1:11">
      <c r="A163" t="s">
        <v>220</v>
      </c>
      <c r="B163">
        <v>3</v>
      </c>
      <c r="C163">
        <v>1</v>
      </c>
      <c r="D163">
        <v>43</v>
      </c>
      <c r="E163">
        <v>0</v>
      </c>
      <c r="F163">
        <v>1</v>
      </c>
      <c r="G163">
        <v>0</v>
      </c>
      <c r="H163">
        <v>44</v>
      </c>
      <c r="I163" s="4">
        <f t="shared" si="2"/>
        <v>0.97727272727272729</v>
      </c>
      <c r="K163" t="s">
        <v>616</v>
      </c>
    </row>
    <row r="164" spans="1:11">
      <c r="A164" t="s">
        <v>220</v>
      </c>
      <c r="B164">
        <v>3</v>
      </c>
      <c r="C164">
        <v>2</v>
      </c>
      <c r="D164">
        <v>44</v>
      </c>
      <c r="E164">
        <v>0</v>
      </c>
      <c r="F164">
        <v>0</v>
      </c>
      <c r="G164">
        <v>0</v>
      </c>
      <c r="H164">
        <v>44</v>
      </c>
      <c r="I164" s="4">
        <f t="shared" si="2"/>
        <v>1</v>
      </c>
      <c r="K164" t="s">
        <v>616</v>
      </c>
    </row>
    <row r="165" spans="1:11">
      <c r="A165" t="s">
        <v>220</v>
      </c>
      <c r="B165">
        <v>7</v>
      </c>
      <c r="C165">
        <v>1</v>
      </c>
      <c r="D165">
        <v>40</v>
      </c>
      <c r="E165">
        <v>0</v>
      </c>
      <c r="F165">
        <v>2</v>
      </c>
      <c r="G165">
        <v>0</v>
      </c>
      <c r="H165">
        <v>43</v>
      </c>
      <c r="I165" s="4">
        <f t="shared" si="2"/>
        <v>0.93023255813953487</v>
      </c>
      <c r="K165" t="s">
        <v>684</v>
      </c>
    </row>
    <row r="166" spans="1:11">
      <c r="A166" t="s">
        <v>220</v>
      </c>
      <c r="B166">
        <v>7</v>
      </c>
      <c r="C166">
        <v>2</v>
      </c>
      <c r="D166">
        <v>43</v>
      </c>
      <c r="E166">
        <v>0</v>
      </c>
      <c r="F166">
        <v>0</v>
      </c>
      <c r="G166">
        <v>0</v>
      </c>
      <c r="H166">
        <v>43</v>
      </c>
      <c r="I166" s="4">
        <f t="shared" si="2"/>
        <v>1</v>
      </c>
      <c r="K166" t="s">
        <v>684</v>
      </c>
    </row>
    <row r="167" spans="1:11">
      <c r="A167" t="s">
        <v>220</v>
      </c>
      <c r="B167">
        <v>10</v>
      </c>
      <c r="C167">
        <v>1</v>
      </c>
      <c r="D167">
        <v>47</v>
      </c>
      <c r="E167">
        <v>0</v>
      </c>
      <c r="F167">
        <v>8</v>
      </c>
      <c r="G167">
        <v>0</v>
      </c>
      <c r="H167">
        <v>406</v>
      </c>
      <c r="I167" s="4">
        <f t="shared" si="2"/>
        <v>0.11576354679802955</v>
      </c>
      <c r="K167" t="s">
        <v>618</v>
      </c>
    </row>
    <row r="168" spans="1:11">
      <c r="A168" t="s">
        <v>220</v>
      </c>
      <c r="B168">
        <v>10</v>
      </c>
      <c r="C168">
        <v>2</v>
      </c>
      <c r="D168">
        <v>47</v>
      </c>
      <c r="E168">
        <v>0</v>
      </c>
      <c r="F168">
        <v>8</v>
      </c>
      <c r="G168">
        <v>0</v>
      </c>
      <c r="H168">
        <v>406</v>
      </c>
      <c r="I168" s="4">
        <f t="shared" si="2"/>
        <v>0.11576354679802955</v>
      </c>
      <c r="K168" t="s">
        <v>618</v>
      </c>
    </row>
    <row r="169" spans="1:11">
      <c r="A169" t="s">
        <v>220</v>
      </c>
      <c r="B169">
        <v>10</v>
      </c>
      <c r="C169">
        <v>3</v>
      </c>
      <c r="D169">
        <v>47</v>
      </c>
      <c r="E169">
        <v>0</v>
      </c>
      <c r="F169">
        <v>8</v>
      </c>
      <c r="G169">
        <v>0</v>
      </c>
      <c r="H169">
        <v>406</v>
      </c>
      <c r="I169" s="4">
        <f t="shared" si="2"/>
        <v>0.11576354679802955</v>
      </c>
      <c r="K169" t="s">
        <v>618</v>
      </c>
    </row>
    <row r="170" spans="1:11">
      <c r="A170" t="s">
        <v>220</v>
      </c>
      <c r="B170">
        <v>10</v>
      </c>
      <c r="C170">
        <v>4</v>
      </c>
      <c r="D170">
        <v>47</v>
      </c>
      <c r="E170">
        <v>0</v>
      </c>
      <c r="F170">
        <v>11</v>
      </c>
      <c r="G170">
        <v>0</v>
      </c>
      <c r="H170">
        <v>406</v>
      </c>
      <c r="I170" s="4">
        <f t="shared" si="2"/>
        <v>0.11576354679802955</v>
      </c>
      <c r="K170" t="s">
        <v>618</v>
      </c>
    </row>
    <row r="171" spans="1:11">
      <c r="A171" t="s">
        <v>220</v>
      </c>
      <c r="B171">
        <v>10</v>
      </c>
      <c r="C171">
        <v>5</v>
      </c>
      <c r="D171">
        <v>84</v>
      </c>
      <c r="E171">
        <v>0</v>
      </c>
      <c r="F171">
        <v>11</v>
      </c>
      <c r="G171">
        <v>0</v>
      </c>
      <c r="H171">
        <v>406</v>
      </c>
      <c r="I171" s="4">
        <f t="shared" si="2"/>
        <v>0.20689655172413793</v>
      </c>
      <c r="K171" t="s">
        <v>618</v>
      </c>
    </row>
    <row r="172" spans="1:11">
      <c r="A172" t="s">
        <v>220</v>
      </c>
      <c r="B172">
        <v>10</v>
      </c>
      <c r="C172">
        <v>6</v>
      </c>
      <c r="D172">
        <v>84</v>
      </c>
      <c r="E172">
        <v>0</v>
      </c>
      <c r="F172">
        <v>11</v>
      </c>
      <c r="G172">
        <v>0</v>
      </c>
      <c r="H172">
        <v>406</v>
      </c>
      <c r="I172" s="4">
        <f t="shared" si="2"/>
        <v>0.20689655172413793</v>
      </c>
      <c r="K172" t="s">
        <v>618</v>
      </c>
    </row>
    <row r="173" spans="1:11">
      <c r="A173" t="s">
        <v>220</v>
      </c>
      <c r="B173">
        <v>10</v>
      </c>
      <c r="C173">
        <v>7</v>
      </c>
      <c r="D173">
        <v>84</v>
      </c>
      <c r="E173">
        <v>0</v>
      </c>
      <c r="F173">
        <v>11</v>
      </c>
      <c r="G173">
        <v>0</v>
      </c>
      <c r="H173">
        <v>406</v>
      </c>
      <c r="I173" s="4">
        <f t="shared" si="2"/>
        <v>0.20689655172413793</v>
      </c>
      <c r="K173" t="s">
        <v>618</v>
      </c>
    </row>
    <row r="174" spans="1:11">
      <c r="A174" t="s">
        <v>220</v>
      </c>
      <c r="B174">
        <v>10</v>
      </c>
      <c r="C174">
        <v>8</v>
      </c>
      <c r="D174">
        <v>84</v>
      </c>
      <c r="E174">
        <v>0</v>
      </c>
      <c r="F174">
        <v>11</v>
      </c>
      <c r="G174">
        <v>0</v>
      </c>
      <c r="H174">
        <v>406</v>
      </c>
      <c r="I174" s="4">
        <f t="shared" si="2"/>
        <v>0.20689655172413793</v>
      </c>
      <c r="K174" t="s">
        <v>618</v>
      </c>
    </row>
    <row r="175" spans="1:11">
      <c r="A175" t="s">
        <v>220</v>
      </c>
      <c r="B175">
        <v>10</v>
      </c>
      <c r="C175">
        <v>9</v>
      </c>
      <c r="D175">
        <v>90</v>
      </c>
      <c r="E175">
        <v>0</v>
      </c>
      <c r="F175">
        <v>8</v>
      </c>
      <c r="G175">
        <v>0</v>
      </c>
      <c r="H175">
        <v>406</v>
      </c>
      <c r="I175" s="4">
        <f t="shared" si="2"/>
        <v>0.22167487684729065</v>
      </c>
      <c r="K175" t="s">
        <v>618</v>
      </c>
    </row>
    <row r="176" spans="1:11">
      <c r="A176" t="s">
        <v>220</v>
      </c>
      <c r="B176">
        <v>10</v>
      </c>
      <c r="C176">
        <v>10</v>
      </c>
      <c r="D176">
        <v>90</v>
      </c>
      <c r="E176">
        <v>0</v>
      </c>
      <c r="F176">
        <v>8</v>
      </c>
      <c r="G176">
        <v>0</v>
      </c>
      <c r="H176">
        <v>406</v>
      </c>
      <c r="I176" s="4">
        <f t="shared" si="2"/>
        <v>0.22167487684729065</v>
      </c>
      <c r="K176" t="s">
        <v>618</v>
      </c>
    </row>
    <row r="177" spans="1:11">
      <c r="A177" t="s">
        <v>220</v>
      </c>
      <c r="B177">
        <v>10</v>
      </c>
      <c r="C177">
        <v>11</v>
      </c>
      <c r="D177">
        <v>90</v>
      </c>
      <c r="E177">
        <v>0</v>
      </c>
      <c r="F177">
        <v>8</v>
      </c>
      <c r="G177">
        <v>0</v>
      </c>
      <c r="H177">
        <v>406</v>
      </c>
      <c r="I177" s="4">
        <f t="shared" si="2"/>
        <v>0.22167487684729065</v>
      </c>
      <c r="K177" t="s">
        <v>618</v>
      </c>
    </row>
    <row r="178" spans="1:11">
      <c r="A178" t="s">
        <v>220</v>
      </c>
      <c r="B178">
        <v>10</v>
      </c>
      <c r="C178">
        <v>12</v>
      </c>
      <c r="D178">
        <v>90</v>
      </c>
      <c r="E178">
        <v>0</v>
      </c>
      <c r="F178">
        <v>8</v>
      </c>
      <c r="G178">
        <v>0</v>
      </c>
      <c r="H178">
        <v>406</v>
      </c>
      <c r="I178" s="4">
        <f t="shared" si="2"/>
        <v>0.22167487684729065</v>
      </c>
      <c r="K178" t="s">
        <v>618</v>
      </c>
    </row>
    <row r="179" spans="1:11">
      <c r="A179" t="s">
        <v>220</v>
      </c>
      <c r="B179">
        <v>10</v>
      </c>
      <c r="C179">
        <v>13</v>
      </c>
      <c r="D179">
        <v>90</v>
      </c>
      <c r="E179">
        <v>0</v>
      </c>
      <c r="F179">
        <v>8</v>
      </c>
      <c r="G179">
        <v>0</v>
      </c>
      <c r="H179">
        <v>406</v>
      </c>
      <c r="I179" s="4">
        <f t="shared" si="2"/>
        <v>0.22167487684729065</v>
      </c>
      <c r="K179" t="s">
        <v>618</v>
      </c>
    </row>
    <row r="180" spans="1:11">
      <c r="A180" t="s">
        <v>220</v>
      </c>
      <c r="B180">
        <v>10</v>
      </c>
      <c r="C180">
        <v>14</v>
      </c>
      <c r="D180">
        <v>90</v>
      </c>
      <c r="E180">
        <v>0</v>
      </c>
      <c r="F180">
        <v>8</v>
      </c>
      <c r="G180">
        <v>0</v>
      </c>
      <c r="H180">
        <v>406</v>
      </c>
      <c r="I180" s="4">
        <f t="shared" si="2"/>
        <v>0.22167487684729065</v>
      </c>
      <c r="K180" t="s">
        <v>618</v>
      </c>
    </row>
    <row r="181" spans="1:11">
      <c r="A181" t="s">
        <v>220</v>
      </c>
      <c r="B181">
        <v>10</v>
      </c>
      <c r="C181">
        <v>15</v>
      </c>
      <c r="D181">
        <v>90</v>
      </c>
      <c r="E181">
        <v>0</v>
      </c>
      <c r="F181">
        <v>8</v>
      </c>
      <c r="G181">
        <v>0</v>
      </c>
      <c r="H181">
        <v>406</v>
      </c>
      <c r="I181" s="4">
        <f t="shared" si="2"/>
        <v>0.22167487684729065</v>
      </c>
      <c r="K181" t="s">
        <v>618</v>
      </c>
    </row>
    <row r="182" spans="1:11">
      <c r="A182" t="s">
        <v>220</v>
      </c>
      <c r="B182">
        <v>10</v>
      </c>
      <c r="C182">
        <v>16</v>
      </c>
      <c r="D182">
        <v>90</v>
      </c>
      <c r="E182">
        <v>0</v>
      </c>
      <c r="F182">
        <v>8</v>
      </c>
      <c r="G182">
        <v>0</v>
      </c>
      <c r="H182">
        <v>406</v>
      </c>
      <c r="I182" s="4">
        <f t="shared" si="2"/>
        <v>0.22167487684729065</v>
      </c>
      <c r="K182" t="s">
        <v>618</v>
      </c>
    </row>
    <row r="183" spans="1:11">
      <c r="A183" t="s">
        <v>220</v>
      </c>
      <c r="B183">
        <v>10</v>
      </c>
      <c r="C183">
        <v>17</v>
      </c>
      <c r="D183">
        <v>138</v>
      </c>
      <c r="E183">
        <v>0</v>
      </c>
      <c r="F183">
        <v>9</v>
      </c>
      <c r="G183">
        <v>0</v>
      </c>
      <c r="H183">
        <v>406</v>
      </c>
      <c r="I183" s="4">
        <f t="shared" si="2"/>
        <v>0.33990147783251229</v>
      </c>
      <c r="K183" t="s">
        <v>618</v>
      </c>
    </row>
    <row r="184" spans="1:11">
      <c r="A184" t="s">
        <v>220</v>
      </c>
      <c r="B184">
        <v>10</v>
      </c>
      <c r="C184">
        <v>18</v>
      </c>
      <c r="D184">
        <v>183</v>
      </c>
      <c r="E184">
        <v>0</v>
      </c>
      <c r="F184">
        <v>7</v>
      </c>
      <c r="G184">
        <v>0</v>
      </c>
      <c r="H184">
        <v>406</v>
      </c>
      <c r="I184" s="4">
        <f t="shared" si="2"/>
        <v>0.45073891625615764</v>
      </c>
      <c r="K184" t="s">
        <v>618</v>
      </c>
    </row>
    <row r="185" spans="1:11">
      <c r="A185" t="s">
        <v>220</v>
      </c>
      <c r="B185">
        <v>10</v>
      </c>
      <c r="C185">
        <v>19</v>
      </c>
      <c r="D185">
        <v>238</v>
      </c>
      <c r="E185">
        <v>0</v>
      </c>
      <c r="F185">
        <v>4</v>
      </c>
      <c r="G185">
        <v>0</v>
      </c>
      <c r="H185">
        <v>406</v>
      </c>
      <c r="I185" s="4">
        <f t="shared" si="2"/>
        <v>0.58620689655172409</v>
      </c>
      <c r="K185" t="s">
        <v>618</v>
      </c>
    </row>
    <row r="186" spans="1:11">
      <c r="A186" t="s">
        <v>220</v>
      </c>
      <c r="B186">
        <v>10</v>
      </c>
      <c r="C186">
        <v>20</v>
      </c>
      <c r="D186">
        <v>238</v>
      </c>
      <c r="E186">
        <v>0</v>
      </c>
      <c r="F186">
        <v>4</v>
      </c>
      <c r="G186">
        <v>0</v>
      </c>
      <c r="H186">
        <v>406</v>
      </c>
      <c r="I186" s="4">
        <f t="shared" si="2"/>
        <v>0.58620689655172409</v>
      </c>
      <c r="K186" t="s">
        <v>618</v>
      </c>
    </row>
    <row r="187" spans="1:11">
      <c r="A187" t="s">
        <v>220</v>
      </c>
      <c r="B187">
        <v>10</v>
      </c>
      <c r="C187">
        <v>21</v>
      </c>
      <c r="D187">
        <v>238</v>
      </c>
      <c r="E187">
        <v>0</v>
      </c>
      <c r="F187">
        <v>4</v>
      </c>
      <c r="G187">
        <v>0</v>
      </c>
      <c r="H187">
        <v>406</v>
      </c>
      <c r="I187" s="4">
        <f t="shared" si="2"/>
        <v>0.58620689655172409</v>
      </c>
      <c r="K187" t="s">
        <v>618</v>
      </c>
    </row>
    <row r="188" spans="1:11">
      <c r="A188" t="s">
        <v>220</v>
      </c>
      <c r="B188">
        <v>10</v>
      </c>
      <c r="C188">
        <v>22</v>
      </c>
      <c r="D188">
        <v>238</v>
      </c>
      <c r="E188">
        <v>0</v>
      </c>
      <c r="F188">
        <v>4</v>
      </c>
      <c r="G188">
        <v>0</v>
      </c>
      <c r="H188">
        <v>406</v>
      </c>
      <c r="I188" s="4">
        <f t="shared" si="2"/>
        <v>0.58620689655172409</v>
      </c>
      <c r="K188" t="s">
        <v>618</v>
      </c>
    </row>
    <row r="189" spans="1:11">
      <c r="A189" t="s">
        <v>220</v>
      </c>
      <c r="B189">
        <v>10</v>
      </c>
      <c r="C189">
        <v>23</v>
      </c>
      <c r="D189">
        <v>313</v>
      </c>
      <c r="E189">
        <v>0</v>
      </c>
      <c r="F189">
        <v>2</v>
      </c>
      <c r="G189">
        <v>0</v>
      </c>
      <c r="H189">
        <v>406</v>
      </c>
      <c r="I189" s="4">
        <f t="shared" si="2"/>
        <v>0.77093596059113301</v>
      </c>
      <c r="K189" t="s">
        <v>618</v>
      </c>
    </row>
    <row r="190" spans="1:11">
      <c r="A190" t="s">
        <v>220</v>
      </c>
      <c r="B190">
        <v>10</v>
      </c>
      <c r="C190">
        <v>24</v>
      </c>
      <c r="D190">
        <v>313</v>
      </c>
      <c r="E190">
        <v>0</v>
      </c>
      <c r="F190">
        <v>2</v>
      </c>
      <c r="G190">
        <v>0</v>
      </c>
      <c r="H190">
        <v>406</v>
      </c>
      <c r="I190" s="4">
        <f t="shared" si="2"/>
        <v>0.77093596059113301</v>
      </c>
      <c r="K190" t="s">
        <v>618</v>
      </c>
    </row>
    <row r="191" spans="1:11">
      <c r="A191" t="s">
        <v>220</v>
      </c>
      <c r="B191">
        <v>10</v>
      </c>
      <c r="C191">
        <v>25</v>
      </c>
      <c r="D191">
        <v>313</v>
      </c>
      <c r="E191">
        <v>0</v>
      </c>
      <c r="F191">
        <v>2</v>
      </c>
      <c r="G191">
        <v>0</v>
      </c>
      <c r="H191">
        <v>406</v>
      </c>
      <c r="I191" s="4">
        <f t="shared" si="2"/>
        <v>0.77093596059113301</v>
      </c>
      <c r="K191" t="s">
        <v>618</v>
      </c>
    </row>
    <row r="192" spans="1:11">
      <c r="A192" t="s">
        <v>220</v>
      </c>
      <c r="B192">
        <v>10</v>
      </c>
      <c r="C192">
        <v>26</v>
      </c>
      <c r="D192">
        <v>313</v>
      </c>
      <c r="E192">
        <v>0</v>
      </c>
      <c r="F192">
        <v>2</v>
      </c>
      <c r="G192">
        <v>0</v>
      </c>
      <c r="H192">
        <v>406</v>
      </c>
      <c r="I192" s="4">
        <f t="shared" si="2"/>
        <v>0.77093596059113301</v>
      </c>
      <c r="K192" t="s">
        <v>618</v>
      </c>
    </row>
    <row r="193" spans="1:11">
      <c r="A193" t="s">
        <v>220</v>
      </c>
      <c r="B193">
        <v>10</v>
      </c>
      <c r="C193">
        <v>27</v>
      </c>
      <c r="D193">
        <v>313</v>
      </c>
      <c r="E193">
        <v>0</v>
      </c>
      <c r="F193">
        <v>2</v>
      </c>
      <c r="G193">
        <v>0</v>
      </c>
      <c r="H193">
        <v>406</v>
      </c>
      <c r="I193" s="4">
        <f t="shared" si="2"/>
        <v>0.77093596059113301</v>
      </c>
      <c r="K193" t="s">
        <v>618</v>
      </c>
    </row>
    <row r="194" spans="1:11">
      <c r="A194" t="s">
        <v>220</v>
      </c>
      <c r="B194">
        <v>10</v>
      </c>
      <c r="C194">
        <v>28</v>
      </c>
      <c r="D194">
        <v>313</v>
      </c>
      <c r="E194">
        <v>0</v>
      </c>
      <c r="F194">
        <v>2</v>
      </c>
      <c r="G194">
        <v>0</v>
      </c>
      <c r="H194">
        <v>406</v>
      </c>
      <c r="I194" s="4">
        <f t="shared" si="2"/>
        <v>0.77093596059113301</v>
      </c>
      <c r="K194" t="s">
        <v>618</v>
      </c>
    </row>
    <row r="195" spans="1:11">
      <c r="A195" t="s">
        <v>220</v>
      </c>
      <c r="B195">
        <v>10</v>
      </c>
      <c r="C195">
        <v>29</v>
      </c>
      <c r="D195">
        <v>313</v>
      </c>
      <c r="E195">
        <v>0</v>
      </c>
      <c r="F195">
        <v>2</v>
      </c>
      <c r="G195">
        <v>0</v>
      </c>
      <c r="H195">
        <v>406</v>
      </c>
      <c r="I195" s="4">
        <f t="shared" ref="I195:I258" si="3">D195/H195</f>
        <v>0.77093596059113301</v>
      </c>
      <c r="K195" t="s">
        <v>618</v>
      </c>
    </row>
    <row r="196" spans="1:11">
      <c r="A196" t="s">
        <v>220</v>
      </c>
      <c r="B196">
        <v>10</v>
      </c>
      <c r="C196">
        <v>30</v>
      </c>
      <c r="D196">
        <v>313</v>
      </c>
      <c r="E196">
        <v>0</v>
      </c>
      <c r="F196">
        <v>2</v>
      </c>
      <c r="G196">
        <v>0</v>
      </c>
      <c r="H196">
        <v>406</v>
      </c>
      <c r="I196" s="4">
        <f t="shared" si="3"/>
        <v>0.77093596059113301</v>
      </c>
      <c r="K196" t="s">
        <v>618</v>
      </c>
    </row>
    <row r="197" spans="1:11">
      <c r="A197" t="s">
        <v>220</v>
      </c>
      <c r="B197">
        <v>10</v>
      </c>
      <c r="C197">
        <v>31</v>
      </c>
      <c r="D197">
        <v>406</v>
      </c>
      <c r="E197">
        <v>0</v>
      </c>
      <c r="F197">
        <v>0</v>
      </c>
      <c r="G197">
        <v>0</v>
      </c>
      <c r="H197">
        <v>406</v>
      </c>
      <c r="I197" s="4">
        <f t="shared" si="3"/>
        <v>1</v>
      </c>
      <c r="K197" t="s">
        <v>618</v>
      </c>
    </row>
    <row r="198" spans="1:11">
      <c r="A198" t="s">
        <v>220</v>
      </c>
      <c r="B198">
        <v>10</v>
      </c>
      <c r="C198">
        <v>32</v>
      </c>
      <c r="D198">
        <v>406</v>
      </c>
      <c r="E198">
        <v>0</v>
      </c>
      <c r="F198">
        <v>0</v>
      </c>
      <c r="G198">
        <v>0</v>
      </c>
      <c r="H198">
        <v>406</v>
      </c>
      <c r="I198" s="4">
        <f t="shared" si="3"/>
        <v>1</v>
      </c>
      <c r="K198" t="s">
        <v>618</v>
      </c>
    </row>
    <row r="199" spans="1:11">
      <c r="A199" t="s">
        <v>220</v>
      </c>
      <c r="B199">
        <v>11</v>
      </c>
      <c r="C199">
        <v>1</v>
      </c>
      <c r="D199">
        <v>1</v>
      </c>
      <c r="E199">
        <v>0</v>
      </c>
      <c r="F199">
        <v>1</v>
      </c>
      <c r="G199">
        <v>0</v>
      </c>
      <c r="H199">
        <v>192</v>
      </c>
      <c r="I199" s="4">
        <f t="shared" si="3"/>
        <v>5.208333333333333E-3</v>
      </c>
      <c r="K199" t="s">
        <v>630</v>
      </c>
    </row>
    <row r="200" spans="1:11">
      <c r="A200" t="s">
        <v>220</v>
      </c>
      <c r="B200">
        <v>11</v>
      </c>
      <c r="C200">
        <v>2</v>
      </c>
      <c r="D200">
        <v>74</v>
      </c>
      <c r="E200">
        <v>0</v>
      </c>
      <c r="F200">
        <v>14</v>
      </c>
      <c r="G200">
        <v>0</v>
      </c>
      <c r="H200">
        <v>192</v>
      </c>
      <c r="I200" s="4">
        <f t="shared" si="3"/>
        <v>0.38541666666666669</v>
      </c>
      <c r="K200" t="s">
        <v>630</v>
      </c>
    </row>
    <row r="201" spans="1:11">
      <c r="A201" t="s">
        <v>220</v>
      </c>
      <c r="B201">
        <v>11</v>
      </c>
      <c r="C201">
        <v>3</v>
      </c>
      <c r="D201">
        <v>80</v>
      </c>
      <c r="E201">
        <v>0</v>
      </c>
      <c r="F201">
        <v>11</v>
      </c>
      <c r="G201">
        <v>0</v>
      </c>
      <c r="H201">
        <v>192</v>
      </c>
      <c r="I201" s="4">
        <f t="shared" si="3"/>
        <v>0.41666666666666669</v>
      </c>
      <c r="K201" t="s">
        <v>630</v>
      </c>
    </row>
    <row r="202" spans="1:11">
      <c r="A202" t="s">
        <v>220</v>
      </c>
      <c r="B202">
        <v>11</v>
      </c>
      <c r="C202">
        <v>4</v>
      </c>
      <c r="D202">
        <v>107</v>
      </c>
      <c r="E202">
        <v>0</v>
      </c>
      <c r="F202">
        <v>9</v>
      </c>
      <c r="G202">
        <v>0</v>
      </c>
      <c r="H202">
        <v>192</v>
      </c>
      <c r="I202" s="4">
        <f t="shared" si="3"/>
        <v>0.55729166666666663</v>
      </c>
      <c r="K202" t="s">
        <v>630</v>
      </c>
    </row>
    <row r="203" spans="1:11">
      <c r="A203" t="s">
        <v>220</v>
      </c>
      <c r="B203">
        <v>11</v>
      </c>
      <c r="C203">
        <v>5</v>
      </c>
      <c r="D203">
        <v>134</v>
      </c>
      <c r="E203">
        <v>0</v>
      </c>
      <c r="F203">
        <v>7</v>
      </c>
      <c r="G203">
        <v>0</v>
      </c>
      <c r="H203">
        <v>192</v>
      </c>
      <c r="I203" s="4">
        <f t="shared" si="3"/>
        <v>0.69791666666666663</v>
      </c>
      <c r="K203" t="s">
        <v>630</v>
      </c>
    </row>
    <row r="204" spans="1:11">
      <c r="A204" t="s">
        <v>220</v>
      </c>
      <c r="B204">
        <v>11</v>
      </c>
      <c r="C204">
        <v>6</v>
      </c>
      <c r="D204">
        <v>161</v>
      </c>
      <c r="E204">
        <v>0</v>
      </c>
      <c r="F204">
        <v>5</v>
      </c>
      <c r="G204">
        <v>0</v>
      </c>
      <c r="H204">
        <v>192</v>
      </c>
      <c r="I204" s="4">
        <f t="shared" si="3"/>
        <v>0.83854166666666663</v>
      </c>
      <c r="K204" t="s">
        <v>630</v>
      </c>
    </row>
    <row r="205" spans="1:11">
      <c r="A205" t="s">
        <v>220</v>
      </c>
      <c r="B205">
        <v>11</v>
      </c>
      <c r="C205">
        <v>7</v>
      </c>
      <c r="D205">
        <v>161</v>
      </c>
      <c r="E205">
        <v>0</v>
      </c>
      <c r="F205">
        <v>5</v>
      </c>
      <c r="G205">
        <v>0</v>
      </c>
      <c r="H205">
        <v>192</v>
      </c>
      <c r="I205" s="4">
        <f t="shared" si="3"/>
        <v>0.83854166666666663</v>
      </c>
      <c r="K205" t="s">
        <v>630</v>
      </c>
    </row>
    <row r="206" spans="1:11">
      <c r="A206" t="s">
        <v>220</v>
      </c>
      <c r="B206">
        <v>11</v>
      </c>
      <c r="C206">
        <v>8</v>
      </c>
      <c r="D206">
        <v>188</v>
      </c>
      <c r="E206">
        <v>0</v>
      </c>
      <c r="F206">
        <v>3</v>
      </c>
      <c r="G206">
        <v>0</v>
      </c>
      <c r="H206">
        <v>192</v>
      </c>
      <c r="I206" s="4">
        <f t="shared" si="3"/>
        <v>0.97916666666666663</v>
      </c>
      <c r="K206" t="s">
        <v>630</v>
      </c>
    </row>
    <row r="207" spans="1:11">
      <c r="A207" t="s">
        <v>220</v>
      </c>
      <c r="B207">
        <v>11</v>
      </c>
      <c r="C207">
        <v>9</v>
      </c>
      <c r="D207">
        <v>188</v>
      </c>
      <c r="E207">
        <v>0</v>
      </c>
      <c r="F207">
        <v>3</v>
      </c>
      <c r="G207">
        <v>0</v>
      </c>
      <c r="H207">
        <v>192</v>
      </c>
      <c r="I207" s="4">
        <f t="shared" si="3"/>
        <v>0.97916666666666663</v>
      </c>
      <c r="K207" t="s">
        <v>630</v>
      </c>
    </row>
    <row r="208" spans="1:11">
      <c r="A208" t="s">
        <v>220</v>
      </c>
      <c r="B208">
        <v>11</v>
      </c>
      <c r="C208">
        <v>10</v>
      </c>
      <c r="D208">
        <v>188</v>
      </c>
      <c r="E208">
        <v>0</v>
      </c>
      <c r="F208">
        <v>3</v>
      </c>
      <c r="G208">
        <v>0</v>
      </c>
      <c r="H208">
        <v>192</v>
      </c>
      <c r="I208" s="4">
        <f t="shared" si="3"/>
        <v>0.97916666666666663</v>
      </c>
      <c r="K208" t="s">
        <v>630</v>
      </c>
    </row>
    <row r="209" spans="1:11">
      <c r="A209" t="s">
        <v>220</v>
      </c>
      <c r="B209">
        <v>11</v>
      </c>
      <c r="C209">
        <v>11</v>
      </c>
      <c r="D209">
        <v>188</v>
      </c>
      <c r="E209">
        <v>0</v>
      </c>
      <c r="F209">
        <v>3</v>
      </c>
      <c r="G209">
        <v>0</v>
      </c>
      <c r="H209">
        <v>192</v>
      </c>
      <c r="I209" s="4">
        <f t="shared" si="3"/>
        <v>0.97916666666666663</v>
      </c>
      <c r="K209" t="s">
        <v>630</v>
      </c>
    </row>
    <row r="210" spans="1:11">
      <c r="A210" t="s">
        <v>220</v>
      </c>
      <c r="B210">
        <v>11</v>
      </c>
      <c r="C210">
        <v>12</v>
      </c>
      <c r="D210">
        <v>192</v>
      </c>
      <c r="E210">
        <v>0</v>
      </c>
      <c r="F210">
        <v>0</v>
      </c>
      <c r="G210">
        <v>0</v>
      </c>
      <c r="H210">
        <v>192</v>
      </c>
      <c r="I210" s="4">
        <f t="shared" si="3"/>
        <v>1</v>
      </c>
      <c r="K210" t="s">
        <v>630</v>
      </c>
    </row>
    <row r="211" spans="1:11">
      <c r="A211" t="s">
        <v>220</v>
      </c>
      <c r="B211">
        <v>11</v>
      </c>
      <c r="C211">
        <v>13</v>
      </c>
      <c r="D211">
        <v>192</v>
      </c>
      <c r="E211">
        <v>0</v>
      </c>
      <c r="F211">
        <v>0</v>
      </c>
      <c r="G211">
        <v>0</v>
      </c>
      <c r="H211">
        <v>192</v>
      </c>
      <c r="I211" s="4">
        <f t="shared" si="3"/>
        <v>1</v>
      </c>
      <c r="K211" t="s">
        <v>630</v>
      </c>
    </row>
    <row r="212" spans="1:11">
      <c r="A212" t="s">
        <v>220</v>
      </c>
      <c r="B212">
        <v>12</v>
      </c>
      <c r="C212">
        <v>1</v>
      </c>
      <c r="D212">
        <v>1</v>
      </c>
      <c r="E212">
        <v>0</v>
      </c>
      <c r="F212">
        <v>1</v>
      </c>
      <c r="G212">
        <v>0</v>
      </c>
      <c r="H212">
        <v>118</v>
      </c>
      <c r="I212" s="4">
        <f t="shared" si="3"/>
        <v>8.4745762711864406E-3</v>
      </c>
      <c r="K212" t="s">
        <v>631</v>
      </c>
    </row>
    <row r="213" spans="1:11">
      <c r="A213" t="s">
        <v>220</v>
      </c>
      <c r="B213">
        <v>12</v>
      </c>
      <c r="C213">
        <v>2</v>
      </c>
      <c r="D213">
        <v>62</v>
      </c>
      <c r="E213">
        <v>0</v>
      </c>
      <c r="F213">
        <v>9</v>
      </c>
      <c r="G213">
        <v>0</v>
      </c>
      <c r="H213">
        <v>118</v>
      </c>
      <c r="I213" s="4">
        <f t="shared" si="3"/>
        <v>0.52542372881355937</v>
      </c>
      <c r="K213" t="s">
        <v>631</v>
      </c>
    </row>
    <row r="214" spans="1:11">
      <c r="A214" t="s">
        <v>220</v>
      </c>
      <c r="B214">
        <v>12</v>
      </c>
      <c r="C214">
        <v>3</v>
      </c>
      <c r="D214">
        <v>66</v>
      </c>
      <c r="E214">
        <v>0</v>
      </c>
      <c r="F214">
        <v>9</v>
      </c>
      <c r="G214">
        <v>0</v>
      </c>
      <c r="H214">
        <v>118</v>
      </c>
      <c r="I214" s="4">
        <f t="shared" si="3"/>
        <v>0.55932203389830504</v>
      </c>
      <c r="K214" t="s">
        <v>631</v>
      </c>
    </row>
    <row r="215" spans="1:11">
      <c r="A215" t="s">
        <v>220</v>
      </c>
      <c r="B215">
        <v>12</v>
      </c>
      <c r="C215">
        <v>4</v>
      </c>
      <c r="D215">
        <v>70</v>
      </c>
      <c r="E215">
        <v>0</v>
      </c>
      <c r="F215">
        <v>9</v>
      </c>
      <c r="G215">
        <v>0</v>
      </c>
      <c r="H215">
        <v>118</v>
      </c>
      <c r="I215" s="4">
        <f t="shared" si="3"/>
        <v>0.59322033898305082</v>
      </c>
      <c r="K215" t="s">
        <v>631</v>
      </c>
    </row>
    <row r="216" spans="1:11">
      <c r="A216" t="s">
        <v>220</v>
      </c>
      <c r="B216">
        <v>12</v>
      </c>
      <c r="C216">
        <v>5</v>
      </c>
      <c r="D216">
        <v>84</v>
      </c>
      <c r="E216">
        <v>0</v>
      </c>
      <c r="F216">
        <v>6</v>
      </c>
      <c r="G216">
        <v>0</v>
      </c>
      <c r="H216">
        <v>118</v>
      </c>
      <c r="I216" s="4">
        <f t="shared" si="3"/>
        <v>0.71186440677966101</v>
      </c>
      <c r="K216" t="s">
        <v>631</v>
      </c>
    </row>
    <row r="217" spans="1:11">
      <c r="A217" t="s">
        <v>220</v>
      </c>
      <c r="B217">
        <v>12</v>
      </c>
      <c r="C217">
        <v>6</v>
      </c>
      <c r="D217">
        <v>105</v>
      </c>
      <c r="E217">
        <v>0</v>
      </c>
      <c r="F217">
        <v>3</v>
      </c>
      <c r="G217">
        <v>0</v>
      </c>
      <c r="H217">
        <v>118</v>
      </c>
      <c r="I217" s="4">
        <f t="shared" si="3"/>
        <v>0.88983050847457623</v>
      </c>
      <c r="K217" t="s">
        <v>631</v>
      </c>
    </row>
    <row r="218" spans="1:11">
      <c r="A218" t="s">
        <v>220</v>
      </c>
      <c r="B218">
        <v>12</v>
      </c>
      <c r="C218">
        <v>7</v>
      </c>
      <c r="D218">
        <v>118</v>
      </c>
      <c r="E218">
        <v>0</v>
      </c>
      <c r="F218">
        <v>0</v>
      </c>
      <c r="G218">
        <v>0</v>
      </c>
      <c r="H218">
        <v>118</v>
      </c>
      <c r="I218" s="4">
        <f t="shared" si="3"/>
        <v>1</v>
      </c>
      <c r="K218" t="s">
        <v>631</v>
      </c>
    </row>
    <row r="219" spans="1:11">
      <c r="A219" t="s">
        <v>220</v>
      </c>
      <c r="B219">
        <v>12</v>
      </c>
      <c r="C219">
        <v>8</v>
      </c>
      <c r="D219">
        <v>118</v>
      </c>
      <c r="E219">
        <v>0</v>
      </c>
      <c r="F219">
        <v>0</v>
      </c>
      <c r="G219">
        <v>0</v>
      </c>
      <c r="H219">
        <v>118</v>
      </c>
      <c r="I219" s="4">
        <f t="shared" si="3"/>
        <v>1</v>
      </c>
      <c r="K219" t="s">
        <v>631</v>
      </c>
    </row>
    <row r="220" spans="1:11">
      <c r="A220" t="s">
        <v>220</v>
      </c>
      <c r="B220">
        <v>12</v>
      </c>
      <c r="C220">
        <v>9</v>
      </c>
      <c r="D220">
        <v>118</v>
      </c>
      <c r="E220">
        <v>0</v>
      </c>
      <c r="F220">
        <v>0</v>
      </c>
      <c r="G220">
        <v>0</v>
      </c>
      <c r="H220">
        <v>118</v>
      </c>
      <c r="I220" s="4">
        <f t="shared" si="3"/>
        <v>1</v>
      </c>
      <c r="K220" t="s">
        <v>631</v>
      </c>
    </row>
    <row r="221" spans="1:11">
      <c r="A221" t="s">
        <v>220</v>
      </c>
      <c r="B221">
        <v>12</v>
      </c>
      <c r="C221">
        <v>10</v>
      </c>
      <c r="D221">
        <v>118</v>
      </c>
      <c r="E221">
        <v>0</v>
      </c>
      <c r="F221">
        <v>0</v>
      </c>
      <c r="G221">
        <v>0</v>
      </c>
      <c r="H221">
        <v>118</v>
      </c>
      <c r="I221" s="4">
        <f t="shared" si="3"/>
        <v>1</v>
      </c>
      <c r="K221" t="s">
        <v>631</v>
      </c>
    </row>
    <row r="222" spans="1:11">
      <c r="A222" t="s">
        <v>220</v>
      </c>
      <c r="B222">
        <v>12</v>
      </c>
      <c r="C222">
        <v>11</v>
      </c>
      <c r="D222">
        <v>118</v>
      </c>
      <c r="E222">
        <v>0</v>
      </c>
      <c r="F222">
        <v>0</v>
      </c>
      <c r="G222">
        <v>0</v>
      </c>
      <c r="H222">
        <v>118</v>
      </c>
      <c r="I222" s="4">
        <f t="shared" si="3"/>
        <v>1</v>
      </c>
      <c r="K222" t="s">
        <v>631</v>
      </c>
    </row>
    <row r="223" spans="1:11">
      <c r="A223" t="s">
        <v>220</v>
      </c>
      <c r="B223">
        <v>12</v>
      </c>
      <c r="C223">
        <v>12</v>
      </c>
      <c r="D223">
        <v>118</v>
      </c>
      <c r="E223">
        <v>0</v>
      </c>
      <c r="F223">
        <v>0</v>
      </c>
      <c r="G223">
        <v>0</v>
      </c>
      <c r="H223">
        <v>118</v>
      </c>
      <c r="I223" s="4">
        <f t="shared" si="3"/>
        <v>1</v>
      </c>
      <c r="K223" t="s">
        <v>631</v>
      </c>
    </row>
    <row r="224" spans="1:11">
      <c r="A224" t="s">
        <v>220</v>
      </c>
      <c r="B224">
        <v>12</v>
      </c>
      <c r="C224">
        <v>13</v>
      </c>
      <c r="D224">
        <v>118</v>
      </c>
      <c r="E224">
        <v>0</v>
      </c>
      <c r="F224">
        <v>0</v>
      </c>
      <c r="G224">
        <v>0</v>
      </c>
      <c r="H224">
        <v>118</v>
      </c>
      <c r="I224" s="4">
        <f t="shared" si="3"/>
        <v>1</v>
      </c>
      <c r="K224" t="s">
        <v>631</v>
      </c>
    </row>
    <row r="225" spans="1:11">
      <c r="A225" t="s">
        <v>220</v>
      </c>
      <c r="B225">
        <v>12</v>
      </c>
      <c r="C225">
        <v>14</v>
      </c>
      <c r="D225">
        <v>118</v>
      </c>
      <c r="E225">
        <v>0</v>
      </c>
      <c r="F225">
        <v>0</v>
      </c>
      <c r="G225">
        <v>0</v>
      </c>
      <c r="H225">
        <v>118</v>
      </c>
      <c r="I225" s="4">
        <f t="shared" si="3"/>
        <v>1</v>
      </c>
      <c r="K225" t="s">
        <v>631</v>
      </c>
    </row>
    <row r="226" spans="1:11">
      <c r="A226" t="s">
        <v>220</v>
      </c>
      <c r="B226">
        <v>12</v>
      </c>
      <c r="C226">
        <v>15</v>
      </c>
      <c r="D226">
        <v>118</v>
      </c>
      <c r="E226">
        <v>0</v>
      </c>
      <c r="F226">
        <v>0</v>
      </c>
      <c r="G226">
        <v>0</v>
      </c>
      <c r="H226">
        <v>118</v>
      </c>
      <c r="I226" s="4">
        <f t="shared" si="3"/>
        <v>1</v>
      </c>
      <c r="K226" t="s">
        <v>631</v>
      </c>
    </row>
    <row r="227" spans="1:11">
      <c r="A227" t="s">
        <v>220</v>
      </c>
      <c r="B227">
        <v>12</v>
      </c>
      <c r="C227">
        <v>16</v>
      </c>
      <c r="D227">
        <v>118</v>
      </c>
      <c r="E227">
        <v>0</v>
      </c>
      <c r="F227">
        <v>0</v>
      </c>
      <c r="G227">
        <v>0</v>
      </c>
      <c r="H227">
        <v>118</v>
      </c>
      <c r="I227" s="4">
        <f t="shared" si="3"/>
        <v>1</v>
      </c>
      <c r="K227" t="s">
        <v>631</v>
      </c>
    </row>
    <row r="228" spans="1:11">
      <c r="A228" t="s">
        <v>220</v>
      </c>
      <c r="B228">
        <v>12</v>
      </c>
      <c r="C228">
        <v>17</v>
      </c>
      <c r="D228">
        <v>118</v>
      </c>
      <c r="E228">
        <v>0</v>
      </c>
      <c r="F228">
        <v>0</v>
      </c>
      <c r="G228">
        <v>0</v>
      </c>
      <c r="H228">
        <v>118</v>
      </c>
      <c r="I228" s="4">
        <f t="shared" si="3"/>
        <v>1</v>
      </c>
      <c r="K228" t="s">
        <v>631</v>
      </c>
    </row>
    <row r="229" spans="1:11">
      <c r="A229" t="s">
        <v>221</v>
      </c>
      <c r="B229">
        <v>1</v>
      </c>
      <c r="C229">
        <v>1</v>
      </c>
      <c r="D229">
        <v>18</v>
      </c>
      <c r="E229">
        <v>0</v>
      </c>
      <c r="F229">
        <v>4</v>
      </c>
      <c r="G229">
        <v>0</v>
      </c>
      <c r="H229">
        <v>88</v>
      </c>
      <c r="I229" s="4">
        <f t="shared" si="3"/>
        <v>0.20454545454545456</v>
      </c>
      <c r="K229" t="s">
        <v>632</v>
      </c>
    </row>
    <row r="230" spans="1:11">
      <c r="A230" t="s">
        <v>221</v>
      </c>
      <c r="B230">
        <v>1</v>
      </c>
      <c r="C230">
        <v>2</v>
      </c>
      <c r="D230">
        <v>34</v>
      </c>
      <c r="E230">
        <v>0</v>
      </c>
      <c r="F230">
        <v>4</v>
      </c>
      <c r="G230">
        <v>0</v>
      </c>
      <c r="H230">
        <v>88</v>
      </c>
      <c r="I230" s="4">
        <f t="shared" si="3"/>
        <v>0.38636363636363635</v>
      </c>
      <c r="K230" t="s">
        <v>632</v>
      </c>
    </row>
    <row r="231" spans="1:11">
      <c r="A231" t="s">
        <v>221</v>
      </c>
      <c r="B231">
        <v>1</v>
      </c>
      <c r="C231">
        <v>3</v>
      </c>
      <c r="D231">
        <v>34</v>
      </c>
      <c r="E231">
        <v>0</v>
      </c>
      <c r="F231">
        <v>4</v>
      </c>
      <c r="G231">
        <v>0</v>
      </c>
      <c r="H231">
        <v>88</v>
      </c>
      <c r="I231" s="4">
        <f t="shared" si="3"/>
        <v>0.38636363636363635</v>
      </c>
      <c r="K231" t="s">
        <v>632</v>
      </c>
    </row>
    <row r="232" spans="1:11">
      <c r="A232" t="s">
        <v>221</v>
      </c>
      <c r="B232">
        <v>1</v>
      </c>
      <c r="C232">
        <v>4</v>
      </c>
      <c r="D232">
        <v>34</v>
      </c>
      <c r="E232">
        <v>0</v>
      </c>
      <c r="F232">
        <v>4</v>
      </c>
      <c r="G232">
        <v>0</v>
      </c>
      <c r="H232">
        <v>88</v>
      </c>
      <c r="I232" s="4">
        <f t="shared" si="3"/>
        <v>0.38636363636363635</v>
      </c>
      <c r="K232" t="s">
        <v>632</v>
      </c>
    </row>
    <row r="233" spans="1:11">
      <c r="A233" t="s">
        <v>221</v>
      </c>
      <c r="B233">
        <v>1</v>
      </c>
      <c r="C233">
        <v>5</v>
      </c>
      <c r="D233">
        <v>88</v>
      </c>
      <c r="E233">
        <v>0</v>
      </c>
      <c r="F233">
        <v>0</v>
      </c>
      <c r="G233">
        <v>0</v>
      </c>
      <c r="H233">
        <v>88</v>
      </c>
      <c r="I233" s="4">
        <f t="shared" si="3"/>
        <v>1</v>
      </c>
      <c r="K233" t="s">
        <v>632</v>
      </c>
    </row>
    <row r="234" spans="1:11">
      <c r="A234" t="s">
        <v>221</v>
      </c>
      <c r="B234">
        <v>1</v>
      </c>
      <c r="C234">
        <v>6</v>
      </c>
      <c r="D234">
        <v>88</v>
      </c>
      <c r="E234">
        <v>0</v>
      </c>
      <c r="F234">
        <v>0</v>
      </c>
      <c r="G234">
        <v>0</v>
      </c>
      <c r="H234">
        <v>88</v>
      </c>
      <c r="I234" s="4">
        <f t="shared" si="3"/>
        <v>1</v>
      </c>
      <c r="K234" t="s">
        <v>632</v>
      </c>
    </row>
    <row r="235" spans="1:11">
      <c r="A235" t="s">
        <v>221</v>
      </c>
      <c r="B235">
        <v>1</v>
      </c>
      <c r="C235">
        <v>7</v>
      </c>
      <c r="D235">
        <v>88</v>
      </c>
      <c r="E235">
        <v>0</v>
      </c>
      <c r="F235">
        <v>0</v>
      </c>
      <c r="G235">
        <v>0</v>
      </c>
      <c r="H235">
        <v>88</v>
      </c>
      <c r="I235" s="4">
        <f t="shared" si="3"/>
        <v>1</v>
      </c>
      <c r="K235" t="s">
        <v>632</v>
      </c>
    </row>
    <row r="236" spans="1:11">
      <c r="A236" t="s">
        <v>222</v>
      </c>
      <c r="B236">
        <v>1</v>
      </c>
      <c r="C236">
        <v>1</v>
      </c>
      <c r="D236">
        <v>13</v>
      </c>
      <c r="E236">
        <v>0</v>
      </c>
      <c r="F236">
        <v>3</v>
      </c>
      <c r="G236">
        <v>0</v>
      </c>
      <c r="H236">
        <v>168</v>
      </c>
      <c r="I236" s="4">
        <f t="shared" si="3"/>
        <v>7.7380952380952384E-2</v>
      </c>
      <c r="K236" t="s">
        <v>633</v>
      </c>
    </row>
    <row r="237" spans="1:11">
      <c r="A237" t="s">
        <v>222</v>
      </c>
      <c r="B237">
        <v>1</v>
      </c>
      <c r="C237">
        <v>2</v>
      </c>
      <c r="D237">
        <v>15</v>
      </c>
      <c r="E237">
        <v>0</v>
      </c>
      <c r="F237">
        <v>3</v>
      </c>
      <c r="G237">
        <v>0</v>
      </c>
      <c r="H237">
        <v>168</v>
      </c>
      <c r="I237" s="4">
        <f t="shared" si="3"/>
        <v>8.9285714285714288E-2</v>
      </c>
      <c r="K237" t="s">
        <v>633</v>
      </c>
    </row>
    <row r="238" spans="1:11">
      <c r="A238" t="s">
        <v>222</v>
      </c>
      <c r="B238">
        <v>1</v>
      </c>
      <c r="C238">
        <v>3</v>
      </c>
      <c r="D238">
        <v>21</v>
      </c>
      <c r="E238">
        <v>0</v>
      </c>
      <c r="F238">
        <v>4</v>
      </c>
      <c r="G238">
        <v>0</v>
      </c>
      <c r="H238">
        <v>168</v>
      </c>
      <c r="I238" s="4">
        <f t="shared" si="3"/>
        <v>0.125</v>
      </c>
      <c r="K238" t="s">
        <v>633</v>
      </c>
    </row>
    <row r="239" spans="1:11">
      <c r="A239" t="s">
        <v>222</v>
      </c>
      <c r="B239">
        <v>1</v>
      </c>
      <c r="C239">
        <v>4</v>
      </c>
      <c r="D239">
        <v>25</v>
      </c>
      <c r="E239">
        <v>0</v>
      </c>
      <c r="F239">
        <v>6</v>
      </c>
      <c r="G239">
        <v>0</v>
      </c>
      <c r="H239">
        <v>168</v>
      </c>
      <c r="I239" s="4">
        <f t="shared" si="3"/>
        <v>0.14880952380952381</v>
      </c>
      <c r="K239" t="s">
        <v>633</v>
      </c>
    </row>
    <row r="240" spans="1:11">
      <c r="A240" t="s">
        <v>222</v>
      </c>
      <c r="B240">
        <v>1</v>
      </c>
      <c r="C240">
        <v>5</v>
      </c>
      <c r="D240">
        <v>26</v>
      </c>
      <c r="E240">
        <v>0</v>
      </c>
      <c r="F240">
        <v>5</v>
      </c>
      <c r="G240">
        <v>0</v>
      </c>
      <c r="H240">
        <v>168</v>
      </c>
      <c r="I240" s="4">
        <f t="shared" si="3"/>
        <v>0.15476190476190477</v>
      </c>
      <c r="K240" t="s">
        <v>633</v>
      </c>
    </row>
    <row r="241" spans="1:11">
      <c r="A241" t="s">
        <v>222</v>
      </c>
      <c r="B241">
        <v>1</v>
      </c>
      <c r="C241">
        <v>6</v>
      </c>
      <c r="D241">
        <v>27</v>
      </c>
      <c r="E241">
        <v>0</v>
      </c>
      <c r="F241">
        <v>4</v>
      </c>
      <c r="G241">
        <v>0</v>
      </c>
      <c r="H241">
        <v>168</v>
      </c>
      <c r="I241" s="4">
        <f t="shared" si="3"/>
        <v>0.16071428571428573</v>
      </c>
      <c r="K241" t="s">
        <v>633</v>
      </c>
    </row>
    <row r="242" spans="1:11">
      <c r="A242" t="s">
        <v>222</v>
      </c>
      <c r="B242">
        <v>1</v>
      </c>
      <c r="C242">
        <v>7</v>
      </c>
      <c r="D242">
        <v>29</v>
      </c>
      <c r="E242">
        <v>0</v>
      </c>
      <c r="F242">
        <v>4</v>
      </c>
      <c r="G242">
        <v>0</v>
      </c>
      <c r="H242">
        <v>168</v>
      </c>
      <c r="I242" s="4">
        <f t="shared" si="3"/>
        <v>0.17261904761904762</v>
      </c>
      <c r="K242" t="s">
        <v>633</v>
      </c>
    </row>
    <row r="243" spans="1:11">
      <c r="A243" t="s">
        <v>222</v>
      </c>
      <c r="B243">
        <v>1</v>
      </c>
      <c r="C243">
        <v>8</v>
      </c>
      <c r="D243">
        <v>31</v>
      </c>
      <c r="E243">
        <v>0</v>
      </c>
      <c r="F243">
        <v>4</v>
      </c>
      <c r="G243">
        <v>0</v>
      </c>
      <c r="H243">
        <v>168</v>
      </c>
      <c r="I243" s="4">
        <f t="shared" si="3"/>
        <v>0.18452380952380953</v>
      </c>
      <c r="K243" t="s">
        <v>633</v>
      </c>
    </row>
    <row r="244" spans="1:11">
      <c r="A244" t="s">
        <v>222</v>
      </c>
      <c r="B244">
        <v>1</v>
      </c>
      <c r="C244">
        <v>9</v>
      </c>
      <c r="D244">
        <v>33</v>
      </c>
      <c r="E244">
        <v>0</v>
      </c>
      <c r="F244">
        <v>4</v>
      </c>
      <c r="G244">
        <v>0</v>
      </c>
      <c r="H244">
        <v>168</v>
      </c>
      <c r="I244" s="4">
        <f t="shared" si="3"/>
        <v>0.19642857142857142</v>
      </c>
      <c r="K244" t="s">
        <v>633</v>
      </c>
    </row>
    <row r="245" spans="1:11">
      <c r="A245" t="s">
        <v>222</v>
      </c>
      <c r="B245">
        <v>1</v>
      </c>
      <c r="C245">
        <v>10</v>
      </c>
      <c r="D245">
        <v>36</v>
      </c>
      <c r="E245">
        <v>0</v>
      </c>
      <c r="F245">
        <v>5</v>
      </c>
      <c r="G245">
        <v>0</v>
      </c>
      <c r="H245">
        <v>168</v>
      </c>
      <c r="I245" s="4">
        <f t="shared" si="3"/>
        <v>0.21428571428571427</v>
      </c>
      <c r="K245" t="s">
        <v>633</v>
      </c>
    </row>
    <row r="246" spans="1:11">
      <c r="A246" t="s">
        <v>222</v>
      </c>
      <c r="B246">
        <v>1</v>
      </c>
      <c r="C246">
        <v>11</v>
      </c>
      <c r="D246">
        <v>37</v>
      </c>
      <c r="E246">
        <v>0</v>
      </c>
      <c r="F246">
        <v>4</v>
      </c>
      <c r="G246">
        <v>0</v>
      </c>
      <c r="H246">
        <v>168</v>
      </c>
      <c r="I246" s="4">
        <f t="shared" si="3"/>
        <v>0.22023809523809523</v>
      </c>
      <c r="K246" t="s">
        <v>633</v>
      </c>
    </row>
    <row r="247" spans="1:11">
      <c r="A247" t="s">
        <v>222</v>
      </c>
      <c r="B247">
        <v>1</v>
      </c>
      <c r="C247">
        <v>12</v>
      </c>
      <c r="D247">
        <v>39</v>
      </c>
      <c r="E247">
        <v>0</v>
      </c>
      <c r="F247">
        <v>4</v>
      </c>
      <c r="G247">
        <v>0</v>
      </c>
      <c r="H247">
        <v>168</v>
      </c>
      <c r="I247" s="4">
        <f t="shared" si="3"/>
        <v>0.23214285714285715</v>
      </c>
      <c r="K247" t="s">
        <v>633</v>
      </c>
    </row>
    <row r="248" spans="1:11">
      <c r="A248" t="s">
        <v>222</v>
      </c>
      <c r="B248">
        <v>1</v>
      </c>
      <c r="C248">
        <v>13</v>
      </c>
      <c r="D248">
        <v>41</v>
      </c>
      <c r="E248">
        <v>0</v>
      </c>
      <c r="F248">
        <v>4</v>
      </c>
      <c r="G248">
        <v>0</v>
      </c>
      <c r="H248">
        <v>168</v>
      </c>
      <c r="I248" s="4">
        <f t="shared" si="3"/>
        <v>0.24404761904761904</v>
      </c>
      <c r="K248" t="s">
        <v>633</v>
      </c>
    </row>
    <row r="249" spans="1:11">
      <c r="A249" t="s">
        <v>222</v>
      </c>
      <c r="B249">
        <v>1</v>
      </c>
      <c r="C249">
        <v>14</v>
      </c>
      <c r="D249">
        <v>43</v>
      </c>
      <c r="E249">
        <v>0</v>
      </c>
      <c r="F249">
        <v>3</v>
      </c>
      <c r="G249">
        <v>0</v>
      </c>
      <c r="H249">
        <v>168</v>
      </c>
      <c r="I249" s="4">
        <f t="shared" si="3"/>
        <v>0.25595238095238093</v>
      </c>
      <c r="K249" t="s">
        <v>633</v>
      </c>
    </row>
    <row r="250" spans="1:11">
      <c r="A250" t="s">
        <v>222</v>
      </c>
      <c r="B250">
        <v>1</v>
      </c>
      <c r="C250">
        <v>15</v>
      </c>
      <c r="D250">
        <v>44</v>
      </c>
      <c r="E250">
        <v>0</v>
      </c>
      <c r="F250">
        <v>2</v>
      </c>
      <c r="G250">
        <v>0</v>
      </c>
      <c r="H250">
        <v>168</v>
      </c>
      <c r="I250" s="4">
        <f t="shared" si="3"/>
        <v>0.26190476190476192</v>
      </c>
      <c r="K250" t="s">
        <v>633</v>
      </c>
    </row>
    <row r="251" spans="1:11">
      <c r="A251" t="s">
        <v>222</v>
      </c>
      <c r="B251">
        <v>1</v>
      </c>
      <c r="C251">
        <v>16</v>
      </c>
      <c r="D251">
        <v>168</v>
      </c>
      <c r="E251">
        <v>0</v>
      </c>
      <c r="F251">
        <v>0</v>
      </c>
      <c r="G251">
        <v>0</v>
      </c>
      <c r="H251">
        <v>168</v>
      </c>
      <c r="I251" s="4">
        <f t="shared" si="3"/>
        <v>1</v>
      </c>
      <c r="K251" t="s">
        <v>633</v>
      </c>
    </row>
    <row r="252" spans="1:11">
      <c r="A252" t="s">
        <v>222</v>
      </c>
      <c r="B252">
        <v>3</v>
      </c>
      <c r="C252">
        <v>1</v>
      </c>
      <c r="D252">
        <v>279</v>
      </c>
      <c r="E252">
        <v>0</v>
      </c>
      <c r="F252">
        <v>2</v>
      </c>
      <c r="G252">
        <v>0</v>
      </c>
      <c r="H252">
        <v>332</v>
      </c>
      <c r="I252" s="4">
        <f t="shared" si="3"/>
        <v>0.84036144578313254</v>
      </c>
      <c r="K252" t="s">
        <v>634</v>
      </c>
    </row>
    <row r="253" spans="1:11">
      <c r="A253" t="s">
        <v>222</v>
      </c>
      <c r="B253">
        <v>3</v>
      </c>
      <c r="C253">
        <v>2</v>
      </c>
      <c r="D253">
        <v>331</v>
      </c>
      <c r="E253">
        <v>0</v>
      </c>
      <c r="F253">
        <v>1</v>
      </c>
      <c r="G253">
        <v>0</v>
      </c>
      <c r="H253">
        <v>332</v>
      </c>
      <c r="I253" s="4">
        <f t="shared" si="3"/>
        <v>0.99698795180722888</v>
      </c>
      <c r="K253" t="s">
        <v>634</v>
      </c>
    </row>
    <row r="254" spans="1:11">
      <c r="A254" t="s">
        <v>222</v>
      </c>
      <c r="B254">
        <v>3</v>
      </c>
      <c r="C254">
        <v>3</v>
      </c>
      <c r="D254">
        <v>332</v>
      </c>
      <c r="E254">
        <v>0</v>
      </c>
      <c r="F254">
        <v>0</v>
      </c>
      <c r="G254">
        <v>0</v>
      </c>
      <c r="H254">
        <v>332</v>
      </c>
      <c r="I254" s="4">
        <f t="shared" si="3"/>
        <v>1</v>
      </c>
      <c r="K254" t="s">
        <v>634</v>
      </c>
    </row>
    <row r="255" spans="1:11">
      <c r="A255" t="s">
        <v>222</v>
      </c>
      <c r="B255">
        <v>4</v>
      </c>
      <c r="C255">
        <v>1</v>
      </c>
      <c r="D255">
        <v>111</v>
      </c>
      <c r="E255">
        <v>0</v>
      </c>
      <c r="F255">
        <v>4</v>
      </c>
      <c r="G255">
        <v>0</v>
      </c>
      <c r="H255">
        <f>129</f>
        <v>129</v>
      </c>
      <c r="I255" s="4">
        <f t="shared" si="3"/>
        <v>0.86046511627906974</v>
      </c>
      <c r="K255" t="s">
        <v>635</v>
      </c>
    </row>
    <row r="256" spans="1:11">
      <c r="A256" t="s">
        <v>222</v>
      </c>
      <c r="B256">
        <v>4</v>
      </c>
      <c r="C256">
        <v>2</v>
      </c>
      <c r="D256">
        <v>116</v>
      </c>
      <c r="E256">
        <v>0</v>
      </c>
      <c r="F256">
        <v>3</v>
      </c>
      <c r="G256">
        <v>0</v>
      </c>
      <c r="H256">
        <f>129</f>
        <v>129</v>
      </c>
      <c r="I256" s="4">
        <f t="shared" si="3"/>
        <v>0.89922480620155043</v>
      </c>
      <c r="K256" t="s">
        <v>635</v>
      </c>
    </row>
    <row r="257" spans="1:11">
      <c r="A257" t="s">
        <v>222</v>
      </c>
      <c r="B257">
        <v>4</v>
      </c>
      <c r="C257">
        <v>3</v>
      </c>
      <c r="D257">
        <v>119</v>
      </c>
      <c r="E257">
        <v>0</v>
      </c>
      <c r="F257">
        <v>2</v>
      </c>
      <c r="G257">
        <v>0</v>
      </c>
      <c r="H257">
        <f>129</f>
        <v>129</v>
      </c>
      <c r="I257" s="4">
        <f t="shared" si="3"/>
        <v>0.92248062015503873</v>
      </c>
      <c r="K257" t="s">
        <v>635</v>
      </c>
    </row>
    <row r="258" spans="1:11">
      <c r="A258" t="s">
        <v>222</v>
      </c>
      <c r="B258">
        <v>4</v>
      </c>
      <c r="C258">
        <v>4</v>
      </c>
      <c r="D258">
        <v>122</v>
      </c>
      <c r="E258">
        <v>0</v>
      </c>
      <c r="F258">
        <v>2</v>
      </c>
      <c r="G258">
        <v>0</v>
      </c>
      <c r="H258">
        <f>129</f>
        <v>129</v>
      </c>
      <c r="I258" s="4">
        <f t="shared" si="3"/>
        <v>0.94573643410852715</v>
      </c>
      <c r="K258" t="s">
        <v>635</v>
      </c>
    </row>
    <row r="259" spans="1:11">
      <c r="A259" t="s">
        <v>222</v>
      </c>
      <c r="B259">
        <v>4</v>
      </c>
      <c r="C259">
        <v>5</v>
      </c>
      <c r="D259">
        <v>122</v>
      </c>
      <c r="E259">
        <v>0</v>
      </c>
      <c r="F259">
        <v>2</v>
      </c>
      <c r="G259">
        <v>0</v>
      </c>
      <c r="H259">
        <f>129</f>
        <v>129</v>
      </c>
      <c r="I259" s="4">
        <f t="shared" ref="I259:I322" si="4">D259/H259</f>
        <v>0.94573643410852715</v>
      </c>
      <c r="K259" t="s">
        <v>635</v>
      </c>
    </row>
    <row r="260" spans="1:11">
      <c r="A260" t="s">
        <v>222</v>
      </c>
      <c r="B260">
        <v>4</v>
      </c>
      <c r="C260">
        <v>6</v>
      </c>
      <c r="D260">
        <v>122</v>
      </c>
      <c r="E260">
        <v>0</v>
      </c>
      <c r="F260">
        <v>2</v>
      </c>
      <c r="G260">
        <v>0</v>
      </c>
      <c r="H260">
        <f>129</f>
        <v>129</v>
      </c>
      <c r="I260" s="4">
        <f t="shared" si="4"/>
        <v>0.94573643410852715</v>
      </c>
      <c r="K260" t="s">
        <v>635</v>
      </c>
    </row>
    <row r="261" spans="1:11">
      <c r="A261" t="s">
        <v>222</v>
      </c>
      <c r="B261">
        <v>4</v>
      </c>
      <c r="C261">
        <v>7</v>
      </c>
      <c r="D261">
        <v>129</v>
      </c>
      <c r="E261">
        <v>0</v>
      </c>
      <c r="F261">
        <v>0</v>
      </c>
      <c r="G261">
        <v>0</v>
      </c>
      <c r="H261">
        <f>129</f>
        <v>129</v>
      </c>
      <c r="I261" s="4">
        <f t="shared" si="4"/>
        <v>1</v>
      </c>
      <c r="K261" t="s">
        <v>635</v>
      </c>
    </row>
    <row r="262" spans="1:11">
      <c r="A262" t="s">
        <v>222</v>
      </c>
      <c r="B262">
        <v>4</v>
      </c>
      <c r="C262">
        <v>8</v>
      </c>
      <c r="D262">
        <v>129</v>
      </c>
      <c r="E262">
        <v>0</v>
      </c>
      <c r="F262">
        <v>0</v>
      </c>
      <c r="G262">
        <v>0</v>
      </c>
      <c r="H262">
        <f>129</f>
        <v>129</v>
      </c>
      <c r="I262" s="4">
        <f t="shared" si="4"/>
        <v>1</v>
      </c>
      <c r="K262" t="s">
        <v>635</v>
      </c>
    </row>
    <row r="263" spans="1:11">
      <c r="A263" t="s">
        <v>222</v>
      </c>
      <c r="B263">
        <v>4</v>
      </c>
      <c r="C263">
        <v>9</v>
      </c>
      <c r="D263">
        <v>129</v>
      </c>
      <c r="E263">
        <v>0</v>
      </c>
      <c r="F263">
        <v>0</v>
      </c>
      <c r="G263">
        <v>0</v>
      </c>
      <c r="H263">
        <f>129</f>
        <v>129</v>
      </c>
      <c r="I263" s="4">
        <f t="shared" si="4"/>
        <v>1</v>
      </c>
      <c r="K263" t="s">
        <v>635</v>
      </c>
    </row>
    <row r="264" spans="1:11">
      <c r="A264" t="s">
        <v>222</v>
      </c>
      <c r="B264">
        <v>6</v>
      </c>
      <c r="C264">
        <v>1</v>
      </c>
      <c r="D264">
        <v>78</v>
      </c>
      <c r="E264">
        <v>0</v>
      </c>
      <c r="F264">
        <v>3</v>
      </c>
      <c r="G264">
        <v>0</v>
      </c>
      <c r="H264">
        <v>121</v>
      </c>
      <c r="I264" s="4">
        <f t="shared" si="4"/>
        <v>0.64462809917355368</v>
      </c>
      <c r="K264" t="s">
        <v>636</v>
      </c>
    </row>
    <row r="265" spans="1:11">
      <c r="A265" t="s">
        <v>222</v>
      </c>
      <c r="B265">
        <v>6</v>
      </c>
      <c r="C265">
        <v>2</v>
      </c>
      <c r="D265">
        <v>121</v>
      </c>
      <c r="E265">
        <v>0</v>
      </c>
      <c r="F265">
        <v>0</v>
      </c>
      <c r="G265">
        <v>0</v>
      </c>
      <c r="H265">
        <v>121</v>
      </c>
      <c r="I265" s="4">
        <f t="shared" si="4"/>
        <v>1</v>
      </c>
      <c r="K265" t="s">
        <v>636</v>
      </c>
    </row>
    <row r="266" spans="1:11">
      <c r="A266" t="s">
        <v>222</v>
      </c>
      <c r="B266">
        <v>7</v>
      </c>
      <c r="C266">
        <v>1</v>
      </c>
      <c r="D266">
        <v>1</v>
      </c>
      <c r="E266">
        <v>0</v>
      </c>
      <c r="F266">
        <v>1</v>
      </c>
      <c r="G266">
        <v>0</v>
      </c>
      <c r="H266">
        <v>43</v>
      </c>
      <c r="I266" s="4">
        <f t="shared" si="4"/>
        <v>2.3255813953488372E-2</v>
      </c>
      <c r="K266" t="s">
        <v>637</v>
      </c>
    </row>
    <row r="267" spans="1:11">
      <c r="A267" t="s">
        <v>222</v>
      </c>
      <c r="B267">
        <v>7</v>
      </c>
      <c r="C267">
        <v>2</v>
      </c>
      <c r="D267">
        <v>3</v>
      </c>
      <c r="E267">
        <v>0</v>
      </c>
      <c r="F267">
        <v>1</v>
      </c>
      <c r="G267">
        <v>0</v>
      </c>
      <c r="H267">
        <v>43</v>
      </c>
      <c r="I267" s="4">
        <f t="shared" si="4"/>
        <v>6.9767441860465115E-2</v>
      </c>
      <c r="K267" t="s">
        <v>637</v>
      </c>
    </row>
    <row r="268" spans="1:11">
      <c r="A268" t="s">
        <v>222</v>
      </c>
      <c r="B268">
        <v>7</v>
      </c>
      <c r="C268">
        <v>3</v>
      </c>
      <c r="D268">
        <v>5</v>
      </c>
      <c r="E268">
        <v>0</v>
      </c>
      <c r="F268">
        <v>1</v>
      </c>
      <c r="G268">
        <v>0</v>
      </c>
      <c r="H268">
        <v>43</v>
      </c>
      <c r="I268" s="4">
        <f t="shared" si="4"/>
        <v>0.11627906976744186</v>
      </c>
      <c r="K268" t="s">
        <v>637</v>
      </c>
    </row>
    <row r="269" spans="1:11">
      <c r="A269" t="s">
        <v>222</v>
      </c>
      <c r="B269">
        <v>7</v>
      </c>
      <c r="C269">
        <v>4</v>
      </c>
      <c r="D269">
        <v>7</v>
      </c>
      <c r="E269">
        <v>0</v>
      </c>
      <c r="F269">
        <v>1</v>
      </c>
      <c r="G269">
        <v>0</v>
      </c>
      <c r="H269">
        <v>43</v>
      </c>
      <c r="I269" s="4">
        <f t="shared" si="4"/>
        <v>0.16279069767441862</v>
      </c>
      <c r="K269" t="s">
        <v>637</v>
      </c>
    </row>
    <row r="270" spans="1:11">
      <c r="A270" t="s">
        <v>222</v>
      </c>
      <c r="B270">
        <v>7</v>
      </c>
      <c r="C270">
        <v>5</v>
      </c>
      <c r="D270">
        <v>11</v>
      </c>
      <c r="E270">
        <v>0</v>
      </c>
      <c r="F270">
        <v>3</v>
      </c>
      <c r="G270">
        <v>0</v>
      </c>
      <c r="H270">
        <v>43</v>
      </c>
      <c r="I270" s="4">
        <f t="shared" si="4"/>
        <v>0.2558139534883721</v>
      </c>
      <c r="K270" t="s">
        <v>637</v>
      </c>
    </row>
    <row r="271" spans="1:11">
      <c r="A271" t="s">
        <v>222</v>
      </c>
      <c r="B271">
        <v>7</v>
      </c>
      <c r="C271">
        <v>6</v>
      </c>
      <c r="D271">
        <v>41</v>
      </c>
      <c r="E271">
        <v>0</v>
      </c>
      <c r="F271">
        <v>2</v>
      </c>
      <c r="G271">
        <v>0</v>
      </c>
      <c r="H271">
        <v>43</v>
      </c>
      <c r="I271" s="4">
        <f t="shared" si="4"/>
        <v>0.95348837209302328</v>
      </c>
      <c r="K271" t="s">
        <v>637</v>
      </c>
    </row>
    <row r="272" spans="1:11">
      <c r="A272" s="9" t="s">
        <v>222</v>
      </c>
      <c r="B272" s="9">
        <v>7</v>
      </c>
      <c r="C272" s="9">
        <v>7</v>
      </c>
      <c r="D272" s="9">
        <v>43</v>
      </c>
      <c r="E272" s="9">
        <v>0</v>
      </c>
      <c r="F272" s="9">
        <v>0</v>
      </c>
      <c r="G272" s="9">
        <v>0</v>
      </c>
      <c r="H272" s="9">
        <v>43</v>
      </c>
      <c r="I272" s="4">
        <f t="shared" si="4"/>
        <v>1</v>
      </c>
      <c r="K272" t="s">
        <v>637</v>
      </c>
    </row>
    <row r="273" spans="1:11">
      <c r="A273" t="s">
        <v>223</v>
      </c>
      <c r="B273">
        <v>3</v>
      </c>
      <c r="C273">
        <v>1</v>
      </c>
      <c r="D273">
        <v>6</v>
      </c>
      <c r="E273">
        <v>0</v>
      </c>
      <c r="F273">
        <v>1</v>
      </c>
      <c r="G273">
        <v>0</v>
      </c>
      <c r="H273">
        <v>62</v>
      </c>
      <c r="I273" s="4">
        <f t="shared" si="4"/>
        <v>9.6774193548387094E-2</v>
      </c>
      <c r="K273" t="s">
        <v>638</v>
      </c>
    </row>
    <row r="274" spans="1:11">
      <c r="A274" t="s">
        <v>223</v>
      </c>
      <c r="B274">
        <v>3</v>
      </c>
      <c r="C274">
        <v>2</v>
      </c>
      <c r="D274">
        <v>46</v>
      </c>
      <c r="E274">
        <v>0</v>
      </c>
      <c r="F274">
        <v>3</v>
      </c>
      <c r="G274">
        <v>0</v>
      </c>
      <c r="H274">
        <v>62</v>
      </c>
      <c r="I274" s="4">
        <f t="shared" si="4"/>
        <v>0.74193548387096775</v>
      </c>
      <c r="K274" t="s">
        <v>638</v>
      </c>
    </row>
    <row r="275" spans="1:11">
      <c r="A275" t="s">
        <v>223</v>
      </c>
      <c r="B275">
        <v>3</v>
      </c>
      <c r="C275">
        <v>3</v>
      </c>
      <c r="D275">
        <v>62</v>
      </c>
      <c r="E275">
        <v>0</v>
      </c>
      <c r="F275">
        <v>0</v>
      </c>
      <c r="G275">
        <v>0</v>
      </c>
      <c r="H275">
        <v>62</v>
      </c>
      <c r="I275" s="4">
        <f t="shared" si="4"/>
        <v>1</v>
      </c>
      <c r="K275" t="s">
        <v>638</v>
      </c>
    </row>
    <row r="276" spans="1:11">
      <c r="A276" t="s">
        <v>223</v>
      </c>
      <c r="B276">
        <v>7</v>
      </c>
      <c r="C276">
        <v>1</v>
      </c>
      <c r="D276">
        <v>3</v>
      </c>
      <c r="E276">
        <v>0</v>
      </c>
      <c r="F276">
        <v>0</v>
      </c>
      <c r="G276">
        <v>0</v>
      </c>
      <c r="H276">
        <v>56</v>
      </c>
      <c r="I276" s="4">
        <f t="shared" si="4"/>
        <v>5.3571428571428568E-2</v>
      </c>
      <c r="K276" t="s">
        <v>639</v>
      </c>
    </row>
    <row r="277" spans="1:11">
      <c r="A277" t="s">
        <v>223</v>
      </c>
      <c r="B277">
        <v>7</v>
      </c>
      <c r="C277">
        <v>2</v>
      </c>
      <c r="D277">
        <v>4</v>
      </c>
      <c r="E277">
        <v>0</v>
      </c>
      <c r="F277">
        <v>1</v>
      </c>
      <c r="G277">
        <v>0</v>
      </c>
      <c r="H277">
        <v>56</v>
      </c>
      <c r="I277" s="4">
        <f t="shared" si="4"/>
        <v>7.1428571428571425E-2</v>
      </c>
      <c r="K277" t="s">
        <v>639</v>
      </c>
    </row>
    <row r="278" spans="1:11">
      <c r="A278" t="s">
        <v>223</v>
      </c>
      <c r="B278">
        <v>7</v>
      </c>
      <c r="C278">
        <v>3</v>
      </c>
      <c r="D278">
        <v>16</v>
      </c>
      <c r="E278">
        <v>0</v>
      </c>
      <c r="F278">
        <v>1</v>
      </c>
      <c r="G278">
        <v>0</v>
      </c>
      <c r="H278">
        <v>56</v>
      </c>
      <c r="I278" s="4">
        <f t="shared" si="4"/>
        <v>0.2857142857142857</v>
      </c>
      <c r="K278" t="s">
        <v>639</v>
      </c>
    </row>
    <row r="279" spans="1:11">
      <c r="A279" t="s">
        <v>223</v>
      </c>
      <c r="B279">
        <v>7</v>
      </c>
      <c r="C279">
        <v>4</v>
      </c>
      <c r="D279">
        <v>27</v>
      </c>
      <c r="E279">
        <v>0</v>
      </c>
      <c r="F279">
        <v>1</v>
      </c>
      <c r="G279">
        <v>0</v>
      </c>
      <c r="H279">
        <v>56</v>
      </c>
      <c r="I279" s="4">
        <f t="shared" si="4"/>
        <v>0.48214285714285715</v>
      </c>
      <c r="K279" t="s">
        <v>639</v>
      </c>
    </row>
    <row r="280" spans="1:11">
      <c r="A280" t="s">
        <v>223</v>
      </c>
      <c r="B280">
        <v>7</v>
      </c>
      <c r="C280">
        <v>5</v>
      </c>
      <c r="D280">
        <v>29</v>
      </c>
      <c r="E280">
        <v>0</v>
      </c>
      <c r="F280">
        <v>1</v>
      </c>
      <c r="G280">
        <v>0</v>
      </c>
      <c r="H280">
        <v>56</v>
      </c>
      <c r="I280" s="4">
        <f t="shared" si="4"/>
        <v>0.5178571428571429</v>
      </c>
      <c r="K280" t="s">
        <v>639</v>
      </c>
    </row>
    <row r="281" spans="1:11">
      <c r="A281" t="s">
        <v>223</v>
      </c>
      <c r="B281">
        <v>7</v>
      </c>
      <c r="C281">
        <v>6</v>
      </c>
      <c r="D281">
        <v>56</v>
      </c>
      <c r="E281">
        <v>0</v>
      </c>
      <c r="F281">
        <v>0</v>
      </c>
      <c r="G281">
        <v>0</v>
      </c>
      <c r="H281">
        <v>56</v>
      </c>
      <c r="I281" s="4">
        <f t="shared" si="4"/>
        <v>1</v>
      </c>
      <c r="K281" t="s">
        <v>639</v>
      </c>
    </row>
    <row r="282" spans="1:11">
      <c r="A282" t="s">
        <v>223</v>
      </c>
      <c r="B282">
        <v>8</v>
      </c>
      <c r="C282">
        <v>1</v>
      </c>
      <c r="D282">
        <v>4</v>
      </c>
      <c r="E282">
        <v>0</v>
      </c>
      <c r="F282">
        <v>1</v>
      </c>
      <c r="G282">
        <v>0</v>
      </c>
      <c r="H282">
        <v>86</v>
      </c>
      <c r="I282" s="4">
        <f t="shared" si="4"/>
        <v>4.6511627906976744E-2</v>
      </c>
      <c r="K282" t="s">
        <v>640</v>
      </c>
    </row>
    <row r="283" spans="1:11">
      <c r="A283" t="s">
        <v>223</v>
      </c>
      <c r="B283">
        <v>8</v>
      </c>
      <c r="C283">
        <v>2</v>
      </c>
      <c r="D283">
        <v>15</v>
      </c>
      <c r="E283">
        <v>0</v>
      </c>
      <c r="F283">
        <v>2</v>
      </c>
      <c r="G283">
        <v>0</v>
      </c>
      <c r="H283">
        <v>86</v>
      </c>
      <c r="I283" s="4">
        <f t="shared" si="4"/>
        <v>0.1744186046511628</v>
      </c>
      <c r="K283" t="s">
        <v>640</v>
      </c>
    </row>
    <row r="284" spans="1:11">
      <c r="A284" t="s">
        <v>223</v>
      </c>
      <c r="B284">
        <v>8</v>
      </c>
      <c r="C284">
        <v>3</v>
      </c>
      <c r="D284">
        <v>19</v>
      </c>
      <c r="E284">
        <v>0</v>
      </c>
      <c r="F284">
        <v>2</v>
      </c>
      <c r="G284">
        <v>0</v>
      </c>
      <c r="H284">
        <v>86</v>
      </c>
      <c r="I284" s="4">
        <f t="shared" si="4"/>
        <v>0.22093023255813954</v>
      </c>
      <c r="K284" t="s">
        <v>640</v>
      </c>
    </row>
    <row r="285" spans="1:11">
      <c r="A285" t="s">
        <v>223</v>
      </c>
      <c r="B285">
        <v>8</v>
      </c>
      <c r="C285">
        <v>4</v>
      </c>
      <c r="D285">
        <v>29</v>
      </c>
      <c r="E285">
        <v>0</v>
      </c>
      <c r="F285">
        <v>2</v>
      </c>
      <c r="G285">
        <v>0</v>
      </c>
      <c r="H285">
        <v>86</v>
      </c>
      <c r="I285" s="4">
        <f t="shared" si="4"/>
        <v>0.33720930232558138</v>
      </c>
      <c r="K285" t="s">
        <v>640</v>
      </c>
    </row>
    <row r="286" spans="1:11">
      <c r="A286" t="s">
        <v>223</v>
      </c>
      <c r="B286">
        <v>8</v>
      </c>
      <c r="C286">
        <v>5</v>
      </c>
      <c r="D286">
        <v>31</v>
      </c>
      <c r="E286">
        <v>0</v>
      </c>
      <c r="F286">
        <v>2</v>
      </c>
      <c r="G286">
        <v>0</v>
      </c>
      <c r="H286">
        <v>86</v>
      </c>
      <c r="I286" s="4">
        <f t="shared" si="4"/>
        <v>0.36046511627906974</v>
      </c>
      <c r="K286" t="s">
        <v>640</v>
      </c>
    </row>
    <row r="287" spans="1:11">
      <c r="A287" t="s">
        <v>223</v>
      </c>
      <c r="B287">
        <v>8</v>
      </c>
      <c r="C287">
        <v>6</v>
      </c>
      <c r="D287">
        <v>65</v>
      </c>
      <c r="E287">
        <v>0</v>
      </c>
      <c r="F287">
        <v>2</v>
      </c>
      <c r="G287">
        <v>0</v>
      </c>
      <c r="H287">
        <v>86</v>
      </c>
      <c r="I287" s="4">
        <f t="shared" si="4"/>
        <v>0.7558139534883721</v>
      </c>
      <c r="K287" t="s">
        <v>640</v>
      </c>
    </row>
    <row r="288" spans="1:11">
      <c r="A288" t="s">
        <v>223</v>
      </c>
      <c r="B288">
        <v>8</v>
      </c>
      <c r="C288">
        <v>7</v>
      </c>
      <c r="D288">
        <v>68</v>
      </c>
      <c r="E288">
        <v>0</v>
      </c>
      <c r="F288">
        <v>2</v>
      </c>
      <c r="G288">
        <v>0</v>
      </c>
      <c r="H288">
        <v>86</v>
      </c>
      <c r="I288" s="4">
        <f t="shared" si="4"/>
        <v>0.79069767441860461</v>
      </c>
      <c r="K288" t="s">
        <v>640</v>
      </c>
    </row>
    <row r="289" spans="1:11">
      <c r="A289" t="s">
        <v>223</v>
      </c>
      <c r="B289">
        <v>8</v>
      </c>
      <c r="C289">
        <v>8</v>
      </c>
      <c r="D289">
        <v>70</v>
      </c>
      <c r="E289">
        <v>0</v>
      </c>
      <c r="F289">
        <v>2</v>
      </c>
      <c r="G289">
        <v>0</v>
      </c>
      <c r="H289">
        <v>86</v>
      </c>
      <c r="I289" s="4">
        <f t="shared" si="4"/>
        <v>0.81395348837209303</v>
      </c>
      <c r="K289" t="s">
        <v>640</v>
      </c>
    </row>
    <row r="290" spans="1:11">
      <c r="A290" t="s">
        <v>223</v>
      </c>
      <c r="B290">
        <v>8</v>
      </c>
      <c r="C290">
        <v>9</v>
      </c>
      <c r="D290">
        <v>75</v>
      </c>
      <c r="E290">
        <v>0</v>
      </c>
      <c r="F290">
        <v>2</v>
      </c>
      <c r="G290">
        <v>0</v>
      </c>
      <c r="H290">
        <v>86</v>
      </c>
      <c r="I290" s="4">
        <f t="shared" si="4"/>
        <v>0.87209302325581395</v>
      </c>
      <c r="K290" t="s">
        <v>640</v>
      </c>
    </row>
    <row r="291" spans="1:11">
      <c r="A291" t="s">
        <v>223</v>
      </c>
      <c r="B291">
        <v>8</v>
      </c>
      <c r="C291">
        <v>10</v>
      </c>
      <c r="D291">
        <v>79</v>
      </c>
      <c r="E291">
        <v>0</v>
      </c>
      <c r="F291">
        <v>2</v>
      </c>
      <c r="G291">
        <v>0</v>
      </c>
      <c r="H291">
        <v>86</v>
      </c>
      <c r="I291" s="4">
        <f t="shared" si="4"/>
        <v>0.91860465116279066</v>
      </c>
      <c r="K291" t="s">
        <v>640</v>
      </c>
    </row>
    <row r="292" spans="1:11">
      <c r="A292" t="s">
        <v>223</v>
      </c>
      <c r="B292">
        <v>8</v>
      </c>
      <c r="C292">
        <v>11</v>
      </c>
      <c r="D292">
        <v>86</v>
      </c>
      <c r="E292">
        <v>0</v>
      </c>
      <c r="F292">
        <v>0</v>
      </c>
      <c r="G292">
        <v>0</v>
      </c>
      <c r="H292">
        <v>86</v>
      </c>
      <c r="I292" s="4">
        <f t="shared" si="4"/>
        <v>1</v>
      </c>
      <c r="K292" t="s">
        <v>640</v>
      </c>
    </row>
    <row r="293" spans="1:11">
      <c r="A293" t="s">
        <v>223</v>
      </c>
      <c r="B293">
        <v>9</v>
      </c>
      <c r="C293">
        <v>1</v>
      </c>
      <c r="D293">
        <v>4</v>
      </c>
      <c r="E293">
        <v>0</v>
      </c>
      <c r="F293">
        <v>1</v>
      </c>
      <c r="G293">
        <v>0</v>
      </c>
      <c r="H293">
        <v>46</v>
      </c>
      <c r="I293" s="4">
        <f t="shared" si="4"/>
        <v>8.6956521739130432E-2</v>
      </c>
      <c r="K293" t="s">
        <v>641</v>
      </c>
    </row>
    <row r="294" spans="1:11">
      <c r="A294" t="s">
        <v>223</v>
      </c>
      <c r="B294">
        <v>9</v>
      </c>
      <c r="C294">
        <v>2</v>
      </c>
      <c r="D294">
        <v>9</v>
      </c>
      <c r="E294">
        <v>0</v>
      </c>
      <c r="F294">
        <v>1</v>
      </c>
      <c r="G294">
        <v>0</v>
      </c>
      <c r="H294">
        <v>46</v>
      </c>
      <c r="I294" s="4">
        <f t="shared" si="4"/>
        <v>0.19565217391304349</v>
      </c>
      <c r="K294" t="s">
        <v>641</v>
      </c>
    </row>
    <row r="295" spans="1:11">
      <c r="A295" t="s">
        <v>223</v>
      </c>
      <c r="B295">
        <v>9</v>
      </c>
      <c r="C295">
        <v>3</v>
      </c>
      <c r="D295">
        <v>19</v>
      </c>
      <c r="E295">
        <v>0</v>
      </c>
      <c r="F295">
        <v>1</v>
      </c>
      <c r="G295">
        <v>0</v>
      </c>
      <c r="H295">
        <v>46</v>
      </c>
      <c r="I295" s="4">
        <f t="shared" si="4"/>
        <v>0.41304347826086957</v>
      </c>
      <c r="K295" t="s">
        <v>641</v>
      </c>
    </row>
    <row r="296" spans="1:11">
      <c r="A296" t="s">
        <v>223</v>
      </c>
      <c r="B296">
        <v>9</v>
      </c>
      <c r="C296">
        <v>4</v>
      </c>
      <c r="D296">
        <v>21</v>
      </c>
      <c r="E296">
        <v>0</v>
      </c>
      <c r="F296">
        <v>1</v>
      </c>
      <c r="G296">
        <v>0</v>
      </c>
      <c r="H296">
        <v>46</v>
      </c>
      <c r="I296" s="4">
        <f t="shared" si="4"/>
        <v>0.45652173913043476</v>
      </c>
      <c r="K296" t="s">
        <v>641</v>
      </c>
    </row>
    <row r="297" spans="1:11">
      <c r="A297" t="s">
        <v>223</v>
      </c>
      <c r="B297">
        <v>9</v>
      </c>
      <c r="C297">
        <v>5</v>
      </c>
      <c r="D297">
        <v>46</v>
      </c>
      <c r="E297">
        <v>0</v>
      </c>
      <c r="F297">
        <v>0</v>
      </c>
      <c r="G297">
        <v>0</v>
      </c>
      <c r="H297">
        <v>46</v>
      </c>
      <c r="I297" s="4">
        <f t="shared" si="4"/>
        <v>1</v>
      </c>
      <c r="K297" t="s">
        <v>641</v>
      </c>
    </row>
    <row r="298" spans="1:11">
      <c r="A298" t="s">
        <v>223</v>
      </c>
      <c r="B298">
        <v>10</v>
      </c>
      <c r="C298">
        <v>1</v>
      </c>
      <c r="D298">
        <v>1</v>
      </c>
      <c r="E298">
        <v>0</v>
      </c>
      <c r="F298">
        <v>1</v>
      </c>
      <c r="G298">
        <v>0</v>
      </c>
      <c r="H298">
        <v>30</v>
      </c>
      <c r="I298" s="4">
        <f t="shared" si="4"/>
        <v>3.3333333333333333E-2</v>
      </c>
      <c r="K298" t="s">
        <v>642</v>
      </c>
    </row>
    <row r="299" spans="1:11">
      <c r="A299" t="s">
        <v>223</v>
      </c>
      <c r="B299">
        <v>10</v>
      </c>
      <c r="C299">
        <v>2</v>
      </c>
      <c r="D299">
        <v>6</v>
      </c>
      <c r="E299">
        <v>0</v>
      </c>
      <c r="F299">
        <v>3</v>
      </c>
      <c r="G299">
        <v>0</v>
      </c>
      <c r="H299">
        <v>30</v>
      </c>
      <c r="I299" s="4">
        <f t="shared" si="4"/>
        <v>0.2</v>
      </c>
      <c r="K299" t="s">
        <v>642</v>
      </c>
    </row>
    <row r="300" spans="1:11">
      <c r="A300" t="s">
        <v>223</v>
      </c>
      <c r="B300">
        <v>10</v>
      </c>
      <c r="C300">
        <v>3</v>
      </c>
      <c r="D300">
        <v>12</v>
      </c>
      <c r="E300">
        <v>0</v>
      </c>
      <c r="F300">
        <v>4</v>
      </c>
      <c r="G300">
        <v>0</v>
      </c>
      <c r="H300">
        <v>30</v>
      </c>
      <c r="I300" s="4">
        <f t="shared" si="4"/>
        <v>0.4</v>
      </c>
      <c r="K300" t="s">
        <v>642</v>
      </c>
    </row>
    <row r="301" spans="1:11">
      <c r="A301" t="s">
        <v>223</v>
      </c>
      <c r="B301">
        <v>10</v>
      </c>
      <c r="C301">
        <v>4</v>
      </c>
      <c r="D301">
        <v>13</v>
      </c>
      <c r="E301">
        <v>0</v>
      </c>
      <c r="F301">
        <v>3</v>
      </c>
      <c r="G301">
        <v>0</v>
      </c>
      <c r="H301">
        <v>30</v>
      </c>
      <c r="I301" s="4">
        <f t="shared" si="4"/>
        <v>0.43333333333333335</v>
      </c>
      <c r="K301" t="s">
        <v>642</v>
      </c>
    </row>
    <row r="302" spans="1:11">
      <c r="A302" t="s">
        <v>223</v>
      </c>
      <c r="B302">
        <v>10</v>
      </c>
      <c r="C302">
        <v>5</v>
      </c>
      <c r="D302">
        <v>19</v>
      </c>
      <c r="E302">
        <v>0</v>
      </c>
      <c r="F302">
        <v>4</v>
      </c>
      <c r="G302">
        <v>0</v>
      </c>
      <c r="H302">
        <v>30</v>
      </c>
      <c r="I302" s="4">
        <f t="shared" si="4"/>
        <v>0.6333333333333333</v>
      </c>
      <c r="K302" t="s">
        <v>642</v>
      </c>
    </row>
    <row r="303" spans="1:11">
      <c r="A303" t="s">
        <v>223</v>
      </c>
      <c r="B303">
        <v>10</v>
      </c>
      <c r="C303">
        <v>6</v>
      </c>
      <c r="D303">
        <v>20</v>
      </c>
      <c r="E303">
        <v>0</v>
      </c>
      <c r="F303">
        <v>3</v>
      </c>
      <c r="G303">
        <v>0</v>
      </c>
      <c r="H303">
        <v>30</v>
      </c>
      <c r="I303" s="4">
        <f t="shared" si="4"/>
        <v>0.66666666666666663</v>
      </c>
      <c r="K303" t="s">
        <v>642</v>
      </c>
    </row>
    <row r="304" spans="1:11">
      <c r="A304" t="s">
        <v>223</v>
      </c>
      <c r="B304">
        <v>10</v>
      </c>
      <c r="C304">
        <v>7</v>
      </c>
      <c r="D304">
        <v>20</v>
      </c>
      <c r="E304">
        <v>0</v>
      </c>
      <c r="F304">
        <v>3</v>
      </c>
      <c r="G304">
        <v>0</v>
      </c>
      <c r="H304">
        <v>30</v>
      </c>
      <c r="I304" s="4">
        <f t="shared" si="4"/>
        <v>0.66666666666666663</v>
      </c>
      <c r="K304" t="s">
        <v>642</v>
      </c>
    </row>
    <row r="305" spans="1:11">
      <c r="A305" t="s">
        <v>223</v>
      </c>
      <c r="B305">
        <v>10</v>
      </c>
      <c r="C305">
        <v>8</v>
      </c>
      <c r="D305">
        <v>24</v>
      </c>
      <c r="E305">
        <v>0</v>
      </c>
      <c r="F305">
        <v>3</v>
      </c>
      <c r="G305">
        <v>0</v>
      </c>
      <c r="H305">
        <v>30</v>
      </c>
      <c r="I305" s="4">
        <f t="shared" si="4"/>
        <v>0.8</v>
      </c>
      <c r="K305" t="s">
        <v>642</v>
      </c>
    </row>
    <row r="306" spans="1:11">
      <c r="A306" t="s">
        <v>223</v>
      </c>
      <c r="B306">
        <v>10</v>
      </c>
      <c r="C306">
        <v>9</v>
      </c>
      <c r="D306">
        <v>24</v>
      </c>
      <c r="E306">
        <v>0</v>
      </c>
      <c r="F306">
        <v>3</v>
      </c>
      <c r="G306">
        <v>0</v>
      </c>
      <c r="H306">
        <v>30</v>
      </c>
      <c r="I306" s="4">
        <f t="shared" si="4"/>
        <v>0.8</v>
      </c>
      <c r="K306" t="s">
        <v>642</v>
      </c>
    </row>
    <row r="307" spans="1:11">
      <c r="A307" t="s">
        <v>223</v>
      </c>
      <c r="B307">
        <v>10</v>
      </c>
      <c r="C307">
        <v>10</v>
      </c>
      <c r="D307">
        <v>24</v>
      </c>
      <c r="E307">
        <v>0</v>
      </c>
      <c r="F307">
        <v>3</v>
      </c>
      <c r="G307">
        <v>0</v>
      </c>
      <c r="H307">
        <v>30</v>
      </c>
      <c r="I307" s="4">
        <f t="shared" si="4"/>
        <v>0.8</v>
      </c>
      <c r="K307" t="s">
        <v>642</v>
      </c>
    </row>
    <row r="308" spans="1:11">
      <c r="A308" t="s">
        <v>223</v>
      </c>
      <c r="B308">
        <v>10</v>
      </c>
      <c r="C308">
        <v>11</v>
      </c>
      <c r="D308">
        <v>28</v>
      </c>
      <c r="E308">
        <v>0</v>
      </c>
      <c r="F308">
        <v>2</v>
      </c>
      <c r="G308">
        <v>0</v>
      </c>
      <c r="H308">
        <v>30</v>
      </c>
      <c r="I308" s="4">
        <f t="shared" si="4"/>
        <v>0.93333333333333335</v>
      </c>
      <c r="K308" t="s">
        <v>642</v>
      </c>
    </row>
    <row r="309" spans="1:11">
      <c r="A309" t="s">
        <v>223</v>
      </c>
      <c r="B309">
        <v>10</v>
      </c>
      <c r="C309">
        <v>12</v>
      </c>
      <c r="D309">
        <v>29</v>
      </c>
      <c r="E309">
        <v>0</v>
      </c>
      <c r="F309">
        <v>1</v>
      </c>
      <c r="G309">
        <v>0</v>
      </c>
      <c r="H309">
        <v>30</v>
      </c>
      <c r="I309" s="4">
        <f t="shared" si="4"/>
        <v>0.96666666666666667</v>
      </c>
      <c r="K309" t="s">
        <v>642</v>
      </c>
    </row>
    <row r="310" spans="1:11">
      <c r="A310" t="s">
        <v>223</v>
      </c>
      <c r="B310">
        <v>10</v>
      </c>
      <c r="C310">
        <v>13</v>
      </c>
      <c r="D310">
        <v>30</v>
      </c>
      <c r="E310">
        <v>0</v>
      </c>
      <c r="F310">
        <v>0</v>
      </c>
      <c r="G310">
        <v>0</v>
      </c>
      <c r="H310">
        <v>30</v>
      </c>
      <c r="I310" s="4">
        <f t="shared" si="4"/>
        <v>1</v>
      </c>
      <c r="K310" t="s">
        <v>642</v>
      </c>
    </row>
    <row r="311" spans="1:11">
      <c r="A311" t="s">
        <v>223</v>
      </c>
      <c r="B311">
        <v>10</v>
      </c>
      <c r="C311">
        <v>14</v>
      </c>
      <c r="D311">
        <v>30</v>
      </c>
      <c r="E311">
        <v>0</v>
      </c>
      <c r="F311">
        <v>0</v>
      </c>
      <c r="G311">
        <v>0</v>
      </c>
      <c r="H311">
        <v>30</v>
      </c>
      <c r="I311" s="4">
        <f t="shared" si="4"/>
        <v>1</v>
      </c>
      <c r="K311" t="s">
        <v>642</v>
      </c>
    </row>
    <row r="312" spans="1:11">
      <c r="A312" t="s">
        <v>223</v>
      </c>
      <c r="B312">
        <v>10</v>
      </c>
      <c r="C312">
        <v>15</v>
      </c>
      <c r="D312">
        <v>30</v>
      </c>
      <c r="E312">
        <v>0</v>
      </c>
      <c r="F312">
        <v>0</v>
      </c>
      <c r="G312">
        <v>0</v>
      </c>
      <c r="H312">
        <v>30</v>
      </c>
      <c r="I312" s="4">
        <f t="shared" si="4"/>
        <v>1</v>
      </c>
      <c r="K312" t="s">
        <v>642</v>
      </c>
    </row>
    <row r="313" spans="1:11">
      <c r="A313" t="s">
        <v>223</v>
      </c>
      <c r="B313">
        <v>10</v>
      </c>
      <c r="C313">
        <v>16</v>
      </c>
      <c r="D313">
        <v>30</v>
      </c>
      <c r="E313">
        <v>0</v>
      </c>
      <c r="F313">
        <v>0</v>
      </c>
      <c r="G313">
        <v>0</v>
      </c>
      <c r="H313">
        <v>30</v>
      </c>
      <c r="I313" s="4">
        <f t="shared" si="4"/>
        <v>1</v>
      </c>
      <c r="K313" t="s">
        <v>642</v>
      </c>
    </row>
    <row r="314" spans="1:11">
      <c r="A314" t="s">
        <v>223</v>
      </c>
      <c r="B314">
        <v>10</v>
      </c>
      <c r="C314">
        <v>17</v>
      </c>
      <c r="D314">
        <v>30</v>
      </c>
      <c r="E314">
        <v>0</v>
      </c>
      <c r="F314">
        <v>0</v>
      </c>
      <c r="G314">
        <v>0</v>
      </c>
      <c r="H314">
        <v>30</v>
      </c>
      <c r="I314" s="4">
        <f t="shared" si="4"/>
        <v>1</v>
      </c>
      <c r="K314" t="s">
        <v>642</v>
      </c>
    </row>
    <row r="315" spans="1:11">
      <c r="A315" t="s">
        <v>223</v>
      </c>
      <c r="B315">
        <v>10</v>
      </c>
      <c r="C315">
        <v>18</v>
      </c>
      <c r="D315">
        <v>30</v>
      </c>
      <c r="E315">
        <v>0</v>
      </c>
      <c r="F315">
        <v>0</v>
      </c>
      <c r="G315">
        <v>0</v>
      </c>
      <c r="H315">
        <v>30</v>
      </c>
      <c r="I315" s="4">
        <f t="shared" si="4"/>
        <v>1</v>
      </c>
      <c r="K315" t="s">
        <v>642</v>
      </c>
    </row>
    <row r="316" spans="1:11">
      <c r="A316" t="s">
        <v>223</v>
      </c>
      <c r="B316">
        <v>10</v>
      </c>
      <c r="C316">
        <v>19</v>
      </c>
      <c r="D316">
        <v>30</v>
      </c>
      <c r="E316">
        <v>0</v>
      </c>
      <c r="F316">
        <v>0</v>
      </c>
      <c r="G316">
        <v>0</v>
      </c>
      <c r="H316">
        <v>30</v>
      </c>
      <c r="I316" s="4">
        <f t="shared" si="4"/>
        <v>1</v>
      </c>
      <c r="K316" t="s">
        <v>642</v>
      </c>
    </row>
    <row r="317" spans="1:11">
      <c r="A317" t="s">
        <v>223</v>
      </c>
      <c r="B317">
        <v>10</v>
      </c>
      <c r="C317">
        <v>20</v>
      </c>
      <c r="D317">
        <v>30</v>
      </c>
      <c r="E317">
        <v>0</v>
      </c>
      <c r="F317">
        <v>0</v>
      </c>
      <c r="G317">
        <v>0</v>
      </c>
      <c r="H317">
        <v>30</v>
      </c>
      <c r="I317" s="4">
        <f t="shared" si="4"/>
        <v>1</v>
      </c>
      <c r="K317" t="s">
        <v>642</v>
      </c>
    </row>
    <row r="318" spans="1:11">
      <c r="A318" t="s">
        <v>223</v>
      </c>
      <c r="B318">
        <v>10</v>
      </c>
      <c r="C318">
        <v>21</v>
      </c>
      <c r="D318">
        <v>30</v>
      </c>
      <c r="E318">
        <v>0</v>
      </c>
      <c r="F318">
        <v>0</v>
      </c>
      <c r="G318">
        <v>0</v>
      </c>
      <c r="H318">
        <v>30</v>
      </c>
      <c r="I318" s="4">
        <f t="shared" si="4"/>
        <v>1</v>
      </c>
      <c r="K318" t="s">
        <v>642</v>
      </c>
    </row>
    <row r="319" spans="1:11">
      <c r="A319" t="s">
        <v>223</v>
      </c>
      <c r="B319">
        <v>10</v>
      </c>
      <c r="C319">
        <v>22</v>
      </c>
      <c r="D319">
        <v>30</v>
      </c>
      <c r="E319">
        <v>0</v>
      </c>
      <c r="F319">
        <v>0</v>
      </c>
      <c r="G319">
        <v>0</v>
      </c>
      <c r="H319">
        <v>30</v>
      </c>
      <c r="I319" s="4">
        <f t="shared" si="4"/>
        <v>1</v>
      </c>
      <c r="K319" t="s">
        <v>642</v>
      </c>
    </row>
    <row r="320" spans="1:11">
      <c r="A320" t="s">
        <v>223</v>
      </c>
      <c r="B320">
        <v>10</v>
      </c>
      <c r="C320">
        <v>23</v>
      </c>
      <c r="D320">
        <v>30</v>
      </c>
      <c r="E320">
        <v>0</v>
      </c>
      <c r="F320">
        <v>0</v>
      </c>
      <c r="G320">
        <v>0</v>
      </c>
      <c r="H320">
        <v>30</v>
      </c>
      <c r="I320" s="4">
        <f t="shared" si="4"/>
        <v>1</v>
      </c>
      <c r="K320" t="s">
        <v>642</v>
      </c>
    </row>
    <row r="321" spans="1:11">
      <c r="A321" t="s">
        <v>223</v>
      </c>
      <c r="B321">
        <v>10</v>
      </c>
      <c r="C321">
        <v>24</v>
      </c>
      <c r="D321">
        <v>30</v>
      </c>
      <c r="E321">
        <v>0</v>
      </c>
      <c r="F321">
        <v>0</v>
      </c>
      <c r="G321">
        <v>0</v>
      </c>
      <c r="H321">
        <v>30</v>
      </c>
      <c r="I321" s="4">
        <f t="shared" si="4"/>
        <v>1</v>
      </c>
      <c r="K321" t="s">
        <v>642</v>
      </c>
    </row>
    <row r="322" spans="1:11">
      <c r="A322" t="s">
        <v>223</v>
      </c>
      <c r="B322">
        <v>10</v>
      </c>
      <c r="C322">
        <v>25</v>
      </c>
      <c r="D322">
        <v>30</v>
      </c>
      <c r="E322">
        <v>0</v>
      </c>
      <c r="F322">
        <v>0</v>
      </c>
      <c r="G322">
        <v>0</v>
      </c>
      <c r="H322">
        <v>30</v>
      </c>
      <c r="I322" s="4">
        <f t="shared" si="4"/>
        <v>1</v>
      </c>
      <c r="K322" t="s">
        <v>642</v>
      </c>
    </row>
    <row r="323" spans="1:11">
      <c r="A323" t="s">
        <v>223</v>
      </c>
      <c r="B323">
        <v>10</v>
      </c>
      <c r="C323">
        <v>26</v>
      </c>
      <c r="D323">
        <v>30</v>
      </c>
      <c r="E323">
        <v>0</v>
      </c>
      <c r="F323">
        <v>0</v>
      </c>
      <c r="G323">
        <v>0</v>
      </c>
      <c r="H323">
        <v>30</v>
      </c>
      <c r="I323" s="4">
        <f t="shared" ref="I323:I386" si="5">D323/H323</f>
        <v>1</v>
      </c>
      <c r="K323" t="s">
        <v>642</v>
      </c>
    </row>
    <row r="324" spans="1:11">
      <c r="A324" t="s">
        <v>223</v>
      </c>
      <c r="B324">
        <v>10</v>
      </c>
      <c r="C324">
        <v>27</v>
      </c>
      <c r="D324">
        <v>30</v>
      </c>
      <c r="E324">
        <v>0</v>
      </c>
      <c r="F324">
        <v>0</v>
      </c>
      <c r="G324">
        <v>0</v>
      </c>
      <c r="H324">
        <v>30</v>
      </c>
      <c r="I324" s="4">
        <f t="shared" si="5"/>
        <v>1</v>
      </c>
      <c r="K324" t="s">
        <v>642</v>
      </c>
    </row>
    <row r="325" spans="1:11">
      <c r="A325" t="s">
        <v>223</v>
      </c>
      <c r="B325">
        <v>10</v>
      </c>
      <c r="C325">
        <v>28</v>
      </c>
      <c r="D325">
        <v>30</v>
      </c>
      <c r="E325">
        <v>0</v>
      </c>
      <c r="F325">
        <v>0</v>
      </c>
      <c r="G325">
        <v>0</v>
      </c>
      <c r="H325">
        <v>30</v>
      </c>
      <c r="I325" s="4">
        <f t="shared" si="5"/>
        <v>1</v>
      </c>
      <c r="K325" t="s">
        <v>642</v>
      </c>
    </row>
    <row r="326" spans="1:11">
      <c r="A326" t="s">
        <v>223</v>
      </c>
      <c r="B326">
        <v>10</v>
      </c>
      <c r="C326">
        <v>29</v>
      </c>
      <c r="D326">
        <v>30</v>
      </c>
      <c r="E326">
        <v>0</v>
      </c>
      <c r="F326">
        <v>0</v>
      </c>
      <c r="G326">
        <v>0</v>
      </c>
      <c r="H326">
        <v>30</v>
      </c>
      <c r="I326" s="4">
        <f t="shared" si="5"/>
        <v>1</v>
      </c>
      <c r="K326" t="s">
        <v>642</v>
      </c>
    </row>
    <row r="327" spans="1:11">
      <c r="A327" t="s">
        <v>223</v>
      </c>
      <c r="B327">
        <v>10</v>
      </c>
      <c r="C327">
        <v>30</v>
      </c>
      <c r="D327">
        <v>30</v>
      </c>
      <c r="E327">
        <v>0</v>
      </c>
      <c r="F327">
        <v>0</v>
      </c>
      <c r="G327">
        <v>0</v>
      </c>
      <c r="H327">
        <v>30</v>
      </c>
      <c r="I327" s="4">
        <f t="shared" si="5"/>
        <v>1</v>
      </c>
      <c r="K327" t="s">
        <v>642</v>
      </c>
    </row>
    <row r="328" spans="1:11">
      <c r="A328" t="s">
        <v>223</v>
      </c>
      <c r="B328">
        <v>10</v>
      </c>
      <c r="C328">
        <v>31</v>
      </c>
      <c r="D328">
        <v>30</v>
      </c>
      <c r="E328">
        <v>0</v>
      </c>
      <c r="F328">
        <v>0</v>
      </c>
      <c r="G328">
        <v>0</v>
      </c>
      <c r="H328">
        <v>30</v>
      </c>
      <c r="I328" s="4">
        <f t="shared" si="5"/>
        <v>1</v>
      </c>
      <c r="K328" t="s">
        <v>642</v>
      </c>
    </row>
    <row r="329" spans="1:11">
      <c r="A329" t="s">
        <v>223</v>
      </c>
      <c r="B329">
        <v>10</v>
      </c>
      <c r="C329">
        <v>32</v>
      </c>
      <c r="D329">
        <v>30</v>
      </c>
      <c r="E329">
        <v>0</v>
      </c>
      <c r="F329">
        <v>0</v>
      </c>
      <c r="G329">
        <v>0</v>
      </c>
      <c r="H329">
        <v>30</v>
      </c>
      <c r="I329" s="4">
        <f t="shared" si="5"/>
        <v>1</v>
      </c>
      <c r="K329" t="s">
        <v>642</v>
      </c>
    </row>
    <row r="330" spans="1:11">
      <c r="A330" t="s">
        <v>224</v>
      </c>
      <c r="B330">
        <v>3</v>
      </c>
      <c r="C330">
        <v>1</v>
      </c>
      <c r="D330">
        <v>130</v>
      </c>
      <c r="E330">
        <v>0</v>
      </c>
      <c r="F330">
        <v>3</v>
      </c>
      <c r="G330">
        <v>0</v>
      </c>
      <c r="H330">
        <v>139</v>
      </c>
      <c r="I330" s="4">
        <f t="shared" si="5"/>
        <v>0.93525179856115104</v>
      </c>
      <c r="K330" t="s">
        <v>643</v>
      </c>
    </row>
    <row r="331" spans="1:11">
      <c r="A331" t="s">
        <v>224</v>
      </c>
      <c r="B331">
        <v>3</v>
      </c>
      <c r="C331">
        <v>2</v>
      </c>
      <c r="D331">
        <v>139</v>
      </c>
      <c r="E331">
        <v>0</v>
      </c>
      <c r="F331">
        <v>0</v>
      </c>
      <c r="G331">
        <v>0</v>
      </c>
      <c r="H331">
        <v>139</v>
      </c>
      <c r="I331" s="4">
        <f t="shared" si="5"/>
        <v>1</v>
      </c>
      <c r="K331" t="s">
        <v>643</v>
      </c>
    </row>
    <row r="332" spans="1:11">
      <c r="A332" t="s">
        <v>225</v>
      </c>
      <c r="B332">
        <v>2</v>
      </c>
      <c r="C332">
        <v>1</v>
      </c>
      <c r="D332">
        <v>18</v>
      </c>
      <c r="E332">
        <v>0</v>
      </c>
      <c r="F332">
        <v>4</v>
      </c>
      <c r="G332">
        <v>0</v>
      </c>
      <c r="H332">
        <v>112</v>
      </c>
      <c r="I332" s="4">
        <f t="shared" si="5"/>
        <v>0.16071428571428573</v>
      </c>
      <c r="K332" t="s">
        <v>644</v>
      </c>
    </row>
    <row r="333" spans="1:11">
      <c r="A333" t="s">
        <v>225</v>
      </c>
      <c r="B333">
        <v>2</v>
      </c>
      <c r="C333">
        <v>2</v>
      </c>
      <c r="D333">
        <v>26</v>
      </c>
      <c r="E333">
        <v>0</v>
      </c>
      <c r="F333">
        <v>8</v>
      </c>
      <c r="G333">
        <v>0</v>
      </c>
      <c r="H333">
        <v>112</v>
      </c>
      <c r="I333" s="4">
        <f t="shared" si="5"/>
        <v>0.23214285714285715</v>
      </c>
      <c r="K333" t="s">
        <v>644</v>
      </c>
    </row>
    <row r="334" spans="1:11">
      <c r="A334" t="s">
        <v>225</v>
      </c>
      <c r="B334">
        <v>2</v>
      </c>
      <c r="C334">
        <v>3</v>
      </c>
      <c r="D334">
        <v>39</v>
      </c>
      <c r="E334">
        <v>0</v>
      </c>
      <c r="F334">
        <v>6</v>
      </c>
      <c r="G334">
        <v>0</v>
      </c>
      <c r="H334">
        <v>112</v>
      </c>
      <c r="I334" s="4">
        <f t="shared" si="5"/>
        <v>0.3482142857142857</v>
      </c>
      <c r="K334" t="s">
        <v>644</v>
      </c>
    </row>
    <row r="335" spans="1:11">
      <c r="A335" t="s">
        <v>225</v>
      </c>
      <c r="B335">
        <v>2</v>
      </c>
      <c r="C335">
        <v>4</v>
      </c>
      <c r="D335">
        <v>50</v>
      </c>
      <c r="E335">
        <v>0</v>
      </c>
      <c r="F335">
        <v>4</v>
      </c>
      <c r="G335">
        <v>0</v>
      </c>
      <c r="H335">
        <v>112</v>
      </c>
      <c r="I335" s="4">
        <f t="shared" si="5"/>
        <v>0.44642857142857145</v>
      </c>
      <c r="K335" t="s">
        <v>644</v>
      </c>
    </row>
    <row r="336" spans="1:11">
      <c r="A336" t="s">
        <v>225</v>
      </c>
      <c r="B336">
        <v>2</v>
      </c>
      <c r="C336">
        <v>5</v>
      </c>
      <c r="D336">
        <v>62</v>
      </c>
      <c r="E336">
        <v>0</v>
      </c>
      <c r="F336">
        <v>4</v>
      </c>
      <c r="G336">
        <v>0</v>
      </c>
      <c r="H336">
        <v>112</v>
      </c>
      <c r="I336" s="4">
        <f t="shared" si="5"/>
        <v>0.5535714285714286</v>
      </c>
      <c r="K336" t="s">
        <v>644</v>
      </c>
    </row>
    <row r="337" spans="1:11">
      <c r="A337" t="s">
        <v>225</v>
      </c>
      <c r="B337">
        <v>2</v>
      </c>
      <c r="C337">
        <v>6</v>
      </c>
      <c r="D337">
        <v>72</v>
      </c>
      <c r="E337">
        <v>0</v>
      </c>
      <c r="F337">
        <v>1</v>
      </c>
      <c r="G337">
        <v>0</v>
      </c>
      <c r="H337">
        <v>112</v>
      </c>
      <c r="I337" s="4">
        <f t="shared" si="5"/>
        <v>0.6428571428571429</v>
      </c>
      <c r="K337" t="s">
        <v>644</v>
      </c>
    </row>
    <row r="338" spans="1:11">
      <c r="A338" t="s">
        <v>225</v>
      </c>
      <c r="B338">
        <v>2</v>
      </c>
      <c r="C338">
        <v>7</v>
      </c>
      <c r="D338">
        <v>72</v>
      </c>
      <c r="E338">
        <v>0</v>
      </c>
      <c r="F338">
        <v>1</v>
      </c>
      <c r="G338">
        <v>0</v>
      </c>
      <c r="H338">
        <v>112</v>
      </c>
      <c r="I338" s="4">
        <f t="shared" si="5"/>
        <v>0.6428571428571429</v>
      </c>
      <c r="K338" t="s">
        <v>644</v>
      </c>
    </row>
    <row r="339" spans="1:11">
      <c r="A339" t="s">
        <v>225</v>
      </c>
      <c r="B339">
        <v>2</v>
      </c>
      <c r="C339">
        <v>8</v>
      </c>
      <c r="D339">
        <v>72</v>
      </c>
      <c r="E339">
        <v>0</v>
      </c>
      <c r="F339">
        <v>1</v>
      </c>
      <c r="G339">
        <v>0</v>
      </c>
      <c r="H339">
        <v>112</v>
      </c>
      <c r="I339" s="4">
        <f t="shared" si="5"/>
        <v>0.6428571428571429</v>
      </c>
      <c r="K339" t="s">
        <v>644</v>
      </c>
    </row>
    <row r="340" spans="1:11">
      <c r="A340" t="s">
        <v>225</v>
      </c>
      <c r="B340">
        <v>2</v>
      </c>
      <c r="C340">
        <v>9</v>
      </c>
      <c r="D340">
        <v>89</v>
      </c>
      <c r="E340">
        <v>0</v>
      </c>
      <c r="F340">
        <v>1</v>
      </c>
      <c r="G340">
        <v>0</v>
      </c>
      <c r="H340">
        <v>112</v>
      </c>
      <c r="I340" s="4">
        <f t="shared" si="5"/>
        <v>0.7946428571428571</v>
      </c>
      <c r="K340" t="s">
        <v>644</v>
      </c>
    </row>
    <row r="341" spans="1:11">
      <c r="A341" t="s">
        <v>225</v>
      </c>
      <c r="B341">
        <v>2</v>
      </c>
      <c r="C341">
        <v>10</v>
      </c>
      <c r="D341">
        <v>89</v>
      </c>
      <c r="E341">
        <v>0</v>
      </c>
      <c r="F341">
        <v>1</v>
      </c>
      <c r="G341">
        <v>0</v>
      </c>
      <c r="H341">
        <v>112</v>
      </c>
      <c r="I341" s="4">
        <f t="shared" si="5"/>
        <v>0.7946428571428571</v>
      </c>
      <c r="K341" t="s">
        <v>644</v>
      </c>
    </row>
    <row r="342" spans="1:11">
      <c r="A342" t="s">
        <v>225</v>
      </c>
      <c r="B342">
        <v>2</v>
      </c>
      <c r="C342">
        <v>11</v>
      </c>
      <c r="D342">
        <v>89</v>
      </c>
      <c r="E342">
        <v>0</v>
      </c>
      <c r="F342">
        <v>1</v>
      </c>
      <c r="G342">
        <v>0</v>
      </c>
      <c r="H342">
        <v>112</v>
      </c>
      <c r="I342" s="4">
        <f t="shared" si="5"/>
        <v>0.7946428571428571</v>
      </c>
      <c r="K342" t="s">
        <v>644</v>
      </c>
    </row>
    <row r="343" spans="1:11">
      <c r="A343" t="s">
        <v>225</v>
      </c>
      <c r="B343">
        <v>2</v>
      </c>
      <c r="C343">
        <v>12</v>
      </c>
      <c r="D343">
        <v>112</v>
      </c>
      <c r="E343">
        <v>0</v>
      </c>
      <c r="F343">
        <v>0</v>
      </c>
      <c r="G343">
        <v>0</v>
      </c>
      <c r="H343">
        <v>112</v>
      </c>
      <c r="I343" s="4">
        <f t="shared" si="5"/>
        <v>1</v>
      </c>
      <c r="K343" t="s">
        <v>644</v>
      </c>
    </row>
    <row r="344" spans="1:11">
      <c r="A344" t="s">
        <v>225</v>
      </c>
      <c r="B344">
        <v>2</v>
      </c>
      <c r="C344">
        <v>13</v>
      </c>
      <c r="D344">
        <v>112</v>
      </c>
      <c r="E344">
        <v>0</v>
      </c>
      <c r="F344">
        <v>0</v>
      </c>
      <c r="G344">
        <v>0</v>
      </c>
      <c r="H344">
        <v>112</v>
      </c>
      <c r="I344" s="4">
        <f t="shared" si="5"/>
        <v>1</v>
      </c>
      <c r="K344" t="s">
        <v>644</v>
      </c>
    </row>
    <row r="345" spans="1:11">
      <c r="A345" t="s">
        <v>225</v>
      </c>
      <c r="B345">
        <v>2</v>
      </c>
      <c r="C345">
        <v>14</v>
      </c>
      <c r="D345">
        <v>112</v>
      </c>
      <c r="E345">
        <v>0</v>
      </c>
      <c r="F345">
        <v>0</v>
      </c>
      <c r="G345">
        <v>0</v>
      </c>
      <c r="H345">
        <v>112</v>
      </c>
      <c r="I345" s="4">
        <f t="shared" si="5"/>
        <v>1</v>
      </c>
      <c r="K345" t="s">
        <v>644</v>
      </c>
    </row>
    <row r="346" spans="1:11">
      <c r="A346" t="s">
        <v>225</v>
      </c>
      <c r="B346">
        <v>3</v>
      </c>
      <c r="C346">
        <v>1</v>
      </c>
      <c r="D346">
        <v>19</v>
      </c>
      <c r="E346">
        <v>0</v>
      </c>
      <c r="F346">
        <v>1</v>
      </c>
      <c r="G346">
        <v>0</v>
      </c>
      <c r="H346">
        <v>175</v>
      </c>
      <c r="I346" s="4">
        <f t="shared" si="5"/>
        <v>0.10857142857142857</v>
      </c>
      <c r="K346" t="s">
        <v>645</v>
      </c>
    </row>
    <row r="347" spans="1:11">
      <c r="A347" t="s">
        <v>225</v>
      </c>
      <c r="B347">
        <v>3</v>
      </c>
      <c r="C347">
        <v>2</v>
      </c>
      <c r="D347">
        <v>28</v>
      </c>
      <c r="E347">
        <v>0</v>
      </c>
      <c r="F347">
        <v>7</v>
      </c>
      <c r="G347">
        <v>0</v>
      </c>
      <c r="H347">
        <v>175</v>
      </c>
      <c r="I347" s="4">
        <f t="shared" si="5"/>
        <v>0.16</v>
      </c>
      <c r="K347" t="s">
        <v>645</v>
      </c>
    </row>
    <row r="348" spans="1:11">
      <c r="A348" t="s">
        <v>225</v>
      </c>
      <c r="B348">
        <v>3</v>
      </c>
      <c r="C348">
        <v>3</v>
      </c>
      <c r="D348">
        <v>63</v>
      </c>
      <c r="E348">
        <v>0</v>
      </c>
      <c r="F348">
        <v>5</v>
      </c>
      <c r="G348">
        <v>0</v>
      </c>
      <c r="H348">
        <v>175</v>
      </c>
      <c r="I348" s="4">
        <f t="shared" si="5"/>
        <v>0.36</v>
      </c>
      <c r="K348" t="s">
        <v>645</v>
      </c>
    </row>
    <row r="349" spans="1:11">
      <c r="A349" t="s">
        <v>225</v>
      </c>
      <c r="B349">
        <v>3</v>
      </c>
      <c r="C349">
        <v>4</v>
      </c>
      <c r="D349">
        <v>98</v>
      </c>
      <c r="E349">
        <v>0</v>
      </c>
      <c r="F349">
        <v>3</v>
      </c>
      <c r="G349">
        <v>0</v>
      </c>
      <c r="H349">
        <v>175</v>
      </c>
      <c r="I349" s="4">
        <f t="shared" si="5"/>
        <v>0.56000000000000005</v>
      </c>
      <c r="K349" t="s">
        <v>645</v>
      </c>
    </row>
    <row r="350" spans="1:11">
      <c r="A350" t="s">
        <v>225</v>
      </c>
      <c r="B350">
        <v>3</v>
      </c>
      <c r="C350">
        <v>5</v>
      </c>
      <c r="D350">
        <v>155</v>
      </c>
      <c r="E350">
        <v>0</v>
      </c>
      <c r="F350">
        <v>1</v>
      </c>
      <c r="G350">
        <v>0</v>
      </c>
      <c r="H350">
        <v>175</v>
      </c>
      <c r="I350" s="4">
        <f t="shared" si="5"/>
        <v>0.88571428571428568</v>
      </c>
      <c r="K350" t="s">
        <v>645</v>
      </c>
    </row>
    <row r="351" spans="1:11">
      <c r="A351" t="s">
        <v>225</v>
      </c>
      <c r="B351">
        <v>3</v>
      </c>
      <c r="C351">
        <v>6</v>
      </c>
      <c r="D351">
        <v>175</v>
      </c>
      <c r="E351">
        <v>0</v>
      </c>
      <c r="F351">
        <v>0</v>
      </c>
      <c r="G351">
        <v>0</v>
      </c>
      <c r="H351">
        <v>175</v>
      </c>
      <c r="I351" s="4">
        <f t="shared" si="5"/>
        <v>1</v>
      </c>
      <c r="K351" t="s">
        <v>645</v>
      </c>
    </row>
    <row r="352" spans="1:11">
      <c r="A352" t="s">
        <v>225</v>
      </c>
      <c r="B352">
        <v>4</v>
      </c>
      <c r="C352">
        <v>1</v>
      </c>
      <c r="D352">
        <v>19</v>
      </c>
      <c r="E352">
        <v>0</v>
      </c>
      <c r="F352">
        <v>1</v>
      </c>
      <c r="G352">
        <v>0</v>
      </c>
      <c r="H352">
        <v>272</v>
      </c>
      <c r="I352" s="4">
        <f t="shared" si="5"/>
        <v>6.985294117647059E-2</v>
      </c>
      <c r="K352" t="s">
        <v>646</v>
      </c>
    </row>
    <row r="353" spans="1:11">
      <c r="A353" t="s">
        <v>225</v>
      </c>
      <c r="B353">
        <v>4</v>
      </c>
      <c r="C353">
        <v>2</v>
      </c>
      <c r="D353">
        <v>31</v>
      </c>
      <c r="E353">
        <v>0</v>
      </c>
      <c r="F353">
        <v>13</v>
      </c>
      <c r="G353">
        <v>0</v>
      </c>
      <c r="H353">
        <v>272</v>
      </c>
      <c r="I353" s="4">
        <f t="shared" si="5"/>
        <v>0.11397058823529412</v>
      </c>
      <c r="K353" t="s">
        <v>646</v>
      </c>
    </row>
    <row r="354" spans="1:11">
      <c r="A354" t="s">
        <v>225</v>
      </c>
      <c r="B354">
        <v>4</v>
      </c>
      <c r="C354">
        <v>3</v>
      </c>
      <c r="D354">
        <v>66</v>
      </c>
      <c r="E354">
        <v>0</v>
      </c>
      <c r="F354">
        <v>11</v>
      </c>
      <c r="G354">
        <v>0</v>
      </c>
      <c r="H354">
        <v>272</v>
      </c>
      <c r="I354" s="4">
        <f t="shared" si="5"/>
        <v>0.24264705882352941</v>
      </c>
      <c r="K354" t="s">
        <v>646</v>
      </c>
    </row>
    <row r="355" spans="1:11">
      <c r="A355" t="s">
        <v>225</v>
      </c>
      <c r="B355">
        <v>4</v>
      </c>
      <c r="C355">
        <v>4</v>
      </c>
      <c r="D355">
        <v>101</v>
      </c>
      <c r="E355">
        <v>0</v>
      </c>
      <c r="F355">
        <v>9</v>
      </c>
      <c r="G355">
        <v>0</v>
      </c>
      <c r="H355">
        <v>272</v>
      </c>
      <c r="I355" s="4">
        <f t="shared" si="5"/>
        <v>0.37132352941176472</v>
      </c>
      <c r="K355" t="s">
        <v>646</v>
      </c>
    </row>
    <row r="356" spans="1:11">
      <c r="A356" t="s">
        <v>225</v>
      </c>
      <c r="B356">
        <v>4</v>
      </c>
      <c r="C356">
        <v>5</v>
      </c>
      <c r="D356">
        <v>154</v>
      </c>
      <c r="E356">
        <v>0</v>
      </c>
      <c r="F356">
        <v>7</v>
      </c>
      <c r="G356">
        <v>0</v>
      </c>
      <c r="H356">
        <v>272</v>
      </c>
      <c r="I356" s="4">
        <f t="shared" si="5"/>
        <v>0.56617647058823528</v>
      </c>
      <c r="K356" t="s">
        <v>646</v>
      </c>
    </row>
    <row r="357" spans="1:11">
      <c r="A357" t="s">
        <v>225</v>
      </c>
      <c r="B357">
        <v>4</v>
      </c>
      <c r="C357">
        <v>6</v>
      </c>
      <c r="D357">
        <v>175</v>
      </c>
      <c r="E357">
        <v>0</v>
      </c>
      <c r="F357">
        <v>5</v>
      </c>
      <c r="G357">
        <v>0</v>
      </c>
      <c r="H357">
        <v>272</v>
      </c>
      <c r="I357" s="4">
        <f t="shared" si="5"/>
        <v>0.64338235294117652</v>
      </c>
      <c r="K357" t="s">
        <v>646</v>
      </c>
    </row>
    <row r="358" spans="1:11">
      <c r="A358" t="s">
        <v>225</v>
      </c>
      <c r="B358">
        <v>4</v>
      </c>
      <c r="C358">
        <v>7</v>
      </c>
      <c r="D358">
        <v>202</v>
      </c>
      <c r="E358">
        <v>0</v>
      </c>
      <c r="F358">
        <v>3</v>
      </c>
      <c r="G358">
        <v>0</v>
      </c>
      <c r="H358">
        <v>272</v>
      </c>
      <c r="I358" s="4">
        <f t="shared" si="5"/>
        <v>0.74264705882352944</v>
      </c>
      <c r="K358" t="s">
        <v>646</v>
      </c>
    </row>
    <row r="359" spans="1:11">
      <c r="A359" t="s">
        <v>225</v>
      </c>
      <c r="B359">
        <v>4</v>
      </c>
      <c r="C359">
        <v>8</v>
      </c>
      <c r="D359">
        <v>234</v>
      </c>
      <c r="E359">
        <v>0</v>
      </c>
      <c r="F359">
        <v>1</v>
      </c>
      <c r="G359">
        <v>0</v>
      </c>
      <c r="H359">
        <v>272</v>
      </c>
      <c r="I359" s="4">
        <f t="shared" si="5"/>
        <v>0.86029411764705888</v>
      </c>
      <c r="K359" t="s">
        <v>646</v>
      </c>
    </row>
    <row r="360" spans="1:11">
      <c r="A360" t="s">
        <v>225</v>
      </c>
      <c r="B360">
        <v>4</v>
      </c>
      <c r="C360">
        <v>9</v>
      </c>
      <c r="D360">
        <v>272</v>
      </c>
      <c r="E360">
        <v>0</v>
      </c>
      <c r="F360">
        <v>0</v>
      </c>
      <c r="G360">
        <v>0</v>
      </c>
      <c r="H360">
        <v>272</v>
      </c>
      <c r="I360" s="4">
        <f t="shared" si="5"/>
        <v>1</v>
      </c>
      <c r="K360" t="s">
        <v>646</v>
      </c>
    </row>
    <row r="361" spans="1:11">
      <c r="A361" t="s">
        <v>225</v>
      </c>
      <c r="B361">
        <v>5</v>
      </c>
      <c r="C361">
        <v>1</v>
      </c>
      <c r="D361">
        <v>8</v>
      </c>
      <c r="E361">
        <v>0</v>
      </c>
      <c r="F361">
        <v>3</v>
      </c>
      <c r="G361">
        <v>0</v>
      </c>
      <c r="H361">
        <v>22</v>
      </c>
      <c r="I361" s="4">
        <f t="shared" si="5"/>
        <v>0.36363636363636365</v>
      </c>
      <c r="K361" t="s">
        <v>647</v>
      </c>
    </row>
    <row r="362" spans="1:11">
      <c r="A362" t="s">
        <v>225</v>
      </c>
      <c r="B362">
        <v>5</v>
      </c>
      <c r="C362">
        <v>2</v>
      </c>
      <c r="D362">
        <v>12</v>
      </c>
      <c r="E362">
        <v>0</v>
      </c>
      <c r="F362">
        <v>3</v>
      </c>
      <c r="G362">
        <v>0</v>
      </c>
      <c r="H362">
        <v>22</v>
      </c>
      <c r="I362" s="4">
        <f t="shared" si="5"/>
        <v>0.54545454545454541</v>
      </c>
      <c r="K362" t="s">
        <v>647</v>
      </c>
    </row>
    <row r="363" spans="1:11">
      <c r="A363" t="s">
        <v>225</v>
      </c>
      <c r="B363">
        <v>5</v>
      </c>
      <c r="C363">
        <v>3</v>
      </c>
      <c r="D363">
        <v>15</v>
      </c>
      <c r="E363">
        <v>0</v>
      </c>
      <c r="F363">
        <v>2</v>
      </c>
      <c r="G363">
        <v>0</v>
      </c>
      <c r="H363">
        <v>22</v>
      </c>
      <c r="I363" s="4">
        <f t="shared" si="5"/>
        <v>0.68181818181818177</v>
      </c>
      <c r="K363" t="s">
        <v>647</v>
      </c>
    </row>
    <row r="364" spans="1:11">
      <c r="A364" t="s">
        <v>225</v>
      </c>
      <c r="B364">
        <v>5</v>
      </c>
      <c r="C364">
        <v>4</v>
      </c>
      <c r="D364">
        <v>17</v>
      </c>
      <c r="E364">
        <v>0</v>
      </c>
      <c r="F364">
        <v>2</v>
      </c>
      <c r="G364">
        <v>0</v>
      </c>
      <c r="H364">
        <v>22</v>
      </c>
      <c r="I364" s="4">
        <f t="shared" si="5"/>
        <v>0.77272727272727271</v>
      </c>
      <c r="K364" t="s">
        <v>647</v>
      </c>
    </row>
    <row r="365" spans="1:11">
      <c r="A365" t="s">
        <v>225</v>
      </c>
      <c r="B365">
        <v>5</v>
      </c>
      <c r="C365">
        <v>5</v>
      </c>
      <c r="D365">
        <v>19</v>
      </c>
      <c r="E365">
        <v>0</v>
      </c>
      <c r="F365">
        <v>2</v>
      </c>
      <c r="G365">
        <v>0</v>
      </c>
      <c r="H365">
        <v>22</v>
      </c>
      <c r="I365" s="4">
        <f t="shared" si="5"/>
        <v>0.86363636363636365</v>
      </c>
      <c r="K365" t="s">
        <v>647</v>
      </c>
    </row>
    <row r="366" spans="1:11">
      <c r="A366" t="s">
        <v>225</v>
      </c>
      <c r="B366">
        <v>5</v>
      </c>
      <c r="C366">
        <v>6</v>
      </c>
      <c r="D366">
        <v>22</v>
      </c>
      <c r="E366">
        <v>0</v>
      </c>
      <c r="F366">
        <v>0</v>
      </c>
      <c r="G366">
        <v>0</v>
      </c>
      <c r="H366">
        <v>22</v>
      </c>
      <c r="I366" s="4">
        <f t="shared" si="5"/>
        <v>1</v>
      </c>
      <c r="K366" t="s">
        <v>647</v>
      </c>
    </row>
    <row r="367" spans="1:11">
      <c r="A367" t="s">
        <v>225</v>
      </c>
      <c r="B367">
        <v>6</v>
      </c>
      <c r="C367">
        <v>1</v>
      </c>
      <c r="D367">
        <v>3</v>
      </c>
      <c r="E367">
        <v>0</v>
      </c>
      <c r="F367">
        <v>4</v>
      </c>
      <c r="G367">
        <v>0</v>
      </c>
      <c r="H367">
        <v>21</v>
      </c>
      <c r="I367" s="4">
        <f t="shared" si="5"/>
        <v>0.14285714285714285</v>
      </c>
      <c r="K367" t="s">
        <v>648</v>
      </c>
    </row>
    <row r="368" spans="1:11">
      <c r="A368" t="s">
        <v>225</v>
      </c>
      <c r="B368">
        <v>6</v>
      </c>
      <c r="C368">
        <v>2</v>
      </c>
      <c r="D368">
        <v>7</v>
      </c>
      <c r="E368">
        <v>0</v>
      </c>
      <c r="F368">
        <v>4</v>
      </c>
      <c r="G368">
        <v>0</v>
      </c>
      <c r="H368">
        <v>21</v>
      </c>
      <c r="I368" s="4">
        <f t="shared" si="5"/>
        <v>0.33333333333333331</v>
      </c>
      <c r="K368" t="s">
        <v>648</v>
      </c>
    </row>
    <row r="369" spans="1:11">
      <c r="A369" t="s">
        <v>225</v>
      </c>
      <c r="B369">
        <v>6</v>
      </c>
      <c r="C369">
        <v>3</v>
      </c>
      <c r="D369">
        <v>10</v>
      </c>
      <c r="E369">
        <v>0</v>
      </c>
      <c r="F369">
        <v>4</v>
      </c>
      <c r="G369">
        <v>0</v>
      </c>
      <c r="H369">
        <v>21</v>
      </c>
      <c r="I369" s="4">
        <f t="shared" si="5"/>
        <v>0.47619047619047616</v>
      </c>
      <c r="K369" t="s">
        <v>648</v>
      </c>
    </row>
    <row r="370" spans="1:11">
      <c r="A370" t="s">
        <v>225</v>
      </c>
      <c r="B370">
        <v>6</v>
      </c>
      <c r="C370">
        <v>4</v>
      </c>
      <c r="D370">
        <v>14</v>
      </c>
      <c r="E370">
        <v>0</v>
      </c>
      <c r="F370">
        <v>4</v>
      </c>
      <c r="G370">
        <v>0</v>
      </c>
      <c r="H370">
        <v>21</v>
      </c>
      <c r="I370" s="4">
        <f t="shared" si="5"/>
        <v>0.66666666666666663</v>
      </c>
      <c r="K370" t="s">
        <v>648</v>
      </c>
    </row>
    <row r="371" spans="1:11">
      <c r="A371" t="s">
        <v>225</v>
      </c>
      <c r="B371">
        <v>6</v>
      </c>
      <c r="C371">
        <v>5</v>
      </c>
      <c r="D371">
        <v>17</v>
      </c>
      <c r="E371">
        <v>0</v>
      </c>
      <c r="F371">
        <v>3</v>
      </c>
      <c r="G371">
        <v>0</v>
      </c>
      <c r="H371">
        <v>21</v>
      </c>
      <c r="I371" s="4">
        <f t="shared" si="5"/>
        <v>0.80952380952380953</v>
      </c>
      <c r="K371" t="s">
        <v>648</v>
      </c>
    </row>
    <row r="372" spans="1:11">
      <c r="A372" t="s">
        <v>225</v>
      </c>
      <c r="B372">
        <v>6</v>
      </c>
      <c r="C372">
        <v>6</v>
      </c>
      <c r="D372">
        <v>18</v>
      </c>
      <c r="E372">
        <v>0</v>
      </c>
      <c r="F372">
        <v>2</v>
      </c>
      <c r="G372">
        <v>0</v>
      </c>
      <c r="H372">
        <v>21</v>
      </c>
      <c r="I372" s="4">
        <f t="shared" si="5"/>
        <v>0.8571428571428571</v>
      </c>
      <c r="K372" t="s">
        <v>648</v>
      </c>
    </row>
    <row r="373" spans="1:11">
      <c r="A373" t="s">
        <v>225</v>
      </c>
      <c r="B373">
        <v>6</v>
      </c>
      <c r="C373">
        <v>7</v>
      </c>
      <c r="D373">
        <v>21</v>
      </c>
      <c r="E373">
        <v>0</v>
      </c>
      <c r="F373">
        <v>0</v>
      </c>
      <c r="G373">
        <v>0</v>
      </c>
      <c r="H373">
        <v>21</v>
      </c>
      <c r="I373" s="4">
        <f t="shared" si="5"/>
        <v>1</v>
      </c>
      <c r="K373" t="s">
        <v>648</v>
      </c>
    </row>
    <row r="374" spans="1:11">
      <c r="A374" t="s">
        <v>225</v>
      </c>
      <c r="B374">
        <v>6</v>
      </c>
      <c r="C374">
        <v>8</v>
      </c>
      <c r="D374">
        <v>21</v>
      </c>
      <c r="E374">
        <v>0</v>
      </c>
      <c r="F374">
        <v>0</v>
      </c>
      <c r="G374">
        <v>0</v>
      </c>
      <c r="H374">
        <v>21</v>
      </c>
      <c r="I374" s="4">
        <f t="shared" si="5"/>
        <v>1</v>
      </c>
      <c r="K374" t="s">
        <v>648</v>
      </c>
    </row>
    <row r="375" spans="1:11">
      <c r="A375" t="s">
        <v>225</v>
      </c>
      <c r="B375">
        <v>6</v>
      </c>
      <c r="C375">
        <v>9</v>
      </c>
      <c r="D375">
        <v>21</v>
      </c>
      <c r="E375">
        <v>0</v>
      </c>
      <c r="F375">
        <v>0</v>
      </c>
      <c r="G375">
        <v>0</v>
      </c>
      <c r="H375">
        <v>21</v>
      </c>
      <c r="I375" s="4">
        <f t="shared" si="5"/>
        <v>1</v>
      </c>
      <c r="K375" t="s">
        <v>648</v>
      </c>
    </row>
    <row r="376" spans="1:11">
      <c r="A376" t="s">
        <v>225</v>
      </c>
      <c r="B376">
        <v>6</v>
      </c>
      <c r="C376">
        <v>10</v>
      </c>
      <c r="D376">
        <v>21</v>
      </c>
      <c r="E376">
        <v>0</v>
      </c>
      <c r="F376">
        <v>0</v>
      </c>
      <c r="G376">
        <v>0</v>
      </c>
      <c r="H376">
        <v>21</v>
      </c>
      <c r="I376" s="4">
        <f t="shared" si="5"/>
        <v>1</v>
      </c>
      <c r="K376" t="s">
        <v>648</v>
      </c>
    </row>
    <row r="377" spans="1:11">
      <c r="A377" t="s">
        <v>225</v>
      </c>
      <c r="B377">
        <v>7</v>
      </c>
      <c r="C377">
        <v>1</v>
      </c>
      <c r="D377">
        <v>29</v>
      </c>
      <c r="E377">
        <v>0</v>
      </c>
      <c r="F377">
        <v>3</v>
      </c>
      <c r="G377">
        <v>0</v>
      </c>
      <c r="H377">
        <v>120</v>
      </c>
      <c r="I377" s="4">
        <f t="shared" si="5"/>
        <v>0.24166666666666667</v>
      </c>
      <c r="K377" t="s">
        <v>649</v>
      </c>
    </row>
    <row r="378" spans="1:11">
      <c r="A378" t="s">
        <v>225</v>
      </c>
      <c r="B378">
        <v>7</v>
      </c>
      <c r="C378">
        <v>2</v>
      </c>
      <c r="D378">
        <v>32</v>
      </c>
      <c r="E378">
        <v>0</v>
      </c>
      <c r="F378">
        <v>1</v>
      </c>
      <c r="G378">
        <v>0</v>
      </c>
      <c r="H378">
        <v>120</v>
      </c>
      <c r="I378" s="4">
        <f t="shared" si="5"/>
        <v>0.26666666666666666</v>
      </c>
      <c r="K378" t="s">
        <v>649</v>
      </c>
    </row>
    <row r="379" spans="1:11">
      <c r="A379" t="s">
        <v>225</v>
      </c>
      <c r="B379">
        <v>7</v>
      </c>
      <c r="C379">
        <v>3</v>
      </c>
      <c r="D379">
        <v>40</v>
      </c>
      <c r="E379">
        <v>0</v>
      </c>
      <c r="F379">
        <v>5</v>
      </c>
      <c r="G379">
        <v>0</v>
      </c>
      <c r="H379">
        <v>120</v>
      </c>
      <c r="I379" s="4">
        <f t="shared" si="5"/>
        <v>0.33333333333333331</v>
      </c>
      <c r="K379" t="s">
        <v>649</v>
      </c>
    </row>
    <row r="380" spans="1:11">
      <c r="A380" t="s">
        <v>225</v>
      </c>
      <c r="B380">
        <v>7</v>
      </c>
      <c r="C380">
        <v>4</v>
      </c>
      <c r="D380">
        <v>51</v>
      </c>
      <c r="E380">
        <v>0</v>
      </c>
      <c r="F380">
        <v>5</v>
      </c>
      <c r="G380">
        <v>0</v>
      </c>
      <c r="H380">
        <v>120</v>
      </c>
      <c r="I380" s="4">
        <f t="shared" si="5"/>
        <v>0.42499999999999999</v>
      </c>
      <c r="K380" t="s">
        <v>649</v>
      </c>
    </row>
    <row r="381" spans="1:11">
      <c r="A381" t="s">
        <v>225</v>
      </c>
      <c r="B381">
        <v>7</v>
      </c>
      <c r="C381">
        <v>5</v>
      </c>
      <c r="D381">
        <v>55</v>
      </c>
      <c r="E381">
        <v>0</v>
      </c>
      <c r="F381">
        <v>9</v>
      </c>
      <c r="G381">
        <v>0</v>
      </c>
      <c r="H381">
        <v>120</v>
      </c>
      <c r="I381" s="4">
        <f t="shared" si="5"/>
        <v>0.45833333333333331</v>
      </c>
      <c r="K381" t="s">
        <v>649</v>
      </c>
    </row>
    <row r="382" spans="1:11">
      <c r="A382" t="s">
        <v>225</v>
      </c>
      <c r="B382">
        <v>7</v>
      </c>
      <c r="C382">
        <v>6</v>
      </c>
      <c r="D382">
        <v>71</v>
      </c>
      <c r="E382">
        <v>0</v>
      </c>
      <c r="F382">
        <v>7</v>
      </c>
      <c r="G382">
        <v>0</v>
      </c>
      <c r="H382">
        <v>120</v>
      </c>
      <c r="I382" s="4">
        <f t="shared" si="5"/>
        <v>0.59166666666666667</v>
      </c>
      <c r="K382" t="s">
        <v>649</v>
      </c>
    </row>
    <row r="383" spans="1:11">
      <c r="A383" t="s">
        <v>225</v>
      </c>
      <c r="B383">
        <v>7</v>
      </c>
      <c r="C383">
        <v>7</v>
      </c>
      <c r="D383">
        <v>78</v>
      </c>
      <c r="E383">
        <v>0</v>
      </c>
      <c r="F383">
        <v>5</v>
      </c>
      <c r="G383">
        <v>0</v>
      </c>
      <c r="H383">
        <v>120</v>
      </c>
      <c r="I383" s="4">
        <f t="shared" si="5"/>
        <v>0.65</v>
      </c>
      <c r="K383" t="s">
        <v>649</v>
      </c>
    </row>
    <row r="384" spans="1:11">
      <c r="A384" t="s">
        <v>225</v>
      </c>
      <c r="B384">
        <v>7</v>
      </c>
      <c r="C384">
        <v>8</v>
      </c>
      <c r="D384">
        <v>88</v>
      </c>
      <c r="E384">
        <v>0</v>
      </c>
      <c r="F384">
        <v>3</v>
      </c>
      <c r="G384">
        <v>0</v>
      </c>
      <c r="H384">
        <v>120</v>
      </c>
      <c r="I384" s="4">
        <f t="shared" si="5"/>
        <v>0.73333333333333328</v>
      </c>
      <c r="K384" t="s">
        <v>649</v>
      </c>
    </row>
    <row r="385" spans="1:11">
      <c r="A385" t="s">
        <v>225</v>
      </c>
      <c r="B385">
        <v>7</v>
      </c>
      <c r="C385">
        <v>9</v>
      </c>
      <c r="D385">
        <v>102</v>
      </c>
      <c r="E385">
        <v>0</v>
      </c>
      <c r="F385">
        <v>1</v>
      </c>
      <c r="G385">
        <v>0</v>
      </c>
      <c r="H385">
        <v>120</v>
      </c>
      <c r="I385" s="4">
        <f t="shared" si="5"/>
        <v>0.85</v>
      </c>
      <c r="K385" t="s">
        <v>649</v>
      </c>
    </row>
    <row r="386" spans="1:11">
      <c r="A386" t="s">
        <v>225</v>
      </c>
      <c r="B386">
        <v>7</v>
      </c>
      <c r="C386">
        <v>10</v>
      </c>
      <c r="D386">
        <v>120</v>
      </c>
      <c r="E386">
        <v>0</v>
      </c>
      <c r="F386">
        <v>0</v>
      </c>
      <c r="G386">
        <v>0</v>
      </c>
      <c r="H386">
        <v>120</v>
      </c>
      <c r="I386" s="4">
        <f t="shared" si="5"/>
        <v>1</v>
      </c>
      <c r="K386" t="s">
        <v>649</v>
      </c>
    </row>
    <row r="387" spans="1:11">
      <c r="A387" t="s">
        <v>225</v>
      </c>
      <c r="B387">
        <v>8</v>
      </c>
      <c r="C387">
        <v>1</v>
      </c>
      <c r="D387">
        <v>19</v>
      </c>
      <c r="E387">
        <v>0</v>
      </c>
      <c r="F387">
        <v>1</v>
      </c>
      <c r="G387">
        <v>0</v>
      </c>
      <c r="H387">
        <v>162</v>
      </c>
      <c r="I387" s="4">
        <f t="shared" ref="I387:I450" si="6">D387/H387</f>
        <v>0.11728395061728394</v>
      </c>
      <c r="K387" t="s">
        <v>650</v>
      </c>
    </row>
    <row r="388" spans="1:11">
      <c r="A388" t="s">
        <v>225</v>
      </c>
      <c r="B388">
        <v>8</v>
      </c>
      <c r="C388">
        <v>2</v>
      </c>
      <c r="D388">
        <v>28</v>
      </c>
      <c r="E388">
        <v>0</v>
      </c>
      <c r="F388">
        <v>7</v>
      </c>
      <c r="G388">
        <v>0</v>
      </c>
      <c r="H388">
        <v>162</v>
      </c>
      <c r="I388" s="4">
        <f t="shared" si="6"/>
        <v>0.1728395061728395</v>
      </c>
      <c r="K388" t="s">
        <v>650</v>
      </c>
    </row>
    <row r="389" spans="1:11">
      <c r="A389" t="s">
        <v>225</v>
      </c>
      <c r="B389">
        <v>8</v>
      </c>
      <c r="C389">
        <v>3</v>
      </c>
      <c r="D389">
        <v>63</v>
      </c>
      <c r="E389">
        <v>0</v>
      </c>
      <c r="F389">
        <v>5</v>
      </c>
      <c r="G389">
        <v>0</v>
      </c>
      <c r="H389">
        <v>162</v>
      </c>
      <c r="I389" s="4">
        <f t="shared" si="6"/>
        <v>0.3888888888888889</v>
      </c>
      <c r="K389" t="s">
        <v>650</v>
      </c>
    </row>
    <row r="390" spans="1:11">
      <c r="A390" t="s">
        <v>225</v>
      </c>
      <c r="B390">
        <v>8</v>
      </c>
      <c r="C390">
        <v>4</v>
      </c>
      <c r="D390">
        <v>107</v>
      </c>
      <c r="E390">
        <v>0</v>
      </c>
      <c r="F390">
        <v>3</v>
      </c>
      <c r="G390">
        <v>0</v>
      </c>
      <c r="H390">
        <v>162</v>
      </c>
      <c r="I390" s="4">
        <f t="shared" si="6"/>
        <v>0.66049382716049387</v>
      </c>
      <c r="K390" t="s">
        <v>650</v>
      </c>
    </row>
    <row r="391" spans="1:11">
      <c r="A391" t="s">
        <v>225</v>
      </c>
      <c r="B391">
        <v>8</v>
      </c>
      <c r="C391">
        <v>5</v>
      </c>
      <c r="D391">
        <v>140</v>
      </c>
      <c r="E391">
        <v>0</v>
      </c>
      <c r="F391">
        <v>1</v>
      </c>
      <c r="G391">
        <v>0</v>
      </c>
      <c r="H391">
        <v>162</v>
      </c>
      <c r="I391" s="4">
        <f t="shared" si="6"/>
        <v>0.86419753086419748</v>
      </c>
      <c r="K391" t="s">
        <v>650</v>
      </c>
    </row>
    <row r="392" spans="1:11">
      <c r="A392" t="s">
        <v>225</v>
      </c>
      <c r="B392">
        <v>8</v>
      </c>
      <c r="C392">
        <v>6</v>
      </c>
      <c r="D392">
        <v>162</v>
      </c>
      <c r="E392">
        <v>0</v>
      </c>
      <c r="F392">
        <v>0</v>
      </c>
      <c r="G392">
        <v>0</v>
      </c>
      <c r="H392">
        <v>162</v>
      </c>
      <c r="I392" s="4">
        <f t="shared" si="6"/>
        <v>1</v>
      </c>
      <c r="K392" t="s">
        <v>650</v>
      </c>
    </row>
    <row r="393" spans="1:11">
      <c r="A393" t="s">
        <v>225</v>
      </c>
      <c r="B393">
        <v>9</v>
      </c>
      <c r="C393">
        <v>1</v>
      </c>
      <c r="D393">
        <v>19</v>
      </c>
      <c r="E393">
        <v>0</v>
      </c>
      <c r="F393">
        <v>1</v>
      </c>
      <c r="G393">
        <v>0</v>
      </c>
      <c r="H393">
        <v>258</v>
      </c>
      <c r="I393" s="4">
        <f t="shared" si="6"/>
        <v>7.3643410852713184E-2</v>
      </c>
      <c r="K393" t="s">
        <v>651</v>
      </c>
    </row>
    <row r="394" spans="1:11">
      <c r="A394" t="s">
        <v>225</v>
      </c>
      <c r="B394">
        <v>9</v>
      </c>
      <c r="C394">
        <v>2</v>
      </c>
      <c r="D394">
        <v>31</v>
      </c>
      <c r="E394">
        <v>0</v>
      </c>
      <c r="F394">
        <v>13</v>
      </c>
      <c r="G394">
        <v>0</v>
      </c>
      <c r="H394">
        <v>258</v>
      </c>
      <c r="I394" s="4">
        <f t="shared" si="6"/>
        <v>0.12015503875968993</v>
      </c>
      <c r="K394" t="s">
        <v>651</v>
      </c>
    </row>
    <row r="395" spans="1:11">
      <c r="A395" t="s">
        <v>225</v>
      </c>
      <c r="B395">
        <v>9</v>
      </c>
      <c r="C395">
        <v>3</v>
      </c>
      <c r="D395">
        <v>66</v>
      </c>
      <c r="E395">
        <v>0</v>
      </c>
      <c r="F395">
        <v>11</v>
      </c>
      <c r="G395">
        <v>0</v>
      </c>
      <c r="H395">
        <v>258</v>
      </c>
      <c r="I395" s="4">
        <f t="shared" si="6"/>
        <v>0.2558139534883721</v>
      </c>
      <c r="K395" t="s">
        <v>651</v>
      </c>
    </row>
    <row r="396" spans="1:11">
      <c r="A396" t="s">
        <v>225</v>
      </c>
      <c r="B396">
        <v>9</v>
      </c>
      <c r="C396">
        <v>4</v>
      </c>
      <c r="D396">
        <v>110</v>
      </c>
      <c r="E396">
        <v>0</v>
      </c>
      <c r="F396">
        <v>9</v>
      </c>
      <c r="G396">
        <v>0</v>
      </c>
      <c r="H396">
        <v>258</v>
      </c>
      <c r="I396" s="4">
        <f t="shared" si="6"/>
        <v>0.4263565891472868</v>
      </c>
      <c r="K396" t="s">
        <v>651</v>
      </c>
    </row>
    <row r="397" spans="1:11">
      <c r="A397" t="s">
        <v>225</v>
      </c>
      <c r="B397">
        <v>9</v>
      </c>
      <c r="C397">
        <v>5</v>
      </c>
      <c r="D397">
        <v>143</v>
      </c>
      <c r="E397">
        <v>0</v>
      </c>
      <c r="F397">
        <v>7</v>
      </c>
      <c r="G397">
        <v>0</v>
      </c>
      <c r="H397">
        <v>258</v>
      </c>
      <c r="I397" s="4">
        <f t="shared" si="6"/>
        <v>0.55426356589147285</v>
      </c>
      <c r="K397" t="s">
        <v>651</v>
      </c>
    </row>
    <row r="398" spans="1:11">
      <c r="A398" t="s">
        <v>225</v>
      </c>
      <c r="B398">
        <v>9</v>
      </c>
      <c r="C398">
        <v>6</v>
      </c>
      <c r="D398">
        <v>165</v>
      </c>
      <c r="E398">
        <v>0</v>
      </c>
      <c r="F398">
        <v>5</v>
      </c>
      <c r="G398">
        <v>0</v>
      </c>
      <c r="H398">
        <v>258</v>
      </c>
      <c r="I398" s="4">
        <f t="shared" si="6"/>
        <v>0.63953488372093026</v>
      </c>
      <c r="K398" t="s">
        <v>651</v>
      </c>
    </row>
    <row r="399" spans="1:11">
      <c r="A399" t="s">
        <v>225</v>
      </c>
      <c r="B399">
        <v>9</v>
      </c>
      <c r="C399">
        <v>7</v>
      </c>
      <c r="D399">
        <v>192</v>
      </c>
      <c r="E399">
        <v>0</v>
      </c>
      <c r="F399">
        <v>3</v>
      </c>
      <c r="G399">
        <v>0</v>
      </c>
      <c r="H399">
        <v>258</v>
      </c>
      <c r="I399" s="4">
        <f t="shared" si="6"/>
        <v>0.7441860465116279</v>
      </c>
      <c r="K399" t="s">
        <v>651</v>
      </c>
    </row>
    <row r="400" spans="1:11">
      <c r="A400" t="s">
        <v>225</v>
      </c>
      <c r="B400">
        <v>9</v>
      </c>
      <c r="C400">
        <v>8</v>
      </c>
      <c r="D400">
        <v>223</v>
      </c>
      <c r="E400">
        <v>0</v>
      </c>
      <c r="F400">
        <v>1</v>
      </c>
      <c r="G400">
        <v>0</v>
      </c>
      <c r="H400">
        <v>258</v>
      </c>
      <c r="I400" s="4">
        <f t="shared" si="6"/>
        <v>0.86434108527131781</v>
      </c>
      <c r="K400" t="s">
        <v>651</v>
      </c>
    </row>
    <row r="401" spans="1:11">
      <c r="A401" t="s">
        <v>225</v>
      </c>
      <c r="B401">
        <v>9</v>
      </c>
      <c r="C401">
        <v>9</v>
      </c>
      <c r="D401">
        <v>258</v>
      </c>
      <c r="E401">
        <v>0</v>
      </c>
      <c r="F401">
        <v>0</v>
      </c>
      <c r="G401">
        <v>0</v>
      </c>
      <c r="H401">
        <v>258</v>
      </c>
      <c r="I401" s="4">
        <f t="shared" si="6"/>
        <v>1</v>
      </c>
      <c r="K401" t="s">
        <v>651</v>
      </c>
    </row>
    <row r="402" spans="1:11">
      <c r="A402" t="s">
        <v>225</v>
      </c>
      <c r="B402">
        <v>11</v>
      </c>
      <c r="C402">
        <v>1</v>
      </c>
      <c r="D402">
        <v>18</v>
      </c>
      <c r="E402">
        <v>0</v>
      </c>
      <c r="F402">
        <v>1</v>
      </c>
      <c r="G402">
        <v>0</v>
      </c>
      <c r="H402">
        <v>53</v>
      </c>
      <c r="I402" s="4">
        <f t="shared" si="6"/>
        <v>0.33962264150943394</v>
      </c>
      <c r="K402" t="s">
        <v>653</v>
      </c>
    </row>
    <row r="403" spans="1:11">
      <c r="A403" s="9" t="s">
        <v>225</v>
      </c>
      <c r="B403" s="9">
        <v>11</v>
      </c>
      <c r="C403" s="9">
        <v>2</v>
      </c>
      <c r="D403" s="9">
        <v>53</v>
      </c>
      <c r="E403" s="9">
        <v>0</v>
      </c>
      <c r="F403" s="9">
        <v>0</v>
      </c>
      <c r="G403" s="9">
        <v>0</v>
      </c>
      <c r="H403">
        <v>53</v>
      </c>
      <c r="I403" s="4">
        <f t="shared" si="6"/>
        <v>1</v>
      </c>
      <c r="K403" t="s">
        <v>653</v>
      </c>
    </row>
    <row r="404" spans="1:11">
      <c r="A404" t="s">
        <v>225</v>
      </c>
      <c r="B404">
        <v>13</v>
      </c>
      <c r="C404">
        <v>1</v>
      </c>
      <c r="D404">
        <v>1</v>
      </c>
      <c r="E404">
        <v>0</v>
      </c>
      <c r="F404">
        <v>1</v>
      </c>
      <c r="G404">
        <v>0</v>
      </c>
      <c r="H404">
        <v>737</v>
      </c>
      <c r="I404" s="4">
        <f t="shared" si="6"/>
        <v>1.3568521031207597E-3</v>
      </c>
      <c r="K404" t="s">
        <v>654</v>
      </c>
    </row>
    <row r="405" spans="1:11">
      <c r="A405" t="s">
        <v>225</v>
      </c>
      <c r="B405">
        <v>13</v>
      </c>
      <c r="C405">
        <v>2</v>
      </c>
      <c r="D405">
        <v>3</v>
      </c>
      <c r="E405">
        <v>0</v>
      </c>
      <c r="F405">
        <v>1</v>
      </c>
      <c r="G405">
        <v>0</v>
      </c>
      <c r="H405">
        <v>737</v>
      </c>
      <c r="I405" s="4">
        <f t="shared" si="6"/>
        <v>4.0705563093622792E-3</v>
      </c>
      <c r="K405" t="s">
        <v>654</v>
      </c>
    </row>
    <row r="406" spans="1:11">
      <c r="A406" t="s">
        <v>225</v>
      </c>
      <c r="B406">
        <v>13</v>
      </c>
      <c r="C406">
        <v>3</v>
      </c>
      <c r="D406">
        <v>5</v>
      </c>
      <c r="E406">
        <v>0</v>
      </c>
      <c r="F406">
        <v>1</v>
      </c>
      <c r="G406">
        <v>0</v>
      </c>
      <c r="H406">
        <v>737</v>
      </c>
      <c r="I406" s="4">
        <f t="shared" si="6"/>
        <v>6.7842605156037995E-3</v>
      </c>
      <c r="K406" t="s">
        <v>654</v>
      </c>
    </row>
    <row r="407" spans="1:11">
      <c r="A407" t="s">
        <v>225</v>
      </c>
      <c r="B407">
        <v>13</v>
      </c>
      <c r="C407">
        <v>4</v>
      </c>
      <c r="D407">
        <v>737</v>
      </c>
      <c r="E407">
        <v>0</v>
      </c>
      <c r="F407">
        <v>0</v>
      </c>
      <c r="G407">
        <v>0</v>
      </c>
      <c r="H407">
        <v>737</v>
      </c>
      <c r="I407" s="4">
        <f t="shared" si="6"/>
        <v>1</v>
      </c>
      <c r="K407" t="s">
        <v>654</v>
      </c>
    </row>
    <row r="408" spans="1:11">
      <c r="A408" t="s">
        <v>225</v>
      </c>
      <c r="B408">
        <v>14</v>
      </c>
      <c r="C408">
        <v>1</v>
      </c>
      <c r="D408">
        <v>1</v>
      </c>
      <c r="E408">
        <v>0</v>
      </c>
      <c r="F408">
        <v>1</v>
      </c>
      <c r="G408">
        <v>0</v>
      </c>
      <c r="H408">
        <v>958</v>
      </c>
      <c r="I408" s="4">
        <f t="shared" si="6"/>
        <v>1.0438413361169101E-3</v>
      </c>
      <c r="K408" t="s">
        <v>696</v>
      </c>
    </row>
    <row r="409" spans="1:11">
      <c r="A409" t="s">
        <v>225</v>
      </c>
      <c r="B409">
        <v>14</v>
      </c>
      <c r="C409">
        <v>2</v>
      </c>
      <c r="D409">
        <v>3</v>
      </c>
      <c r="E409">
        <v>0</v>
      </c>
      <c r="F409">
        <v>1</v>
      </c>
      <c r="G409">
        <v>0</v>
      </c>
      <c r="H409">
        <v>958</v>
      </c>
      <c r="I409" s="4">
        <f t="shared" si="6"/>
        <v>3.1315240083507308E-3</v>
      </c>
      <c r="K409" t="s">
        <v>696</v>
      </c>
    </row>
    <row r="410" spans="1:11">
      <c r="A410" t="s">
        <v>225</v>
      </c>
      <c r="B410">
        <v>14</v>
      </c>
      <c r="C410">
        <v>3</v>
      </c>
      <c r="D410">
        <v>5</v>
      </c>
      <c r="E410">
        <v>0</v>
      </c>
      <c r="F410">
        <v>1</v>
      </c>
      <c r="G410">
        <v>0</v>
      </c>
      <c r="H410">
        <v>958</v>
      </c>
      <c r="I410" s="4">
        <f t="shared" si="6"/>
        <v>5.2192066805845511E-3</v>
      </c>
      <c r="K410" t="s">
        <v>696</v>
      </c>
    </row>
    <row r="411" spans="1:11">
      <c r="A411" t="s">
        <v>225</v>
      </c>
      <c r="B411">
        <v>14</v>
      </c>
      <c r="C411">
        <v>4</v>
      </c>
      <c r="D411">
        <v>381</v>
      </c>
      <c r="E411">
        <v>0</v>
      </c>
      <c r="F411">
        <v>5</v>
      </c>
      <c r="G411">
        <v>0</v>
      </c>
      <c r="H411">
        <v>958</v>
      </c>
      <c r="I411" s="4">
        <f t="shared" si="6"/>
        <v>0.39770354906054278</v>
      </c>
      <c r="K411" t="s">
        <v>696</v>
      </c>
    </row>
    <row r="412" spans="1:11">
      <c r="A412" t="s">
        <v>225</v>
      </c>
      <c r="B412">
        <v>14</v>
      </c>
      <c r="C412">
        <v>5</v>
      </c>
      <c r="D412">
        <v>383</v>
      </c>
      <c r="E412">
        <v>0</v>
      </c>
      <c r="F412">
        <v>4</v>
      </c>
      <c r="G412">
        <v>0</v>
      </c>
      <c r="H412">
        <v>958</v>
      </c>
      <c r="I412" s="4">
        <f t="shared" si="6"/>
        <v>0.39979123173277664</v>
      </c>
      <c r="K412" t="s">
        <v>696</v>
      </c>
    </row>
    <row r="413" spans="1:11">
      <c r="A413" t="s">
        <v>225</v>
      </c>
      <c r="B413">
        <v>14</v>
      </c>
      <c r="C413">
        <v>6</v>
      </c>
      <c r="D413">
        <v>562</v>
      </c>
      <c r="E413">
        <v>0</v>
      </c>
      <c r="F413">
        <v>3</v>
      </c>
      <c r="G413">
        <v>0</v>
      </c>
      <c r="H413">
        <v>958</v>
      </c>
      <c r="I413" s="4">
        <f t="shared" si="6"/>
        <v>0.58663883089770352</v>
      </c>
      <c r="K413" t="s">
        <v>696</v>
      </c>
    </row>
    <row r="414" spans="1:11">
      <c r="A414" t="s">
        <v>225</v>
      </c>
      <c r="B414">
        <v>14</v>
      </c>
      <c r="C414">
        <v>7</v>
      </c>
      <c r="D414">
        <v>564</v>
      </c>
      <c r="E414">
        <v>0</v>
      </c>
      <c r="F414">
        <v>1</v>
      </c>
      <c r="G414">
        <v>0</v>
      </c>
      <c r="H414">
        <v>958</v>
      </c>
      <c r="I414" s="4">
        <f t="shared" si="6"/>
        <v>0.58872651356993733</v>
      </c>
      <c r="K414" t="s">
        <v>696</v>
      </c>
    </row>
    <row r="415" spans="1:11">
      <c r="A415" t="s">
        <v>225</v>
      </c>
      <c r="B415">
        <v>14</v>
      </c>
      <c r="C415">
        <v>8</v>
      </c>
      <c r="D415">
        <v>564</v>
      </c>
      <c r="E415">
        <v>0</v>
      </c>
      <c r="F415">
        <v>1</v>
      </c>
      <c r="G415">
        <v>0</v>
      </c>
      <c r="H415">
        <v>958</v>
      </c>
      <c r="I415" s="4">
        <f t="shared" si="6"/>
        <v>0.58872651356993733</v>
      </c>
      <c r="K415" t="s">
        <v>696</v>
      </c>
    </row>
    <row r="416" spans="1:11">
      <c r="A416" t="s">
        <v>225</v>
      </c>
      <c r="B416">
        <v>14</v>
      </c>
      <c r="C416">
        <v>9</v>
      </c>
      <c r="D416">
        <v>564</v>
      </c>
      <c r="E416">
        <v>0</v>
      </c>
      <c r="F416">
        <v>1</v>
      </c>
      <c r="G416">
        <v>0</v>
      </c>
      <c r="H416">
        <v>958</v>
      </c>
      <c r="I416" s="4">
        <f t="shared" si="6"/>
        <v>0.58872651356993733</v>
      </c>
      <c r="K416" t="s">
        <v>696</v>
      </c>
    </row>
    <row r="417" spans="1:11">
      <c r="A417" t="s">
        <v>225</v>
      </c>
      <c r="B417">
        <v>14</v>
      </c>
      <c r="C417">
        <v>10</v>
      </c>
      <c r="D417">
        <v>957</v>
      </c>
      <c r="E417">
        <v>0</v>
      </c>
      <c r="F417">
        <v>1</v>
      </c>
      <c r="G417">
        <v>0</v>
      </c>
      <c r="H417">
        <v>958</v>
      </c>
      <c r="I417" s="4">
        <f t="shared" si="6"/>
        <v>0.9989561586638831</v>
      </c>
      <c r="K417" t="s">
        <v>696</v>
      </c>
    </row>
    <row r="418" spans="1:11">
      <c r="A418" t="s">
        <v>225</v>
      </c>
      <c r="B418">
        <v>14</v>
      </c>
      <c r="C418">
        <v>11</v>
      </c>
      <c r="D418">
        <v>958</v>
      </c>
      <c r="E418">
        <v>0</v>
      </c>
      <c r="F418">
        <v>0</v>
      </c>
      <c r="G418">
        <v>0</v>
      </c>
      <c r="H418">
        <v>958</v>
      </c>
      <c r="I418" s="4">
        <f t="shared" si="6"/>
        <v>1</v>
      </c>
      <c r="K418" t="s">
        <v>696</v>
      </c>
    </row>
    <row r="419" spans="1:11">
      <c r="A419" t="s">
        <v>225</v>
      </c>
      <c r="B419">
        <v>15</v>
      </c>
      <c r="C419">
        <v>1</v>
      </c>
      <c r="D419">
        <v>1</v>
      </c>
      <c r="E419">
        <v>0</v>
      </c>
      <c r="F419">
        <v>1</v>
      </c>
      <c r="G419">
        <v>0</v>
      </c>
      <c r="H419">
        <v>476</v>
      </c>
      <c r="I419" s="4">
        <f t="shared" si="6"/>
        <v>2.1008403361344537E-3</v>
      </c>
      <c r="K419" t="s">
        <v>655</v>
      </c>
    </row>
    <row r="420" spans="1:11">
      <c r="A420" t="s">
        <v>225</v>
      </c>
      <c r="B420">
        <v>15</v>
      </c>
      <c r="C420">
        <v>2</v>
      </c>
      <c r="D420">
        <v>3</v>
      </c>
      <c r="E420">
        <v>0</v>
      </c>
      <c r="F420">
        <v>1</v>
      </c>
      <c r="G420">
        <v>0</v>
      </c>
      <c r="H420">
        <v>476</v>
      </c>
      <c r="I420" s="4">
        <f t="shared" si="6"/>
        <v>6.3025210084033615E-3</v>
      </c>
      <c r="K420" t="s">
        <v>655</v>
      </c>
    </row>
    <row r="421" spans="1:11">
      <c r="A421" t="s">
        <v>225</v>
      </c>
      <c r="B421">
        <v>15</v>
      </c>
      <c r="C421">
        <v>3</v>
      </c>
      <c r="D421">
        <v>5</v>
      </c>
      <c r="E421">
        <v>0</v>
      </c>
      <c r="F421">
        <v>1</v>
      </c>
      <c r="G421">
        <v>0</v>
      </c>
      <c r="H421">
        <v>476</v>
      </c>
      <c r="I421" s="4">
        <f t="shared" si="6"/>
        <v>1.050420168067227E-2</v>
      </c>
      <c r="K421" t="s">
        <v>655</v>
      </c>
    </row>
    <row r="422" spans="1:11">
      <c r="A422" t="s">
        <v>225</v>
      </c>
      <c r="B422">
        <v>15</v>
      </c>
      <c r="C422">
        <v>4</v>
      </c>
      <c r="D422">
        <v>476</v>
      </c>
      <c r="E422">
        <v>0</v>
      </c>
      <c r="F422">
        <v>0</v>
      </c>
      <c r="G422">
        <v>0</v>
      </c>
      <c r="H422">
        <v>476</v>
      </c>
      <c r="I422" s="4">
        <f t="shared" si="6"/>
        <v>1</v>
      </c>
      <c r="K422" t="s">
        <v>655</v>
      </c>
    </row>
    <row r="423" spans="1:11">
      <c r="A423" t="s">
        <v>225</v>
      </c>
      <c r="B423">
        <v>16</v>
      </c>
      <c r="C423">
        <v>1</v>
      </c>
      <c r="D423">
        <v>1</v>
      </c>
      <c r="E423">
        <v>0</v>
      </c>
      <c r="F423">
        <v>1</v>
      </c>
      <c r="G423">
        <v>0</v>
      </c>
      <c r="H423">
        <v>607</v>
      </c>
      <c r="I423" s="4">
        <f t="shared" si="6"/>
        <v>1.6474464579901153E-3</v>
      </c>
      <c r="K423" t="s">
        <v>656</v>
      </c>
    </row>
    <row r="424" spans="1:11">
      <c r="A424" t="s">
        <v>225</v>
      </c>
      <c r="B424">
        <v>16</v>
      </c>
      <c r="C424">
        <v>2</v>
      </c>
      <c r="D424">
        <v>3</v>
      </c>
      <c r="E424">
        <v>0</v>
      </c>
      <c r="F424">
        <v>1</v>
      </c>
      <c r="G424">
        <v>0</v>
      </c>
      <c r="H424">
        <v>607</v>
      </c>
      <c r="I424" s="4">
        <f t="shared" si="6"/>
        <v>4.9423393739703456E-3</v>
      </c>
      <c r="K424" t="s">
        <v>656</v>
      </c>
    </row>
    <row r="425" spans="1:11">
      <c r="A425" t="s">
        <v>225</v>
      </c>
      <c r="B425">
        <v>16</v>
      </c>
      <c r="C425">
        <v>3</v>
      </c>
      <c r="D425">
        <v>5</v>
      </c>
      <c r="E425">
        <v>0</v>
      </c>
      <c r="F425">
        <v>1</v>
      </c>
      <c r="G425">
        <v>0</v>
      </c>
      <c r="H425">
        <v>607</v>
      </c>
      <c r="I425" s="4">
        <f t="shared" si="6"/>
        <v>8.2372322899505763E-3</v>
      </c>
      <c r="K425" t="s">
        <v>656</v>
      </c>
    </row>
    <row r="426" spans="1:11">
      <c r="A426" t="s">
        <v>225</v>
      </c>
      <c r="B426">
        <v>16</v>
      </c>
      <c r="C426">
        <v>4</v>
      </c>
      <c r="D426">
        <v>607</v>
      </c>
      <c r="E426">
        <v>0</v>
      </c>
      <c r="F426">
        <v>0</v>
      </c>
      <c r="G426">
        <v>0</v>
      </c>
      <c r="H426">
        <v>607</v>
      </c>
      <c r="I426" s="4">
        <f t="shared" si="6"/>
        <v>1</v>
      </c>
      <c r="K426" t="s">
        <v>656</v>
      </c>
    </row>
    <row r="427" spans="1:11">
      <c r="A427" t="s">
        <v>225</v>
      </c>
      <c r="B427">
        <v>20</v>
      </c>
      <c r="C427">
        <v>1</v>
      </c>
      <c r="D427">
        <v>16</v>
      </c>
      <c r="E427">
        <v>0</v>
      </c>
      <c r="F427">
        <v>1</v>
      </c>
      <c r="G427">
        <v>0</v>
      </c>
      <c r="H427">
        <v>27</v>
      </c>
      <c r="I427" s="4">
        <f t="shared" si="6"/>
        <v>0.59259259259259256</v>
      </c>
      <c r="K427" t="s">
        <v>657</v>
      </c>
    </row>
    <row r="428" spans="1:11">
      <c r="A428" t="s">
        <v>225</v>
      </c>
      <c r="B428">
        <v>20</v>
      </c>
      <c r="C428">
        <v>2</v>
      </c>
      <c r="D428">
        <v>27</v>
      </c>
      <c r="E428">
        <v>0</v>
      </c>
      <c r="F428">
        <v>0</v>
      </c>
      <c r="G428">
        <v>0</v>
      </c>
      <c r="H428">
        <v>27</v>
      </c>
      <c r="I428" s="4">
        <f t="shared" si="6"/>
        <v>1</v>
      </c>
      <c r="K428" t="s">
        <v>657</v>
      </c>
    </row>
    <row r="429" spans="1:11">
      <c r="A429" t="s">
        <v>225</v>
      </c>
      <c r="B429">
        <v>21</v>
      </c>
      <c r="C429">
        <v>1</v>
      </c>
      <c r="D429">
        <v>31</v>
      </c>
      <c r="E429">
        <v>0</v>
      </c>
      <c r="F429">
        <v>1</v>
      </c>
      <c r="G429">
        <v>0</v>
      </c>
      <c r="H429">
        <v>57</v>
      </c>
      <c r="I429" s="4">
        <f t="shared" si="6"/>
        <v>0.54385964912280704</v>
      </c>
      <c r="K429" t="s">
        <v>658</v>
      </c>
    </row>
    <row r="430" spans="1:11">
      <c r="A430" t="s">
        <v>225</v>
      </c>
      <c r="B430">
        <v>21</v>
      </c>
      <c r="C430">
        <v>2</v>
      </c>
      <c r="D430">
        <v>57</v>
      </c>
      <c r="E430">
        <v>0</v>
      </c>
      <c r="F430">
        <v>0</v>
      </c>
      <c r="G430">
        <v>0</v>
      </c>
      <c r="H430">
        <v>57</v>
      </c>
      <c r="I430" s="4">
        <f t="shared" si="6"/>
        <v>1</v>
      </c>
      <c r="K430" t="s">
        <v>658</v>
      </c>
    </row>
    <row r="431" spans="1:11">
      <c r="A431" t="s">
        <v>227</v>
      </c>
      <c r="B431">
        <v>0</v>
      </c>
      <c r="C431">
        <v>1</v>
      </c>
      <c r="D431">
        <v>1</v>
      </c>
      <c r="E431">
        <v>0</v>
      </c>
      <c r="F431">
        <v>1</v>
      </c>
      <c r="G431">
        <v>0</v>
      </c>
      <c r="H431">
        <v>10</v>
      </c>
      <c r="I431" s="4">
        <f t="shared" si="6"/>
        <v>0.1</v>
      </c>
      <c r="K431" t="s">
        <v>661</v>
      </c>
    </row>
    <row r="432" spans="1:11">
      <c r="A432" t="s">
        <v>227</v>
      </c>
      <c r="B432">
        <v>0</v>
      </c>
      <c r="C432">
        <v>2</v>
      </c>
      <c r="D432">
        <v>4</v>
      </c>
      <c r="E432">
        <v>0</v>
      </c>
      <c r="F432">
        <v>5</v>
      </c>
      <c r="G432">
        <v>0</v>
      </c>
      <c r="H432">
        <v>10</v>
      </c>
      <c r="I432" s="4">
        <f t="shared" si="6"/>
        <v>0.4</v>
      </c>
      <c r="K432" t="s">
        <v>661</v>
      </c>
    </row>
    <row r="433" spans="1:11">
      <c r="A433" t="s">
        <v>227</v>
      </c>
      <c r="B433">
        <v>0</v>
      </c>
      <c r="C433">
        <v>3</v>
      </c>
      <c r="D433">
        <v>6</v>
      </c>
      <c r="E433">
        <v>0</v>
      </c>
      <c r="F433">
        <v>4</v>
      </c>
      <c r="G433">
        <v>0</v>
      </c>
      <c r="H433">
        <v>10</v>
      </c>
      <c r="I433" s="4">
        <f t="shared" si="6"/>
        <v>0.6</v>
      </c>
      <c r="K433" t="s">
        <v>661</v>
      </c>
    </row>
    <row r="434" spans="1:11">
      <c r="A434" s="9" t="s">
        <v>227</v>
      </c>
      <c r="B434" s="9">
        <v>0</v>
      </c>
      <c r="C434" s="9">
        <v>4</v>
      </c>
      <c r="D434" s="9">
        <v>10</v>
      </c>
      <c r="E434" s="9">
        <v>0</v>
      </c>
      <c r="F434" s="9">
        <v>0</v>
      </c>
      <c r="G434" s="9">
        <v>0</v>
      </c>
      <c r="H434">
        <v>10</v>
      </c>
      <c r="I434" s="4">
        <f t="shared" si="6"/>
        <v>1</v>
      </c>
      <c r="K434" t="s">
        <v>661</v>
      </c>
    </row>
    <row r="435" spans="1:11">
      <c r="A435" t="s">
        <v>227</v>
      </c>
      <c r="B435">
        <v>1</v>
      </c>
      <c r="C435">
        <v>1</v>
      </c>
      <c r="D435">
        <v>11</v>
      </c>
      <c r="E435">
        <v>0</v>
      </c>
      <c r="F435">
        <v>8</v>
      </c>
      <c r="G435">
        <v>0</v>
      </c>
      <c r="H435">
        <v>113</v>
      </c>
      <c r="I435" s="4">
        <f t="shared" si="6"/>
        <v>9.7345132743362831E-2</v>
      </c>
      <c r="K435" t="s">
        <v>662</v>
      </c>
    </row>
    <row r="436" spans="1:11">
      <c r="A436" t="s">
        <v>227</v>
      </c>
      <c r="B436">
        <v>1</v>
      </c>
      <c r="C436">
        <v>2</v>
      </c>
      <c r="D436">
        <v>30</v>
      </c>
      <c r="E436">
        <v>0</v>
      </c>
      <c r="F436">
        <v>5</v>
      </c>
      <c r="G436">
        <v>0</v>
      </c>
      <c r="H436">
        <v>113</v>
      </c>
      <c r="I436" s="4">
        <f t="shared" si="6"/>
        <v>0.26548672566371684</v>
      </c>
      <c r="K436" t="s">
        <v>662</v>
      </c>
    </row>
    <row r="437" spans="1:11">
      <c r="A437" t="s">
        <v>227</v>
      </c>
      <c r="B437">
        <v>1</v>
      </c>
      <c r="C437">
        <v>3</v>
      </c>
      <c r="D437">
        <v>58</v>
      </c>
      <c r="E437">
        <v>0</v>
      </c>
      <c r="F437">
        <v>2</v>
      </c>
      <c r="G437">
        <v>0</v>
      </c>
      <c r="H437">
        <v>113</v>
      </c>
      <c r="I437" s="4">
        <f t="shared" si="6"/>
        <v>0.51327433628318586</v>
      </c>
      <c r="K437" t="s">
        <v>662</v>
      </c>
    </row>
    <row r="438" spans="1:11">
      <c r="A438" t="s">
        <v>227</v>
      </c>
      <c r="B438">
        <v>1</v>
      </c>
      <c r="C438">
        <v>4</v>
      </c>
      <c r="D438">
        <v>113</v>
      </c>
      <c r="E438">
        <v>0</v>
      </c>
      <c r="F438">
        <v>0</v>
      </c>
      <c r="G438">
        <v>0</v>
      </c>
      <c r="H438">
        <v>113</v>
      </c>
      <c r="I438" s="4">
        <f t="shared" si="6"/>
        <v>1</v>
      </c>
      <c r="K438" t="s">
        <v>662</v>
      </c>
    </row>
    <row r="439" spans="1:11">
      <c r="A439" t="s">
        <v>228</v>
      </c>
      <c r="B439">
        <v>1</v>
      </c>
      <c r="C439">
        <v>1</v>
      </c>
      <c r="D439">
        <v>10</v>
      </c>
      <c r="E439">
        <v>0</v>
      </c>
      <c r="F439">
        <v>7</v>
      </c>
      <c r="G439">
        <v>0</v>
      </c>
      <c r="H439">
        <v>94</v>
      </c>
      <c r="I439" s="4">
        <f t="shared" si="6"/>
        <v>0.10638297872340426</v>
      </c>
      <c r="K439" t="s">
        <v>663</v>
      </c>
    </row>
    <row r="440" spans="1:11">
      <c r="A440" t="s">
        <v>228</v>
      </c>
      <c r="B440">
        <v>1</v>
      </c>
      <c r="C440">
        <v>2</v>
      </c>
      <c r="D440">
        <v>17</v>
      </c>
      <c r="E440">
        <v>0</v>
      </c>
      <c r="F440">
        <v>8</v>
      </c>
      <c r="G440">
        <v>0</v>
      </c>
      <c r="H440">
        <v>94</v>
      </c>
      <c r="I440" s="4">
        <f t="shared" si="6"/>
        <v>0.18085106382978725</v>
      </c>
      <c r="K440" t="s">
        <v>663</v>
      </c>
    </row>
    <row r="441" spans="1:11">
      <c r="A441" t="s">
        <v>228</v>
      </c>
      <c r="B441">
        <v>1</v>
      </c>
      <c r="C441">
        <v>3</v>
      </c>
      <c r="D441">
        <v>28</v>
      </c>
      <c r="E441">
        <v>0</v>
      </c>
      <c r="F441">
        <v>6</v>
      </c>
      <c r="G441">
        <v>0</v>
      </c>
      <c r="H441">
        <v>94</v>
      </c>
      <c r="I441" s="4">
        <f t="shared" si="6"/>
        <v>0.2978723404255319</v>
      </c>
      <c r="K441" t="s">
        <v>663</v>
      </c>
    </row>
    <row r="442" spans="1:11">
      <c r="A442" t="s">
        <v>228</v>
      </c>
      <c r="B442">
        <v>1</v>
      </c>
      <c r="C442">
        <v>4</v>
      </c>
      <c r="D442">
        <v>41</v>
      </c>
      <c r="E442">
        <v>0</v>
      </c>
      <c r="F442">
        <v>6</v>
      </c>
      <c r="G442">
        <v>0</v>
      </c>
      <c r="H442">
        <v>94</v>
      </c>
      <c r="I442" s="4">
        <f t="shared" si="6"/>
        <v>0.43617021276595747</v>
      </c>
      <c r="K442" t="s">
        <v>663</v>
      </c>
    </row>
    <row r="443" spans="1:11">
      <c r="A443" t="s">
        <v>228</v>
      </c>
      <c r="B443">
        <v>1</v>
      </c>
      <c r="C443">
        <v>5</v>
      </c>
      <c r="D443">
        <v>53</v>
      </c>
      <c r="E443">
        <v>0</v>
      </c>
      <c r="F443">
        <v>4</v>
      </c>
      <c r="G443">
        <v>0</v>
      </c>
      <c r="H443">
        <v>94</v>
      </c>
      <c r="I443" s="4">
        <f t="shared" si="6"/>
        <v>0.56382978723404253</v>
      </c>
      <c r="K443" t="s">
        <v>663</v>
      </c>
    </row>
    <row r="444" spans="1:11">
      <c r="A444" t="s">
        <v>228</v>
      </c>
      <c r="B444">
        <v>1</v>
      </c>
      <c r="C444">
        <v>6</v>
      </c>
      <c r="D444">
        <v>65</v>
      </c>
      <c r="E444">
        <v>0</v>
      </c>
      <c r="F444">
        <v>2</v>
      </c>
      <c r="G444">
        <v>0</v>
      </c>
      <c r="H444">
        <v>94</v>
      </c>
      <c r="I444" s="4">
        <f t="shared" si="6"/>
        <v>0.69148936170212771</v>
      </c>
      <c r="K444" t="s">
        <v>663</v>
      </c>
    </row>
    <row r="445" spans="1:11">
      <c r="A445" t="s">
        <v>228</v>
      </c>
      <c r="B445">
        <v>1</v>
      </c>
      <c r="C445">
        <v>7</v>
      </c>
      <c r="D445">
        <v>80</v>
      </c>
      <c r="E445">
        <v>0</v>
      </c>
      <c r="F445">
        <v>2</v>
      </c>
      <c r="G445">
        <v>0</v>
      </c>
      <c r="H445">
        <v>94</v>
      </c>
      <c r="I445" s="4">
        <f t="shared" si="6"/>
        <v>0.85106382978723405</v>
      </c>
      <c r="K445" t="s">
        <v>663</v>
      </c>
    </row>
    <row r="446" spans="1:11">
      <c r="A446" t="s">
        <v>228</v>
      </c>
      <c r="B446">
        <v>1</v>
      </c>
      <c r="C446">
        <v>8</v>
      </c>
      <c r="D446">
        <v>94</v>
      </c>
      <c r="E446">
        <v>0</v>
      </c>
      <c r="F446">
        <v>0</v>
      </c>
      <c r="G446">
        <v>0</v>
      </c>
      <c r="H446">
        <v>94</v>
      </c>
      <c r="I446" s="4">
        <f t="shared" si="6"/>
        <v>1</v>
      </c>
      <c r="K446" t="s">
        <v>663</v>
      </c>
    </row>
    <row r="447" spans="1:11">
      <c r="A447" t="s">
        <v>230</v>
      </c>
      <c r="B447">
        <v>1</v>
      </c>
      <c r="C447">
        <v>1</v>
      </c>
      <c r="D447">
        <v>36</v>
      </c>
      <c r="E447">
        <v>0</v>
      </c>
      <c r="F447">
        <v>2</v>
      </c>
      <c r="G447">
        <v>0</v>
      </c>
      <c r="H447">
        <v>169</v>
      </c>
      <c r="I447" s="4">
        <f t="shared" si="6"/>
        <v>0.21301775147928995</v>
      </c>
      <c r="K447" t="s">
        <v>665</v>
      </c>
    </row>
    <row r="448" spans="1:11">
      <c r="A448" t="s">
        <v>230</v>
      </c>
      <c r="B448">
        <v>1</v>
      </c>
      <c r="C448">
        <v>2</v>
      </c>
      <c r="D448">
        <v>69</v>
      </c>
      <c r="E448">
        <v>0</v>
      </c>
      <c r="F448">
        <v>2</v>
      </c>
      <c r="G448">
        <v>0</v>
      </c>
      <c r="H448">
        <v>169</v>
      </c>
      <c r="I448" s="4">
        <f t="shared" si="6"/>
        <v>0.40828402366863903</v>
      </c>
      <c r="K448" t="s">
        <v>665</v>
      </c>
    </row>
    <row r="449" spans="1:11">
      <c r="A449" t="s">
        <v>230</v>
      </c>
      <c r="B449">
        <v>1</v>
      </c>
      <c r="C449">
        <v>3</v>
      </c>
      <c r="D449">
        <v>102</v>
      </c>
      <c r="E449">
        <v>0</v>
      </c>
      <c r="F449">
        <v>2</v>
      </c>
      <c r="G449">
        <v>0</v>
      </c>
      <c r="H449">
        <v>169</v>
      </c>
      <c r="I449" s="4">
        <f t="shared" si="6"/>
        <v>0.60355029585798814</v>
      </c>
      <c r="K449" t="s">
        <v>665</v>
      </c>
    </row>
    <row r="450" spans="1:11">
      <c r="A450" t="s">
        <v>230</v>
      </c>
      <c r="B450">
        <v>1</v>
      </c>
      <c r="C450">
        <v>4</v>
      </c>
      <c r="D450">
        <v>135</v>
      </c>
      <c r="E450">
        <v>0</v>
      </c>
      <c r="F450">
        <v>2</v>
      </c>
      <c r="G450">
        <v>0</v>
      </c>
      <c r="H450">
        <v>169</v>
      </c>
      <c r="I450" s="4">
        <f t="shared" si="6"/>
        <v>0.79881656804733725</v>
      </c>
      <c r="K450" t="s">
        <v>665</v>
      </c>
    </row>
    <row r="451" spans="1:11">
      <c r="A451" t="s">
        <v>230</v>
      </c>
      <c r="B451">
        <v>1</v>
      </c>
      <c r="C451">
        <v>5</v>
      </c>
      <c r="D451">
        <v>169</v>
      </c>
      <c r="E451">
        <v>0</v>
      </c>
      <c r="F451">
        <v>0</v>
      </c>
      <c r="G451">
        <v>0</v>
      </c>
      <c r="H451">
        <v>169</v>
      </c>
      <c r="I451" s="4">
        <f t="shared" ref="I451:I514" si="7">D451/H451</f>
        <v>1</v>
      </c>
      <c r="K451" t="s">
        <v>665</v>
      </c>
    </row>
    <row r="452" spans="1:11">
      <c r="A452" t="s">
        <v>231</v>
      </c>
      <c r="B452">
        <v>5</v>
      </c>
      <c r="C452">
        <v>1</v>
      </c>
      <c r="D452">
        <v>39</v>
      </c>
      <c r="E452">
        <v>0</v>
      </c>
      <c r="F452">
        <v>9</v>
      </c>
      <c r="G452">
        <v>0</v>
      </c>
      <c r="H452">
        <v>123</v>
      </c>
      <c r="I452" s="4">
        <f t="shared" si="7"/>
        <v>0.31707317073170732</v>
      </c>
      <c r="K452" t="s">
        <v>667</v>
      </c>
    </row>
    <row r="453" spans="1:11">
      <c r="A453" t="s">
        <v>231</v>
      </c>
      <c r="B453">
        <v>5</v>
      </c>
      <c r="C453">
        <v>2</v>
      </c>
      <c r="D453">
        <v>44</v>
      </c>
      <c r="E453">
        <v>0</v>
      </c>
      <c r="F453">
        <v>9</v>
      </c>
      <c r="G453">
        <v>0</v>
      </c>
      <c r="H453">
        <v>123</v>
      </c>
      <c r="I453" s="4">
        <f t="shared" si="7"/>
        <v>0.35772357723577236</v>
      </c>
      <c r="K453" t="s">
        <v>667</v>
      </c>
    </row>
    <row r="454" spans="1:11">
      <c r="A454" t="s">
        <v>231</v>
      </c>
      <c r="B454">
        <v>5</v>
      </c>
      <c r="C454">
        <v>3</v>
      </c>
      <c r="D454">
        <v>55</v>
      </c>
      <c r="E454">
        <v>0</v>
      </c>
      <c r="F454">
        <v>8</v>
      </c>
      <c r="G454">
        <v>0</v>
      </c>
      <c r="H454">
        <v>123</v>
      </c>
      <c r="I454" s="4">
        <f t="shared" si="7"/>
        <v>0.44715447154471544</v>
      </c>
      <c r="K454" t="s">
        <v>667</v>
      </c>
    </row>
    <row r="455" spans="1:11">
      <c r="A455" t="s">
        <v>231</v>
      </c>
      <c r="B455">
        <v>5</v>
      </c>
      <c r="C455">
        <v>4</v>
      </c>
      <c r="D455">
        <v>71</v>
      </c>
      <c r="E455">
        <v>0</v>
      </c>
      <c r="F455">
        <v>6</v>
      </c>
      <c r="G455">
        <v>0</v>
      </c>
      <c r="H455">
        <v>123</v>
      </c>
      <c r="I455" s="4">
        <f t="shared" si="7"/>
        <v>0.57723577235772361</v>
      </c>
      <c r="K455" t="s">
        <v>667</v>
      </c>
    </row>
    <row r="456" spans="1:11">
      <c r="A456" t="s">
        <v>231</v>
      </c>
      <c r="B456">
        <v>5</v>
      </c>
      <c r="C456">
        <v>5</v>
      </c>
      <c r="D456">
        <v>123</v>
      </c>
      <c r="E456">
        <v>0</v>
      </c>
      <c r="F456">
        <v>4</v>
      </c>
      <c r="G456">
        <v>0</v>
      </c>
      <c r="H456">
        <v>123</v>
      </c>
      <c r="I456" s="4">
        <f t="shared" si="7"/>
        <v>1</v>
      </c>
      <c r="K456" t="s">
        <v>667</v>
      </c>
    </row>
    <row r="457" spans="1:11">
      <c r="A457" t="s">
        <v>231</v>
      </c>
      <c r="B457">
        <v>7</v>
      </c>
      <c r="C457">
        <v>1</v>
      </c>
      <c r="D457">
        <v>10</v>
      </c>
      <c r="E457">
        <v>0</v>
      </c>
      <c r="F457">
        <v>5</v>
      </c>
      <c r="G457">
        <v>0</v>
      </c>
      <c r="H457">
        <v>33</v>
      </c>
      <c r="I457" s="4">
        <f t="shared" si="7"/>
        <v>0.30303030303030304</v>
      </c>
      <c r="K457" t="s">
        <v>668</v>
      </c>
    </row>
    <row r="458" spans="1:11">
      <c r="A458" t="s">
        <v>231</v>
      </c>
      <c r="B458">
        <v>7</v>
      </c>
      <c r="C458">
        <v>2</v>
      </c>
      <c r="D458">
        <v>22</v>
      </c>
      <c r="E458">
        <v>0</v>
      </c>
      <c r="F458">
        <v>3</v>
      </c>
      <c r="G458">
        <v>0</v>
      </c>
      <c r="H458">
        <v>33</v>
      </c>
      <c r="I458" s="4">
        <f t="shared" si="7"/>
        <v>0.66666666666666663</v>
      </c>
      <c r="K458" t="s">
        <v>668</v>
      </c>
    </row>
    <row r="459" spans="1:11">
      <c r="A459" t="s">
        <v>231</v>
      </c>
      <c r="B459">
        <v>7</v>
      </c>
      <c r="C459">
        <v>3</v>
      </c>
      <c r="D459">
        <v>33</v>
      </c>
      <c r="E459">
        <v>0</v>
      </c>
      <c r="F459">
        <v>0</v>
      </c>
      <c r="G459">
        <v>0</v>
      </c>
      <c r="H459">
        <v>33</v>
      </c>
      <c r="I459" s="4">
        <f t="shared" si="7"/>
        <v>1</v>
      </c>
      <c r="K459" t="s">
        <v>668</v>
      </c>
    </row>
    <row r="460" spans="1:11">
      <c r="A460" t="s">
        <v>231</v>
      </c>
      <c r="B460">
        <v>9</v>
      </c>
      <c r="C460">
        <v>1</v>
      </c>
      <c r="D460">
        <v>7</v>
      </c>
      <c r="E460">
        <v>0</v>
      </c>
      <c r="F460">
        <v>5</v>
      </c>
      <c r="G460">
        <v>0</v>
      </c>
      <c r="H460">
        <v>36</v>
      </c>
      <c r="I460" s="4">
        <f t="shared" si="7"/>
        <v>0.19444444444444445</v>
      </c>
      <c r="K460" t="s">
        <v>670</v>
      </c>
    </row>
    <row r="461" spans="1:11">
      <c r="A461" t="s">
        <v>231</v>
      </c>
      <c r="B461">
        <v>9</v>
      </c>
      <c r="C461">
        <v>2</v>
      </c>
      <c r="D461">
        <v>8</v>
      </c>
      <c r="E461">
        <v>0</v>
      </c>
      <c r="F461">
        <v>4</v>
      </c>
      <c r="G461">
        <v>0</v>
      </c>
      <c r="H461">
        <v>36</v>
      </c>
      <c r="I461" s="4">
        <f t="shared" si="7"/>
        <v>0.22222222222222221</v>
      </c>
      <c r="K461" t="s">
        <v>670</v>
      </c>
    </row>
    <row r="462" spans="1:11">
      <c r="A462" t="s">
        <v>231</v>
      </c>
      <c r="B462">
        <v>9</v>
      </c>
      <c r="C462">
        <v>3</v>
      </c>
      <c r="D462">
        <v>12</v>
      </c>
      <c r="E462">
        <v>0</v>
      </c>
      <c r="F462">
        <v>5</v>
      </c>
      <c r="G462">
        <v>0</v>
      </c>
      <c r="H462">
        <v>36</v>
      </c>
      <c r="I462" s="4">
        <f t="shared" si="7"/>
        <v>0.33333333333333331</v>
      </c>
      <c r="K462" t="s">
        <v>670</v>
      </c>
    </row>
    <row r="463" spans="1:11">
      <c r="A463" t="s">
        <v>231</v>
      </c>
      <c r="B463">
        <v>9</v>
      </c>
      <c r="C463">
        <v>4</v>
      </c>
      <c r="D463">
        <v>17</v>
      </c>
      <c r="E463">
        <v>0</v>
      </c>
      <c r="F463">
        <v>5</v>
      </c>
      <c r="G463">
        <v>0</v>
      </c>
      <c r="H463">
        <v>36</v>
      </c>
      <c r="I463" s="4">
        <f t="shared" si="7"/>
        <v>0.47222222222222221</v>
      </c>
      <c r="K463" t="s">
        <v>670</v>
      </c>
    </row>
    <row r="464" spans="1:11">
      <c r="A464" t="s">
        <v>231</v>
      </c>
      <c r="B464">
        <v>9</v>
      </c>
      <c r="C464">
        <v>5</v>
      </c>
      <c r="D464">
        <v>19</v>
      </c>
      <c r="E464">
        <v>0</v>
      </c>
      <c r="F464">
        <v>5</v>
      </c>
      <c r="G464">
        <v>0</v>
      </c>
      <c r="H464">
        <v>36</v>
      </c>
      <c r="I464" s="4">
        <f t="shared" si="7"/>
        <v>0.52777777777777779</v>
      </c>
      <c r="K464" t="s">
        <v>670</v>
      </c>
    </row>
    <row r="465" spans="1:11">
      <c r="A465" t="s">
        <v>231</v>
      </c>
      <c r="B465">
        <v>9</v>
      </c>
      <c r="C465">
        <v>6</v>
      </c>
      <c r="D465">
        <v>20</v>
      </c>
      <c r="E465">
        <v>0</v>
      </c>
      <c r="F465">
        <v>4</v>
      </c>
      <c r="G465">
        <v>0</v>
      </c>
      <c r="H465">
        <v>36</v>
      </c>
      <c r="I465" s="4">
        <f t="shared" si="7"/>
        <v>0.55555555555555558</v>
      </c>
      <c r="K465" t="s">
        <v>670</v>
      </c>
    </row>
    <row r="466" spans="1:11">
      <c r="A466" t="s">
        <v>231</v>
      </c>
      <c r="B466">
        <v>9</v>
      </c>
      <c r="C466">
        <v>7</v>
      </c>
      <c r="D466">
        <v>20</v>
      </c>
      <c r="E466">
        <v>0</v>
      </c>
      <c r="F466">
        <v>4</v>
      </c>
      <c r="G466">
        <v>0</v>
      </c>
      <c r="H466">
        <v>36</v>
      </c>
      <c r="I466" s="4">
        <f t="shared" si="7"/>
        <v>0.55555555555555558</v>
      </c>
      <c r="K466" t="s">
        <v>670</v>
      </c>
    </row>
    <row r="467" spans="1:11">
      <c r="A467" t="s">
        <v>231</v>
      </c>
      <c r="B467">
        <v>9</v>
      </c>
      <c r="C467">
        <v>8</v>
      </c>
      <c r="D467">
        <v>23</v>
      </c>
      <c r="E467">
        <v>0</v>
      </c>
      <c r="F467">
        <v>3</v>
      </c>
      <c r="G467">
        <v>0</v>
      </c>
      <c r="H467">
        <v>36</v>
      </c>
      <c r="I467" s="4">
        <f t="shared" si="7"/>
        <v>0.63888888888888884</v>
      </c>
      <c r="K467" t="s">
        <v>670</v>
      </c>
    </row>
    <row r="468" spans="1:11">
      <c r="A468" t="s">
        <v>231</v>
      </c>
      <c r="B468">
        <v>9</v>
      </c>
      <c r="C468">
        <v>9</v>
      </c>
      <c r="D468">
        <v>23</v>
      </c>
      <c r="E468">
        <v>0</v>
      </c>
      <c r="F468">
        <v>3</v>
      </c>
      <c r="G468">
        <v>0</v>
      </c>
      <c r="H468">
        <v>36</v>
      </c>
      <c r="I468" s="4">
        <f t="shared" si="7"/>
        <v>0.63888888888888884</v>
      </c>
      <c r="K468" t="s">
        <v>670</v>
      </c>
    </row>
    <row r="469" spans="1:11">
      <c r="A469" t="s">
        <v>231</v>
      </c>
      <c r="B469">
        <v>9</v>
      </c>
      <c r="C469">
        <v>10</v>
      </c>
      <c r="D469">
        <v>24</v>
      </c>
      <c r="E469">
        <v>0</v>
      </c>
      <c r="F469">
        <v>2</v>
      </c>
      <c r="G469">
        <v>0</v>
      </c>
      <c r="H469">
        <v>36</v>
      </c>
      <c r="I469" s="4">
        <f t="shared" si="7"/>
        <v>0.66666666666666663</v>
      </c>
      <c r="K469" t="s">
        <v>670</v>
      </c>
    </row>
    <row r="470" spans="1:11">
      <c r="A470" t="s">
        <v>231</v>
      </c>
      <c r="B470">
        <v>9</v>
      </c>
      <c r="C470">
        <v>11</v>
      </c>
      <c r="D470">
        <v>24</v>
      </c>
      <c r="E470">
        <v>0</v>
      </c>
      <c r="F470">
        <v>2</v>
      </c>
      <c r="G470">
        <v>0</v>
      </c>
      <c r="H470">
        <v>36</v>
      </c>
      <c r="I470" s="4">
        <f t="shared" si="7"/>
        <v>0.66666666666666663</v>
      </c>
      <c r="K470" t="s">
        <v>670</v>
      </c>
    </row>
    <row r="471" spans="1:11">
      <c r="A471" t="s">
        <v>231</v>
      </c>
      <c r="B471">
        <v>9</v>
      </c>
      <c r="C471">
        <v>12</v>
      </c>
      <c r="D471">
        <v>24</v>
      </c>
      <c r="E471">
        <v>0</v>
      </c>
      <c r="F471">
        <v>2</v>
      </c>
      <c r="G471">
        <v>0</v>
      </c>
      <c r="H471">
        <v>36</v>
      </c>
      <c r="I471" s="4">
        <f t="shared" si="7"/>
        <v>0.66666666666666663</v>
      </c>
      <c r="K471" t="s">
        <v>670</v>
      </c>
    </row>
    <row r="472" spans="1:11">
      <c r="A472" t="s">
        <v>231</v>
      </c>
      <c r="B472">
        <v>9</v>
      </c>
      <c r="C472">
        <v>13</v>
      </c>
      <c r="D472">
        <v>24</v>
      </c>
      <c r="E472">
        <v>0</v>
      </c>
      <c r="F472">
        <v>2</v>
      </c>
      <c r="G472">
        <v>0</v>
      </c>
      <c r="H472">
        <v>36</v>
      </c>
      <c r="I472" s="4">
        <f t="shared" si="7"/>
        <v>0.66666666666666663</v>
      </c>
      <c r="K472" t="s">
        <v>670</v>
      </c>
    </row>
    <row r="473" spans="1:11">
      <c r="A473" t="s">
        <v>231</v>
      </c>
      <c r="B473">
        <v>9</v>
      </c>
      <c r="C473">
        <v>14</v>
      </c>
      <c r="D473">
        <v>28</v>
      </c>
      <c r="E473">
        <v>0</v>
      </c>
      <c r="F473">
        <v>3</v>
      </c>
      <c r="G473">
        <v>0</v>
      </c>
      <c r="H473">
        <v>36</v>
      </c>
      <c r="I473" s="4">
        <f t="shared" si="7"/>
        <v>0.77777777777777779</v>
      </c>
      <c r="K473" t="s">
        <v>670</v>
      </c>
    </row>
    <row r="474" spans="1:11">
      <c r="A474" t="s">
        <v>231</v>
      </c>
      <c r="B474">
        <v>9</v>
      </c>
      <c r="C474">
        <v>15</v>
      </c>
      <c r="D474">
        <v>35</v>
      </c>
      <c r="E474">
        <v>0</v>
      </c>
      <c r="F474">
        <v>1</v>
      </c>
      <c r="G474">
        <v>0</v>
      </c>
      <c r="H474">
        <v>36</v>
      </c>
      <c r="I474" s="4">
        <f t="shared" si="7"/>
        <v>0.97222222222222221</v>
      </c>
      <c r="K474" t="s">
        <v>670</v>
      </c>
    </row>
    <row r="475" spans="1:11">
      <c r="A475" t="s">
        <v>231</v>
      </c>
      <c r="B475">
        <v>9</v>
      </c>
      <c r="C475">
        <v>16</v>
      </c>
      <c r="D475">
        <v>35</v>
      </c>
      <c r="E475">
        <v>0</v>
      </c>
      <c r="F475">
        <v>1</v>
      </c>
      <c r="G475">
        <v>0</v>
      </c>
      <c r="H475">
        <v>36</v>
      </c>
      <c r="I475" s="4">
        <f t="shared" si="7"/>
        <v>0.97222222222222221</v>
      </c>
      <c r="K475" t="s">
        <v>670</v>
      </c>
    </row>
    <row r="476" spans="1:11">
      <c r="A476" t="s">
        <v>231</v>
      </c>
      <c r="B476">
        <v>9</v>
      </c>
      <c r="C476">
        <v>17</v>
      </c>
      <c r="D476">
        <v>36</v>
      </c>
      <c r="E476">
        <v>0</v>
      </c>
      <c r="F476">
        <v>0</v>
      </c>
      <c r="G476">
        <v>0</v>
      </c>
      <c r="H476">
        <v>36</v>
      </c>
      <c r="I476" s="4">
        <f t="shared" si="7"/>
        <v>1</v>
      </c>
      <c r="K476" t="s">
        <v>670</v>
      </c>
    </row>
    <row r="477" spans="1:11">
      <c r="A477" t="s">
        <v>231</v>
      </c>
      <c r="B477">
        <v>9</v>
      </c>
      <c r="C477">
        <v>18</v>
      </c>
      <c r="D477">
        <v>36</v>
      </c>
      <c r="E477">
        <v>0</v>
      </c>
      <c r="F477">
        <v>0</v>
      </c>
      <c r="G477">
        <v>0</v>
      </c>
      <c r="H477">
        <v>36</v>
      </c>
      <c r="I477" s="4">
        <f t="shared" si="7"/>
        <v>1</v>
      </c>
      <c r="K477" t="s">
        <v>670</v>
      </c>
    </row>
    <row r="478" spans="1:11">
      <c r="A478" t="s">
        <v>231</v>
      </c>
      <c r="B478">
        <v>10</v>
      </c>
      <c r="C478">
        <v>1</v>
      </c>
      <c r="D478">
        <v>24</v>
      </c>
      <c r="E478">
        <v>0</v>
      </c>
      <c r="F478">
        <v>5</v>
      </c>
      <c r="G478">
        <v>0</v>
      </c>
      <c r="H478">
        <v>30</v>
      </c>
      <c r="I478" s="4">
        <f t="shared" si="7"/>
        <v>0.8</v>
      </c>
      <c r="K478" t="s">
        <v>671</v>
      </c>
    </row>
    <row r="479" spans="1:11">
      <c r="A479" t="s">
        <v>231</v>
      </c>
      <c r="B479">
        <v>10</v>
      </c>
      <c r="C479">
        <v>2</v>
      </c>
      <c r="D479">
        <v>26</v>
      </c>
      <c r="E479">
        <v>0</v>
      </c>
      <c r="F479">
        <v>3</v>
      </c>
      <c r="G479">
        <v>0</v>
      </c>
      <c r="H479">
        <v>30</v>
      </c>
      <c r="I479" s="4">
        <f t="shared" si="7"/>
        <v>0.8666666666666667</v>
      </c>
      <c r="K479" t="s">
        <v>671</v>
      </c>
    </row>
    <row r="480" spans="1:11">
      <c r="A480" t="s">
        <v>231</v>
      </c>
      <c r="B480">
        <v>10</v>
      </c>
      <c r="C480">
        <v>3</v>
      </c>
      <c r="D480">
        <v>30</v>
      </c>
      <c r="E480">
        <v>0</v>
      </c>
      <c r="F480">
        <v>0</v>
      </c>
      <c r="G480">
        <v>0</v>
      </c>
      <c r="H480">
        <v>30</v>
      </c>
      <c r="I480" s="4">
        <f t="shared" si="7"/>
        <v>1</v>
      </c>
      <c r="K480" t="s">
        <v>671</v>
      </c>
    </row>
    <row r="481" spans="1:11">
      <c r="A481" t="s">
        <v>231</v>
      </c>
      <c r="B481">
        <v>10</v>
      </c>
      <c r="C481">
        <v>4</v>
      </c>
      <c r="D481">
        <v>30</v>
      </c>
      <c r="E481">
        <v>0</v>
      </c>
      <c r="F481">
        <v>0</v>
      </c>
      <c r="G481">
        <v>0</v>
      </c>
      <c r="H481">
        <v>30</v>
      </c>
      <c r="I481" s="4">
        <f t="shared" si="7"/>
        <v>1</v>
      </c>
      <c r="K481" t="s">
        <v>671</v>
      </c>
    </row>
    <row r="482" spans="1:11">
      <c r="A482" t="s">
        <v>231</v>
      </c>
      <c r="B482">
        <v>11</v>
      </c>
      <c r="C482">
        <v>1</v>
      </c>
      <c r="D482">
        <v>7</v>
      </c>
      <c r="E482">
        <v>0</v>
      </c>
      <c r="F482">
        <v>3</v>
      </c>
      <c r="G482">
        <v>0</v>
      </c>
      <c r="H482">
        <v>88</v>
      </c>
      <c r="I482" s="4">
        <f t="shared" si="7"/>
        <v>7.9545454545454544E-2</v>
      </c>
      <c r="K482" t="s">
        <v>672</v>
      </c>
    </row>
    <row r="483" spans="1:11">
      <c r="A483" t="s">
        <v>231</v>
      </c>
      <c r="B483">
        <v>11</v>
      </c>
      <c r="C483">
        <v>2</v>
      </c>
      <c r="D483">
        <v>34</v>
      </c>
      <c r="E483">
        <v>0</v>
      </c>
      <c r="F483">
        <v>9</v>
      </c>
      <c r="G483">
        <v>0</v>
      </c>
      <c r="H483">
        <v>88</v>
      </c>
      <c r="I483" s="4">
        <f t="shared" si="7"/>
        <v>0.38636363636363635</v>
      </c>
      <c r="K483" t="s">
        <v>672</v>
      </c>
    </row>
    <row r="484" spans="1:11">
      <c r="A484" t="s">
        <v>231</v>
      </c>
      <c r="B484">
        <v>11</v>
      </c>
      <c r="C484">
        <v>3</v>
      </c>
      <c r="D484">
        <v>43</v>
      </c>
      <c r="E484">
        <v>0</v>
      </c>
      <c r="F484">
        <v>7</v>
      </c>
      <c r="G484">
        <v>0</v>
      </c>
      <c r="H484">
        <v>88</v>
      </c>
      <c r="I484" s="4">
        <f t="shared" si="7"/>
        <v>0.48863636363636365</v>
      </c>
      <c r="K484" t="s">
        <v>672</v>
      </c>
    </row>
    <row r="485" spans="1:11">
      <c r="A485" t="s">
        <v>231</v>
      </c>
      <c r="B485">
        <v>11</v>
      </c>
      <c r="C485">
        <v>4</v>
      </c>
      <c r="D485">
        <v>46</v>
      </c>
      <c r="E485">
        <v>0</v>
      </c>
      <c r="F485">
        <v>5</v>
      </c>
      <c r="G485">
        <v>0</v>
      </c>
      <c r="H485">
        <v>88</v>
      </c>
      <c r="I485" s="4">
        <f t="shared" si="7"/>
        <v>0.52272727272727271</v>
      </c>
      <c r="K485" t="s">
        <v>672</v>
      </c>
    </row>
    <row r="486" spans="1:11">
      <c r="A486" t="s">
        <v>231</v>
      </c>
      <c r="B486">
        <v>11</v>
      </c>
      <c r="C486">
        <v>5</v>
      </c>
      <c r="D486">
        <v>54</v>
      </c>
      <c r="E486">
        <v>0</v>
      </c>
      <c r="F486">
        <v>6</v>
      </c>
      <c r="G486">
        <v>0</v>
      </c>
      <c r="H486">
        <v>88</v>
      </c>
      <c r="I486" s="4">
        <f t="shared" si="7"/>
        <v>0.61363636363636365</v>
      </c>
      <c r="K486" t="s">
        <v>672</v>
      </c>
    </row>
    <row r="487" spans="1:11">
      <c r="A487" t="s">
        <v>231</v>
      </c>
      <c r="B487">
        <v>11</v>
      </c>
      <c r="C487">
        <v>6</v>
      </c>
      <c r="D487">
        <v>54</v>
      </c>
      <c r="E487">
        <v>0</v>
      </c>
      <c r="F487">
        <v>6</v>
      </c>
      <c r="G487">
        <v>0</v>
      </c>
      <c r="H487">
        <v>88</v>
      </c>
      <c r="I487" s="4">
        <f t="shared" si="7"/>
        <v>0.61363636363636365</v>
      </c>
      <c r="K487" t="s">
        <v>672</v>
      </c>
    </row>
    <row r="488" spans="1:11">
      <c r="A488" t="s">
        <v>231</v>
      </c>
      <c r="B488">
        <v>11</v>
      </c>
      <c r="C488">
        <v>7</v>
      </c>
      <c r="D488">
        <v>54</v>
      </c>
      <c r="E488">
        <v>0</v>
      </c>
      <c r="F488">
        <v>6</v>
      </c>
      <c r="G488">
        <v>0</v>
      </c>
      <c r="H488">
        <v>88</v>
      </c>
      <c r="I488" s="4">
        <f t="shared" si="7"/>
        <v>0.61363636363636365</v>
      </c>
      <c r="K488" t="s">
        <v>672</v>
      </c>
    </row>
    <row r="489" spans="1:11">
      <c r="A489" t="s">
        <v>231</v>
      </c>
      <c r="B489">
        <v>11</v>
      </c>
      <c r="C489">
        <v>8</v>
      </c>
      <c r="D489">
        <v>62</v>
      </c>
      <c r="E489">
        <v>0</v>
      </c>
      <c r="F489">
        <v>6</v>
      </c>
      <c r="G489">
        <v>0</v>
      </c>
      <c r="H489">
        <v>88</v>
      </c>
      <c r="I489" s="4">
        <f t="shared" si="7"/>
        <v>0.70454545454545459</v>
      </c>
      <c r="K489" t="s">
        <v>672</v>
      </c>
    </row>
    <row r="490" spans="1:11">
      <c r="A490" t="s">
        <v>231</v>
      </c>
      <c r="B490">
        <v>11</v>
      </c>
      <c r="C490">
        <v>9</v>
      </c>
      <c r="D490">
        <v>68</v>
      </c>
      <c r="E490">
        <v>0</v>
      </c>
      <c r="F490">
        <v>3</v>
      </c>
      <c r="G490">
        <v>0</v>
      </c>
      <c r="H490">
        <v>88</v>
      </c>
      <c r="I490" s="4">
        <f t="shared" si="7"/>
        <v>0.77272727272727271</v>
      </c>
      <c r="K490" t="s">
        <v>672</v>
      </c>
    </row>
    <row r="491" spans="1:11">
      <c r="A491" t="s">
        <v>231</v>
      </c>
      <c r="B491">
        <v>11</v>
      </c>
      <c r="C491">
        <v>10</v>
      </c>
      <c r="D491">
        <v>68</v>
      </c>
      <c r="E491">
        <v>0</v>
      </c>
      <c r="F491">
        <v>3</v>
      </c>
      <c r="G491">
        <v>0</v>
      </c>
      <c r="H491">
        <v>88</v>
      </c>
      <c r="I491" s="4">
        <f t="shared" si="7"/>
        <v>0.77272727272727271</v>
      </c>
      <c r="K491" t="s">
        <v>672</v>
      </c>
    </row>
    <row r="492" spans="1:11">
      <c r="A492" t="s">
        <v>231</v>
      </c>
      <c r="B492">
        <v>11</v>
      </c>
      <c r="C492">
        <v>11</v>
      </c>
      <c r="D492">
        <v>68</v>
      </c>
      <c r="E492">
        <v>0</v>
      </c>
      <c r="F492">
        <v>3</v>
      </c>
      <c r="G492">
        <v>0</v>
      </c>
      <c r="H492">
        <v>88</v>
      </c>
      <c r="I492" s="4">
        <f t="shared" si="7"/>
        <v>0.77272727272727271</v>
      </c>
      <c r="K492" t="s">
        <v>672</v>
      </c>
    </row>
    <row r="493" spans="1:11">
      <c r="A493" t="s">
        <v>231</v>
      </c>
      <c r="B493">
        <v>11</v>
      </c>
      <c r="C493">
        <v>12</v>
      </c>
      <c r="D493">
        <v>68</v>
      </c>
      <c r="E493">
        <v>0</v>
      </c>
      <c r="F493">
        <v>3</v>
      </c>
      <c r="G493">
        <v>0</v>
      </c>
      <c r="H493">
        <v>88</v>
      </c>
      <c r="I493" s="4">
        <f t="shared" si="7"/>
        <v>0.77272727272727271</v>
      </c>
      <c r="K493" t="s">
        <v>672</v>
      </c>
    </row>
    <row r="494" spans="1:11">
      <c r="A494" t="s">
        <v>231</v>
      </c>
      <c r="B494">
        <v>11</v>
      </c>
      <c r="C494">
        <v>13</v>
      </c>
      <c r="D494">
        <v>81</v>
      </c>
      <c r="E494">
        <v>0</v>
      </c>
      <c r="F494">
        <v>3</v>
      </c>
      <c r="G494">
        <v>0</v>
      </c>
      <c r="H494">
        <v>88</v>
      </c>
      <c r="I494" s="4">
        <f t="shared" si="7"/>
        <v>0.92045454545454541</v>
      </c>
      <c r="K494" t="s">
        <v>672</v>
      </c>
    </row>
    <row r="495" spans="1:11">
      <c r="A495" t="s">
        <v>231</v>
      </c>
      <c r="B495">
        <v>11</v>
      </c>
      <c r="C495">
        <v>14</v>
      </c>
      <c r="D495">
        <v>81</v>
      </c>
      <c r="E495">
        <v>0</v>
      </c>
      <c r="F495">
        <v>3</v>
      </c>
      <c r="G495">
        <v>0</v>
      </c>
      <c r="H495">
        <v>88</v>
      </c>
      <c r="I495" s="4">
        <f t="shared" si="7"/>
        <v>0.92045454545454541</v>
      </c>
      <c r="K495" t="s">
        <v>672</v>
      </c>
    </row>
    <row r="496" spans="1:11">
      <c r="A496" t="s">
        <v>231</v>
      </c>
      <c r="B496">
        <v>11</v>
      </c>
      <c r="C496">
        <v>15</v>
      </c>
      <c r="D496">
        <v>88</v>
      </c>
      <c r="E496">
        <v>0</v>
      </c>
      <c r="F496">
        <v>0</v>
      </c>
      <c r="G496">
        <v>0</v>
      </c>
      <c r="H496">
        <v>88</v>
      </c>
      <c r="I496" s="4">
        <f t="shared" si="7"/>
        <v>1</v>
      </c>
      <c r="K496" t="s">
        <v>672</v>
      </c>
    </row>
    <row r="497" spans="1:11">
      <c r="A497" t="s">
        <v>231</v>
      </c>
      <c r="B497">
        <v>11</v>
      </c>
      <c r="C497">
        <v>16</v>
      </c>
      <c r="D497">
        <v>88</v>
      </c>
      <c r="E497">
        <v>0</v>
      </c>
      <c r="F497">
        <v>0</v>
      </c>
      <c r="G497">
        <v>0</v>
      </c>
      <c r="H497">
        <v>88</v>
      </c>
      <c r="I497" s="4">
        <f t="shared" si="7"/>
        <v>1</v>
      </c>
      <c r="K497" t="s">
        <v>672</v>
      </c>
    </row>
    <row r="498" spans="1:11">
      <c r="A498" t="s">
        <v>231</v>
      </c>
      <c r="B498">
        <v>11</v>
      </c>
      <c r="C498">
        <v>17</v>
      </c>
      <c r="D498">
        <v>88</v>
      </c>
      <c r="E498">
        <v>0</v>
      </c>
      <c r="F498">
        <v>0</v>
      </c>
      <c r="G498">
        <v>0</v>
      </c>
      <c r="H498">
        <v>88</v>
      </c>
      <c r="I498" s="4">
        <f t="shared" si="7"/>
        <v>1</v>
      </c>
      <c r="K498" t="s">
        <v>672</v>
      </c>
    </row>
    <row r="499" spans="1:11">
      <c r="A499" t="s">
        <v>231</v>
      </c>
      <c r="B499">
        <v>11</v>
      </c>
      <c r="C499">
        <v>18</v>
      </c>
      <c r="D499">
        <v>88</v>
      </c>
      <c r="E499">
        <v>0</v>
      </c>
      <c r="F499">
        <v>0</v>
      </c>
      <c r="G499">
        <v>0</v>
      </c>
      <c r="H499">
        <v>88</v>
      </c>
      <c r="I499" s="4">
        <f t="shared" si="7"/>
        <v>1</v>
      </c>
      <c r="K499" t="s">
        <v>672</v>
      </c>
    </row>
    <row r="500" spans="1:11">
      <c r="A500" t="s">
        <v>231</v>
      </c>
      <c r="B500">
        <v>11</v>
      </c>
      <c r="C500">
        <v>19</v>
      </c>
      <c r="D500">
        <v>88</v>
      </c>
      <c r="E500">
        <v>0</v>
      </c>
      <c r="F500">
        <v>0</v>
      </c>
      <c r="G500">
        <v>0</v>
      </c>
      <c r="H500">
        <v>88</v>
      </c>
      <c r="I500" s="4">
        <f t="shared" si="7"/>
        <v>1</v>
      </c>
      <c r="K500" t="s">
        <v>672</v>
      </c>
    </row>
    <row r="501" spans="1:11">
      <c r="A501" t="s">
        <v>231</v>
      </c>
      <c r="B501">
        <v>12</v>
      </c>
      <c r="C501">
        <v>1</v>
      </c>
      <c r="D501">
        <v>7</v>
      </c>
      <c r="E501">
        <v>0</v>
      </c>
      <c r="F501">
        <v>3</v>
      </c>
      <c r="G501">
        <v>0</v>
      </c>
      <c r="H501">
        <v>56</v>
      </c>
      <c r="I501" s="4">
        <f t="shared" si="7"/>
        <v>0.125</v>
      </c>
      <c r="K501" t="s">
        <v>673</v>
      </c>
    </row>
    <row r="502" spans="1:11">
      <c r="A502" t="s">
        <v>231</v>
      </c>
      <c r="B502">
        <v>12</v>
      </c>
      <c r="C502">
        <v>2</v>
      </c>
      <c r="D502">
        <v>29</v>
      </c>
      <c r="E502">
        <v>0</v>
      </c>
      <c r="F502">
        <v>7</v>
      </c>
      <c r="G502">
        <v>0</v>
      </c>
      <c r="H502">
        <v>56</v>
      </c>
      <c r="I502" s="4">
        <f t="shared" si="7"/>
        <v>0.5178571428571429</v>
      </c>
      <c r="K502" t="s">
        <v>673</v>
      </c>
    </row>
    <row r="503" spans="1:11">
      <c r="A503" t="s">
        <v>231</v>
      </c>
      <c r="B503">
        <v>12</v>
      </c>
      <c r="C503">
        <v>3</v>
      </c>
      <c r="D503">
        <v>32</v>
      </c>
      <c r="E503">
        <v>0</v>
      </c>
      <c r="F503">
        <v>4</v>
      </c>
      <c r="G503">
        <v>0</v>
      </c>
      <c r="H503">
        <v>56</v>
      </c>
      <c r="I503" s="4">
        <f t="shared" si="7"/>
        <v>0.5714285714285714</v>
      </c>
      <c r="K503" t="s">
        <v>673</v>
      </c>
    </row>
    <row r="504" spans="1:11">
      <c r="A504" t="s">
        <v>231</v>
      </c>
      <c r="B504">
        <v>12</v>
      </c>
      <c r="C504">
        <v>4</v>
      </c>
      <c r="D504">
        <v>43</v>
      </c>
      <c r="E504">
        <v>0</v>
      </c>
      <c r="F504">
        <v>2</v>
      </c>
      <c r="G504">
        <v>0</v>
      </c>
      <c r="H504">
        <v>56</v>
      </c>
      <c r="I504" s="4">
        <f t="shared" si="7"/>
        <v>0.7678571428571429</v>
      </c>
      <c r="K504" t="s">
        <v>673</v>
      </c>
    </row>
    <row r="505" spans="1:11">
      <c r="A505" t="s">
        <v>231</v>
      </c>
      <c r="B505">
        <v>12</v>
      </c>
      <c r="C505">
        <v>5</v>
      </c>
      <c r="D505">
        <v>43</v>
      </c>
      <c r="E505">
        <v>0</v>
      </c>
      <c r="F505">
        <v>2</v>
      </c>
      <c r="G505">
        <v>0</v>
      </c>
      <c r="H505">
        <v>56</v>
      </c>
      <c r="I505" s="4">
        <f t="shared" si="7"/>
        <v>0.7678571428571429</v>
      </c>
      <c r="K505" t="s">
        <v>673</v>
      </c>
    </row>
    <row r="506" spans="1:11">
      <c r="A506" t="s">
        <v>231</v>
      </c>
      <c r="B506">
        <v>12</v>
      </c>
      <c r="C506">
        <v>6</v>
      </c>
      <c r="D506">
        <v>50</v>
      </c>
      <c r="E506">
        <v>0</v>
      </c>
      <c r="F506">
        <v>3</v>
      </c>
      <c r="G506">
        <v>0</v>
      </c>
      <c r="H506">
        <v>56</v>
      </c>
      <c r="I506" s="4">
        <f t="shared" si="7"/>
        <v>0.8928571428571429</v>
      </c>
      <c r="K506" t="s">
        <v>673</v>
      </c>
    </row>
    <row r="507" spans="1:11">
      <c r="A507" t="s">
        <v>231</v>
      </c>
      <c r="B507">
        <v>12</v>
      </c>
      <c r="C507">
        <v>7</v>
      </c>
      <c r="D507">
        <v>56</v>
      </c>
      <c r="E507">
        <v>0</v>
      </c>
      <c r="F507">
        <v>0</v>
      </c>
      <c r="G507">
        <v>0</v>
      </c>
      <c r="H507">
        <v>56</v>
      </c>
      <c r="I507" s="4">
        <f t="shared" si="7"/>
        <v>1</v>
      </c>
      <c r="K507" t="s">
        <v>673</v>
      </c>
    </row>
    <row r="508" spans="1:11">
      <c r="A508" t="s">
        <v>231</v>
      </c>
      <c r="B508">
        <v>12</v>
      </c>
      <c r="C508">
        <v>8</v>
      </c>
      <c r="D508">
        <v>56</v>
      </c>
      <c r="E508">
        <v>0</v>
      </c>
      <c r="F508">
        <v>0</v>
      </c>
      <c r="G508">
        <v>0</v>
      </c>
      <c r="H508">
        <v>56</v>
      </c>
      <c r="I508" s="4">
        <f t="shared" si="7"/>
        <v>1</v>
      </c>
      <c r="K508" t="s">
        <v>673</v>
      </c>
    </row>
    <row r="509" spans="1:11">
      <c r="A509" t="s">
        <v>231</v>
      </c>
      <c r="B509">
        <v>12</v>
      </c>
      <c r="C509">
        <v>9</v>
      </c>
      <c r="D509">
        <v>56</v>
      </c>
      <c r="E509">
        <v>0</v>
      </c>
      <c r="F509">
        <v>0</v>
      </c>
      <c r="G509">
        <v>0</v>
      </c>
      <c r="H509">
        <v>56</v>
      </c>
      <c r="I509" s="4">
        <f t="shared" si="7"/>
        <v>1</v>
      </c>
      <c r="K509" t="s">
        <v>673</v>
      </c>
    </row>
    <row r="510" spans="1:11">
      <c r="A510" t="s">
        <v>231</v>
      </c>
      <c r="B510">
        <v>13</v>
      </c>
      <c r="C510">
        <v>1</v>
      </c>
      <c r="D510">
        <v>3</v>
      </c>
      <c r="E510">
        <v>0</v>
      </c>
      <c r="F510">
        <v>1</v>
      </c>
      <c r="G510">
        <v>0</v>
      </c>
      <c r="H510">
        <v>7</v>
      </c>
      <c r="I510" s="4">
        <f t="shared" si="7"/>
        <v>0.42857142857142855</v>
      </c>
      <c r="K510" t="s">
        <v>674</v>
      </c>
    </row>
    <row r="511" spans="1:11">
      <c r="A511" t="s">
        <v>231</v>
      </c>
      <c r="B511">
        <v>13</v>
      </c>
      <c r="C511">
        <v>2</v>
      </c>
      <c r="D511">
        <v>7</v>
      </c>
      <c r="E511">
        <v>0</v>
      </c>
      <c r="F511">
        <v>0</v>
      </c>
      <c r="G511">
        <v>0</v>
      </c>
      <c r="H511">
        <v>7</v>
      </c>
      <c r="I511" s="4">
        <f t="shared" si="7"/>
        <v>1</v>
      </c>
      <c r="K511" t="s">
        <v>674</v>
      </c>
    </row>
    <row r="512" spans="1:11">
      <c r="A512" t="s">
        <v>598</v>
      </c>
      <c r="B512">
        <v>2</v>
      </c>
      <c r="C512">
        <v>1</v>
      </c>
      <c r="D512">
        <v>25</v>
      </c>
      <c r="E512">
        <v>0</v>
      </c>
      <c r="F512">
        <v>3</v>
      </c>
      <c r="G512">
        <v>0</v>
      </c>
      <c r="H512">
        <v>71</v>
      </c>
      <c r="I512" s="4">
        <f t="shared" si="7"/>
        <v>0.352112676056338</v>
      </c>
      <c r="K512" t="s">
        <v>675</v>
      </c>
    </row>
    <row r="513" spans="1:11">
      <c r="A513" t="s">
        <v>598</v>
      </c>
      <c r="B513">
        <v>2</v>
      </c>
      <c r="C513">
        <v>2</v>
      </c>
      <c r="D513">
        <v>50</v>
      </c>
      <c r="E513">
        <v>0</v>
      </c>
      <c r="F513">
        <v>2</v>
      </c>
      <c r="G513">
        <v>0</v>
      </c>
      <c r="H513">
        <v>71</v>
      </c>
      <c r="I513" s="4">
        <f t="shared" si="7"/>
        <v>0.70422535211267601</v>
      </c>
      <c r="K513" t="s">
        <v>675</v>
      </c>
    </row>
    <row r="514" spans="1:11">
      <c r="A514" t="s">
        <v>598</v>
      </c>
      <c r="B514">
        <v>2</v>
      </c>
      <c r="C514">
        <v>3</v>
      </c>
      <c r="D514">
        <v>71</v>
      </c>
      <c r="E514">
        <v>0</v>
      </c>
      <c r="F514">
        <v>0</v>
      </c>
      <c r="G514">
        <v>0</v>
      </c>
      <c r="H514">
        <v>71</v>
      </c>
      <c r="I514" s="4">
        <f t="shared" si="7"/>
        <v>1</v>
      </c>
      <c r="K514" t="s">
        <v>675</v>
      </c>
    </row>
    <row r="515" spans="1:11">
      <c r="A515" t="s">
        <v>598</v>
      </c>
      <c r="B515">
        <v>6</v>
      </c>
      <c r="C515">
        <v>1</v>
      </c>
      <c r="D515">
        <v>21</v>
      </c>
      <c r="E515">
        <v>0</v>
      </c>
      <c r="F515">
        <v>3</v>
      </c>
      <c r="G515">
        <v>1</v>
      </c>
      <c r="H515">
        <v>31</v>
      </c>
      <c r="I515" s="4">
        <f t="shared" ref="I515:I522" si="8">D515/H515</f>
        <v>0.67741935483870963</v>
      </c>
      <c r="K515" t="s">
        <v>676</v>
      </c>
    </row>
    <row r="516" spans="1:11">
      <c r="A516" t="s">
        <v>598</v>
      </c>
      <c r="B516">
        <v>6</v>
      </c>
      <c r="C516">
        <v>2</v>
      </c>
      <c r="D516">
        <v>23</v>
      </c>
      <c r="E516">
        <v>0</v>
      </c>
      <c r="F516">
        <v>2</v>
      </c>
      <c r="G516">
        <v>0</v>
      </c>
      <c r="H516">
        <v>31</v>
      </c>
      <c r="I516" s="4">
        <f t="shared" si="8"/>
        <v>0.74193548387096775</v>
      </c>
      <c r="K516" t="s">
        <v>676</v>
      </c>
    </row>
    <row r="517" spans="1:11">
      <c r="A517" t="s">
        <v>598</v>
      </c>
      <c r="B517">
        <v>6</v>
      </c>
      <c r="C517">
        <v>3</v>
      </c>
      <c r="D517">
        <v>30</v>
      </c>
      <c r="E517">
        <v>0</v>
      </c>
      <c r="F517">
        <v>1</v>
      </c>
      <c r="G517">
        <v>0</v>
      </c>
      <c r="H517">
        <v>31</v>
      </c>
      <c r="I517" s="4">
        <f t="shared" si="8"/>
        <v>0.967741935483871</v>
      </c>
      <c r="K517" t="s">
        <v>676</v>
      </c>
    </row>
    <row r="518" spans="1:11">
      <c r="A518" t="s">
        <v>598</v>
      </c>
      <c r="B518">
        <v>6</v>
      </c>
      <c r="C518">
        <v>4</v>
      </c>
      <c r="D518">
        <v>30</v>
      </c>
      <c r="E518">
        <v>0</v>
      </c>
      <c r="F518">
        <v>1</v>
      </c>
      <c r="G518">
        <v>0</v>
      </c>
      <c r="H518">
        <v>31</v>
      </c>
      <c r="I518" s="4">
        <f t="shared" si="8"/>
        <v>0.967741935483871</v>
      </c>
      <c r="K518" t="s">
        <v>676</v>
      </c>
    </row>
    <row r="519" spans="1:11">
      <c r="A519" t="s">
        <v>598</v>
      </c>
      <c r="B519">
        <v>6</v>
      </c>
      <c r="C519">
        <v>5</v>
      </c>
      <c r="D519">
        <v>31</v>
      </c>
      <c r="E519">
        <v>0</v>
      </c>
      <c r="F519">
        <v>0</v>
      </c>
      <c r="G519">
        <v>0</v>
      </c>
      <c r="H519">
        <v>31</v>
      </c>
      <c r="I519" s="4">
        <f t="shared" si="8"/>
        <v>1</v>
      </c>
      <c r="K519" t="s">
        <v>676</v>
      </c>
    </row>
    <row r="520" spans="1:11">
      <c r="A520" t="s">
        <v>598</v>
      </c>
      <c r="B520">
        <v>6</v>
      </c>
      <c r="C520">
        <v>6</v>
      </c>
      <c r="D520">
        <v>31</v>
      </c>
      <c r="E520">
        <v>0</v>
      </c>
      <c r="F520">
        <v>0</v>
      </c>
      <c r="G520">
        <v>0</v>
      </c>
      <c r="H520">
        <v>31</v>
      </c>
      <c r="I520" s="4">
        <f t="shared" si="8"/>
        <v>1</v>
      </c>
      <c r="K520" t="s">
        <v>676</v>
      </c>
    </row>
    <row r="521" spans="1:11">
      <c r="A521" t="s">
        <v>598</v>
      </c>
      <c r="B521">
        <v>8</v>
      </c>
      <c r="C521">
        <v>1</v>
      </c>
      <c r="D521">
        <v>26</v>
      </c>
      <c r="E521">
        <v>0</v>
      </c>
      <c r="F521">
        <v>2</v>
      </c>
      <c r="G521">
        <v>0</v>
      </c>
      <c r="H521">
        <v>29</v>
      </c>
      <c r="I521" s="4">
        <f t="shared" si="8"/>
        <v>0.89655172413793105</v>
      </c>
      <c r="K521" t="s">
        <v>677</v>
      </c>
    </row>
    <row r="522" spans="1:11">
      <c r="A522" t="s">
        <v>598</v>
      </c>
      <c r="B522">
        <v>8</v>
      </c>
      <c r="C522">
        <v>2</v>
      </c>
      <c r="D522">
        <v>29</v>
      </c>
      <c r="E522">
        <v>0</v>
      </c>
      <c r="F522">
        <v>0</v>
      </c>
      <c r="G522">
        <v>0</v>
      </c>
      <c r="H522">
        <v>29</v>
      </c>
      <c r="I522" s="4">
        <f t="shared" si="8"/>
        <v>1</v>
      </c>
      <c r="K522" t="s">
        <v>677</v>
      </c>
    </row>
    <row r="523" spans="1:11">
      <c r="I523" s="4"/>
    </row>
    <row r="524" spans="1:11">
      <c r="I524" s="4"/>
    </row>
    <row r="525" spans="1:11">
      <c r="I525" s="4"/>
    </row>
    <row r="526" spans="1:11">
      <c r="I526" s="4"/>
    </row>
    <row r="527" spans="1:11">
      <c r="I527" s="4"/>
    </row>
    <row r="528" spans="1:11">
      <c r="I528" s="4"/>
    </row>
    <row r="529" spans="9:9">
      <c r="I529" s="4"/>
    </row>
    <row r="530" spans="9:9">
      <c r="I530" s="4"/>
    </row>
    <row r="531" spans="9:9">
      <c r="I531" s="4"/>
    </row>
    <row r="532" spans="9:9">
      <c r="I532" s="4"/>
    </row>
    <row r="533" spans="9:9">
      <c r="I533" s="4"/>
    </row>
    <row r="534" spans="9:9">
      <c r="I534" s="4"/>
    </row>
    <row r="535" spans="9:9">
      <c r="I535" s="4"/>
    </row>
    <row r="536" spans="9:9">
      <c r="I536" s="4"/>
    </row>
    <row r="537" spans="9:9">
      <c r="I537" s="4"/>
    </row>
    <row r="538" spans="9:9">
      <c r="I538" s="4"/>
    </row>
    <row r="539" spans="9:9">
      <c r="I539" s="4"/>
    </row>
    <row r="540" spans="9:9">
      <c r="I540" s="4"/>
    </row>
    <row r="541" spans="9:9">
      <c r="I541" s="4"/>
    </row>
    <row r="542" spans="9:9">
      <c r="I542" s="4"/>
    </row>
    <row r="543" spans="9:9">
      <c r="I543" s="4"/>
    </row>
    <row r="544" spans="9:9">
      <c r="I544" s="4"/>
    </row>
    <row r="545" spans="9:9">
      <c r="I545" s="4"/>
    </row>
    <row r="546" spans="9:9">
      <c r="I546" s="4"/>
    </row>
    <row r="547" spans="9:9">
      <c r="I547" s="4"/>
    </row>
    <row r="548" spans="9:9">
      <c r="I548" s="4"/>
    </row>
    <row r="549" spans="9:9">
      <c r="I549" s="4"/>
    </row>
    <row r="550" spans="9:9">
      <c r="I550" s="4"/>
    </row>
    <row r="551" spans="9:9">
      <c r="I551" s="4"/>
    </row>
    <row r="552" spans="9:9">
      <c r="I552" s="4"/>
    </row>
    <row r="553" spans="9:9">
      <c r="I553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2"/>
  <sheetViews>
    <sheetView workbookViewId="0">
      <selection activeCell="J11" sqref="J11"/>
    </sheetView>
  </sheetViews>
  <sheetFormatPr baseColWidth="10" defaultRowHeight="15" x14ac:dyDescent="0"/>
  <cols>
    <col min="1" max="1" width="25.33203125" bestFit="1" customWidth="1"/>
  </cols>
  <sheetData>
    <row r="1" spans="1:7">
      <c r="A1" t="s">
        <v>3</v>
      </c>
      <c r="B1" t="s">
        <v>5</v>
      </c>
      <c r="C1" t="s">
        <v>7</v>
      </c>
      <c r="D1" t="s">
        <v>186</v>
      </c>
      <c r="E1" t="s">
        <v>8</v>
      </c>
      <c r="F1" t="s">
        <v>187</v>
      </c>
      <c r="G1" t="s">
        <v>185</v>
      </c>
    </row>
    <row r="2" spans="1:7">
      <c r="A2" t="s">
        <v>188</v>
      </c>
      <c r="B2">
        <v>1</v>
      </c>
      <c r="C2" t="s">
        <v>0</v>
      </c>
      <c r="D2">
        <v>1</v>
      </c>
      <c r="E2">
        <v>6107</v>
      </c>
      <c r="F2">
        <v>5981</v>
      </c>
      <c r="G2" s="4">
        <f t="shared" ref="G2:G65" si="0">F2/E2</f>
        <v>0.97936793843130832</v>
      </c>
    </row>
    <row r="3" spans="1:7">
      <c r="A3" t="s">
        <v>188</v>
      </c>
      <c r="B3">
        <v>1</v>
      </c>
      <c r="C3" t="s">
        <v>1</v>
      </c>
      <c r="D3">
        <v>2</v>
      </c>
      <c r="E3">
        <v>6107</v>
      </c>
      <c r="F3">
        <v>6014</v>
      </c>
      <c r="G3" s="4">
        <f t="shared" si="0"/>
        <v>0.98477157360406087</v>
      </c>
    </row>
    <row r="4" spans="1:7">
      <c r="A4" t="s">
        <v>188</v>
      </c>
      <c r="B4">
        <v>1</v>
      </c>
      <c r="C4" t="s">
        <v>179</v>
      </c>
      <c r="D4">
        <v>3</v>
      </c>
      <c r="E4">
        <v>6107</v>
      </c>
      <c r="F4">
        <v>6051</v>
      </c>
      <c r="G4" s="4">
        <f t="shared" si="0"/>
        <v>0.99083019485835921</v>
      </c>
    </row>
    <row r="5" spans="1:7">
      <c r="A5" t="s">
        <v>188</v>
      </c>
      <c r="B5">
        <v>1</v>
      </c>
      <c r="C5" t="s">
        <v>180</v>
      </c>
      <c r="D5">
        <v>4</v>
      </c>
      <c r="E5">
        <v>6107</v>
      </c>
      <c r="F5">
        <v>6059</v>
      </c>
      <c r="G5" s="4">
        <f t="shared" si="0"/>
        <v>0.9921401670214508</v>
      </c>
    </row>
    <row r="6" spans="1:7">
      <c r="A6" t="s">
        <v>188</v>
      </c>
      <c r="B6">
        <v>2</v>
      </c>
      <c r="C6" t="s">
        <v>180</v>
      </c>
      <c r="D6">
        <v>1</v>
      </c>
      <c r="E6">
        <v>964</v>
      </c>
      <c r="F6">
        <v>403</v>
      </c>
      <c r="G6" s="4">
        <f t="shared" si="0"/>
        <v>0.41804979253112035</v>
      </c>
    </row>
    <row r="7" spans="1:7">
      <c r="A7" t="s">
        <v>188</v>
      </c>
      <c r="B7">
        <v>2</v>
      </c>
      <c r="C7" t="s">
        <v>189</v>
      </c>
      <c r="D7">
        <v>2</v>
      </c>
      <c r="E7">
        <v>964</v>
      </c>
      <c r="F7">
        <v>563</v>
      </c>
      <c r="G7" s="4">
        <f t="shared" si="0"/>
        <v>0.5840248962655602</v>
      </c>
    </row>
    <row r="8" spans="1:7">
      <c r="A8" t="s">
        <v>188</v>
      </c>
      <c r="B8">
        <v>2</v>
      </c>
      <c r="C8" t="s">
        <v>190</v>
      </c>
      <c r="D8">
        <v>3</v>
      </c>
      <c r="E8">
        <v>964</v>
      </c>
      <c r="F8">
        <v>626</v>
      </c>
      <c r="G8" s="4">
        <f t="shared" si="0"/>
        <v>0.64937759336099588</v>
      </c>
    </row>
    <row r="9" spans="1:7">
      <c r="A9" t="s">
        <v>188</v>
      </c>
      <c r="B9">
        <v>2</v>
      </c>
      <c r="C9" t="s">
        <v>191</v>
      </c>
      <c r="D9">
        <v>4</v>
      </c>
      <c r="E9">
        <v>964</v>
      </c>
      <c r="F9">
        <v>661</v>
      </c>
      <c r="G9" s="4">
        <f t="shared" si="0"/>
        <v>0.68568464730290457</v>
      </c>
    </row>
    <row r="10" spans="1:7">
      <c r="A10" t="s">
        <v>188</v>
      </c>
      <c r="B10">
        <v>2</v>
      </c>
      <c r="C10" t="s">
        <v>193</v>
      </c>
      <c r="D10">
        <v>5</v>
      </c>
      <c r="E10">
        <v>964</v>
      </c>
      <c r="F10">
        <v>717</v>
      </c>
      <c r="G10" s="4">
        <f t="shared" si="0"/>
        <v>0.74377593360995853</v>
      </c>
    </row>
    <row r="11" spans="1:7">
      <c r="A11" t="s">
        <v>188</v>
      </c>
      <c r="B11">
        <v>2</v>
      </c>
      <c r="C11" t="s">
        <v>192</v>
      </c>
      <c r="D11">
        <v>6</v>
      </c>
      <c r="E11">
        <v>964</v>
      </c>
      <c r="F11">
        <v>724</v>
      </c>
      <c r="G11" s="4">
        <f t="shared" si="0"/>
        <v>0.75103734439834025</v>
      </c>
    </row>
    <row r="12" spans="1:7">
      <c r="A12" t="s">
        <v>188</v>
      </c>
      <c r="B12">
        <v>2</v>
      </c>
      <c r="C12" t="s">
        <v>194</v>
      </c>
      <c r="D12">
        <v>7</v>
      </c>
      <c r="E12">
        <v>964</v>
      </c>
      <c r="F12">
        <v>750</v>
      </c>
      <c r="G12" s="4">
        <f t="shared" si="0"/>
        <v>0.77800829875518673</v>
      </c>
    </row>
    <row r="13" spans="1:7">
      <c r="A13" t="s">
        <v>188</v>
      </c>
      <c r="B13">
        <v>2</v>
      </c>
      <c r="C13" t="s">
        <v>195</v>
      </c>
      <c r="D13">
        <v>8</v>
      </c>
      <c r="E13">
        <v>964</v>
      </c>
      <c r="F13">
        <v>781</v>
      </c>
      <c r="G13" s="4">
        <f t="shared" si="0"/>
        <v>0.81016597510373445</v>
      </c>
    </row>
    <row r="14" spans="1:7">
      <c r="A14" t="s">
        <v>188</v>
      </c>
      <c r="B14">
        <v>2</v>
      </c>
      <c r="C14" t="s">
        <v>198</v>
      </c>
      <c r="D14">
        <v>9</v>
      </c>
      <c r="E14">
        <v>964</v>
      </c>
      <c r="F14">
        <v>800</v>
      </c>
      <c r="G14" s="4">
        <f t="shared" si="0"/>
        <v>0.82987551867219922</v>
      </c>
    </row>
    <row r="15" spans="1:7">
      <c r="A15" t="s">
        <v>188</v>
      </c>
      <c r="B15">
        <v>2</v>
      </c>
      <c r="C15" t="s">
        <v>196</v>
      </c>
      <c r="D15">
        <v>10</v>
      </c>
      <c r="E15">
        <v>964</v>
      </c>
      <c r="F15">
        <v>802</v>
      </c>
      <c r="G15" s="4">
        <f t="shared" si="0"/>
        <v>0.83195020746887971</v>
      </c>
    </row>
    <row r="16" spans="1:7">
      <c r="A16" t="s">
        <v>188</v>
      </c>
      <c r="B16">
        <v>2</v>
      </c>
      <c r="C16" t="s">
        <v>197</v>
      </c>
      <c r="D16">
        <v>11</v>
      </c>
      <c r="E16">
        <v>964</v>
      </c>
      <c r="F16">
        <v>803</v>
      </c>
      <c r="G16" s="4">
        <f t="shared" si="0"/>
        <v>0.83298755186721996</v>
      </c>
    </row>
    <row r="17" spans="1:7">
      <c r="A17" t="s">
        <v>188</v>
      </c>
      <c r="B17">
        <v>2</v>
      </c>
      <c r="C17" t="s">
        <v>200</v>
      </c>
      <c r="D17">
        <v>12</v>
      </c>
      <c r="E17">
        <v>964</v>
      </c>
      <c r="F17">
        <v>865</v>
      </c>
      <c r="G17" s="4">
        <f t="shared" si="0"/>
        <v>0.89730290456431538</v>
      </c>
    </row>
    <row r="18" spans="1:7">
      <c r="A18" t="s">
        <v>188</v>
      </c>
      <c r="B18">
        <v>2</v>
      </c>
      <c r="C18" t="s">
        <v>201</v>
      </c>
      <c r="D18">
        <v>13</v>
      </c>
      <c r="E18">
        <v>964</v>
      </c>
      <c r="F18">
        <v>868</v>
      </c>
      <c r="G18" s="4">
        <f t="shared" si="0"/>
        <v>0.90041493775933612</v>
      </c>
    </row>
    <row r="19" spans="1:7">
      <c r="A19" t="s">
        <v>188</v>
      </c>
      <c r="B19">
        <v>2</v>
      </c>
      <c r="C19" t="s">
        <v>199</v>
      </c>
      <c r="D19">
        <v>14</v>
      </c>
      <c r="E19">
        <v>964</v>
      </c>
      <c r="F19">
        <v>891</v>
      </c>
      <c r="G19" s="4">
        <f t="shared" si="0"/>
        <v>0.92427385892116187</v>
      </c>
    </row>
    <row r="20" spans="1:7">
      <c r="A20" t="s">
        <v>188</v>
      </c>
      <c r="B20">
        <v>2</v>
      </c>
      <c r="C20" t="s">
        <v>202</v>
      </c>
      <c r="D20">
        <v>15</v>
      </c>
      <c r="E20">
        <v>964</v>
      </c>
      <c r="F20">
        <v>942</v>
      </c>
      <c r="G20" s="4">
        <f t="shared" si="0"/>
        <v>0.97717842323651449</v>
      </c>
    </row>
    <row r="21" spans="1:7">
      <c r="A21" t="s">
        <v>188</v>
      </c>
      <c r="B21">
        <v>6</v>
      </c>
      <c r="C21" t="s">
        <v>203</v>
      </c>
      <c r="D21">
        <v>1</v>
      </c>
      <c r="E21">
        <v>534</v>
      </c>
      <c r="F21">
        <v>85</v>
      </c>
      <c r="G21" s="4">
        <f t="shared" si="0"/>
        <v>0.15917602996254682</v>
      </c>
    </row>
    <row r="22" spans="1:7">
      <c r="A22" t="s">
        <v>188</v>
      </c>
      <c r="B22">
        <v>6</v>
      </c>
      <c r="C22" t="s">
        <v>179</v>
      </c>
      <c r="D22">
        <v>2</v>
      </c>
      <c r="E22">
        <v>534</v>
      </c>
      <c r="F22">
        <v>162</v>
      </c>
      <c r="G22" s="4">
        <f t="shared" si="0"/>
        <v>0.30337078651685395</v>
      </c>
    </row>
    <row r="23" spans="1:7">
      <c r="A23" t="s">
        <v>188</v>
      </c>
      <c r="B23">
        <v>6</v>
      </c>
      <c r="C23" t="s">
        <v>204</v>
      </c>
      <c r="D23">
        <v>3</v>
      </c>
      <c r="E23">
        <v>534</v>
      </c>
      <c r="F23">
        <v>372</v>
      </c>
      <c r="G23" s="4">
        <f t="shared" si="0"/>
        <v>0.6966292134831461</v>
      </c>
    </row>
    <row r="24" spans="1:7">
      <c r="A24" t="s">
        <v>188</v>
      </c>
      <c r="B24">
        <v>6</v>
      </c>
      <c r="C24" t="s">
        <v>215</v>
      </c>
      <c r="D24">
        <v>4</v>
      </c>
      <c r="E24">
        <v>534</v>
      </c>
      <c r="F24">
        <v>534</v>
      </c>
      <c r="G24" s="4">
        <f t="shared" si="0"/>
        <v>1</v>
      </c>
    </row>
    <row r="25" spans="1:7">
      <c r="A25" t="s">
        <v>188</v>
      </c>
      <c r="B25">
        <v>6</v>
      </c>
      <c r="C25" t="s">
        <v>205</v>
      </c>
      <c r="D25">
        <v>5</v>
      </c>
      <c r="E25">
        <v>534</v>
      </c>
      <c r="F25">
        <v>1183</v>
      </c>
      <c r="G25" s="4">
        <f t="shared" si="0"/>
        <v>2.2153558052434459</v>
      </c>
    </row>
    <row r="26" spans="1:7">
      <c r="A26" t="s">
        <v>188</v>
      </c>
      <c r="B26">
        <v>9</v>
      </c>
      <c r="C26" t="s">
        <v>207</v>
      </c>
      <c r="D26">
        <v>1</v>
      </c>
      <c r="E26">
        <v>1671</v>
      </c>
      <c r="F26">
        <v>144</v>
      </c>
      <c r="G26" s="4">
        <f t="shared" si="0"/>
        <v>8.6175942549371637E-2</v>
      </c>
    </row>
    <row r="27" spans="1:7">
      <c r="A27" t="s">
        <v>188</v>
      </c>
      <c r="B27">
        <v>9</v>
      </c>
      <c r="C27" t="s">
        <v>208</v>
      </c>
      <c r="D27">
        <v>2</v>
      </c>
      <c r="E27">
        <v>1671</v>
      </c>
      <c r="F27">
        <v>145</v>
      </c>
      <c r="G27" s="4">
        <f t="shared" si="0"/>
        <v>8.6774386594853384E-2</v>
      </c>
    </row>
    <row r="28" spans="1:7">
      <c r="A28" t="s">
        <v>188</v>
      </c>
      <c r="B28">
        <v>9</v>
      </c>
      <c r="C28" t="s">
        <v>206</v>
      </c>
      <c r="D28">
        <v>3</v>
      </c>
      <c r="E28">
        <v>1671</v>
      </c>
      <c r="F28">
        <v>147</v>
      </c>
      <c r="G28" s="4">
        <f t="shared" si="0"/>
        <v>8.7971274685816878E-2</v>
      </c>
    </row>
    <row r="29" spans="1:7">
      <c r="A29" t="s">
        <v>188</v>
      </c>
      <c r="B29">
        <v>9</v>
      </c>
      <c r="C29" t="s">
        <v>180</v>
      </c>
      <c r="D29">
        <v>4</v>
      </c>
      <c r="E29">
        <v>1671</v>
      </c>
      <c r="F29">
        <v>291</v>
      </c>
      <c r="G29" s="4">
        <f t="shared" si="0"/>
        <v>0.1741472172351885</v>
      </c>
    </row>
    <row r="30" spans="1:7">
      <c r="A30" t="s">
        <v>188</v>
      </c>
      <c r="B30">
        <v>9</v>
      </c>
      <c r="C30" t="s">
        <v>209</v>
      </c>
      <c r="D30">
        <v>5</v>
      </c>
      <c r="E30">
        <v>1671</v>
      </c>
      <c r="F30">
        <v>294</v>
      </c>
      <c r="G30" s="4">
        <f t="shared" si="0"/>
        <v>0.17594254937163376</v>
      </c>
    </row>
    <row r="31" spans="1:7">
      <c r="A31" t="s">
        <v>188</v>
      </c>
      <c r="B31">
        <v>9</v>
      </c>
      <c r="C31" t="s">
        <v>210</v>
      </c>
      <c r="D31">
        <v>6</v>
      </c>
      <c r="E31">
        <v>1671</v>
      </c>
      <c r="F31">
        <v>578</v>
      </c>
      <c r="G31" s="4">
        <f t="shared" si="0"/>
        <v>0.34590065828845001</v>
      </c>
    </row>
    <row r="32" spans="1:7">
      <c r="A32" t="s">
        <v>188</v>
      </c>
      <c r="B32">
        <v>9</v>
      </c>
      <c r="C32" t="s">
        <v>212</v>
      </c>
      <c r="D32">
        <v>7</v>
      </c>
      <c r="E32">
        <v>1671</v>
      </c>
      <c r="F32">
        <v>584</v>
      </c>
      <c r="G32" s="4">
        <f t="shared" si="0"/>
        <v>0.34949132256134052</v>
      </c>
    </row>
    <row r="33" spans="1:7">
      <c r="A33" t="s">
        <v>188</v>
      </c>
      <c r="B33">
        <v>9</v>
      </c>
      <c r="C33" t="s">
        <v>211</v>
      </c>
      <c r="D33">
        <v>8</v>
      </c>
      <c r="E33">
        <v>1671</v>
      </c>
      <c r="F33">
        <v>599</v>
      </c>
      <c r="G33" s="4">
        <f t="shared" si="0"/>
        <v>0.35846798324356671</v>
      </c>
    </row>
    <row r="34" spans="1:7">
      <c r="A34" t="s">
        <v>188</v>
      </c>
      <c r="B34">
        <v>9</v>
      </c>
      <c r="C34" t="s">
        <v>213</v>
      </c>
      <c r="D34">
        <v>9</v>
      </c>
      <c r="E34">
        <v>1671</v>
      </c>
      <c r="F34">
        <v>687</v>
      </c>
      <c r="G34" s="4">
        <f t="shared" si="0"/>
        <v>0.4111310592459605</v>
      </c>
    </row>
    <row r="35" spans="1:7">
      <c r="A35" t="s">
        <v>188</v>
      </c>
      <c r="B35">
        <v>9</v>
      </c>
      <c r="C35" t="s">
        <v>214</v>
      </c>
      <c r="D35">
        <v>10</v>
      </c>
      <c r="E35">
        <v>1671</v>
      </c>
      <c r="F35">
        <v>688</v>
      </c>
      <c r="G35" s="4">
        <f t="shared" si="0"/>
        <v>0.41172950329144226</v>
      </c>
    </row>
    <row r="36" spans="1:7">
      <c r="A36" t="s">
        <v>219</v>
      </c>
      <c r="B36">
        <v>2</v>
      </c>
      <c r="C36" t="s">
        <v>2</v>
      </c>
      <c r="D36">
        <v>1</v>
      </c>
      <c r="E36">
        <v>896</v>
      </c>
      <c r="F36">
        <v>279</v>
      </c>
      <c r="G36" s="4">
        <f t="shared" si="0"/>
        <v>0.31138392857142855</v>
      </c>
    </row>
    <row r="37" spans="1:7">
      <c r="A37" t="s">
        <v>219</v>
      </c>
      <c r="B37">
        <v>2</v>
      </c>
      <c r="C37" t="s">
        <v>0</v>
      </c>
      <c r="D37">
        <v>2</v>
      </c>
      <c r="E37">
        <v>896</v>
      </c>
      <c r="F37">
        <v>618</v>
      </c>
      <c r="G37" s="4">
        <f t="shared" si="0"/>
        <v>0.6897321428571429</v>
      </c>
    </row>
    <row r="38" spans="1:7">
      <c r="A38" t="s">
        <v>219</v>
      </c>
      <c r="B38">
        <v>2</v>
      </c>
      <c r="C38" t="s">
        <v>233</v>
      </c>
      <c r="D38">
        <v>3</v>
      </c>
      <c r="E38">
        <v>896</v>
      </c>
      <c r="F38">
        <v>627</v>
      </c>
      <c r="G38" s="4">
        <f t="shared" si="0"/>
        <v>0.6997767857142857</v>
      </c>
    </row>
    <row r="39" spans="1:7">
      <c r="A39" t="s">
        <v>219</v>
      </c>
      <c r="B39">
        <v>2</v>
      </c>
      <c r="C39" t="s">
        <v>234</v>
      </c>
      <c r="D39">
        <v>4</v>
      </c>
      <c r="E39">
        <v>896</v>
      </c>
      <c r="F39">
        <v>884</v>
      </c>
      <c r="G39" s="4">
        <f t="shared" si="0"/>
        <v>0.9866071428571429</v>
      </c>
    </row>
    <row r="40" spans="1:7">
      <c r="A40" t="s">
        <v>219</v>
      </c>
      <c r="B40">
        <v>4</v>
      </c>
      <c r="C40" t="s">
        <v>2</v>
      </c>
      <c r="D40">
        <v>1</v>
      </c>
      <c r="E40">
        <v>915</v>
      </c>
      <c r="F40">
        <v>278</v>
      </c>
      <c r="G40" s="4">
        <f t="shared" si="0"/>
        <v>0.30382513661202187</v>
      </c>
    </row>
    <row r="41" spans="1:7">
      <c r="A41" t="s">
        <v>219</v>
      </c>
      <c r="B41">
        <v>4</v>
      </c>
      <c r="C41" t="s">
        <v>233</v>
      </c>
      <c r="D41">
        <v>2</v>
      </c>
      <c r="E41">
        <v>915</v>
      </c>
      <c r="F41">
        <v>617</v>
      </c>
      <c r="G41" s="4">
        <f t="shared" si="0"/>
        <v>0.6743169398907104</v>
      </c>
    </row>
    <row r="42" spans="1:7">
      <c r="A42" t="s">
        <v>219</v>
      </c>
      <c r="B42">
        <v>4</v>
      </c>
      <c r="C42" t="s">
        <v>0</v>
      </c>
      <c r="D42">
        <v>3</v>
      </c>
      <c r="E42">
        <v>915</v>
      </c>
      <c r="F42">
        <v>618</v>
      </c>
      <c r="G42" s="4">
        <f t="shared" si="0"/>
        <v>0.67540983606557381</v>
      </c>
    </row>
    <row r="43" spans="1:7">
      <c r="A43" t="s">
        <v>219</v>
      </c>
      <c r="B43">
        <v>4</v>
      </c>
      <c r="C43" t="s">
        <v>234</v>
      </c>
      <c r="D43">
        <v>4</v>
      </c>
      <c r="E43">
        <v>915</v>
      </c>
      <c r="F43">
        <v>898</v>
      </c>
      <c r="G43" s="4">
        <f t="shared" si="0"/>
        <v>0.98142076502732245</v>
      </c>
    </row>
    <row r="44" spans="1:7">
      <c r="A44" t="s">
        <v>219</v>
      </c>
      <c r="B44">
        <v>13</v>
      </c>
      <c r="C44" t="s">
        <v>203</v>
      </c>
      <c r="D44">
        <v>1</v>
      </c>
      <c r="E44">
        <v>291</v>
      </c>
      <c r="F44">
        <v>82</v>
      </c>
      <c r="G44" s="4">
        <f t="shared" si="0"/>
        <v>0.28178694158075601</v>
      </c>
    </row>
    <row r="45" spans="1:7">
      <c r="A45" t="s">
        <v>219</v>
      </c>
      <c r="B45">
        <v>13</v>
      </c>
      <c r="C45" t="s">
        <v>179</v>
      </c>
      <c r="D45">
        <v>2</v>
      </c>
      <c r="E45">
        <v>291</v>
      </c>
      <c r="F45">
        <v>155</v>
      </c>
      <c r="G45" s="4">
        <f t="shared" si="0"/>
        <v>0.53264604810996563</v>
      </c>
    </row>
    <row r="46" spans="1:7">
      <c r="A46" t="s">
        <v>219</v>
      </c>
      <c r="B46">
        <v>13</v>
      </c>
      <c r="C46" t="s">
        <v>204</v>
      </c>
      <c r="D46">
        <v>3</v>
      </c>
      <c r="E46">
        <v>291</v>
      </c>
      <c r="F46">
        <v>224</v>
      </c>
      <c r="G46" s="4">
        <f t="shared" si="0"/>
        <v>0.76975945017182135</v>
      </c>
    </row>
    <row r="47" spans="1:7">
      <c r="A47" t="s">
        <v>219</v>
      </c>
      <c r="B47">
        <v>13</v>
      </c>
      <c r="C47" t="s">
        <v>215</v>
      </c>
      <c r="D47">
        <v>4</v>
      </c>
      <c r="E47">
        <v>291</v>
      </c>
      <c r="F47">
        <v>295</v>
      </c>
      <c r="G47" s="4">
        <f t="shared" si="0"/>
        <v>1.0137457044673539</v>
      </c>
    </row>
    <row r="48" spans="1:7">
      <c r="A48" t="s">
        <v>219</v>
      </c>
      <c r="B48">
        <v>13</v>
      </c>
      <c r="C48" t="s">
        <v>205</v>
      </c>
      <c r="D48">
        <v>5</v>
      </c>
      <c r="E48">
        <v>291</v>
      </c>
      <c r="F48">
        <v>296</v>
      </c>
      <c r="G48" s="4">
        <f t="shared" si="0"/>
        <v>1.0171821305841924</v>
      </c>
    </row>
    <row r="49" spans="1:7">
      <c r="A49" t="s">
        <v>219</v>
      </c>
      <c r="B49">
        <v>16</v>
      </c>
      <c r="C49" t="s">
        <v>235</v>
      </c>
      <c r="D49">
        <v>1</v>
      </c>
      <c r="E49">
        <v>17059</v>
      </c>
      <c r="F49">
        <v>210</v>
      </c>
      <c r="G49" s="4">
        <f t="shared" si="0"/>
        <v>1.2310217480508822E-2</v>
      </c>
    </row>
    <row r="50" spans="1:7">
      <c r="A50" t="s">
        <v>219</v>
      </c>
      <c r="B50">
        <v>16</v>
      </c>
      <c r="C50" t="s">
        <v>236</v>
      </c>
      <c r="D50">
        <v>2</v>
      </c>
      <c r="E50">
        <v>17059</v>
      </c>
      <c r="F50">
        <v>282</v>
      </c>
      <c r="G50" s="4">
        <f t="shared" si="0"/>
        <v>1.6530863473826134E-2</v>
      </c>
    </row>
    <row r="51" spans="1:7">
      <c r="A51" t="s">
        <v>219</v>
      </c>
      <c r="B51">
        <v>16</v>
      </c>
      <c r="C51" t="s">
        <v>238</v>
      </c>
      <c r="D51">
        <v>3</v>
      </c>
      <c r="E51">
        <v>17059</v>
      </c>
      <c r="F51">
        <v>16469</v>
      </c>
      <c r="G51" s="4">
        <f t="shared" si="0"/>
        <v>0.96541415088809424</v>
      </c>
    </row>
    <row r="52" spans="1:7">
      <c r="A52" t="s">
        <v>219</v>
      </c>
      <c r="B52">
        <v>16</v>
      </c>
      <c r="C52" t="s">
        <v>237</v>
      </c>
      <c r="D52">
        <v>4</v>
      </c>
      <c r="E52">
        <v>17059</v>
      </c>
      <c r="F52">
        <v>16731</v>
      </c>
      <c r="G52" s="4">
        <f t="shared" si="0"/>
        <v>0.98077261269711002</v>
      </c>
    </row>
    <row r="53" spans="1:7">
      <c r="A53" t="s">
        <v>219</v>
      </c>
      <c r="B53">
        <v>18</v>
      </c>
      <c r="C53" t="s">
        <v>2</v>
      </c>
      <c r="D53">
        <v>1</v>
      </c>
      <c r="E53">
        <v>9016</v>
      </c>
      <c r="F53">
        <v>150</v>
      </c>
      <c r="G53" s="4">
        <f t="shared" si="0"/>
        <v>1.6637089618456079E-2</v>
      </c>
    </row>
    <row r="54" spans="1:7">
      <c r="A54" t="s">
        <v>219</v>
      </c>
      <c r="B54">
        <v>18</v>
      </c>
      <c r="C54" t="s">
        <v>1</v>
      </c>
      <c r="D54">
        <v>2</v>
      </c>
      <c r="E54">
        <v>9016</v>
      </c>
      <c r="F54">
        <v>262</v>
      </c>
      <c r="G54" s="4">
        <f t="shared" si="0"/>
        <v>2.9059449866903283E-2</v>
      </c>
    </row>
    <row r="55" spans="1:7">
      <c r="A55" t="s">
        <v>219</v>
      </c>
      <c r="B55">
        <v>18</v>
      </c>
      <c r="C55" t="s">
        <v>239</v>
      </c>
      <c r="D55">
        <v>3</v>
      </c>
      <c r="E55">
        <v>9016</v>
      </c>
      <c r="F55">
        <v>568</v>
      </c>
      <c r="G55" s="4">
        <f t="shared" si="0"/>
        <v>6.2999112688553682E-2</v>
      </c>
    </row>
    <row r="56" spans="1:7">
      <c r="A56" t="s">
        <v>219</v>
      </c>
      <c r="B56">
        <v>18</v>
      </c>
      <c r="C56" t="s">
        <v>240</v>
      </c>
      <c r="D56">
        <v>4</v>
      </c>
      <c r="E56">
        <v>9016</v>
      </c>
      <c r="F56">
        <v>719</v>
      </c>
      <c r="G56" s="4">
        <f t="shared" si="0"/>
        <v>7.9747116237799467E-2</v>
      </c>
    </row>
    <row r="57" spans="1:7">
      <c r="A57" t="s">
        <v>219</v>
      </c>
      <c r="B57">
        <v>18</v>
      </c>
      <c r="C57" t="s">
        <v>241</v>
      </c>
      <c r="D57">
        <v>5</v>
      </c>
      <c r="E57">
        <v>9016</v>
      </c>
      <c r="F57">
        <v>963</v>
      </c>
      <c r="G57" s="4">
        <f t="shared" si="0"/>
        <v>0.10681011535048802</v>
      </c>
    </row>
    <row r="58" spans="1:7">
      <c r="A58" t="s">
        <v>219</v>
      </c>
      <c r="B58">
        <v>18</v>
      </c>
      <c r="C58" t="s">
        <v>242</v>
      </c>
      <c r="D58">
        <v>6</v>
      </c>
      <c r="E58">
        <v>9016</v>
      </c>
      <c r="F58">
        <v>1012</v>
      </c>
      <c r="G58" s="4">
        <f t="shared" si="0"/>
        <v>0.11224489795918367</v>
      </c>
    </row>
    <row r="59" spans="1:7">
      <c r="A59" t="s">
        <v>219</v>
      </c>
      <c r="B59">
        <v>18</v>
      </c>
      <c r="C59" t="s">
        <v>245</v>
      </c>
      <c r="D59">
        <v>7</v>
      </c>
      <c r="E59">
        <v>9016</v>
      </c>
      <c r="F59">
        <v>1018</v>
      </c>
      <c r="G59" s="4">
        <f t="shared" si="0"/>
        <v>0.11291038154392191</v>
      </c>
    </row>
    <row r="60" spans="1:7">
      <c r="A60" t="s">
        <v>219</v>
      </c>
      <c r="B60">
        <v>18</v>
      </c>
      <c r="C60" t="s">
        <v>244</v>
      </c>
      <c r="D60">
        <v>8</v>
      </c>
      <c r="E60">
        <v>9016</v>
      </c>
      <c r="F60">
        <v>1022</v>
      </c>
      <c r="G60" s="4">
        <f t="shared" si="0"/>
        <v>0.11335403726708075</v>
      </c>
    </row>
    <row r="61" spans="1:7">
      <c r="A61" t="s">
        <v>219</v>
      </c>
      <c r="B61">
        <v>18</v>
      </c>
      <c r="C61" t="s">
        <v>243</v>
      </c>
      <c r="D61">
        <v>9</v>
      </c>
      <c r="E61">
        <v>9016</v>
      </c>
      <c r="F61">
        <v>1025</v>
      </c>
      <c r="G61" s="4">
        <f t="shared" si="0"/>
        <v>0.11368677905944986</v>
      </c>
    </row>
    <row r="62" spans="1:7">
      <c r="A62" t="s">
        <v>219</v>
      </c>
      <c r="B62">
        <v>18</v>
      </c>
      <c r="C62" t="s">
        <v>249</v>
      </c>
      <c r="D62">
        <v>10</v>
      </c>
      <c r="E62">
        <v>9016</v>
      </c>
      <c r="F62">
        <v>1071</v>
      </c>
      <c r="G62" s="4">
        <f t="shared" si="0"/>
        <v>0.1187888198757764</v>
      </c>
    </row>
    <row r="63" spans="1:7">
      <c r="A63" t="s">
        <v>219</v>
      </c>
      <c r="B63">
        <v>18</v>
      </c>
      <c r="C63" t="s">
        <v>250</v>
      </c>
      <c r="D63">
        <v>11</v>
      </c>
      <c r="E63">
        <v>9016</v>
      </c>
      <c r="F63">
        <v>1073</v>
      </c>
      <c r="G63" s="4">
        <f t="shared" si="0"/>
        <v>0.11901064773735581</v>
      </c>
    </row>
    <row r="64" spans="1:7">
      <c r="A64" t="s">
        <v>219</v>
      </c>
      <c r="B64">
        <v>18</v>
      </c>
      <c r="C64" t="s">
        <v>246</v>
      </c>
      <c r="D64">
        <v>12</v>
      </c>
      <c r="E64">
        <v>9016</v>
      </c>
      <c r="F64">
        <v>1077</v>
      </c>
      <c r="G64" s="4">
        <f t="shared" si="0"/>
        <v>0.11945430346051464</v>
      </c>
    </row>
    <row r="65" spans="1:7">
      <c r="A65" t="s">
        <v>219</v>
      </c>
      <c r="B65">
        <v>18</v>
      </c>
      <c r="C65" t="s">
        <v>247</v>
      </c>
      <c r="D65">
        <v>13</v>
      </c>
      <c r="E65">
        <v>9016</v>
      </c>
      <c r="F65">
        <v>1097</v>
      </c>
      <c r="G65" s="4">
        <f t="shared" si="0"/>
        <v>0.12167258207630878</v>
      </c>
    </row>
    <row r="66" spans="1:7">
      <c r="A66" t="s">
        <v>219</v>
      </c>
      <c r="B66">
        <v>18</v>
      </c>
      <c r="C66" t="s">
        <v>248</v>
      </c>
      <c r="D66">
        <v>14</v>
      </c>
      <c r="E66">
        <v>9016</v>
      </c>
      <c r="F66">
        <v>1103</v>
      </c>
      <c r="G66" s="4">
        <f t="shared" ref="G66:G129" si="1">F66/E66</f>
        <v>0.12233806566104703</v>
      </c>
    </row>
    <row r="67" spans="1:7">
      <c r="A67" t="s">
        <v>219</v>
      </c>
      <c r="B67">
        <v>18</v>
      </c>
      <c r="C67" t="s">
        <v>252</v>
      </c>
      <c r="D67">
        <v>15</v>
      </c>
      <c r="E67">
        <v>9016</v>
      </c>
      <c r="F67">
        <v>1146</v>
      </c>
      <c r="G67" s="4">
        <f t="shared" si="1"/>
        <v>0.12710736468500444</v>
      </c>
    </row>
    <row r="68" spans="1:7">
      <c r="A68" t="s">
        <v>219</v>
      </c>
      <c r="B68">
        <v>18</v>
      </c>
      <c r="C68" t="s">
        <v>253</v>
      </c>
      <c r="D68">
        <v>16</v>
      </c>
      <c r="E68">
        <v>9016</v>
      </c>
      <c r="F68">
        <v>1152</v>
      </c>
      <c r="G68" s="4">
        <f t="shared" si="1"/>
        <v>0.12777284826974267</v>
      </c>
    </row>
    <row r="69" spans="1:7">
      <c r="A69" t="s">
        <v>219</v>
      </c>
      <c r="B69">
        <v>18</v>
      </c>
      <c r="C69" t="s">
        <v>251</v>
      </c>
      <c r="D69">
        <v>17</v>
      </c>
      <c r="E69">
        <v>9016</v>
      </c>
      <c r="F69">
        <v>1159</v>
      </c>
      <c r="G69" s="4">
        <f t="shared" si="1"/>
        <v>0.12854924578527063</v>
      </c>
    </row>
    <row r="70" spans="1:7">
      <c r="A70" t="s">
        <v>219</v>
      </c>
      <c r="B70">
        <v>18</v>
      </c>
      <c r="C70" t="s">
        <v>254</v>
      </c>
      <c r="D70">
        <v>18</v>
      </c>
      <c r="E70">
        <v>9016</v>
      </c>
      <c r="F70">
        <v>1227</v>
      </c>
      <c r="G70" s="4">
        <f t="shared" si="1"/>
        <v>0.13609139307897072</v>
      </c>
    </row>
    <row r="71" spans="1:7">
      <c r="A71" t="s">
        <v>219</v>
      </c>
      <c r="B71">
        <v>18</v>
      </c>
      <c r="C71" t="s">
        <v>255</v>
      </c>
      <c r="D71">
        <v>19</v>
      </c>
      <c r="E71">
        <v>9016</v>
      </c>
      <c r="F71">
        <v>1500</v>
      </c>
      <c r="G71" s="4">
        <f t="shared" si="1"/>
        <v>0.16637089618456077</v>
      </c>
    </row>
    <row r="72" spans="1:7">
      <c r="A72" t="s">
        <v>219</v>
      </c>
      <c r="B72">
        <v>18</v>
      </c>
      <c r="C72" t="s">
        <v>256</v>
      </c>
      <c r="D72">
        <v>20</v>
      </c>
      <c r="E72">
        <v>9016</v>
      </c>
      <c r="F72">
        <v>1544</v>
      </c>
      <c r="G72" s="4">
        <f t="shared" si="1"/>
        <v>0.17125110913930788</v>
      </c>
    </row>
    <row r="73" spans="1:7">
      <c r="A73" t="s">
        <v>219</v>
      </c>
      <c r="B73">
        <v>18</v>
      </c>
      <c r="C73" t="s">
        <v>257</v>
      </c>
      <c r="D73">
        <v>21</v>
      </c>
      <c r="E73">
        <v>9016</v>
      </c>
      <c r="F73">
        <v>1579</v>
      </c>
      <c r="G73" s="4">
        <f t="shared" si="1"/>
        <v>0.17513309671694766</v>
      </c>
    </row>
    <row r="74" spans="1:7">
      <c r="A74" t="s">
        <v>219</v>
      </c>
      <c r="B74">
        <v>18</v>
      </c>
      <c r="C74" t="s">
        <v>258</v>
      </c>
      <c r="D74">
        <v>22</v>
      </c>
      <c r="E74">
        <v>9016</v>
      </c>
      <c r="F74">
        <v>1664</v>
      </c>
      <c r="G74" s="4">
        <f t="shared" si="1"/>
        <v>0.18456078083407276</v>
      </c>
    </row>
    <row r="75" spans="1:7">
      <c r="A75" t="s">
        <v>219</v>
      </c>
      <c r="B75">
        <v>18</v>
      </c>
      <c r="C75" t="s">
        <v>261</v>
      </c>
      <c r="D75">
        <v>23</v>
      </c>
      <c r="E75">
        <v>9016</v>
      </c>
      <c r="F75">
        <v>1665</v>
      </c>
      <c r="G75" s="4">
        <f t="shared" si="1"/>
        <v>0.18467169476486248</v>
      </c>
    </row>
    <row r="76" spans="1:7">
      <c r="A76" t="s">
        <v>219</v>
      </c>
      <c r="B76">
        <v>18</v>
      </c>
      <c r="C76" t="s">
        <v>260</v>
      </c>
      <c r="D76">
        <v>24</v>
      </c>
      <c r="E76">
        <v>9016</v>
      </c>
      <c r="F76">
        <v>1666</v>
      </c>
      <c r="G76" s="4">
        <f t="shared" si="1"/>
        <v>0.18478260869565216</v>
      </c>
    </row>
    <row r="77" spans="1:7">
      <c r="A77" t="s">
        <v>219</v>
      </c>
      <c r="B77">
        <v>18</v>
      </c>
      <c r="C77" t="s">
        <v>259</v>
      </c>
      <c r="D77">
        <v>25</v>
      </c>
      <c r="E77">
        <v>9016</v>
      </c>
      <c r="F77">
        <v>1681</v>
      </c>
      <c r="G77" s="4">
        <f t="shared" si="1"/>
        <v>0.18644631765749778</v>
      </c>
    </row>
    <row r="78" spans="1:7">
      <c r="A78" t="s">
        <v>219</v>
      </c>
      <c r="B78">
        <v>18</v>
      </c>
      <c r="C78" t="s">
        <v>273</v>
      </c>
      <c r="D78">
        <v>26</v>
      </c>
      <c r="E78">
        <v>9016</v>
      </c>
      <c r="F78">
        <v>1736</v>
      </c>
      <c r="G78" s="4">
        <f t="shared" si="1"/>
        <v>0.19254658385093168</v>
      </c>
    </row>
    <row r="79" spans="1:7">
      <c r="A79" t="s">
        <v>219</v>
      </c>
      <c r="B79">
        <v>18</v>
      </c>
      <c r="C79" t="s">
        <v>267</v>
      </c>
      <c r="D79">
        <v>27</v>
      </c>
      <c r="E79">
        <v>9016</v>
      </c>
      <c r="F79">
        <v>1745</v>
      </c>
      <c r="G79" s="4">
        <f t="shared" si="1"/>
        <v>0.19354480922803904</v>
      </c>
    </row>
    <row r="80" spans="1:7">
      <c r="A80" t="s">
        <v>219</v>
      </c>
      <c r="B80">
        <v>18</v>
      </c>
      <c r="C80" t="s">
        <v>262</v>
      </c>
      <c r="D80">
        <v>28</v>
      </c>
      <c r="E80">
        <v>9016</v>
      </c>
      <c r="F80">
        <v>1747</v>
      </c>
      <c r="G80" s="4">
        <f t="shared" si="1"/>
        <v>0.19376663708961844</v>
      </c>
    </row>
    <row r="81" spans="1:7">
      <c r="A81" t="s">
        <v>219</v>
      </c>
      <c r="B81">
        <v>18</v>
      </c>
      <c r="C81" t="s">
        <v>268</v>
      </c>
      <c r="D81">
        <v>29</v>
      </c>
      <c r="E81">
        <v>9016</v>
      </c>
      <c r="F81">
        <v>1789</v>
      </c>
      <c r="G81" s="4">
        <f t="shared" si="1"/>
        <v>0.19842502218278615</v>
      </c>
    </row>
    <row r="82" spans="1:7">
      <c r="A82" t="s">
        <v>219</v>
      </c>
      <c r="B82">
        <v>18</v>
      </c>
      <c r="C82" t="s">
        <v>263</v>
      </c>
      <c r="D82">
        <v>30</v>
      </c>
      <c r="E82">
        <v>9016</v>
      </c>
      <c r="F82">
        <v>1803</v>
      </c>
      <c r="G82" s="4">
        <f t="shared" si="1"/>
        <v>0.19997781721384206</v>
      </c>
    </row>
    <row r="83" spans="1:7">
      <c r="A83" t="s">
        <v>219</v>
      </c>
      <c r="B83">
        <v>18</v>
      </c>
      <c r="C83" t="s">
        <v>265</v>
      </c>
      <c r="D83">
        <v>31</v>
      </c>
      <c r="E83">
        <v>9016</v>
      </c>
      <c r="F83">
        <v>1838</v>
      </c>
      <c r="G83" s="4">
        <f t="shared" si="1"/>
        <v>0.2038598047914818</v>
      </c>
    </row>
    <row r="84" spans="1:7">
      <c r="A84" t="s">
        <v>219</v>
      </c>
      <c r="B84">
        <v>18</v>
      </c>
      <c r="C84" t="s">
        <v>264</v>
      </c>
      <c r="D84">
        <v>32</v>
      </c>
      <c r="E84">
        <v>9016</v>
      </c>
      <c r="F84">
        <v>1842</v>
      </c>
      <c r="G84" s="4">
        <f t="shared" si="1"/>
        <v>0.20430346051464063</v>
      </c>
    </row>
    <row r="85" spans="1:7">
      <c r="A85" t="s">
        <v>219</v>
      </c>
      <c r="B85">
        <v>18</v>
      </c>
      <c r="C85" t="s">
        <v>270</v>
      </c>
      <c r="D85">
        <v>33</v>
      </c>
      <c r="E85">
        <v>9016</v>
      </c>
      <c r="F85">
        <v>1850</v>
      </c>
      <c r="G85" s="4">
        <f t="shared" si="1"/>
        <v>0.20519077196095831</v>
      </c>
    </row>
    <row r="86" spans="1:7">
      <c r="A86" t="s">
        <v>219</v>
      </c>
      <c r="B86">
        <v>18</v>
      </c>
      <c r="C86" t="s">
        <v>274</v>
      </c>
      <c r="D86">
        <v>34</v>
      </c>
      <c r="E86">
        <v>9016</v>
      </c>
      <c r="F86">
        <v>1903</v>
      </c>
      <c r="G86" s="4">
        <f t="shared" si="1"/>
        <v>0.21106921029281278</v>
      </c>
    </row>
    <row r="87" spans="1:7">
      <c r="A87" t="s">
        <v>219</v>
      </c>
      <c r="B87">
        <v>18</v>
      </c>
      <c r="C87" t="s">
        <v>271</v>
      </c>
      <c r="D87">
        <v>35</v>
      </c>
      <c r="E87">
        <v>9016</v>
      </c>
      <c r="F87">
        <v>1978</v>
      </c>
      <c r="G87" s="4">
        <f t="shared" si="1"/>
        <v>0.21938775510204081</v>
      </c>
    </row>
    <row r="88" spans="1:7">
      <c r="A88" t="s">
        <v>219</v>
      </c>
      <c r="B88">
        <v>18</v>
      </c>
      <c r="C88" t="s">
        <v>272</v>
      </c>
      <c r="D88">
        <v>36</v>
      </c>
      <c r="E88">
        <v>9016</v>
      </c>
      <c r="F88">
        <v>1988</v>
      </c>
      <c r="G88" s="4">
        <f t="shared" si="1"/>
        <v>0.22049689440993789</v>
      </c>
    </row>
    <row r="89" spans="1:7">
      <c r="A89" t="s">
        <v>219</v>
      </c>
      <c r="B89">
        <v>18</v>
      </c>
      <c r="C89" t="s">
        <v>266</v>
      </c>
      <c r="D89">
        <v>37</v>
      </c>
      <c r="E89">
        <v>9016</v>
      </c>
      <c r="F89">
        <v>1992</v>
      </c>
      <c r="G89" s="4">
        <f t="shared" si="1"/>
        <v>0.22094055013309671</v>
      </c>
    </row>
    <row r="90" spans="1:7">
      <c r="A90" t="s">
        <v>219</v>
      </c>
      <c r="B90">
        <v>18</v>
      </c>
      <c r="C90" t="s">
        <v>275</v>
      </c>
      <c r="D90">
        <v>38</v>
      </c>
      <c r="E90">
        <v>9016</v>
      </c>
      <c r="F90">
        <v>2040</v>
      </c>
      <c r="G90" s="4">
        <f t="shared" si="1"/>
        <v>0.22626441881100265</v>
      </c>
    </row>
    <row r="91" spans="1:7">
      <c r="A91" t="s">
        <v>219</v>
      </c>
      <c r="B91">
        <v>18</v>
      </c>
      <c r="C91" t="s">
        <v>269</v>
      </c>
      <c r="D91">
        <v>39</v>
      </c>
      <c r="E91">
        <v>9016</v>
      </c>
      <c r="F91">
        <v>3469</v>
      </c>
      <c r="G91" s="4">
        <f t="shared" si="1"/>
        <v>0.38476042590949422</v>
      </c>
    </row>
    <row r="92" spans="1:7">
      <c r="A92" t="s">
        <v>219</v>
      </c>
      <c r="B92">
        <v>18</v>
      </c>
      <c r="C92" t="s">
        <v>276</v>
      </c>
      <c r="D92">
        <v>40</v>
      </c>
      <c r="E92">
        <v>9016</v>
      </c>
      <c r="F92">
        <v>8219</v>
      </c>
      <c r="G92" s="4">
        <f t="shared" si="1"/>
        <v>0.91160159716060341</v>
      </c>
    </row>
    <row r="93" spans="1:7">
      <c r="A93" t="s">
        <v>219</v>
      </c>
      <c r="B93">
        <v>18</v>
      </c>
      <c r="C93" t="s">
        <v>278</v>
      </c>
      <c r="D93">
        <v>41</v>
      </c>
      <c r="E93">
        <v>9016</v>
      </c>
      <c r="F93">
        <v>8270</v>
      </c>
      <c r="G93" s="4">
        <f t="shared" si="1"/>
        <v>0.9172582076308784</v>
      </c>
    </row>
    <row r="94" spans="1:7">
      <c r="A94" t="s">
        <v>219</v>
      </c>
      <c r="B94">
        <v>18</v>
      </c>
      <c r="C94" t="s">
        <v>277</v>
      </c>
      <c r="D94">
        <v>42</v>
      </c>
      <c r="E94">
        <v>9016</v>
      </c>
      <c r="F94">
        <v>8303</v>
      </c>
      <c r="G94" s="4">
        <f t="shared" si="1"/>
        <v>0.92091836734693877</v>
      </c>
    </row>
    <row r="95" spans="1:7">
      <c r="A95" t="s">
        <v>219</v>
      </c>
      <c r="B95">
        <v>18</v>
      </c>
      <c r="C95" t="s">
        <v>280</v>
      </c>
      <c r="D95">
        <v>43</v>
      </c>
      <c r="E95">
        <v>9016</v>
      </c>
      <c r="F95">
        <v>8490</v>
      </c>
      <c r="G95" s="4">
        <f t="shared" si="1"/>
        <v>0.941659272404614</v>
      </c>
    </row>
    <row r="96" spans="1:7">
      <c r="A96" t="s">
        <v>219</v>
      </c>
      <c r="B96">
        <v>18</v>
      </c>
      <c r="C96" t="s">
        <v>281</v>
      </c>
      <c r="D96">
        <v>44</v>
      </c>
      <c r="E96">
        <v>9016</v>
      </c>
      <c r="F96">
        <v>8544</v>
      </c>
      <c r="G96" s="4">
        <f t="shared" si="1"/>
        <v>0.94764862466725819</v>
      </c>
    </row>
    <row r="97" spans="1:7">
      <c r="A97" t="s">
        <v>219</v>
      </c>
      <c r="B97">
        <v>18</v>
      </c>
      <c r="C97" t="s">
        <v>282</v>
      </c>
      <c r="D97">
        <v>45</v>
      </c>
      <c r="E97">
        <v>9016</v>
      </c>
      <c r="F97">
        <v>10046</v>
      </c>
      <c r="G97" s="4">
        <f t="shared" si="1"/>
        <v>1.1142413487133984</v>
      </c>
    </row>
    <row r="98" spans="1:7">
      <c r="A98" t="s">
        <v>219</v>
      </c>
      <c r="B98">
        <v>18</v>
      </c>
      <c r="C98" t="s">
        <v>279</v>
      </c>
      <c r="D98">
        <v>46</v>
      </c>
      <c r="E98">
        <v>9016</v>
      </c>
      <c r="F98">
        <v>10152</v>
      </c>
      <c r="G98" s="4">
        <f t="shared" si="1"/>
        <v>1.1259982253771075</v>
      </c>
    </row>
    <row r="99" spans="1:7">
      <c r="A99" t="s">
        <v>219</v>
      </c>
      <c r="B99">
        <v>19</v>
      </c>
      <c r="C99" t="s">
        <v>2</v>
      </c>
      <c r="D99">
        <v>1</v>
      </c>
      <c r="E99">
        <v>7866</v>
      </c>
      <c r="F99">
        <v>138</v>
      </c>
      <c r="G99" s="4">
        <f t="shared" si="1"/>
        <v>1.7543859649122806E-2</v>
      </c>
    </row>
    <row r="100" spans="1:7">
      <c r="A100" t="s">
        <v>219</v>
      </c>
      <c r="B100">
        <v>19</v>
      </c>
      <c r="C100" t="s">
        <v>1</v>
      </c>
      <c r="D100">
        <v>2</v>
      </c>
      <c r="E100">
        <v>7866</v>
      </c>
      <c r="F100">
        <v>253</v>
      </c>
      <c r="G100" s="4">
        <f t="shared" si="1"/>
        <v>3.2163742690058478E-2</v>
      </c>
    </row>
    <row r="101" spans="1:7">
      <c r="A101" t="s">
        <v>219</v>
      </c>
      <c r="B101">
        <v>19</v>
      </c>
      <c r="C101" t="s">
        <v>239</v>
      </c>
      <c r="D101">
        <v>3</v>
      </c>
      <c r="E101">
        <v>7866</v>
      </c>
      <c r="F101">
        <v>1888</v>
      </c>
      <c r="G101" s="4">
        <f t="shared" si="1"/>
        <v>0.24002034070683956</v>
      </c>
    </row>
    <row r="102" spans="1:7">
      <c r="A102" t="s">
        <v>219</v>
      </c>
      <c r="B102">
        <v>19</v>
      </c>
      <c r="C102" t="s">
        <v>283</v>
      </c>
      <c r="D102">
        <v>4</v>
      </c>
      <c r="E102">
        <v>7866</v>
      </c>
      <c r="F102">
        <v>1988</v>
      </c>
      <c r="G102" s="4">
        <f t="shared" si="1"/>
        <v>0.25273328248156623</v>
      </c>
    </row>
    <row r="103" spans="1:7">
      <c r="A103" t="s">
        <v>219</v>
      </c>
      <c r="B103">
        <v>19</v>
      </c>
      <c r="C103" t="s">
        <v>284</v>
      </c>
      <c r="D103">
        <v>5</v>
      </c>
      <c r="E103">
        <v>7866</v>
      </c>
      <c r="F103">
        <v>2105</v>
      </c>
      <c r="G103" s="4">
        <f t="shared" si="1"/>
        <v>0.26760742435799645</v>
      </c>
    </row>
    <row r="104" spans="1:7">
      <c r="A104" t="s">
        <v>219</v>
      </c>
      <c r="B104">
        <v>19</v>
      </c>
      <c r="C104" t="s">
        <v>298</v>
      </c>
      <c r="D104">
        <v>6</v>
      </c>
      <c r="E104">
        <v>7866</v>
      </c>
      <c r="F104">
        <v>6792</v>
      </c>
      <c r="G104" s="4">
        <f t="shared" si="1"/>
        <v>0.86346300533943554</v>
      </c>
    </row>
    <row r="105" spans="1:7">
      <c r="A105" t="s">
        <v>219</v>
      </c>
      <c r="B105">
        <v>19</v>
      </c>
      <c r="C105" t="s">
        <v>285</v>
      </c>
      <c r="D105">
        <v>7</v>
      </c>
      <c r="E105">
        <v>7866</v>
      </c>
      <c r="F105">
        <v>6940</v>
      </c>
      <c r="G105" s="4">
        <f t="shared" si="1"/>
        <v>0.88227815916603103</v>
      </c>
    </row>
    <row r="106" spans="1:7">
      <c r="A106" t="s">
        <v>219</v>
      </c>
      <c r="B106">
        <v>19</v>
      </c>
      <c r="C106" t="s">
        <v>286</v>
      </c>
      <c r="D106">
        <v>8</v>
      </c>
      <c r="E106">
        <v>7866</v>
      </c>
      <c r="F106">
        <v>7160</v>
      </c>
      <c r="G106" s="4">
        <f t="shared" si="1"/>
        <v>0.91024663107042969</v>
      </c>
    </row>
    <row r="107" spans="1:7">
      <c r="A107" t="s">
        <v>219</v>
      </c>
      <c r="B107">
        <v>19</v>
      </c>
      <c r="C107" t="s">
        <v>287</v>
      </c>
      <c r="D107">
        <v>9</v>
      </c>
      <c r="E107">
        <v>7866</v>
      </c>
      <c r="F107">
        <v>7215</v>
      </c>
      <c r="G107" s="4">
        <f t="shared" si="1"/>
        <v>0.91723874904652936</v>
      </c>
    </row>
    <row r="108" spans="1:7">
      <c r="A108" t="s">
        <v>219</v>
      </c>
      <c r="B108">
        <v>19</v>
      </c>
      <c r="C108" t="s">
        <v>300</v>
      </c>
      <c r="D108">
        <v>10</v>
      </c>
      <c r="E108">
        <v>7866</v>
      </c>
      <c r="F108">
        <v>7235</v>
      </c>
      <c r="G108" s="4">
        <f t="shared" si="1"/>
        <v>0.91978133740147472</v>
      </c>
    </row>
    <row r="109" spans="1:7">
      <c r="A109" t="s">
        <v>219</v>
      </c>
      <c r="B109">
        <v>19</v>
      </c>
      <c r="C109" t="s">
        <v>302</v>
      </c>
      <c r="D109">
        <v>11</v>
      </c>
      <c r="E109">
        <v>7866</v>
      </c>
      <c r="F109">
        <v>7257</v>
      </c>
      <c r="G109" s="4">
        <f t="shared" si="1"/>
        <v>0.92257818459191454</v>
      </c>
    </row>
    <row r="110" spans="1:7">
      <c r="A110" t="s">
        <v>219</v>
      </c>
      <c r="B110">
        <v>19</v>
      </c>
      <c r="C110" t="s">
        <v>289</v>
      </c>
      <c r="D110">
        <v>12</v>
      </c>
      <c r="E110">
        <v>7866</v>
      </c>
      <c r="F110">
        <v>7260</v>
      </c>
      <c r="G110" s="4">
        <f t="shared" si="1"/>
        <v>0.9229595728451564</v>
      </c>
    </row>
    <row r="111" spans="1:7">
      <c r="A111" t="s">
        <v>219</v>
      </c>
      <c r="B111">
        <v>19</v>
      </c>
      <c r="C111" t="s">
        <v>291</v>
      </c>
      <c r="D111">
        <v>13</v>
      </c>
      <c r="E111">
        <v>7866</v>
      </c>
      <c r="F111">
        <v>7261</v>
      </c>
      <c r="G111" s="4">
        <f t="shared" si="1"/>
        <v>0.92308670226290368</v>
      </c>
    </row>
    <row r="112" spans="1:7">
      <c r="A112" t="s">
        <v>219</v>
      </c>
      <c r="B112">
        <v>19</v>
      </c>
      <c r="C112" t="s">
        <v>288</v>
      </c>
      <c r="D112">
        <v>14</v>
      </c>
      <c r="E112">
        <v>7866</v>
      </c>
      <c r="F112">
        <v>7277</v>
      </c>
      <c r="G112" s="4">
        <f t="shared" si="1"/>
        <v>0.9251207729468599</v>
      </c>
    </row>
    <row r="113" spans="1:7">
      <c r="A113" t="s">
        <v>219</v>
      </c>
      <c r="B113">
        <v>19</v>
      </c>
      <c r="C113" t="s">
        <v>290</v>
      </c>
      <c r="D113">
        <v>15</v>
      </c>
      <c r="E113">
        <v>7866</v>
      </c>
      <c r="F113">
        <v>7285</v>
      </c>
      <c r="G113" s="4">
        <f t="shared" si="1"/>
        <v>0.92613780828883807</v>
      </c>
    </row>
    <row r="114" spans="1:7">
      <c r="A114" t="s">
        <v>219</v>
      </c>
      <c r="B114">
        <v>19</v>
      </c>
      <c r="C114" t="s">
        <v>292</v>
      </c>
      <c r="D114">
        <v>16</v>
      </c>
      <c r="E114">
        <v>7866</v>
      </c>
      <c r="F114">
        <v>7286</v>
      </c>
      <c r="G114" s="4">
        <f t="shared" si="1"/>
        <v>0.92626493770658536</v>
      </c>
    </row>
    <row r="115" spans="1:7">
      <c r="A115" t="s">
        <v>219</v>
      </c>
      <c r="B115">
        <v>19</v>
      </c>
      <c r="C115" t="s">
        <v>307</v>
      </c>
      <c r="D115">
        <v>17</v>
      </c>
      <c r="E115">
        <v>7866</v>
      </c>
      <c r="F115">
        <v>7297</v>
      </c>
      <c r="G115" s="4">
        <f t="shared" si="1"/>
        <v>0.92766336130180527</v>
      </c>
    </row>
    <row r="116" spans="1:7">
      <c r="A116" t="s">
        <v>219</v>
      </c>
      <c r="B116">
        <v>19</v>
      </c>
      <c r="C116" t="s">
        <v>294</v>
      </c>
      <c r="D116">
        <v>18</v>
      </c>
      <c r="E116">
        <v>7866</v>
      </c>
      <c r="F116">
        <v>7323</v>
      </c>
      <c r="G116" s="4">
        <f t="shared" si="1"/>
        <v>0.93096872616323412</v>
      </c>
    </row>
    <row r="117" spans="1:7">
      <c r="A117" t="s">
        <v>219</v>
      </c>
      <c r="B117">
        <v>19</v>
      </c>
      <c r="C117" t="s">
        <v>299</v>
      </c>
      <c r="D117">
        <v>19</v>
      </c>
      <c r="E117">
        <v>7866</v>
      </c>
      <c r="F117">
        <v>7339</v>
      </c>
      <c r="G117" s="4">
        <f t="shared" si="1"/>
        <v>0.93300279684719045</v>
      </c>
    </row>
    <row r="118" spans="1:7">
      <c r="A118" t="s">
        <v>219</v>
      </c>
      <c r="B118">
        <v>19</v>
      </c>
      <c r="C118" t="s">
        <v>295</v>
      </c>
      <c r="D118">
        <v>20</v>
      </c>
      <c r="E118">
        <v>7866</v>
      </c>
      <c r="F118">
        <v>7347</v>
      </c>
      <c r="G118" s="4">
        <f t="shared" si="1"/>
        <v>0.93401983218916862</v>
      </c>
    </row>
    <row r="119" spans="1:7">
      <c r="A119" t="s">
        <v>219</v>
      </c>
      <c r="B119">
        <v>19</v>
      </c>
      <c r="C119" t="s">
        <v>306</v>
      </c>
      <c r="D119">
        <v>21</v>
      </c>
      <c r="E119">
        <v>7866</v>
      </c>
      <c r="F119">
        <v>7374</v>
      </c>
      <c r="G119" s="4">
        <f t="shared" si="1"/>
        <v>0.93745232646834475</v>
      </c>
    </row>
    <row r="120" spans="1:7">
      <c r="A120" t="s">
        <v>219</v>
      </c>
      <c r="B120">
        <v>19</v>
      </c>
      <c r="C120" t="s">
        <v>293</v>
      </c>
      <c r="D120">
        <v>22</v>
      </c>
      <c r="E120">
        <v>7866</v>
      </c>
      <c r="F120">
        <v>7375</v>
      </c>
      <c r="G120" s="4">
        <f t="shared" si="1"/>
        <v>0.93757945588609204</v>
      </c>
    </row>
    <row r="121" spans="1:7">
      <c r="A121" t="s">
        <v>219</v>
      </c>
      <c r="B121">
        <v>19</v>
      </c>
      <c r="C121" t="s">
        <v>303</v>
      </c>
      <c r="D121">
        <v>23</v>
      </c>
      <c r="E121">
        <v>7866</v>
      </c>
      <c r="F121">
        <v>7413</v>
      </c>
      <c r="G121" s="4">
        <f t="shared" si="1"/>
        <v>0.9424103737604882</v>
      </c>
    </row>
    <row r="122" spans="1:7">
      <c r="A122" t="s">
        <v>219</v>
      </c>
      <c r="B122">
        <v>19</v>
      </c>
      <c r="C122" t="s">
        <v>301</v>
      </c>
      <c r="D122">
        <v>24</v>
      </c>
      <c r="E122">
        <v>7866</v>
      </c>
      <c r="F122">
        <v>7414</v>
      </c>
      <c r="G122" s="4">
        <f t="shared" si="1"/>
        <v>0.94253750317823548</v>
      </c>
    </row>
    <row r="123" spans="1:7">
      <c r="A123" t="s">
        <v>219</v>
      </c>
      <c r="B123">
        <v>19</v>
      </c>
      <c r="C123" t="s">
        <v>304</v>
      </c>
      <c r="D123">
        <v>25</v>
      </c>
      <c r="E123">
        <v>7866</v>
      </c>
      <c r="F123">
        <v>7452</v>
      </c>
      <c r="G123" s="4">
        <f t="shared" si="1"/>
        <v>0.94736842105263153</v>
      </c>
    </row>
    <row r="124" spans="1:7">
      <c r="A124" t="s">
        <v>219</v>
      </c>
      <c r="B124">
        <v>19</v>
      </c>
      <c r="C124" t="s">
        <v>296</v>
      </c>
      <c r="D124">
        <v>26</v>
      </c>
      <c r="E124">
        <v>7866</v>
      </c>
      <c r="F124">
        <v>7517</v>
      </c>
      <c r="G124" s="4">
        <f t="shared" si="1"/>
        <v>0.95563183320620393</v>
      </c>
    </row>
    <row r="125" spans="1:7">
      <c r="A125" t="s">
        <v>219</v>
      </c>
      <c r="B125">
        <v>19</v>
      </c>
      <c r="C125" t="s">
        <v>297</v>
      </c>
      <c r="D125">
        <v>27</v>
      </c>
      <c r="E125">
        <v>7866</v>
      </c>
      <c r="F125">
        <v>7540</v>
      </c>
      <c r="G125" s="4">
        <f t="shared" si="1"/>
        <v>0.95855580981439104</v>
      </c>
    </row>
    <row r="126" spans="1:7">
      <c r="A126" t="s">
        <v>219</v>
      </c>
      <c r="B126">
        <v>19</v>
      </c>
      <c r="C126" t="s">
        <v>305</v>
      </c>
      <c r="D126">
        <v>28</v>
      </c>
      <c r="E126">
        <v>7866</v>
      </c>
      <c r="F126">
        <v>7541</v>
      </c>
      <c r="G126" s="4">
        <f t="shared" si="1"/>
        <v>0.95868293923213832</v>
      </c>
    </row>
    <row r="127" spans="1:7">
      <c r="A127" t="s">
        <v>219</v>
      </c>
      <c r="B127">
        <v>20</v>
      </c>
      <c r="C127" t="s">
        <v>308</v>
      </c>
      <c r="D127">
        <v>1</v>
      </c>
      <c r="E127">
        <v>8590</v>
      </c>
      <c r="F127">
        <v>462</v>
      </c>
      <c r="G127" s="4">
        <f t="shared" si="1"/>
        <v>5.3783469150174623E-2</v>
      </c>
    </row>
    <row r="128" spans="1:7">
      <c r="A128" t="s">
        <v>219</v>
      </c>
      <c r="B128">
        <v>20</v>
      </c>
      <c r="C128" t="s">
        <v>310</v>
      </c>
      <c r="D128">
        <v>2</v>
      </c>
      <c r="E128">
        <v>8590</v>
      </c>
      <c r="F128">
        <v>543</v>
      </c>
      <c r="G128" s="4">
        <f t="shared" si="1"/>
        <v>6.3213038416763678E-2</v>
      </c>
    </row>
    <row r="129" spans="1:7">
      <c r="A129" t="s">
        <v>219</v>
      </c>
      <c r="B129">
        <v>20</v>
      </c>
      <c r="C129" t="s">
        <v>309</v>
      </c>
      <c r="D129">
        <v>3</v>
      </c>
      <c r="E129">
        <v>8590</v>
      </c>
      <c r="F129">
        <v>547</v>
      </c>
      <c r="G129" s="4">
        <f t="shared" si="1"/>
        <v>6.3678696158323639E-2</v>
      </c>
    </row>
    <row r="130" spans="1:7">
      <c r="A130" t="s">
        <v>219</v>
      </c>
      <c r="B130">
        <v>20</v>
      </c>
      <c r="C130" t="s">
        <v>311</v>
      </c>
      <c r="D130">
        <v>4</v>
      </c>
      <c r="E130">
        <v>8590</v>
      </c>
      <c r="F130">
        <v>563</v>
      </c>
      <c r="G130" s="4">
        <f t="shared" ref="G130:G193" si="2">F130/E130</f>
        <v>6.5541327124563439E-2</v>
      </c>
    </row>
    <row r="131" spans="1:7">
      <c r="A131" t="s">
        <v>219</v>
      </c>
      <c r="B131">
        <v>20</v>
      </c>
      <c r="C131" t="s">
        <v>312</v>
      </c>
      <c r="D131">
        <v>5</v>
      </c>
      <c r="E131">
        <v>8590</v>
      </c>
      <c r="F131">
        <v>591</v>
      </c>
      <c r="G131" s="4">
        <f t="shared" si="2"/>
        <v>6.8800931315483121E-2</v>
      </c>
    </row>
    <row r="132" spans="1:7">
      <c r="A132" t="s">
        <v>219</v>
      </c>
      <c r="B132">
        <v>20</v>
      </c>
      <c r="C132" t="s">
        <v>313</v>
      </c>
      <c r="D132">
        <v>6</v>
      </c>
      <c r="E132">
        <v>8590</v>
      </c>
      <c r="F132">
        <v>606</v>
      </c>
      <c r="G132" s="4">
        <f t="shared" si="2"/>
        <v>7.0547147846332939E-2</v>
      </c>
    </row>
    <row r="133" spans="1:7">
      <c r="A133" t="s">
        <v>219</v>
      </c>
      <c r="B133">
        <v>20</v>
      </c>
      <c r="C133" t="s">
        <v>314</v>
      </c>
      <c r="D133">
        <v>7</v>
      </c>
      <c r="E133">
        <v>8590</v>
      </c>
      <c r="F133">
        <v>610</v>
      </c>
      <c r="G133" s="4">
        <f t="shared" si="2"/>
        <v>7.1012805587892899E-2</v>
      </c>
    </row>
    <row r="134" spans="1:7">
      <c r="A134" t="s">
        <v>219</v>
      </c>
      <c r="B134">
        <v>20</v>
      </c>
      <c r="C134" t="s">
        <v>316</v>
      </c>
      <c r="D134">
        <v>8</v>
      </c>
      <c r="E134">
        <v>8590</v>
      </c>
      <c r="F134">
        <v>632</v>
      </c>
      <c r="G134" s="4">
        <f t="shared" si="2"/>
        <v>7.3573923166472641E-2</v>
      </c>
    </row>
    <row r="135" spans="1:7">
      <c r="A135" t="s">
        <v>219</v>
      </c>
      <c r="B135">
        <v>20</v>
      </c>
      <c r="C135" t="s">
        <v>315</v>
      </c>
      <c r="D135">
        <v>9</v>
      </c>
      <c r="E135">
        <v>8590</v>
      </c>
      <c r="F135">
        <v>643</v>
      </c>
      <c r="G135" s="4">
        <f t="shared" si="2"/>
        <v>7.4854481955762511E-2</v>
      </c>
    </row>
    <row r="136" spans="1:7">
      <c r="A136" t="s">
        <v>219</v>
      </c>
      <c r="B136">
        <v>20</v>
      </c>
      <c r="C136" t="s">
        <v>317</v>
      </c>
      <c r="D136">
        <v>10</v>
      </c>
      <c r="E136">
        <v>8590</v>
      </c>
      <c r="F136">
        <v>680</v>
      </c>
      <c r="G136" s="4">
        <f t="shared" si="2"/>
        <v>7.9161816065192084E-2</v>
      </c>
    </row>
    <row r="137" spans="1:7">
      <c r="A137" t="s">
        <v>219</v>
      </c>
      <c r="B137">
        <v>20</v>
      </c>
      <c r="C137" t="s">
        <v>319</v>
      </c>
      <c r="D137">
        <v>11</v>
      </c>
      <c r="E137">
        <v>8590</v>
      </c>
      <c r="F137">
        <v>697</v>
      </c>
      <c r="G137" s="4">
        <f t="shared" si="2"/>
        <v>8.1140861466821881E-2</v>
      </c>
    </row>
    <row r="138" spans="1:7">
      <c r="A138" t="s">
        <v>219</v>
      </c>
      <c r="B138">
        <v>20</v>
      </c>
      <c r="C138" t="s">
        <v>318</v>
      </c>
      <c r="D138">
        <v>12</v>
      </c>
      <c r="E138">
        <v>8590</v>
      </c>
      <c r="F138">
        <v>710</v>
      </c>
      <c r="G138" s="4">
        <f t="shared" si="2"/>
        <v>8.2654249126891732E-2</v>
      </c>
    </row>
    <row r="139" spans="1:7">
      <c r="A139" t="s">
        <v>219</v>
      </c>
      <c r="B139">
        <v>20</v>
      </c>
      <c r="C139" t="s">
        <v>320</v>
      </c>
      <c r="D139">
        <v>13</v>
      </c>
      <c r="E139">
        <v>8590</v>
      </c>
      <c r="F139">
        <v>732</v>
      </c>
      <c r="G139" s="4">
        <f t="shared" si="2"/>
        <v>8.5215366705471474E-2</v>
      </c>
    </row>
    <row r="140" spans="1:7">
      <c r="A140" t="s">
        <v>219</v>
      </c>
      <c r="B140">
        <v>20</v>
      </c>
      <c r="C140" t="s">
        <v>321</v>
      </c>
      <c r="D140">
        <v>14</v>
      </c>
      <c r="E140">
        <v>8590</v>
      </c>
      <c r="F140">
        <v>762</v>
      </c>
      <c r="G140" s="4">
        <f t="shared" si="2"/>
        <v>8.8707799767171136E-2</v>
      </c>
    </row>
    <row r="141" spans="1:7">
      <c r="A141" t="s">
        <v>219</v>
      </c>
      <c r="B141">
        <v>20</v>
      </c>
      <c r="C141" t="s">
        <v>322</v>
      </c>
      <c r="D141">
        <v>15</v>
      </c>
      <c r="E141">
        <v>8590</v>
      </c>
      <c r="F141">
        <v>808</v>
      </c>
      <c r="G141" s="4">
        <f t="shared" si="2"/>
        <v>9.4062863795110599E-2</v>
      </c>
    </row>
    <row r="142" spans="1:7">
      <c r="A142" t="s">
        <v>219</v>
      </c>
      <c r="B142">
        <v>20</v>
      </c>
      <c r="C142" t="s">
        <v>324</v>
      </c>
      <c r="D142">
        <v>16</v>
      </c>
      <c r="E142">
        <v>8590</v>
      </c>
      <c r="F142">
        <v>822</v>
      </c>
      <c r="G142" s="4">
        <f t="shared" si="2"/>
        <v>9.5692665890570433E-2</v>
      </c>
    </row>
    <row r="143" spans="1:7">
      <c r="A143" t="s">
        <v>219</v>
      </c>
      <c r="B143">
        <v>20</v>
      </c>
      <c r="C143" t="s">
        <v>323</v>
      </c>
      <c r="D143">
        <v>17</v>
      </c>
      <c r="E143">
        <v>8590</v>
      </c>
      <c r="F143">
        <v>827</v>
      </c>
      <c r="G143" s="4">
        <f t="shared" si="2"/>
        <v>9.6274738067520377E-2</v>
      </c>
    </row>
    <row r="144" spans="1:7">
      <c r="A144" t="s">
        <v>219</v>
      </c>
      <c r="B144">
        <v>20</v>
      </c>
      <c r="C144" t="s">
        <v>325</v>
      </c>
      <c r="D144">
        <v>18</v>
      </c>
      <c r="E144">
        <v>8590</v>
      </c>
      <c r="F144">
        <v>874</v>
      </c>
      <c r="G144" s="4">
        <f t="shared" si="2"/>
        <v>0.10174621653084982</v>
      </c>
    </row>
    <row r="145" spans="1:7">
      <c r="A145" t="s">
        <v>219</v>
      </c>
      <c r="B145">
        <v>20</v>
      </c>
      <c r="C145" t="s">
        <v>326</v>
      </c>
      <c r="D145">
        <v>19</v>
      </c>
      <c r="E145">
        <v>8590</v>
      </c>
      <c r="F145">
        <v>893</v>
      </c>
      <c r="G145" s="4">
        <f t="shared" si="2"/>
        <v>0.1039580908032596</v>
      </c>
    </row>
    <row r="146" spans="1:7">
      <c r="A146" t="s">
        <v>219</v>
      </c>
      <c r="B146">
        <v>20</v>
      </c>
      <c r="C146" t="s">
        <v>328</v>
      </c>
      <c r="D146">
        <v>20</v>
      </c>
      <c r="E146">
        <v>8590</v>
      </c>
      <c r="F146">
        <v>938</v>
      </c>
      <c r="G146" s="4">
        <f t="shared" si="2"/>
        <v>0.10919674039580908</v>
      </c>
    </row>
    <row r="147" spans="1:7">
      <c r="A147" t="s">
        <v>219</v>
      </c>
      <c r="B147">
        <v>20</v>
      </c>
      <c r="C147" t="s">
        <v>327</v>
      </c>
      <c r="D147">
        <v>21</v>
      </c>
      <c r="E147">
        <v>8590</v>
      </c>
      <c r="F147">
        <v>980</v>
      </c>
      <c r="G147" s="4">
        <f t="shared" si="2"/>
        <v>0.1140861466821886</v>
      </c>
    </row>
    <row r="148" spans="1:7">
      <c r="A148" t="s">
        <v>219</v>
      </c>
      <c r="B148">
        <v>20</v>
      </c>
      <c r="C148" t="s">
        <v>329</v>
      </c>
      <c r="D148">
        <v>22</v>
      </c>
      <c r="E148">
        <v>8590</v>
      </c>
      <c r="F148">
        <v>999</v>
      </c>
      <c r="G148" s="4">
        <f t="shared" si="2"/>
        <v>0.11629802095459837</v>
      </c>
    </row>
    <row r="149" spans="1:7">
      <c r="A149" t="s">
        <v>219</v>
      </c>
      <c r="B149">
        <v>20</v>
      </c>
      <c r="C149" t="s">
        <v>332</v>
      </c>
      <c r="D149">
        <v>23</v>
      </c>
      <c r="E149">
        <v>8590</v>
      </c>
      <c r="F149">
        <v>4448</v>
      </c>
      <c r="G149" s="4">
        <f t="shared" si="2"/>
        <v>0.51781140861466823</v>
      </c>
    </row>
    <row r="150" spans="1:7">
      <c r="A150" t="s">
        <v>219</v>
      </c>
      <c r="B150">
        <v>20</v>
      </c>
      <c r="C150" t="s">
        <v>335</v>
      </c>
      <c r="D150">
        <v>24</v>
      </c>
      <c r="E150">
        <v>8590</v>
      </c>
      <c r="F150">
        <v>4507</v>
      </c>
      <c r="G150" s="4">
        <f t="shared" si="2"/>
        <v>0.52467986030267755</v>
      </c>
    </row>
    <row r="151" spans="1:7">
      <c r="A151" t="s">
        <v>219</v>
      </c>
      <c r="B151">
        <v>20</v>
      </c>
      <c r="C151" t="s">
        <v>336</v>
      </c>
      <c r="D151">
        <v>25</v>
      </c>
      <c r="E151">
        <v>8590</v>
      </c>
      <c r="F151">
        <v>4548</v>
      </c>
      <c r="G151" s="4">
        <f t="shared" si="2"/>
        <v>0.52945285215366711</v>
      </c>
    </row>
    <row r="152" spans="1:7">
      <c r="A152" t="s">
        <v>219</v>
      </c>
      <c r="B152">
        <v>20</v>
      </c>
      <c r="C152" t="s">
        <v>337</v>
      </c>
      <c r="D152">
        <v>26</v>
      </c>
      <c r="E152">
        <v>8590</v>
      </c>
      <c r="F152">
        <v>4610</v>
      </c>
      <c r="G152" s="4">
        <f t="shared" si="2"/>
        <v>0.53667054714784634</v>
      </c>
    </row>
    <row r="153" spans="1:7">
      <c r="A153" t="s">
        <v>219</v>
      </c>
      <c r="B153">
        <v>20</v>
      </c>
      <c r="C153" t="s">
        <v>331</v>
      </c>
      <c r="D153">
        <v>27</v>
      </c>
      <c r="E153">
        <v>8590</v>
      </c>
      <c r="F153">
        <v>6095</v>
      </c>
      <c r="G153" s="4">
        <f t="shared" si="2"/>
        <v>0.70954598370197908</v>
      </c>
    </row>
    <row r="154" spans="1:7">
      <c r="A154" t="s">
        <v>219</v>
      </c>
      <c r="B154">
        <v>20</v>
      </c>
      <c r="C154" t="s">
        <v>334</v>
      </c>
      <c r="D154">
        <v>28</v>
      </c>
      <c r="E154">
        <v>8590</v>
      </c>
      <c r="F154">
        <v>6132</v>
      </c>
      <c r="G154" s="4">
        <f t="shared" si="2"/>
        <v>0.71385331781140859</v>
      </c>
    </row>
    <row r="155" spans="1:7">
      <c r="A155" t="s">
        <v>219</v>
      </c>
      <c r="B155">
        <v>20</v>
      </c>
      <c r="C155" t="s">
        <v>333</v>
      </c>
      <c r="D155">
        <v>29</v>
      </c>
      <c r="E155">
        <v>8590</v>
      </c>
      <c r="F155">
        <v>6152</v>
      </c>
      <c r="G155" s="4">
        <f t="shared" si="2"/>
        <v>0.71618160651920837</v>
      </c>
    </row>
    <row r="156" spans="1:7">
      <c r="A156" t="s">
        <v>219</v>
      </c>
      <c r="B156">
        <v>20</v>
      </c>
      <c r="C156" t="s">
        <v>340</v>
      </c>
      <c r="D156">
        <v>30</v>
      </c>
      <c r="E156">
        <v>8590</v>
      </c>
      <c r="F156">
        <v>6616</v>
      </c>
      <c r="G156" s="4">
        <f t="shared" si="2"/>
        <v>0.77019790454016301</v>
      </c>
    </row>
    <row r="157" spans="1:7">
      <c r="A157" t="s">
        <v>219</v>
      </c>
      <c r="B157">
        <v>20</v>
      </c>
      <c r="C157" t="s">
        <v>339</v>
      </c>
      <c r="D157">
        <v>31</v>
      </c>
      <c r="E157">
        <v>8590</v>
      </c>
      <c r="F157">
        <v>7013</v>
      </c>
      <c r="G157" s="4">
        <f t="shared" si="2"/>
        <v>0.81641443538998837</v>
      </c>
    </row>
    <row r="158" spans="1:7">
      <c r="A158" t="s">
        <v>219</v>
      </c>
      <c r="B158">
        <v>20</v>
      </c>
      <c r="C158" t="s">
        <v>330</v>
      </c>
      <c r="D158">
        <v>32</v>
      </c>
      <c r="E158">
        <v>8590</v>
      </c>
      <c r="F158">
        <v>7693</v>
      </c>
      <c r="G158" s="4">
        <f t="shared" si="2"/>
        <v>0.89557625145518049</v>
      </c>
    </row>
    <row r="159" spans="1:7">
      <c r="A159" t="s">
        <v>219</v>
      </c>
      <c r="B159">
        <v>20</v>
      </c>
      <c r="C159" t="s">
        <v>338</v>
      </c>
      <c r="D159">
        <v>33</v>
      </c>
      <c r="E159">
        <v>8590</v>
      </c>
      <c r="F159">
        <v>8060</v>
      </c>
      <c r="G159" s="4">
        <f t="shared" si="2"/>
        <v>0.93830034924330619</v>
      </c>
    </row>
    <row r="160" spans="1:7">
      <c r="A160" t="s">
        <v>220</v>
      </c>
      <c r="B160">
        <v>2</v>
      </c>
      <c r="C160" t="s">
        <v>203</v>
      </c>
      <c r="D160">
        <v>1</v>
      </c>
      <c r="E160">
        <v>3781</v>
      </c>
      <c r="F160">
        <v>201</v>
      </c>
      <c r="G160" s="4">
        <f t="shared" si="2"/>
        <v>5.3160539539804284E-2</v>
      </c>
    </row>
    <row r="161" spans="1:7">
      <c r="A161" t="s">
        <v>220</v>
      </c>
      <c r="B161">
        <v>2</v>
      </c>
      <c r="C161" t="s">
        <v>341</v>
      </c>
      <c r="D161">
        <v>2</v>
      </c>
      <c r="E161">
        <v>3781</v>
      </c>
      <c r="F161">
        <v>1947</v>
      </c>
      <c r="G161" s="4">
        <f t="shared" si="2"/>
        <v>0.51494313673631309</v>
      </c>
    </row>
    <row r="162" spans="1:7">
      <c r="A162" t="s">
        <v>220</v>
      </c>
      <c r="B162">
        <v>2</v>
      </c>
      <c r="C162" t="s">
        <v>342</v>
      </c>
      <c r="D162">
        <v>3</v>
      </c>
      <c r="E162">
        <v>3781</v>
      </c>
      <c r="F162">
        <v>3758</v>
      </c>
      <c r="G162" s="4">
        <f t="shared" si="2"/>
        <v>0.99391695318698758</v>
      </c>
    </row>
    <row r="163" spans="1:7">
      <c r="A163" t="s">
        <v>220</v>
      </c>
      <c r="B163">
        <v>3</v>
      </c>
      <c r="C163" t="s">
        <v>343</v>
      </c>
      <c r="D163">
        <v>1</v>
      </c>
      <c r="E163">
        <v>1581</v>
      </c>
      <c r="F163">
        <v>1546</v>
      </c>
      <c r="G163" s="4">
        <f t="shared" si="2"/>
        <v>0.97786211258697031</v>
      </c>
    </row>
    <row r="164" spans="1:7">
      <c r="A164" t="s">
        <v>220</v>
      </c>
      <c r="B164">
        <v>3</v>
      </c>
      <c r="C164" t="s">
        <v>235</v>
      </c>
      <c r="D164">
        <v>2</v>
      </c>
      <c r="E164">
        <v>1581</v>
      </c>
      <c r="F164">
        <v>1555</v>
      </c>
      <c r="G164" s="4">
        <f t="shared" si="2"/>
        <v>0.9835547122074636</v>
      </c>
    </row>
    <row r="165" spans="1:7">
      <c r="A165" t="s">
        <v>220</v>
      </c>
      <c r="B165">
        <v>7</v>
      </c>
      <c r="C165" t="s">
        <v>343</v>
      </c>
      <c r="D165">
        <v>1</v>
      </c>
      <c r="E165">
        <v>1484</v>
      </c>
      <c r="F165">
        <v>1473</v>
      </c>
      <c r="G165" s="4">
        <f t="shared" si="2"/>
        <v>0.99258760107816713</v>
      </c>
    </row>
    <row r="166" spans="1:7">
      <c r="A166" t="s">
        <v>220</v>
      </c>
      <c r="B166">
        <v>7</v>
      </c>
      <c r="C166" t="s">
        <v>235</v>
      </c>
      <c r="D166">
        <v>2</v>
      </c>
      <c r="E166">
        <v>1484</v>
      </c>
      <c r="F166">
        <v>1522</v>
      </c>
      <c r="G166" s="4">
        <f t="shared" si="2"/>
        <v>1.0256064690026954</v>
      </c>
    </row>
    <row r="167" spans="1:7">
      <c r="A167" t="s">
        <v>220</v>
      </c>
      <c r="B167">
        <v>10</v>
      </c>
      <c r="C167" t="s">
        <v>344</v>
      </c>
      <c r="D167">
        <v>1</v>
      </c>
      <c r="E167">
        <v>13398</v>
      </c>
      <c r="F167">
        <v>1717</v>
      </c>
      <c r="G167" s="4">
        <f t="shared" si="2"/>
        <v>0.12815345573966264</v>
      </c>
    </row>
    <row r="168" spans="1:7">
      <c r="A168" t="s">
        <v>220</v>
      </c>
      <c r="B168">
        <v>10</v>
      </c>
      <c r="C168" t="s">
        <v>345</v>
      </c>
      <c r="D168">
        <v>2</v>
      </c>
      <c r="E168">
        <v>13398</v>
      </c>
      <c r="F168">
        <v>1720</v>
      </c>
      <c r="G168" s="4">
        <f t="shared" si="2"/>
        <v>0.1283773697566801</v>
      </c>
    </row>
    <row r="169" spans="1:7">
      <c r="A169" t="s">
        <v>220</v>
      </c>
      <c r="B169">
        <v>10</v>
      </c>
      <c r="C169" t="s">
        <v>346</v>
      </c>
      <c r="D169">
        <v>3</v>
      </c>
      <c r="E169">
        <v>13398</v>
      </c>
      <c r="F169">
        <v>1733</v>
      </c>
      <c r="G169" s="4">
        <f t="shared" si="2"/>
        <v>0.12934766383042245</v>
      </c>
    </row>
    <row r="170" spans="1:7">
      <c r="A170" t="s">
        <v>220</v>
      </c>
      <c r="B170">
        <v>10</v>
      </c>
      <c r="C170" t="s">
        <v>347</v>
      </c>
      <c r="D170">
        <v>4</v>
      </c>
      <c r="E170">
        <v>13398</v>
      </c>
      <c r="F170">
        <v>1760</v>
      </c>
      <c r="G170" s="4">
        <f t="shared" si="2"/>
        <v>0.13136288998357964</v>
      </c>
    </row>
    <row r="171" spans="1:7">
      <c r="A171" t="s">
        <v>220</v>
      </c>
      <c r="B171">
        <v>10</v>
      </c>
      <c r="C171" t="s">
        <v>349</v>
      </c>
      <c r="D171">
        <v>5</v>
      </c>
      <c r="E171">
        <v>13398</v>
      </c>
      <c r="F171">
        <v>1773</v>
      </c>
      <c r="G171" s="4">
        <f t="shared" si="2"/>
        <v>0.132333184057322</v>
      </c>
    </row>
    <row r="172" spans="1:7">
      <c r="A172" t="s">
        <v>220</v>
      </c>
      <c r="B172">
        <v>10</v>
      </c>
      <c r="C172" t="s">
        <v>351</v>
      </c>
      <c r="D172">
        <v>6</v>
      </c>
      <c r="E172">
        <v>13398</v>
      </c>
      <c r="F172">
        <v>1776</v>
      </c>
      <c r="G172" s="4">
        <f t="shared" si="2"/>
        <v>0.13255709807433946</v>
      </c>
    </row>
    <row r="173" spans="1:7">
      <c r="A173" t="s">
        <v>220</v>
      </c>
      <c r="B173">
        <v>10</v>
      </c>
      <c r="C173" t="s">
        <v>348</v>
      </c>
      <c r="D173">
        <v>7</v>
      </c>
      <c r="E173">
        <v>13398</v>
      </c>
      <c r="F173">
        <v>1779</v>
      </c>
      <c r="G173" s="4">
        <f t="shared" si="2"/>
        <v>0.13278101209135693</v>
      </c>
    </row>
    <row r="174" spans="1:7">
      <c r="A174" t="s">
        <v>220</v>
      </c>
      <c r="B174">
        <v>10</v>
      </c>
      <c r="C174" t="s">
        <v>350</v>
      </c>
      <c r="D174">
        <v>8</v>
      </c>
      <c r="E174">
        <v>13398</v>
      </c>
      <c r="F174">
        <v>1804</v>
      </c>
      <c r="G174" s="4">
        <f t="shared" si="2"/>
        <v>0.13464696223316913</v>
      </c>
    </row>
    <row r="175" spans="1:7">
      <c r="A175" t="s">
        <v>220</v>
      </c>
      <c r="B175">
        <v>10</v>
      </c>
      <c r="C175" t="s">
        <v>354</v>
      </c>
      <c r="D175">
        <v>9</v>
      </c>
      <c r="E175">
        <v>13398</v>
      </c>
      <c r="F175">
        <v>1884</v>
      </c>
      <c r="G175" s="4">
        <f t="shared" si="2"/>
        <v>0.1406180026869682</v>
      </c>
    </row>
    <row r="176" spans="1:7">
      <c r="A176" t="s">
        <v>220</v>
      </c>
      <c r="B176">
        <v>10</v>
      </c>
      <c r="C176" t="s">
        <v>353</v>
      </c>
      <c r="D176">
        <v>10</v>
      </c>
      <c r="E176">
        <v>13398</v>
      </c>
      <c r="F176">
        <v>1888</v>
      </c>
      <c r="G176" s="4">
        <f t="shared" si="2"/>
        <v>0.14091655470965816</v>
      </c>
    </row>
    <row r="177" spans="1:7">
      <c r="A177" t="s">
        <v>220</v>
      </c>
      <c r="B177">
        <v>10</v>
      </c>
      <c r="C177" t="s">
        <v>352</v>
      </c>
      <c r="D177">
        <v>11</v>
      </c>
      <c r="E177">
        <v>13398</v>
      </c>
      <c r="F177">
        <v>1891</v>
      </c>
      <c r="G177" s="4">
        <f t="shared" si="2"/>
        <v>0.14114046872667563</v>
      </c>
    </row>
    <row r="178" spans="1:7">
      <c r="A178" t="s">
        <v>220</v>
      </c>
      <c r="B178">
        <v>10</v>
      </c>
      <c r="C178" t="s">
        <v>355</v>
      </c>
      <c r="D178">
        <v>12</v>
      </c>
      <c r="E178">
        <v>13398</v>
      </c>
      <c r="F178">
        <v>1911</v>
      </c>
      <c r="G178" s="4">
        <f t="shared" si="2"/>
        <v>0.14263322884012539</v>
      </c>
    </row>
    <row r="179" spans="1:7">
      <c r="A179" t="s">
        <v>220</v>
      </c>
      <c r="B179">
        <v>10</v>
      </c>
      <c r="C179" t="s">
        <v>357</v>
      </c>
      <c r="D179">
        <v>13</v>
      </c>
      <c r="E179">
        <v>13398</v>
      </c>
      <c r="F179">
        <v>1971</v>
      </c>
      <c r="G179" s="4">
        <f t="shared" si="2"/>
        <v>0.14711150918047469</v>
      </c>
    </row>
    <row r="180" spans="1:7">
      <c r="A180" t="s">
        <v>220</v>
      </c>
      <c r="B180">
        <v>10</v>
      </c>
      <c r="C180" t="s">
        <v>356</v>
      </c>
      <c r="D180">
        <v>14</v>
      </c>
      <c r="E180">
        <v>13398</v>
      </c>
      <c r="F180">
        <v>1973</v>
      </c>
      <c r="G180" s="4">
        <f t="shared" si="2"/>
        <v>0.14726078519181968</v>
      </c>
    </row>
    <row r="181" spans="1:7">
      <c r="A181" t="s">
        <v>220</v>
      </c>
      <c r="B181">
        <v>10</v>
      </c>
      <c r="C181" t="s">
        <v>359</v>
      </c>
      <c r="D181">
        <v>15</v>
      </c>
      <c r="E181">
        <v>13398</v>
      </c>
      <c r="F181">
        <v>1982</v>
      </c>
      <c r="G181" s="4">
        <f t="shared" si="2"/>
        <v>0.14793252724287206</v>
      </c>
    </row>
    <row r="182" spans="1:7">
      <c r="A182" t="s">
        <v>220</v>
      </c>
      <c r="B182">
        <v>10</v>
      </c>
      <c r="C182" t="s">
        <v>358</v>
      </c>
      <c r="D182">
        <v>16</v>
      </c>
      <c r="E182">
        <v>13398</v>
      </c>
      <c r="F182">
        <v>1985</v>
      </c>
      <c r="G182" s="4">
        <f t="shared" si="2"/>
        <v>0.14815644125988953</v>
      </c>
    </row>
    <row r="183" spans="1:7">
      <c r="A183" t="s">
        <v>220</v>
      </c>
      <c r="B183">
        <v>10</v>
      </c>
      <c r="C183" t="s">
        <v>360</v>
      </c>
      <c r="D183">
        <v>17</v>
      </c>
      <c r="E183">
        <v>13398</v>
      </c>
      <c r="F183">
        <v>2168</v>
      </c>
      <c r="G183" s="4">
        <f t="shared" si="2"/>
        <v>0.16181519629795491</v>
      </c>
    </row>
    <row r="184" spans="1:7">
      <c r="A184" t="s">
        <v>220</v>
      </c>
      <c r="B184">
        <v>10</v>
      </c>
      <c r="C184" t="s">
        <v>361</v>
      </c>
      <c r="D184">
        <v>18</v>
      </c>
      <c r="E184">
        <v>13398</v>
      </c>
      <c r="F184">
        <v>2173</v>
      </c>
      <c r="G184" s="4">
        <f t="shared" si="2"/>
        <v>0.16218838632631735</v>
      </c>
    </row>
    <row r="185" spans="1:7">
      <c r="A185" t="s">
        <v>220</v>
      </c>
      <c r="B185">
        <v>10</v>
      </c>
      <c r="C185" t="s">
        <v>362</v>
      </c>
      <c r="D185">
        <v>19</v>
      </c>
      <c r="E185">
        <v>13398</v>
      </c>
      <c r="F185">
        <v>2219</v>
      </c>
      <c r="G185" s="4">
        <f t="shared" si="2"/>
        <v>0.16562173458725182</v>
      </c>
    </row>
    <row r="186" spans="1:7">
      <c r="A186" t="s">
        <v>220</v>
      </c>
      <c r="B186">
        <v>10</v>
      </c>
      <c r="C186" t="s">
        <v>363</v>
      </c>
      <c r="D186">
        <v>20</v>
      </c>
      <c r="E186">
        <v>13398</v>
      </c>
      <c r="F186">
        <v>2313</v>
      </c>
      <c r="G186" s="4">
        <f t="shared" si="2"/>
        <v>0.17263770712046575</v>
      </c>
    </row>
    <row r="187" spans="1:7">
      <c r="A187" t="s">
        <v>220</v>
      </c>
      <c r="B187">
        <v>10</v>
      </c>
      <c r="C187" t="s">
        <v>364</v>
      </c>
      <c r="D187">
        <v>21</v>
      </c>
      <c r="E187">
        <v>13398</v>
      </c>
      <c r="F187">
        <v>2346</v>
      </c>
      <c r="G187" s="4">
        <f t="shared" si="2"/>
        <v>0.17510076130765787</v>
      </c>
    </row>
    <row r="188" spans="1:7">
      <c r="A188" t="s">
        <v>220</v>
      </c>
      <c r="B188">
        <v>10</v>
      </c>
      <c r="C188" t="s">
        <v>365</v>
      </c>
      <c r="D188">
        <v>22</v>
      </c>
      <c r="E188">
        <v>13398</v>
      </c>
      <c r="F188">
        <v>2415</v>
      </c>
      <c r="G188" s="4">
        <f t="shared" si="2"/>
        <v>0.18025078369905956</v>
      </c>
    </row>
    <row r="189" spans="1:7">
      <c r="A189" t="s">
        <v>220</v>
      </c>
      <c r="B189">
        <v>10</v>
      </c>
      <c r="C189" t="s">
        <v>369</v>
      </c>
      <c r="D189">
        <v>23</v>
      </c>
      <c r="E189">
        <v>13398</v>
      </c>
      <c r="F189">
        <v>3013</v>
      </c>
      <c r="G189" s="4">
        <f t="shared" si="2"/>
        <v>0.22488431109120766</v>
      </c>
    </row>
    <row r="190" spans="1:7">
      <c r="A190" t="s">
        <v>220</v>
      </c>
      <c r="B190">
        <v>10</v>
      </c>
      <c r="C190" t="s">
        <v>366</v>
      </c>
      <c r="D190">
        <v>24</v>
      </c>
      <c r="E190">
        <v>13398</v>
      </c>
      <c r="F190">
        <v>3030</v>
      </c>
      <c r="G190" s="4">
        <f t="shared" si="2"/>
        <v>0.22615315718763995</v>
      </c>
    </row>
    <row r="191" spans="1:7">
      <c r="A191" t="s">
        <v>220</v>
      </c>
      <c r="B191">
        <v>10</v>
      </c>
      <c r="C191" t="s">
        <v>367</v>
      </c>
      <c r="D191">
        <v>25</v>
      </c>
      <c r="E191">
        <v>13398</v>
      </c>
      <c r="F191">
        <v>3039</v>
      </c>
      <c r="G191" s="4">
        <f t="shared" si="2"/>
        <v>0.22682489923869234</v>
      </c>
    </row>
    <row r="192" spans="1:7">
      <c r="A192" t="s">
        <v>220</v>
      </c>
      <c r="B192">
        <v>10</v>
      </c>
      <c r="C192" t="s">
        <v>368</v>
      </c>
      <c r="D192">
        <v>26</v>
      </c>
      <c r="E192">
        <v>13398</v>
      </c>
      <c r="F192">
        <v>3075</v>
      </c>
      <c r="G192" s="4">
        <f t="shared" si="2"/>
        <v>0.22951186744290192</v>
      </c>
    </row>
    <row r="193" spans="1:7">
      <c r="A193" t="s">
        <v>220</v>
      </c>
      <c r="B193">
        <v>10</v>
      </c>
      <c r="C193" t="s">
        <v>373</v>
      </c>
      <c r="D193">
        <v>27</v>
      </c>
      <c r="E193">
        <v>13398</v>
      </c>
      <c r="F193">
        <v>3188</v>
      </c>
      <c r="G193" s="4">
        <f t="shared" si="2"/>
        <v>0.23794596208389313</v>
      </c>
    </row>
    <row r="194" spans="1:7">
      <c r="A194" t="s">
        <v>220</v>
      </c>
      <c r="B194">
        <v>10</v>
      </c>
      <c r="C194" t="s">
        <v>370</v>
      </c>
      <c r="D194">
        <v>28</v>
      </c>
      <c r="E194">
        <v>13398</v>
      </c>
      <c r="F194">
        <v>3202</v>
      </c>
      <c r="G194" s="4">
        <f t="shared" ref="G194:G257" si="3">F194/E194</f>
        <v>0.23899089416330796</v>
      </c>
    </row>
    <row r="195" spans="1:7">
      <c r="A195" t="s">
        <v>220</v>
      </c>
      <c r="B195">
        <v>10</v>
      </c>
      <c r="C195" t="s">
        <v>371</v>
      </c>
      <c r="D195">
        <v>29</v>
      </c>
      <c r="E195">
        <v>13398</v>
      </c>
      <c r="F195">
        <v>3206</v>
      </c>
      <c r="G195" s="4">
        <f t="shared" si="3"/>
        <v>0.2392894461859979</v>
      </c>
    </row>
    <row r="196" spans="1:7">
      <c r="A196" t="s">
        <v>220</v>
      </c>
      <c r="B196">
        <v>10</v>
      </c>
      <c r="C196" t="s">
        <v>372</v>
      </c>
      <c r="D196">
        <v>30</v>
      </c>
      <c r="E196">
        <v>13398</v>
      </c>
      <c r="F196">
        <v>3217</v>
      </c>
      <c r="G196" s="4">
        <f t="shared" si="3"/>
        <v>0.24011046424839527</v>
      </c>
    </row>
    <row r="197" spans="1:7">
      <c r="A197" t="s">
        <v>220</v>
      </c>
      <c r="B197">
        <v>10</v>
      </c>
      <c r="C197" t="s">
        <v>374</v>
      </c>
      <c r="D197">
        <v>31</v>
      </c>
      <c r="E197">
        <v>13398</v>
      </c>
      <c r="F197">
        <v>3748</v>
      </c>
      <c r="G197" s="4">
        <f t="shared" si="3"/>
        <v>0.27974324526048666</v>
      </c>
    </row>
    <row r="198" spans="1:7">
      <c r="A198" t="s">
        <v>220</v>
      </c>
      <c r="B198">
        <v>10</v>
      </c>
      <c r="C198" t="s">
        <v>375</v>
      </c>
      <c r="D198">
        <v>32</v>
      </c>
      <c r="E198">
        <v>13398</v>
      </c>
      <c r="F198">
        <v>3950</v>
      </c>
      <c r="G198" s="4">
        <f t="shared" si="3"/>
        <v>0.29482012240632932</v>
      </c>
    </row>
    <row r="199" spans="1:7">
      <c r="A199" t="s">
        <v>220</v>
      </c>
      <c r="B199">
        <v>11</v>
      </c>
      <c r="C199" t="s">
        <v>2</v>
      </c>
      <c r="D199">
        <v>1</v>
      </c>
      <c r="E199">
        <v>5977</v>
      </c>
      <c r="F199">
        <v>116</v>
      </c>
      <c r="G199" s="4">
        <f t="shared" si="3"/>
        <v>1.9407729630249289E-2</v>
      </c>
    </row>
    <row r="200" spans="1:7">
      <c r="A200" t="s">
        <v>220</v>
      </c>
      <c r="B200">
        <v>11</v>
      </c>
      <c r="C200" t="s">
        <v>376</v>
      </c>
      <c r="D200">
        <v>2</v>
      </c>
      <c r="E200">
        <v>5977</v>
      </c>
      <c r="F200">
        <v>2422</v>
      </c>
      <c r="G200" s="4">
        <f t="shared" si="3"/>
        <v>0.40522001003848085</v>
      </c>
    </row>
    <row r="201" spans="1:7">
      <c r="A201" t="s">
        <v>220</v>
      </c>
      <c r="B201">
        <v>11</v>
      </c>
      <c r="C201" t="s">
        <v>377</v>
      </c>
      <c r="D201">
        <v>3</v>
      </c>
      <c r="E201">
        <v>5977</v>
      </c>
      <c r="F201">
        <v>2575</v>
      </c>
      <c r="G201" s="4">
        <f t="shared" si="3"/>
        <v>0.43081813618872344</v>
      </c>
    </row>
    <row r="202" spans="1:7">
      <c r="A202" t="s">
        <v>220</v>
      </c>
      <c r="B202">
        <v>11</v>
      </c>
      <c r="C202" t="s">
        <v>378</v>
      </c>
      <c r="D202">
        <v>4</v>
      </c>
      <c r="E202">
        <v>5977</v>
      </c>
      <c r="F202">
        <v>3092</v>
      </c>
      <c r="G202" s="4">
        <f t="shared" si="3"/>
        <v>0.51731637945457587</v>
      </c>
    </row>
    <row r="203" spans="1:7">
      <c r="A203" t="s">
        <v>220</v>
      </c>
      <c r="B203">
        <v>11</v>
      </c>
      <c r="C203" t="s">
        <v>379</v>
      </c>
      <c r="D203">
        <v>5</v>
      </c>
      <c r="E203">
        <v>5977</v>
      </c>
      <c r="F203">
        <v>3149</v>
      </c>
      <c r="G203" s="4">
        <f t="shared" si="3"/>
        <v>0.52685293625564666</v>
      </c>
    </row>
    <row r="204" spans="1:7">
      <c r="A204" t="s">
        <v>220</v>
      </c>
      <c r="B204">
        <v>11</v>
      </c>
      <c r="C204" t="s">
        <v>380</v>
      </c>
      <c r="D204">
        <v>6</v>
      </c>
      <c r="E204">
        <v>5977</v>
      </c>
      <c r="F204">
        <v>3219</v>
      </c>
      <c r="G204" s="4">
        <f t="shared" si="3"/>
        <v>0.53856449723941779</v>
      </c>
    </row>
    <row r="205" spans="1:7">
      <c r="A205" t="s">
        <v>220</v>
      </c>
      <c r="B205">
        <v>11</v>
      </c>
      <c r="C205" t="s">
        <v>381</v>
      </c>
      <c r="D205">
        <v>7</v>
      </c>
      <c r="E205">
        <v>5977</v>
      </c>
      <c r="F205">
        <v>3228</v>
      </c>
      <c r="G205" s="4">
        <f t="shared" si="3"/>
        <v>0.54007026936590263</v>
      </c>
    </row>
    <row r="206" spans="1:7">
      <c r="A206" t="s">
        <v>220</v>
      </c>
      <c r="B206">
        <v>11</v>
      </c>
      <c r="C206" t="s">
        <v>382</v>
      </c>
      <c r="D206">
        <v>8</v>
      </c>
      <c r="E206">
        <v>5977</v>
      </c>
      <c r="F206">
        <v>3257</v>
      </c>
      <c r="G206" s="4">
        <f t="shared" si="3"/>
        <v>0.54492220177346495</v>
      </c>
    </row>
    <row r="207" spans="1:7">
      <c r="A207" t="s">
        <v>220</v>
      </c>
      <c r="B207">
        <v>11</v>
      </c>
      <c r="C207" t="s">
        <v>383</v>
      </c>
      <c r="D207">
        <v>9</v>
      </c>
      <c r="E207">
        <v>5977</v>
      </c>
      <c r="F207">
        <v>3306</v>
      </c>
      <c r="G207" s="4">
        <f t="shared" si="3"/>
        <v>0.55312029446210476</v>
      </c>
    </row>
    <row r="208" spans="1:7">
      <c r="A208" t="s">
        <v>220</v>
      </c>
      <c r="B208">
        <v>11</v>
      </c>
      <c r="C208" t="s">
        <v>384</v>
      </c>
      <c r="D208">
        <v>10</v>
      </c>
      <c r="E208">
        <v>5977</v>
      </c>
      <c r="F208">
        <v>3329</v>
      </c>
      <c r="G208" s="4">
        <f t="shared" si="3"/>
        <v>0.55696837878534378</v>
      </c>
    </row>
    <row r="209" spans="1:7">
      <c r="A209" t="s">
        <v>220</v>
      </c>
      <c r="B209">
        <v>11</v>
      </c>
      <c r="C209" t="s">
        <v>385</v>
      </c>
      <c r="D209">
        <v>11</v>
      </c>
      <c r="E209">
        <v>5977</v>
      </c>
      <c r="F209">
        <v>3380</v>
      </c>
      <c r="G209" s="4">
        <f t="shared" si="3"/>
        <v>0.56550108750209138</v>
      </c>
    </row>
    <row r="210" spans="1:7">
      <c r="A210" t="s">
        <v>220</v>
      </c>
      <c r="B210">
        <v>11</v>
      </c>
      <c r="C210" t="s">
        <v>386</v>
      </c>
      <c r="D210">
        <v>12</v>
      </c>
      <c r="E210">
        <v>5977</v>
      </c>
      <c r="F210">
        <v>5784</v>
      </c>
      <c r="G210" s="4">
        <f t="shared" si="3"/>
        <v>0.96770955328760244</v>
      </c>
    </row>
    <row r="211" spans="1:7">
      <c r="A211" t="s">
        <v>220</v>
      </c>
      <c r="B211">
        <v>11</v>
      </c>
      <c r="C211" t="s">
        <v>387</v>
      </c>
      <c r="D211">
        <v>13</v>
      </c>
      <c r="E211">
        <v>5977</v>
      </c>
      <c r="F211">
        <v>5962</v>
      </c>
      <c r="G211" s="4">
        <f t="shared" si="3"/>
        <v>0.99749037978919186</v>
      </c>
    </row>
    <row r="212" spans="1:7">
      <c r="A212" t="s">
        <v>220</v>
      </c>
      <c r="B212">
        <v>12</v>
      </c>
      <c r="C212" t="s">
        <v>2</v>
      </c>
      <c r="D212">
        <v>1</v>
      </c>
      <c r="E212">
        <v>3793</v>
      </c>
      <c r="F212">
        <v>101</v>
      </c>
      <c r="G212" s="4">
        <f t="shared" si="3"/>
        <v>2.6627998945425783E-2</v>
      </c>
    </row>
    <row r="213" spans="1:7">
      <c r="A213" t="s">
        <v>220</v>
      </c>
      <c r="B213">
        <v>12</v>
      </c>
      <c r="C213" t="s">
        <v>388</v>
      </c>
      <c r="D213">
        <v>2</v>
      </c>
      <c r="E213">
        <v>3793</v>
      </c>
      <c r="F213">
        <v>2263</v>
      </c>
      <c r="G213" s="4">
        <f t="shared" si="3"/>
        <v>0.59662536250988663</v>
      </c>
    </row>
    <row r="214" spans="1:7">
      <c r="A214" t="s">
        <v>220</v>
      </c>
      <c r="B214">
        <v>12</v>
      </c>
      <c r="C214" t="s">
        <v>389</v>
      </c>
      <c r="D214">
        <v>3</v>
      </c>
      <c r="E214">
        <v>3793</v>
      </c>
      <c r="F214">
        <v>2415</v>
      </c>
      <c r="G214" s="4">
        <f t="shared" si="3"/>
        <v>0.63669918270498282</v>
      </c>
    </row>
    <row r="215" spans="1:7">
      <c r="A215" t="s">
        <v>220</v>
      </c>
      <c r="B215">
        <v>12</v>
      </c>
      <c r="C215" t="s">
        <v>390</v>
      </c>
      <c r="D215">
        <v>4</v>
      </c>
      <c r="E215">
        <v>3793</v>
      </c>
      <c r="F215">
        <v>2596</v>
      </c>
      <c r="G215" s="4">
        <f t="shared" si="3"/>
        <v>0.68441866596361722</v>
      </c>
    </row>
    <row r="216" spans="1:7">
      <c r="A216" t="s">
        <v>220</v>
      </c>
      <c r="B216">
        <v>12</v>
      </c>
      <c r="C216" t="s">
        <v>391</v>
      </c>
      <c r="D216">
        <v>5</v>
      </c>
      <c r="E216">
        <v>3793</v>
      </c>
      <c r="F216">
        <v>2737</v>
      </c>
      <c r="G216" s="4">
        <f t="shared" si="3"/>
        <v>0.7215924070656472</v>
      </c>
    </row>
    <row r="217" spans="1:7">
      <c r="A217" t="s">
        <v>220</v>
      </c>
      <c r="B217">
        <v>12</v>
      </c>
      <c r="C217" t="s">
        <v>392</v>
      </c>
      <c r="D217">
        <v>6</v>
      </c>
      <c r="E217">
        <v>3793</v>
      </c>
      <c r="F217">
        <v>2773</v>
      </c>
      <c r="G217" s="4">
        <f t="shared" si="3"/>
        <v>0.73108357500659105</v>
      </c>
    </row>
    <row r="218" spans="1:7">
      <c r="A218" t="s">
        <v>220</v>
      </c>
      <c r="B218">
        <v>12</v>
      </c>
      <c r="C218" t="s">
        <v>393</v>
      </c>
      <c r="D218">
        <v>7</v>
      </c>
      <c r="E218">
        <v>3793</v>
      </c>
      <c r="F218">
        <v>2782</v>
      </c>
      <c r="G218" s="4">
        <f t="shared" si="3"/>
        <v>0.73345636699182704</v>
      </c>
    </row>
    <row r="219" spans="1:7">
      <c r="A219" t="s">
        <v>220</v>
      </c>
      <c r="B219">
        <v>12</v>
      </c>
      <c r="C219" t="s">
        <v>394</v>
      </c>
      <c r="D219">
        <v>8</v>
      </c>
      <c r="E219">
        <v>3793</v>
      </c>
      <c r="F219">
        <v>2855</v>
      </c>
      <c r="G219" s="4">
        <f t="shared" si="3"/>
        <v>0.7527023464276299</v>
      </c>
    </row>
    <row r="220" spans="1:7">
      <c r="A220" t="s">
        <v>220</v>
      </c>
      <c r="B220">
        <v>12</v>
      </c>
      <c r="C220" t="s">
        <v>401</v>
      </c>
      <c r="D220">
        <v>9</v>
      </c>
      <c r="E220">
        <v>3793</v>
      </c>
      <c r="F220">
        <v>2917</v>
      </c>
      <c r="G220" s="4">
        <f t="shared" si="3"/>
        <v>0.76904824677036643</v>
      </c>
    </row>
    <row r="221" spans="1:7">
      <c r="A221" t="s">
        <v>220</v>
      </c>
      <c r="B221">
        <v>12</v>
      </c>
      <c r="C221" t="s">
        <v>395</v>
      </c>
      <c r="D221">
        <v>10</v>
      </c>
      <c r="E221">
        <v>3793</v>
      </c>
      <c r="F221">
        <v>3030</v>
      </c>
      <c r="G221" s="4">
        <f t="shared" si="3"/>
        <v>0.79883996836277349</v>
      </c>
    </row>
    <row r="222" spans="1:7">
      <c r="A222" t="s">
        <v>220</v>
      </c>
      <c r="B222">
        <v>12</v>
      </c>
      <c r="C222" t="s">
        <v>396</v>
      </c>
      <c r="D222">
        <v>11</v>
      </c>
      <c r="E222">
        <v>3793</v>
      </c>
      <c r="F222">
        <v>3119</v>
      </c>
      <c r="G222" s="4">
        <f t="shared" si="3"/>
        <v>0.82230424466121799</v>
      </c>
    </row>
    <row r="223" spans="1:7">
      <c r="A223" t="s">
        <v>220</v>
      </c>
      <c r="B223">
        <v>12</v>
      </c>
      <c r="C223" t="s">
        <v>397</v>
      </c>
      <c r="D223">
        <v>12</v>
      </c>
      <c r="E223">
        <v>3793</v>
      </c>
      <c r="F223">
        <v>3237</v>
      </c>
      <c r="G223" s="4">
        <f t="shared" si="3"/>
        <v>0.85341418402320068</v>
      </c>
    </row>
    <row r="224" spans="1:7">
      <c r="A224" t="s">
        <v>220</v>
      </c>
      <c r="B224">
        <v>12</v>
      </c>
      <c r="C224" t="s">
        <v>398</v>
      </c>
      <c r="D224">
        <v>13</v>
      </c>
      <c r="E224">
        <v>3793</v>
      </c>
      <c r="F224">
        <v>3250</v>
      </c>
      <c r="G224" s="4">
        <f t="shared" si="3"/>
        <v>0.85684155022409703</v>
      </c>
    </row>
    <row r="225" spans="1:7">
      <c r="A225" t="s">
        <v>220</v>
      </c>
      <c r="B225">
        <v>12</v>
      </c>
      <c r="C225" t="s">
        <v>399</v>
      </c>
      <c r="D225">
        <v>14</v>
      </c>
      <c r="E225">
        <v>3793</v>
      </c>
      <c r="F225">
        <v>3292</v>
      </c>
      <c r="G225" s="4">
        <f t="shared" si="3"/>
        <v>0.86791457948853146</v>
      </c>
    </row>
    <row r="226" spans="1:7">
      <c r="A226" t="s">
        <v>220</v>
      </c>
      <c r="B226">
        <v>12</v>
      </c>
      <c r="C226" t="s">
        <v>400</v>
      </c>
      <c r="D226">
        <v>15</v>
      </c>
      <c r="E226">
        <v>3793</v>
      </c>
      <c r="F226">
        <v>3377</v>
      </c>
      <c r="G226" s="4">
        <f t="shared" si="3"/>
        <v>0.8903242815713156</v>
      </c>
    </row>
    <row r="227" spans="1:7">
      <c r="A227" t="s">
        <v>220</v>
      </c>
      <c r="B227">
        <v>12</v>
      </c>
      <c r="C227" t="s">
        <v>402</v>
      </c>
      <c r="D227">
        <v>16</v>
      </c>
      <c r="E227">
        <v>3793</v>
      </c>
      <c r="F227">
        <v>3543</v>
      </c>
      <c r="G227" s="4">
        <f t="shared" si="3"/>
        <v>0.93408911152122331</v>
      </c>
    </row>
    <row r="228" spans="1:7">
      <c r="A228" t="s">
        <v>220</v>
      </c>
      <c r="B228">
        <v>12</v>
      </c>
      <c r="C228" t="s">
        <v>403</v>
      </c>
      <c r="D228">
        <v>17</v>
      </c>
      <c r="E228">
        <v>3793</v>
      </c>
      <c r="F228">
        <v>3754</v>
      </c>
      <c r="G228" s="4">
        <f t="shared" si="3"/>
        <v>0.98971790139731086</v>
      </c>
    </row>
    <row r="229" spans="1:7">
      <c r="A229" t="s">
        <v>221</v>
      </c>
      <c r="B229">
        <v>1</v>
      </c>
      <c r="C229" t="s">
        <v>404</v>
      </c>
      <c r="D229">
        <v>1</v>
      </c>
      <c r="E229">
        <v>2741</v>
      </c>
      <c r="F229">
        <v>1055</v>
      </c>
      <c r="G229" s="4">
        <f t="shared" si="3"/>
        <v>0.38489602334914264</v>
      </c>
    </row>
    <row r="230" spans="1:7">
      <c r="A230" t="s">
        <v>221</v>
      </c>
      <c r="B230">
        <v>1</v>
      </c>
      <c r="C230" t="s">
        <v>405</v>
      </c>
      <c r="D230">
        <v>2</v>
      </c>
      <c r="E230">
        <v>2741</v>
      </c>
      <c r="F230">
        <v>1317</v>
      </c>
      <c r="G230" s="4">
        <f t="shared" si="3"/>
        <v>0.48048157606712877</v>
      </c>
    </row>
    <row r="231" spans="1:7">
      <c r="A231" t="s">
        <v>221</v>
      </c>
      <c r="B231">
        <v>1</v>
      </c>
      <c r="C231" t="s">
        <v>406</v>
      </c>
      <c r="D231">
        <v>3</v>
      </c>
      <c r="E231">
        <v>2741</v>
      </c>
      <c r="F231">
        <v>1350</v>
      </c>
      <c r="G231" s="4">
        <f t="shared" si="3"/>
        <v>0.49252097774534842</v>
      </c>
    </row>
    <row r="232" spans="1:7">
      <c r="A232" t="s">
        <v>221</v>
      </c>
      <c r="B232">
        <v>1</v>
      </c>
      <c r="C232" t="s">
        <v>407</v>
      </c>
      <c r="D232">
        <v>4</v>
      </c>
      <c r="E232">
        <v>2741</v>
      </c>
      <c r="F232">
        <v>1394</v>
      </c>
      <c r="G232" s="4">
        <f t="shared" si="3"/>
        <v>0.50857351331630796</v>
      </c>
    </row>
    <row r="233" spans="1:7">
      <c r="A233" t="s">
        <v>221</v>
      </c>
      <c r="B233">
        <v>1</v>
      </c>
      <c r="C233" t="s">
        <v>408</v>
      </c>
      <c r="D233">
        <v>5</v>
      </c>
      <c r="E233">
        <v>2741</v>
      </c>
      <c r="F233">
        <v>2324</v>
      </c>
      <c r="G233" s="4">
        <f t="shared" si="3"/>
        <v>0.8478657424297702</v>
      </c>
    </row>
    <row r="234" spans="1:7">
      <c r="A234" t="s">
        <v>221</v>
      </c>
      <c r="B234">
        <v>1</v>
      </c>
      <c r="C234" t="s">
        <v>409</v>
      </c>
      <c r="D234">
        <v>6</v>
      </c>
      <c r="E234">
        <v>2741</v>
      </c>
      <c r="F234">
        <v>2369</v>
      </c>
      <c r="G234" s="4">
        <f t="shared" si="3"/>
        <v>0.86428310835461508</v>
      </c>
    </row>
    <row r="235" spans="1:7">
      <c r="A235" t="s">
        <v>221</v>
      </c>
      <c r="B235">
        <v>1</v>
      </c>
      <c r="C235" t="s">
        <v>410</v>
      </c>
      <c r="D235">
        <v>7</v>
      </c>
      <c r="E235">
        <v>2741</v>
      </c>
      <c r="F235">
        <v>2387</v>
      </c>
      <c r="G235" s="4">
        <f t="shared" si="3"/>
        <v>0.87085005472455312</v>
      </c>
    </row>
    <row r="236" spans="1:7">
      <c r="A236" t="s">
        <v>222</v>
      </c>
      <c r="B236">
        <v>1</v>
      </c>
      <c r="C236" t="s">
        <v>411</v>
      </c>
      <c r="D236">
        <v>1</v>
      </c>
      <c r="E236">
        <v>12785</v>
      </c>
      <c r="F236">
        <v>433</v>
      </c>
      <c r="G236" s="4">
        <f t="shared" si="3"/>
        <v>3.3867813844348844E-2</v>
      </c>
    </row>
    <row r="237" spans="1:7">
      <c r="A237" t="s">
        <v>222</v>
      </c>
      <c r="B237">
        <v>1</v>
      </c>
      <c r="C237" t="s">
        <v>412</v>
      </c>
      <c r="D237">
        <v>2</v>
      </c>
      <c r="E237">
        <v>12785</v>
      </c>
      <c r="F237">
        <v>493</v>
      </c>
      <c r="G237" s="4">
        <f t="shared" si="3"/>
        <v>3.8560813453265542E-2</v>
      </c>
    </row>
    <row r="238" spans="1:7">
      <c r="A238" t="s">
        <v>222</v>
      </c>
      <c r="B238">
        <v>1</v>
      </c>
      <c r="C238" t="s">
        <v>413</v>
      </c>
      <c r="D238">
        <v>3</v>
      </c>
      <c r="E238">
        <v>12785</v>
      </c>
      <c r="F238">
        <v>560</v>
      </c>
      <c r="G238" s="4">
        <f t="shared" si="3"/>
        <v>4.3801329683222527E-2</v>
      </c>
    </row>
    <row r="239" spans="1:7">
      <c r="A239" t="s">
        <v>222</v>
      </c>
      <c r="B239">
        <v>1</v>
      </c>
      <c r="C239" t="s">
        <v>414</v>
      </c>
      <c r="D239">
        <v>4</v>
      </c>
      <c r="E239">
        <v>12785</v>
      </c>
      <c r="F239">
        <v>585</v>
      </c>
      <c r="G239" s="4">
        <f t="shared" si="3"/>
        <v>4.575674618693782E-2</v>
      </c>
    </row>
    <row r="240" spans="1:7">
      <c r="A240" t="s">
        <v>222</v>
      </c>
      <c r="B240">
        <v>1</v>
      </c>
      <c r="C240" t="s">
        <v>416</v>
      </c>
      <c r="D240">
        <v>5</v>
      </c>
      <c r="E240">
        <v>12785</v>
      </c>
      <c r="F240">
        <v>603</v>
      </c>
      <c r="G240" s="4">
        <f t="shared" si="3"/>
        <v>4.7164646069612827E-2</v>
      </c>
    </row>
    <row r="241" spans="1:7">
      <c r="A241" t="s">
        <v>222</v>
      </c>
      <c r="B241">
        <v>1</v>
      </c>
      <c r="C241" t="s">
        <v>415</v>
      </c>
      <c r="D241">
        <v>6</v>
      </c>
      <c r="E241">
        <v>12785</v>
      </c>
      <c r="F241">
        <v>605</v>
      </c>
      <c r="G241" s="4">
        <f t="shared" si="3"/>
        <v>4.7321079389910051E-2</v>
      </c>
    </row>
    <row r="242" spans="1:7">
      <c r="A242" t="s">
        <v>222</v>
      </c>
      <c r="B242">
        <v>1</v>
      </c>
      <c r="C242" t="s">
        <v>417</v>
      </c>
      <c r="D242">
        <v>7</v>
      </c>
      <c r="E242">
        <v>12785</v>
      </c>
      <c r="F242">
        <v>628</v>
      </c>
      <c r="G242" s="4">
        <f t="shared" si="3"/>
        <v>4.912006257332812E-2</v>
      </c>
    </row>
    <row r="243" spans="1:7">
      <c r="A243" t="s">
        <v>222</v>
      </c>
      <c r="B243">
        <v>1</v>
      </c>
      <c r="C243" t="s">
        <v>419</v>
      </c>
      <c r="D243">
        <v>8</v>
      </c>
      <c r="E243">
        <v>12785</v>
      </c>
      <c r="F243">
        <v>665</v>
      </c>
      <c r="G243" s="4">
        <f t="shared" si="3"/>
        <v>5.2014078998826749E-2</v>
      </c>
    </row>
    <row r="244" spans="1:7">
      <c r="A244" t="s">
        <v>222</v>
      </c>
      <c r="B244">
        <v>1</v>
      </c>
      <c r="C244" t="s">
        <v>420</v>
      </c>
      <c r="D244">
        <v>9</v>
      </c>
      <c r="E244">
        <v>12785</v>
      </c>
      <c r="F244">
        <v>692</v>
      </c>
      <c r="G244" s="4">
        <f t="shared" si="3"/>
        <v>5.4125928822839266E-2</v>
      </c>
    </row>
    <row r="245" spans="1:7">
      <c r="A245" t="s">
        <v>222</v>
      </c>
      <c r="B245">
        <v>1</v>
      </c>
      <c r="C245" t="s">
        <v>422</v>
      </c>
      <c r="D245">
        <v>10</v>
      </c>
      <c r="E245">
        <v>12785</v>
      </c>
      <c r="F245">
        <v>701</v>
      </c>
      <c r="G245" s="4">
        <f t="shared" si="3"/>
        <v>5.4829878764176769E-2</v>
      </c>
    </row>
    <row r="246" spans="1:7">
      <c r="A246" t="s">
        <v>222</v>
      </c>
      <c r="B246">
        <v>1</v>
      </c>
      <c r="C246" t="s">
        <v>421</v>
      </c>
      <c r="D246">
        <v>11</v>
      </c>
      <c r="E246">
        <v>12785</v>
      </c>
      <c r="F246">
        <v>718</v>
      </c>
      <c r="G246" s="4">
        <f t="shared" si="3"/>
        <v>5.6159561986703167E-2</v>
      </c>
    </row>
    <row r="247" spans="1:7">
      <c r="A247" t="s">
        <v>222</v>
      </c>
      <c r="B247">
        <v>1</v>
      </c>
      <c r="C247" t="s">
        <v>425</v>
      </c>
      <c r="D247">
        <v>12</v>
      </c>
      <c r="E247">
        <v>12785</v>
      </c>
      <c r="F247">
        <v>736</v>
      </c>
      <c r="G247" s="4">
        <f t="shared" si="3"/>
        <v>5.7567461869378181E-2</v>
      </c>
    </row>
    <row r="248" spans="1:7">
      <c r="A248" t="s">
        <v>222</v>
      </c>
      <c r="B248">
        <v>1</v>
      </c>
      <c r="C248" t="s">
        <v>424</v>
      </c>
      <c r="D248">
        <v>13</v>
      </c>
      <c r="E248">
        <v>12785</v>
      </c>
      <c r="F248">
        <v>755</v>
      </c>
      <c r="G248" s="4">
        <f t="shared" si="3"/>
        <v>5.9053578412201796E-2</v>
      </c>
    </row>
    <row r="249" spans="1:7">
      <c r="A249" t="s">
        <v>222</v>
      </c>
      <c r="B249">
        <v>1</v>
      </c>
      <c r="C249" t="s">
        <v>423</v>
      </c>
      <c r="D249">
        <v>14</v>
      </c>
      <c r="E249">
        <v>12785</v>
      </c>
      <c r="F249">
        <v>769</v>
      </c>
      <c r="G249" s="4">
        <f t="shared" si="3"/>
        <v>6.0148611654282362E-2</v>
      </c>
    </row>
    <row r="250" spans="1:7">
      <c r="A250" t="s">
        <v>222</v>
      </c>
      <c r="B250">
        <v>1</v>
      </c>
      <c r="C250" t="s">
        <v>418</v>
      </c>
      <c r="D250">
        <v>15</v>
      </c>
      <c r="E250">
        <v>12785</v>
      </c>
      <c r="F250">
        <v>1309</v>
      </c>
      <c r="G250" s="4">
        <f t="shared" si="3"/>
        <v>0.10238560813453265</v>
      </c>
    </row>
    <row r="251" spans="1:7">
      <c r="A251" t="s">
        <v>222</v>
      </c>
      <c r="B251">
        <v>1</v>
      </c>
      <c r="C251" t="s">
        <v>426</v>
      </c>
      <c r="D251">
        <v>16</v>
      </c>
      <c r="E251">
        <v>12785</v>
      </c>
      <c r="F251">
        <v>12720</v>
      </c>
      <c r="G251" s="4">
        <f t="shared" si="3"/>
        <v>0.99491591709034022</v>
      </c>
    </row>
    <row r="252" spans="1:7">
      <c r="A252" t="s">
        <v>222</v>
      </c>
      <c r="B252">
        <v>3</v>
      </c>
      <c r="C252" t="s">
        <v>427</v>
      </c>
      <c r="D252">
        <v>1</v>
      </c>
      <c r="E252">
        <v>20772</v>
      </c>
      <c r="F252">
        <v>15397</v>
      </c>
      <c r="G252" s="4">
        <f t="shared" si="3"/>
        <v>0.74123820527633355</v>
      </c>
    </row>
    <row r="253" spans="1:7">
      <c r="A253" t="s">
        <v>222</v>
      </c>
      <c r="B253">
        <v>3</v>
      </c>
      <c r="C253" t="s">
        <v>428</v>
      </c>
      <c r="D253">
        <v>2</v>
      </c>
      <c r="E253">
        <v>20772</v>
      </c>
      <c r="F253">
        <v>18861</v>
      </c>
      <c r="G253" s="4">
        <f t="shared" si="3"/>
        <v>0.90800115540150206</v>
      </c>
    </row>
    <row r="254" spans="1:7">
      <c r="A254" t="s">
        <v>222</v>
      </c>
      <c r="B254">
        <v>3</v>
      </c>
      <c r="C254" t="s">
        <v>429</v>
      </c>
      <c r="D254">
        <v>3</v>
      </c>
      <c r="E254">
        <v>20772</v>
      </c>
      <c r="F254">
        <v>20810</v>
      </c>
      <c r="G254" s="4">
        <f t="shared" si="3"/>
        <v>1.0018293857115348</v>
      </c>
    </row>
    <row r="255" spans="1:7">
      <c r="A255" t="s">
        <v>222</v>
      </c>
      <c r="B255">
        <v>4</v>
      </c>
      <c r="C255" t="s">
        <v>430</v>
      </c>
      <c r="D255">
        <v>1</v>
      </c>
      <c r="E255">
        <v>4461</v>
      </c>
      <c r="F255">
        <v>3904</v>
      </c>
      <c r="G255" s="4">
        <f t="shared" si="3"/>
        <v>0.8751401031158933</v>
      </c>
    </row>
    <row r="256" spans="1:7">
      <c r="A256" t="s">
        <v>222</v>
      </c>
      <c r="B256">
        <v>4</v>
      </c>
      <c r="C256" t="s">
        <v>431</v>
      </c>
      <c r="D256">
        <v>2</v>
      </c>
      <c r="E256">
        <v>4461</v>
      </c>
      <c r="F256">
        <v>3928</v>
      </c>
      <c r="G256" s="4">
        <f t="shared" si="3"/>
        <v>0.88052006276619588</v>
      </c>
    </row>
    <row r="257" spans="1:7">
      <c r="A257" t="s">
        <v>222</v>
      </c>
      <c r="B257">
        <v>4</v>
      </c>
      <c r="C257" t="s">
        <v>432</v>
      </c>
      <c r="D257">
        <v>3</v>
      </c>
      <c r="E257">
        <v>4461</v>
      </c>
      <c r="F257">
        <v>4002</v>
      </c>
      <c r="G257" s="4">
        <f t="shared" si="3"/>
        <v>0.89710827168796237</v>
      </c>
    </row>
    <row r="258" spans="1:7">
      <c r="A258" t="s">
        <v>222</v>
      </c>
      <c r="B258">
        <v>4</v>
      </c>
      <c r="C258" t="s">
        <v>436</v>
      </c>
      <c r="D258">
        <v>4</v>
      </c>
      <c r="E258">
        <v>4461</v>
      </c>
      <c r="F258">
        <v>4043</v>
      </c>
      <c r="G258" s="4">
        <f t="shared" ref="G258:G321" si="4">F258/E258</f>
        <v>0.90629903609056262</v>
      </c>
    </row>
    <row r="259" spans="1:7">
      <c r="A259" t="s">
        <v>222</v>
      </c>
      <c r="B259">
        <v>4</v>
      </c>
      <c r="C259" t="s">
        <v>437</v>
      </c>
      <c r="D259">
        <v>5</v>
      </c>
      <c r="E259">
        <v>4461</v>
      </c>
      <c r="F259">
        <v>4151</v>
      </c>
      <c r="G259" s="4">
        <f t="shared" si="4"/>
        <v>0.93050885451692444</v>
      </c>
    </row>
    <row r="260" spans="1:7">
      <c r="A260" t="s">
        <v>222</v>
      </c>
      <c r="B260">
        <v>4</v>
      </c>
      <c r="C260" t="s">
        <v>438</v>
      </c>
      <c r="D260">
        <v>6</v>
      </c>
      <c r="E260">
        <v>4461</v>
      </c>
      <c r="F260">
        <v>4155</v>
      </c>
      <c r="G260" s="4">
        <f t="shared" si="4"/>
        <v>0.93140551445864161</v>
      </c>
    </row>
    <row r="261" spans="1:7">
      <c r="A261" t="s">
        <v>222</v>
      </c>
      <c r="B261">
        <v>4</v>
      </c>
      <c r="C261" t="s">
        <v>435</v>
      </c>
      <c r="D261">
        <v>7</v>
      </c>
      <c r="E261">
        <v>4461</v>
      </c>
      <c r="F261">
        <v>4339</v>
      </c>
      <c r="G261" s="4">
        <f t="shared" si="4"/>
        <v>0.97265187177762835</v>
      </c>
    </row>
    <row r="262" spans="1:7">
      <c r="A262" t="s">
        <v>222</v>
      </c>
      <c r="B262">
        <v>4</v>
      </c>
      <c r="C262" t="s">
        <v>434</v>
      </c>
      <c r="D262">
        <v>8</v>
      </c>
      <c r="E262">
        <v>4461</v>
      </c>
      <c r="F262">
        <v>5921</v>
      </c>
      <c r="G262" s="4">
        <f t="shared" si="4"/>
        <v>1.3272808787267429</v>
      </c>
    </row>
    <row r="263" spans="1:7">
      <c r="A263" t="s">
        <v>222</v>
      </c>
      <c r="B263">
        <v>4</v>
      </c>
      <c r="C263" t="s">
        <v>433</v>
      </c>
      <c r="D263">
        <v>9</v>
      </c>
      <c r="E263">
        <v>4461</v>
      </c>
      <c r="F263">
        <v>5956</v>
      </c>
      <c r="G263" s="4">
        <f t="shared" si="4"/>
        <v>1.3351266532167676</v>
      </c>
    </row>
    <row r="264" spans="1:7">
      <c r="A264" t="s">
        <v>222</v>
      </c>
      <c r="B264">
        <v>6</v>
      </c>
      <c r="C264" t="s">
        <v>439</v>
      </c>
      <c r="D264">
        <v>1</v>
      </c>
      <c r="E264">
        <v>6091</v>
      </c>
      <c r="F264">
        <v>3802</v>
      </c>
      <c r="G264" s="4">
        <f t="shared" si="4"/>
        <v>0.62419963881136098</v>
      </c>
    </row>
    <row r="265" spans="1:7">
      <c r="A265" t="s">
        <v>222</v>
      </c>
      <c r="B265">
        <v>6</v>
      </c>
      <c r="C265" t="s">
        <v>440</v>
      </c>
      <c r="D265">
        <v>2</v>
      </c>
      <c r="E265">
        <v>6091</v>
      </c>
      <c r="F265">
        <v>3823</v>
      </c>
      <c r="G265" s="4">
        <f t="shared" si="4"/>
        <v>0.62764734854703663</v>
      </c>
    </row>
    <row r="266" spans="1:7">
      <c r="A266" t="s">
        <v>222</v>
      </c>
      <c r="B266">
        <v>7</v>
      </c>
      <c r="C266" t="s">
        <v>203</v>
      </c>
      <c r="D266">
        <v>1</v>
      </c>
      <c r="E266">
        <v>1176</v>
      </c>
      <c r="F266">
        <v>93</v>
      </c>
      <c r="G266" s="4">
        <f t="shared" si="4"/>
        <v>7.9081632653061229E-2</v>
      </c>
    </row>
    <row r="267" spans="1:7">
      <c r="A267" t="s">
        <v>222</v>
      </c>
      <c r="B267">
        <v>7</v>
      </c>
      <c r="C267" t="s">
        <v>179</v>
      </c>
      <c r="D267">
        <v>2</v>
      </c>
      <c r="E267">
        <v>1176</v>
      </c>
      <c r="F267">
        <v>167</v>
      </c>
      <c r="G267" s="4">
        <f t="shared" si="4"/>
        <v>0.14200680272108843</v>
      </c>
    </row>
    <row r="268" spans="1:7">
      <c r="A268" t="s">
        <v>222</v>
      </c>
      <c r="B268">
        <v>7</v>
      </c>
      <c r="C268" t="s">
        <v>204</v>
      </c>
      <c r="D268">
        <v>3</v>
      </c>
      <c r="E268">
        <v>1176</v>
      </c>
      <c r="F268">
        <v>205</v>
      </c>
      <c r="G268" s="4">
        <f t="shared" si="4"/>
        <v>0.17431972789115646</v>
      </c>
    </row>
    <row r="269" spans="1:7">
      <c r="A269" t="s">
        <v>222</v>
      </c>
      <c r="B269">
        <v>7</v>
      </c>
      <c r="C269" t="s">
        <v>215</v>
      </c>
      <c r="D269">
        <v>4</v>
      </c>
      <c r="E269">
        <v>1176</v>
      </c>
      <c r="F269">
        <v>243</v>
      </c>
      <c r="G269" s="4">
        <f t="shared" si="4"/>
        <v>0.2066326530612245</v>
      </c>
    </row>
    <row r="270" spans="1:7">
      <c r="A270" t="s">
        <v>222</v>
      </c>
      <c r="B270">
        <v>7</v>
      </c>
      <c r="C270" t="s">
        <v>441</v>
      </c>
      <c r="D270">
        <v>5</v>
      </c>
      <c r="E270">
        <v>1176</v>
      </c>
      <c r="F270">
        <v>465</v>
      </c>
      <c r="G270" s="4">
        <f t="shared" si="4"/>
        <v>0.39540816326530615</v>
      </c>
    </row>
    <row r="271" spans="1:7">
      <c r="A271" t="s">
        <v>222</v>
      </c>
      <c r="B271">
        <v>7</v>
      </c>
      <c r="C271" t="s">
        <v>443</v>
      </c>
      <c r="D271">
        <v>6</v>
      </c>
      <c r="E271">
        <v>1176</v>
      </c>
      <c r="F271">
        <v>1000</v>
      </c>
      <c r="G271" s="4">
        <f t="shared" si="4"/>
        <v>0.85034013605442171</v>
      </c>
    </row>
    <row r="272" spans="1:7">
      <c r="A272" t="s">
        <v>222</v>
      </c>
      <c r="B272">
        <v>7</v>
      </c>
      <c r="C272" t="s">
        <v>442</v>
      </c>
      <c r="D272">
        <v>7</v>
      </c>
      <c r="E272">
        <v>1176</v>
      </c>
      <c r="F272">
        <v>1162</v>
      </c>
      <c r="G272" s="4">
        <f t="shared" si="4"/>
        <v>0.98809523809523814</v>
      </c>
    </row>
    <row r="273" spans="1:7">
      <c r="A273" t="s">
        <v>223</v>
      </c>
      <c r="B273">
        <v>3</v>
      </c>
      <c r="C273" t="s">
        <v>2</v>
      </c>
      <c r="D273">
        <v>1</v>
      </c>
      <c r="E273">
        <v>5258</v>
      </c>
      <c r="F273">
        <v>360</v>
      </c>
      <c r="G273" s="4">
        <f t="shared" si="4"/>
        <v>6.846709775580069E-2</v>
      </c>
    </row>
    <row r="274" spans="1:7">
      <c r="A274" t="s">
        <v>223</v>
      </c>
      <c r="B274">
        <v>3</v>
      </c>
      <c r="C274" t="s">
        <v>444</v>
      </c>
      <c r="D274">
        <v>2</v>
      </c>
      <c r="E274">
        <v>5258</v>
      </c>
      <c r="F274">
        <v>3249</v>
      </c>
      <c r="G274" s="4">
        <f t="shared" si="4"/>
        <v>0.61791555724610114</v>
      </c>
    </row>
    <row r="275" spans="1:7">
      <c r="A275" t="s">
        <v>223</v>
      </c>
      <c r="B275">
        <v>3</v>
      </c>
      <c r="C275" t="s">
        <v>445</v>
      </c>
      <c r="D275">
        <v>3</v>
      </c>
      <c r="E275">
        <v>5258</v>
      </c>
      <c r="F275">
        <v>3293</v>
      </c>
      <c r="G275" s="4">
        <f t="shared" si="4"/>
        <v>0.62628375808292125</v>
      </c>
    </row>
    <row r="276" spans="1:7">
      <c r="A276" t="s">
        <v>223</v>
      </c>
      <c r="B276">
        <v>7</v>
      </c>
      <c r="C276" t="s">
        <v>235</v>
      </c>
      <c r="D276">
        <v>1</v>
      </c>
      <c r="E276">
        <v>4862</v>
      </c>
      <c r="F276">
        <v>54</v>
      </c>
      <c r="G276" s="4">
        <f t="shared" si="4"/>
        <v>1.1106540518305225E-2</v>
      </c>
    </row>
    <row r="277" spans="1:7">
      <c r="A277" t="s">
        <v>223</v>
      </c>
      <c r="B277">
        <v>7</v>
      </c>
      <c r="C277" t="s">
        <v>236</v>
      </c>
      <c r="D277">
        <v>2</v>
      </c>
      <c r="E277">
        <v>4862</v>
      </c>
      <c r="F277">
        <v>126</v>
      </c>
      <c r="G277" s="4">
        <f t="shared" si="4"/>
        <v>2.5915261209378856E-2</v>
      </c>
    </row>
    <row r="278" spans="1:7">
      <c r="A278" t="s">
        <v>223</v>
      </c>
      <c r="B278">
        <v>7</v>
      </c>
      <c r="C278" t="s">
        <v>446</v>
      </c>
      <c r="D278">
        <v>3</v>
      </c>
      <c r="E278">
        <v>4862</v>
      </c>
      <c r="F278">
        <v>340</v>
      </c>
      <c r="G278" s="4">
        <f t="shared" si="4"/>
        <v>6.9930069930069935E-2</v>
      </c>
    </row>
    <row r="279" spans="1:7">
      <c r="A279" t="s">
        <v>223</v>
      </c>
      <c r="B279">
        <v>7</v>
      </c>
      <c r="C279" t="s">
        <v>447</v>
      </c>
      <c r="D279">
        <v>4</v>
      </c>
      <c r="E279">
        <v>4862</v>
      </c>
      <c r="F279">
        <v>500</v>
      </c>
      <c r="G279" s="4">
        <f t="shared" si="4"/>
        <v>0.10283833813245578</v>
      </c>
    </row>
    <row r="280" spans="1:7">
      <c r="A280" t="s">
        <v>223</v>
      </c>
      <c r="B280">
        <v>7</v>
      </c>
      <c r="C280" t="s">
        <v>448</v>
      </c>
      <c r="D280">
        <v>5</v>
      </c>
      <c r="E280">
        <v>4862</v>
      </c>
      <c r="F280">
        <v>503</v>
      </c>
      <c r="G280" s="4">
        <f t="shared" si="4"/>
        <v>0.10345536816125052</v>
      </c>
    </row>
    <row r="281" spans="1:7">
      <c r="A281" t="s">
        <v>223</v>
      </c>
      <c r="B281">
        <v>7</v>
      </c>
      <c r="C281" t="s">
        <v>449</v>
      </c>
      <c r="D281">
        <v>6</v>
      </c>
      <c r="E281">
        <v>4862</v>
      </c>
      <c r="F281">
        <v>4728</v>
      </c>
      <c r="G281" s="4">
        <f t="shared" si="4"/>
        <v>0.97243932538050182</v>
      </c>
    </row>
    <row r="282" spans="1:7">
      <c r="A282" t="s">
        <v>223</v>
      </c>
      <c r="B282">
        <v>8</v>
      </c>
      <c r="C282" t="s">
        <v>2</v>
      </c>
      <c r="D282">
        <v>1</v>
      </c>
      <c r="E282">
        <v>4002</v>
      </c>
      <c r="F282">
        <v>169</v>
      </c>
      <c r="G282" s="4">
        <f t="shared" si="4"/>
        <v>4.2228885557221388E-2</v>
      </c>
    </row>
    <row r="283" spans="1:7">
      <c r="A283" t="s">
        <v>223</v>
      </c>
      <c r="B283">
        <v>8</v>
      </c>
      <c r="C283" t="s">
        <v>233</v>
      </c>
      <c r="D283">
        <v>2</v>
      </c>
      <c r="E283">
        <v>4002</v>
      </c>
      <c r="F283">
        <v>426</v>
      </c>
      <c r="G283" s="4">
        <f t="shared" si="4"/>
        <v>0.10644677661169415</v>
      </c>
    </row>
    <row r="284" spans="1:7">
      <c r="A284" t="s">
        <v>223</v>
      </c>
      <c r="B284">
        <v>8</v>
      </c>
      <c r="C284" t="s">
        <v>234</v>
      </c>
      <c r="D284">
        <v>3</v>
      </c>
      <c r="E284">
        <v>4002</v>
      </c>
      <c r="F284">
        <v>506</v>
      </c>
      <c r="G284" s="4">
        <f t="shared" si="4"/>
        <v>0.12643678160919541</v>
      </c>
    </row>
    <row r="285" spans="1:7">
      <c r="A285" t="s">
        <v>223</v>
      </c>
      <c r="B285">
        <v>8</v>
      </c>
      <c r="C285" t="s">
        <v>450</v>
      </c>
      <c r="D285">
        <v>4</v>
      </c>
      <c r="E285">
        <v>4002</v>
      </c>
      <c r="F285">
        <v>590</v>
      </c>
      <c r="G285" s="4">
        <f t="shared" si="4"/>
        <v>0.14742628685657172</v>
      </c>
    </row>
    <row r="286" spans="1:7">
      <c r="A286" t="s">
        <v>223</v>
      </c>
      <c r="B286">
        <v>8</v>
      </c>
      <c r="C286" t="s">
        <v>451</v>
      </c>
      <c r="D286">
        <v>5</v>
      </c>
      <c r="E286">
        <v>4002</v>
      </c>
      <c r="F286">
        <v>631</v>
      </c>
      <c r="G286" s="4">
        <f t="shared" si="4"/>
        <v>0.15767116441779111</v>
      </c>
    </row>
    <row r="287" spans="1:7">
      <c r="A287" t="s">
        <v>223</v>
      </c>
      <c r="B287">
        <v>8</v>
      </c>
      <c r="C287" t="s">
        <v>452</v>
      </c>
      <c r="D287">
        <v>6</v>
      </c>
      <c r="E287">
        <v>4002</v>
      </c>
      <c r="F287">
        <v>2464</v>
      </c>
      <c r="G287" s="4">
        <f t="shared" si="4"/>
        <v>0.61569215392303844</v>
      </c>
    </row>
    <row r="288" spans="1:7">
      <c r="A288" t="s">
        <v>223</v>
      </c>
      <c r="B288">
        <v>8</v>
      </c>
      <c r="C288" t="s">
        <v>454</v>
      </c>
      <c r="D288">
        <v>7</v>
      </c>
      <c r="E288">
        <v>4002</v>
      </c>
      <c r="F288">
        <v>2578</v>
      </c>
      <c r="G288" s="4">
        <f t="shared" si="4"/>
        <v>0.64417791104447775</v>
      </c>
    </row>
    <row r="289" spans="1:7">
      <c r="A289" t="s">
        <v>223</v>
      </c>
      <c r="B289">
        <v>8</v>
      </c>
      <c r="C289" t="s">
        <v>453</v>
      </c>
      <c r="D289">
        <v>8</v>
      </c>
      <c r="E289">
        <v>4002</v>
      </c>
      <c r="F289">
        <v>2602</v>
      </c>
      <c r="G289" s="4">
        <f t="shared" si="4"/>
        <v>0.65017491254372817</v>
      </c>
    </row>
    <row r="290" spans="1:7">
      <c r="A290" t="s">
        <v>223</v>
      </c>
      <c r="B290">
        <v>8</v>
      </c>
      <c r="C290" t="s">
        <v>455</v>
      </c>
      <c r="D290">
        <v>9</v>
      </c>
      <c r="E290">
        <v>4002</v>
      </c>
      <c r="F290">
        <v>2750</v>
      </c>
      <c r="G290" s="4">
        <f t="shared" si="4"/>
        <v>0.68715642178910541</v>
      </c>
    </row>
    <row r="291" spans="1:7">
      <c r="A291" t="s">
        <v>223</v>
      </c>
      <c r="B291">
        <v>8</v>
      </c>
      <c r="C291" t="s">
        <v>456</v>
      </c>
      <c r="D291">
        <v>10</v>
      </c>
      <c r="E291">
        <v>4002</v>
      </c>
      <c r="F291">
        <v>2837</v>
      </c>
      <c r="G291" s="4">
        <f t="shared" si="4"/>
        <v>0.708895552223888</v>
      </c>
    </row>
    <row r="292" spans="1:7">
      <c r="A292" t="s">
        <v>223</v>
      </c>
      <c r="B292">
        <v>8</v>
      </c>
      <c r="C292" t="s">
        <v>457</v>
      </c>
      <c r="D292">
        <v>11</v>
      </c>
      <c r="E292">
        <v>4002</v>
      </c>
      <c r="F292">
        <v>3746</v>
      </c>
      <c r="G292" s="4">
        <f t="shared" si="4"/>
        <v>0.93603198400799603</v>
      </c>
    </row>
    <row r="293" spans="1:7">
      <c r="A293" t="s">
        <v>223</v>
      </c>
      <c r="B293">
        <v>9</v>
      </c>
      <c r="C293" t="s">
        <v>2</v>
      </c>
      <c r="D293">
        <v>1</v>
      </c>
      <c r="E293">
        <v>2111</v>
      </c>
      <c r="F293">
        <v>158</v>
      </c>
      <c r="G293" s="4">
        <f t="shared" si="4"/>
        <v>7.4846044528659408E-2</v>
      </c>
    </row>
    <row r="294" spans="1:7">
      <c r="A294" t="s">
        <v>223</v>
      </c>
      <c r="B294">
        <v>9</v>
      </c>
      <c r="C294" t="s">
        <v>1</v>
      </c>
      <c r="D294">
        <v>2</v>
      </c>
      <c r="E294">
        <v>2111</v>
      </c>
      <c r="F294">
        <v>256</v>
      </c>
      <c r="G294" s="4">
        <f t="shared" si="4"/>
        <v>0.12126954050213169</v>
      </c>
    </row>
    <row r="295" spans="1:7">
      <c r="A295" t="s">
        <v>223</v>
      </c>
      <c r="B295">
        <v>9</v>
      </c>
      <c r="C295" t="s">
        <v>458</v>
      </c>
      <c r="D295">
        <v>3</v>
      </c>
      <c r="E295">
        <v>2111</v>
      </c>
      <c r="F295">
        <v>591</v>
      </c>
      <c r="G295" s="4">
        <f t="shared" si="4"/>
        <v>0.27996210326859311</v>
      </c>
    </row>
    <row r="296" spans="1:7">
      <c r="A296" t="s">
        <v>223</v>
      </c>
      <c r="B296">
        <v>9</v>
      </c>
      <c r="C296" t="s">
        <v>459</v>
      </c>
      <c r="D296">
        <v>4</v>
      </c>
      <c r="E296">
        <v>2111</v>
      </c>
      <c r="F296">
        <v>621</v>
      </c>
      <c r="G296" s="4">
        <f t="shared" si="4"/>
        <v>0.29417337754618667</v>
      </c>
    </row>
    <row r="297" spans="1:7">
      <c r="A297" t="s">
        <v>223</v>
      </c>
      <c r="B297">
        <v>9</v>
      </c>
      <c r="C297" t="s">
        <v>460</v>
      </c>
      <c r="D297">
        <v>5</v>
      </c>
      <c r="E297">
        <v>2111</v>
      </c>
      <c r="F297">
        <v>2084</v>
      </c>
      <c r="G297" s="4">
        <f t="shared" si="4"/>
        <v>0.98720985315016585</v>
      </c>
    </row>
    <row r="298" spans="1:7">
      <c r="A298" t="s">
        <v>223</v>
      </c>
      <c r="B298">
        <v>10</v>
      </c>
      <c r="C298" t="s">
        <v>2</v>
      </c>
      <c r="D298">
        <v>1</v>
      </c>
      <c r="E298">
        <v>994</v>
      </c>
      <c r="F298">
        <v>79</v>
      </c>
      <c r="G298" s="4">
        <f t="shared" si="4"/>
        <v>7.9476861167002005E-2</v>
      </c>
    </row>
    <row r="299" spans="1:7">
      <c r="A299" t="s">
        <v>223</v>
      </c>
      <c r="B299">
        <v>10</v>
      </c>
      <c r="C299" t="s">
        <v>233</v>
      </c>
      <c r="D299">
        <v>2</v>
      </c>
      <c r="E299">
        <v>994</v>
      </c>
      <c r="F299">
        <v>330</v>
      </c>
      <c r="G299" s="4">
        <f t="shared" si="4"/>
        <v>0.33199195171026158</v>
      </c>
    </row>
    <row r="300" spans="1:7">
      <c r="A300" t="s">
        <v>223</v>
      </c>
      <c r="B300">
        <v>10</v>
      </c>
      <c r="C300" t="s">
        <v>459</v>
      </c>
      <c r="D300">
        <v>3</v>
      </c>
      <c r="E300">
        <v>994</v>
      </c>
      <c r="F300">
        <v>488</v>
      </c>
      <c r="G300" s="4">
        <f t="shared" si="4"/>
        <v>0.49094567404426559</v>
      </c>
    </row>
    <row r="301" spans="1:7">
      <c r="A301" t="s">
        <v>223</v>
      </c>
      <c r="B301">
        <v>10</v>
      </c>
      <c r="C301" t="s">
        <v>461</v>
      </c>
      <c r="D301">
        <v>4</v>
      </c>
      <c r="E301">
        <v>994</v>
      </c>
      <c r="F301">
        <v>543</v>
      </c>
      <c r="G301" s="4">
        <f t="shared" si="4"/>
        <v>0.54627766599597583</v>
      </c>
    </row>
    <row r="302" spans="1:7">
      <c r="A302" t="s">
        <v>223</v>
      </c>
      <c r="B302">
        <v>10</v>
      </c>
      <c r="C302" t="s">
        <v>462</v>
      </c>
      <c r="D302">
        <v>5</v>
      </c>
      <c r="E302">
        <v>994</v>
      </c>
      <c r="F302">
        <v>636</v>
      </c>
      <c r="G302" s="4">
        <f t="shared" si="4"/>
        <v>0.63983903420523136</v>
      </c>
    </row>
    <row r="303" spans="1:7">
      <c r="A303" t="s">
        <v>223</v>
      </c>
      <c r="B303">
        <v>10</v>
      </c>
      <c r="C303" t="s">
        <v>464</v>
      </c>
      <c r="D303">
        <v>6</v>
      </c>
      <c r="E303">
        <v>994</v>
      </c>
      <c r="F303">
        <v>700</v>
      </c>
      <c r="G303" s="4">
        <f t="shared" si="4"/>
        <v>0.70422535211267601</v>
      </c>
    </row>
    <row r="304" spans="1:7">
      <c r="A304" t="s">
        <v>223</v>
      </c>
      <c r="B304">
        <v>10</v>
      </c>
      <c r="C304" t="s">
        <v>463</v>
      </c>
      <c r="D304">
        <v>7</v>
      </c>
      <c r="E304">
        <v>994</v>
      </c>
      <c r="F304">
        <v>704</v>
      </c>
      <c r="G304" s="4">
        <f t="shared" si="4"/>
        <v>0.70824949698189132</v>
      </c>
    </row>
    <row r="305" spans="1:7">
      <c r="A305" t="s">
        <v>223</v>
      </c>
      <c r="B305">
        <v>10</v>
      </c>
      <c r="C305" t="s">
        <v>465</v>
      </c>
      <c r="D305">
        <v>8</v>
      </c>
      <c r="E305">
        <v>994</v>
      </c>
      <c r="F305">
        <v>722</v>
      </c>
      <c r="G305" s="4">
        <f t="shared" si="4"/>
        <v>0.72635814889336014</v>
      </c>
    </row>
    <row r="306" spans="1:7">
      <c r="A306" t="s">
        <v>223</v>
      </c>
      <c r="B306">
        <v>10</v>
      </c>
      <c r="C306" t="s">
        <v>466</v>
      </c>
      <c r="D306">
        <v>9</v>
      </c>
      <c r="E306">
        <v>994</v>
      </c>
      <c r="F306">
        <v>775</v>
      </c>
      <c r="G306" s="4">
        <f t="shared" si="4"/>
        <v>0.77967806841046272</v>
      </c>
    </row>
    <row r="307" spans="1:7">
      <c r="A307" t="s">
        <v>223</v>
      </c>
      <c r="B307">
        <v>10</v>
      </c>
      <c r="C307" t="s">
        <v>470</v>
      </c>
      <c r="D307">
        <v>10</v>
      </c>
      <c r="E307">
        <v>994</v>
      </c>
      <c r="F307">
        <v>789</v>
      </c>
      <c r="G307" s="4">
        <f t="shared" si="4"/>
        <v>0.79376257545271633</v>
      </c>
    </row>
    <row r="308" spans="1:7">
      <c r="A308" t="s">
        <v>223</v>
      </c>
      <c r="B308">
        <v>10</v>
      </c>
      <c r="C308" t="s">
        <v>469</v>
      </c>
      <c r="D308">
        <v>11</v>
      </c>
      <c r="E308">
        <v>994</v>
      </c>
      <c r="F308">
        <v>791</v>
      </c>
      <c r="G308" s="4">
        <f t="shared" si="4"/>
        <v>0.79577464788732399</v>
      </c>
    </row>
    <row r="309" spans="1:7">
      <c r="A309" t="s">
        <v>223</v>
      </c>
      <c r="B309">
        <v>10</v>
      </c>
      <c r="C309" t="s">
        <v>468</v>
      </c>
      <c r="D309">
        <v>12</v>
      </c>
      <c r="E309">
        <v>994</v>
      </c>
      <c r="F309">
        <v>793</v>
      </c>
      <c r="G309" s="4">
        <f t="shared" si="4"/>
        <v>0.79778672032193154</v>
      </c>
    </row>
    <row r="310" spans="1:7">
      <c r="A310" t="s">
        <v>223</v>
      </c>
      <c r="B310">
        <v>10</v>
      </c>
      <c r="C310" t="s">
        <v>471</v>
      </c>
      <c r="D310">
        <v>13</v>
      </c>
      <c r="E310">
        <v>994</v>
      </c>
      <c r="F310">
        <v>797</v>
      </c>
      <c r="G310" s="4">
        <f t="shared" si="4"/>
        <v>0.80181086519114686</v>
      </c>
    </row>
    <row r="311" spans="1:7">
      <c r="A311" t="s">
        <v>223</v>
      </c>
      <c r="B311">
        <v>10</v>
      </c>
      <c r="C311" t="s">
        <v>467</v>
      </c>
      <c r="D311">
        <v>14</v>
      </c>
      <c r="E311">
        <v>994</v>
      </c>
      <c r="F311">
        <v>810</v>
      </c>
      <c r="G311" s="4">
        <f t="shared" si="4"/>
        <v>0.81488933601609659</v>
      </c>
    </row>
    <row r="312" spans="1:7">
      <c r="A312" t="s">
        <v>223</v>
      </c>
      <c r="B312">
        <v>10</v>
      </c>
      <c r="C312" t="s">
        <v>479</v>
      </c>
      <c r="D312">
        <v>15</v>
      </c>
      <c r="E312">
        <v>994</v>
      </c>
      <c r="F312">
        <v>853</v>
      </c>
      <c r="G312" s="4">
        <f t="shared" si="4"/>
        <v>0.85814889336016098</v>
      </c>
    </row>
    <row r="313" spans="1:7">
      <c r="A313" t="s">
        <v>223</v>
      </c>
      <c r="B313">
        <v>10</v>
      </c>
      <c r="C313" t="s">
        <v>477</v>
      </c>
      <c r="D313">
        <v>16</v>
      </c>
      <c r="E313">
        <v>994</v>
      </c>
      <c r="F313">
        <v>859</v>
      </c>
      <c r="G313" s="4">
        <f t="shared" si="4"/>
        <v>0.86418511066398396</v>
      </c>
    </row>
    <row r="314" spans="1:7">
      <c r="A314" t="s">
        <v>223</v>
      </c>
      <c r="B314">
        <v>10</v>
      </c>
      <c r="C314" t="s">
        <v>476</v>
      </c>
      <c r="D314">
        <v>17</v>
      </c>
      <c r="E314">
        <v>994</v>
      </c>
      <c r="F314">
        <v>862</v>
      </c>
      <c r="G314" s="4">
        <f t="shared" si="4"/>
        <v>0.86720321931589539</v>
      </c>
    </row>
    <row r="315" spans="1:7">
      <c r="A315" t="s">
        <v>223</v>
      </c>
      <c r="B315">
        <v>10</v>
      </c>
      <c r="C315" t="s">
        <v>475</v>
      </c>
      <c r="D315">
        <v>18</v>
      </c>
      <c r="E315">
        <v>994</v>
      </c>
      <c r="F315">
        <v>864</v>
      </c>
      <c r="G315" s="4">
        <f t="shared" si="4"/>
        <v>0.86921529175050305</v>
      </c>
    </row>
    <row r="316" spans="1:7">
      <c r="A316" t="s">
        <v>223</v>
      </c>
      <c r="B316">
        <v>10</v>
      </c>
      <c r="C316" t="s">
        <v>480</v>
      </c>
      <c r="D316">
        <v>19</v>
      </c>
      <c r="E316">
        <v>994</v>
      </c>
      <c r="F316">
        <v>871</v>
      </c>
      <c r="G316" s="4">
        <f t="shared" si="4"/>
        <v>0.8762575452716298</v>
      </c>
    </row>
    <row r="317" spans="1:7">
      <c r="A317" t="s">
        <v>223</v>
      </c>
      <c r="B317">
        <v>10</v>
      </c>
      <c r="C317" t="s">
        <v>478</v>
      </c>
      <c r="D317">
        <v>20</v>
      </c>
      <c r="E317">
        <v>994</v>
      </c>
      <c r="F317">
        <v>875</v>
      </c>
      <c r="G317" s="4">
        <f t="shared" si="4"/>
        <v>0.88028169014084512</v>
      </c>
    </row>
    <row r="318" spans="1:7">
      <c r="A318" t="s">
        <v>223</v>
      </c>
      <c r="B318">
        <v>10</v>
      </c>
      <c r="C318" t="s">
        <v>473</v>
      </c>
      <c r="D318">
        <v>21</v>
      </c>
      <c r="E318">
        <v>994</v>
      </c>
      <c r="F318">
        <v>879</v>
      </c>
      <c r="G318" s="4">
        <f t="shared" si="4"/>
        <v>0.88430583501006033</v>
      </c>
    </row>
    <row r="319" spans="1:7">
      <c r="A319" t="s">
        <v>223</v>
      </c>
      <c r="B319">
        <v>10</v>
      </c>
      <c r="C319" t="s">
        <v>472</v>
      </c>
      <c r="D319">
        <v>22</v>
      </c>
      <c r="E319">
        <v>994</v>
      </c>
      <c r="F319">
        <v>885</v>
      </c>
      <c r="G319" s="4">
        <f t="shared" si="4"/>
        <v>0.8903420523138833</v>
      </c>
    </row>
    <row r="320" spans="1:7">
      <c r="A320" t="s">
        <v>223</v>
      </c>
      <c r="B320">
        <v>10</v>
      </c>
      <c r="C320" t="s">
        <v>474</v>
      </c>
      <c r="D320">
        <v>23</v>
      </c>
      <c r="E320">
        <v>994</v>
      </c>
      <c r="F320">
        <v>918</v>
      </c>
      <c r="G320" s="4">
        <f t="shared" si="4"/>
        <v>0.92354124748490951</v>
      </c>
    </row>
    <row r="321" spans="1:7">
      <c r="A321" t="s">
        <v>223</v>
      </c>
      <c r="B321">
        <v>10</v>
      </c>
      <c r="C321" t="s">
        <v>484</v>
      </c>
      <c r="D321">
        <v>24</v>
      </c>
      <c r="E321">
        <v>994</v>
      </c>
      <c r="F321">
        <v>919</v>
      </c>
      <c r="G321" s="4">
        <f t="shared" si="4"/>
        <v>0.92454728370221329</v>
      </c>
    </row>
    <row r="322" spans="1:7">
      <c r="A322" t="s">
        <v>223</v>
      </c>
      <c r="B322">
        <v>10</v>
      </c>
      <c r="C322" t="s">
        <v>483</v>
      </c>
      <c r="D322">
        <v>25</v>
      </c>
      <c r="E322">
        <v>994</v>
      </c>
      <c r="F322">
        <v>921</v>
      </c>
      <c r="G322" s="4">
        <f t="shared" ref="G322:G385" si="5">F322/E322</f>
        <v>0.92655935613682094</v>
      </c>
    </row>
    <row r="323" spans="1:7">
      <c r="A323" t="s">
        <v>223</v>
      </c>
      <c r="B323">
        <v>10</v>
      </c>
      <c r="C323" t="s">
        <v>486</v>
      </c>
      <c r="D323">
        <v>26</v>
      </c>
      <c r="E323">
        <v>994</v>
      </c>
      <c r="F323">
        <v>923</v>
      </c>
      <c r="G323" s="4">
        <f t="shared" si="5"/>
        <v>0.9285714285714286</v>
      </c>
    </row>
    <row r="324" spans="1:7">
      <c r="A324" t="s">
        <v>223</v>
      </c>
      <c r="B324">
        <v>10</v>
      </c>
      <c r="C324" t="s">
        <v>481</v>
      </c>
      <c r="D324">
        <v>27</v>
      </c>
      <c r="E324">
        <v>994</v>
      </c>
      <c r="F324">
        <v>924</v>
      </c>
      <c r="G324" s="4">
        <f t="shared" si="5"/>
        <v>0.92957746478873238</v>
      </c>
    </row>
    <row r="325" spans="1:7">
      <c r="A325" t="s">
        <v>223</v>
      </c>
      <c r="B325">
        <v>10</v>
      </c>
      <c r="C325" t="s">
        <v>485</v>
      </c>
      <c r="D325">
        <v>28</v>
      </c>
      <c r="E325">
        <v>994</v>
      </c>
      <c r="F325">
        <v>927</v>
      </c>
      <c r="G325" s="4">
        <f t="shared" si="5"/>
        <v>0.93259557344064381</v>
      </c>
    </row>
    <row r="326" spans="1:7">
      <c r="A326" t="s">
        <v>223</v>
      </c>
      <c r="B326">
        <v>10</v>
      </c>
      <c r="C326" t="s">
        <v>487</v>
      </c>
      <c r="D326">
        <v>29</v>
      </c>
      <c r="E326">
        <v>994</v>
      </c>
      <c r="F326">
        <v>928</v>
      </c>
      <c r="G326" s="4">
        <f t="shared" si="5"/>
        <v>0.9336016096579477</v>
      </c>
    </row>
    <row r="327" spans="1:7">
      <c r="A327" t="s">
        <v>223</v>
      </c>
      <c r="B327">
        <v>10</v>
      </c>
      <c r="C327" t="s">
        <v>482</v>
      </c>
      <c r="D327">
        <v>30</v>
      </c>
      <c r="E327">
        <v>994</v>
      </c>
      <c r="F327">
        <v>953</v>
      </c>
      <c r="G327" s="4">
        <f t="shared" si="5"/>
        <v>0.95875251509054327</v>
      </c>
    </row>
    <row r="328" spans="1:7">
      <c r="A328" t="s">
        <v>223</v>
      </c>
      <c r="B328">
        <v>10</v>
      </c>
      <c r="C328" t="s">
        <v>488</v>
      </c>
      <c r="D328">
        <v>31</v>
      </c>
      <c r="E328">
        <v>994</v>
      </c>
      <c r="F328">
        <v>992</v>
      </c>
      <c r="G328" s="4">
        <f t="shared" si="5"/>
        <v>0.99798792756539234</v>
      </c>
    </row>
    <row r="329" spans="1:7">
      <c r="A329" t="s">
        <v>223</v>
      </c>
      <c r="B329">
        <v>10</v>
      </c>
      <c r="C329" t="s">
        <v>489</v>
      </c>
      <c r="D329">
        <v>32</v>
      </c>
      <c r="E329">
        <v>994</v>
      </c>
      <c r="F329">
        <v>1001</v>
      </c>
      <c r="G329" s="4">
        <f t="shared" si="5"/>
        <v>1.0070422535211268</v>
      </c>
    </row>
    <row r="330" spans="1:7">
      <c r="A330" t="s">
        <v>224</v>
      </c>
      <c r="B330">
        <v>3</v>
      </c>
      <c r="C330" t="s">
        <v>235</v>
      </c>
      <c r="D330">
        <v>1</v>
      </c>
      <c r="E330">
        <v>34361</v>
      </c>
      <c r="F330">
        <v>33487</v>
      </c>
      <c r="G330" s="4">
        <f t="shared" si="5"/>
        <v>0.97456418614126483</v>
      </c>
    </row>
    <row r="331" spans="1:7">
      <c r="A331" t="s">
        <v>224</v>
      </c>
      <c r="B331">
        <v>3</v>
      </c>
      <c r="C331" t="s">
        <v>343</v>
      </c>
      <c r="D331">
        <v>2</v>
      </c>
      <c r="E331">
        <v>34361</v>
      </c>
      <c r="F331">
        <v>33555</v>
      </c>
      <c r="G331" s="4">
        <f t="shared" si="5"/>
        <v>0.97654317394720758</v>
      </c>
    </row>
    <row r="332" spans="1:7">
      <c r="A332" t="s">
        <v>225</v>
      </c>
      <c r="B332">
        <v>2</v>
      </c>
      <c r="C332" t="s">
        <v>211</v>
      </c>
      <c r="D332">
        <v>1</v>
      </c>
      <c r="E332">
        <v>3008</v>
      </c>
      <c r="F332">
        <v>550</v>
      </c>
      <c r="G332" s="4">
        <f t="shared" si="5"/>
        <v>0.18284574468085107</v>
      </c>
    </row>
    <row r="333" spans="1:7">
      <c r="A333" t="s">
        <v>225</v>
      </c>
      <c r="B333">
        <v>2</v>
      </c>
      <c r="C333" t="s">
        <v>490</v>
      </c>
      <c r="D333">
        <v>2</v>
      </c>
      <c r="E333">
        <v>3008</v>
      </c>
      <c r="F333">
        <v>575</v>
      </c>
      <c r="G333" s="4">
        <f t="shared" si="5"/>
        <v>0.19115691489361702</v>
      </c>
    </row>
    <row r="334" spans="1:7">
      <c r="A334" t="s">
        <v>225</v>
      </c>
      <c r="B334">
        <v>2</v>
      </c>
      <c r="C334" t="s">
        <v>491</v>
      </c>
      <c r="D334">
        <v>3</v>
      </c>
      <c r="E334">
        <v>3008</v>
      </c>
      <c r="F334">
        <v>652</v>
      </c>
      <c r="G334" s="4">
        <f t="shared" si="5"/>
        <v>0.21675531914893617</v>
      </c>
    </row>
    <row r="335" spans="1:7">
      <c r="A335" t="s">
        <v>225</v>
      </c>
      <c r="B335">
        <v>2</v>
      </c>
      <c r="C335" t="s">
        <v>492</v>
      </c>
      <c r="D335">
        <v>4</v>
      </c>
      <c r="E335">
        <v>3008</v>
      </c>
      <c r="F335">
        <v>659</v>
      </c>
      <c r="G335" s="4">
        <f t="shared" si="5"/>
        <v>0.21908244680851063</v>
      </c>
    </row>
    <row r="336" spans="1:7">
      <c r="A336" t="s">
        <v>225</v>
      </c>
      <c r="B336">
        <v>2</v>
      </c>
      <c r="C336" t="s">
        <v>493</v>
      </c>
      <c r="D336">
        <v>5</v>
      </c>
      <c r="E336">
        <v>3008</v>
      </c>
      <c r="F336">
        <v>768</v>
      </c>
      <c r="G336" s="4">
        <f t="shared" si="5"/>
        <v>0.25531914893617019</v>
      </c>
    </row>
    <row r="337" spans="1:7">
      <c r="A337" t="s">
        <v>225</v>
      </c>
      <c r="B337">
        <v>2</v>
      </c>
      <c r="C337" t="s">
        <v>495</v>
      </c>
      <c r="D337">
        <v>6</v>
      </c>
      <c r="E337">
        <v>3008</v>
      </c>
      <c r="F337">
        <v>821</v>
      </c>
      <c r="G337" s="4">
        <f t="shared" si="5"/>
        <v>0.27293882978723405</v>
      </c>
    </row>
    <row r="338" spans="1:7">
      <c r="A338" t="s">
        <v>225</v>
      </c>
      <c r="B338">
        <v>2</v>
      </c>
      <c r="C338" t="s">
        <v>494</v>
      </c>
      <c r="D338">
        <v>7</v>
      </c>
      <c r="E338">
        <v>3008</v>
      </c>
      <c r="F338">
        <v>876</v>
      </c>
      <c r="G338" s="4">
        <f t="shared" si="5"/>
        <v>0.29122340425531917</v>
      </c>
    </row>
    <row r="339" spans="1:7">
      <c r="A339" t="s">
        <v>225</v>
      </c>
      <c r="B339">
        <v>2</v>
      </c>
      <c r="C339" t="s">
        <v>496</v>
      </c>
      <c r="D339">
        <v>8</v>
      </c>
      <c r="E339">
        <v>3008</v>
      </c>
      <c r="F339">
        <v>923</v>
      </c>
      <c r="G339" s="4">
        <f t="shared" si="5"/>
        <v>0.30684840425531917</v>
      </c>
    </row>
    <row r="340" spans="1:7">
      <c r="A340" t="s">
        <v>225</v>
      </c>
      <c r="B340">
        <v>2</v>
      </c>
      <c r="C340" t="s">
        <v>498</v>
      </c>
      <c r="D340">
        <v>9</v>
      </c>
      <c r="E340">
        <v>3008</v>
      </c>
      <c r="F340">
        <v>936</v>
      </c>
      <c r="G340" s="4">
        <f t="shared" si="5"/>
        <v>0.31117021276595747</v>
      </c>
    </row>
    <row r="341" spans="1:7">
      <c r="A341" t="s">
        <v>225</v>
      </c>
      <c r="B341">
        <v>2</v>
      </c>
      <c r="C341" t="s">
        <v>497</v>
      </c>
      <c r="D341">
        <v>10</v>
      </c>
      <c r="E341">
        <v>3008</v>
      </c>
      <c r="F341">
        <v>952</v>
      </c>
      <c r="G341" s="4">
        <f t="shared" si="5"/>
        <v>0.31648936170212766</v>
      </c>
    </row>
    <row r="342" spans="1:7">
      <c r="A342" t="s">
        <v>225</v>
      </c>
      <c r="B342">
        <v>2</v>
      </c>
      <c r="C342" t="s">
        <v>499</v>
      </c>
      <c r="D342">
        <v>11</v>
      </c>
      <c r="E342">
        <v>3008</v>
      </c>
      <c r="F342">
        <v>1057</v>
      </c>
      <c r="G342" s="4">
        <f t="shared" si="5"/>
        <v>0.35139627659574468</v>
      </c>
    </row>
    <row r="343" spans="1:7">
      <c r="A343" t="s">
        <v>225</v>
      </c>
      <c r="B343">
        <v>2</v>
      </c>
      <c r="C343" t="s">
        <v>500</v>
      </c>
      <c r="D343">
        <v>12</v>
      </c>
      <c r="E343">
        <v>3008</v>
      </c>
      <c r="F343">
        <v>1121</v>
      </c>
      <c r="G343" s="4">
        <f t="shared" si="5"/>
        <v>0.37267287234042551</v>
      </c>
    </row>
    <row r="344" spans="1:7">
      <c r="A344" t="s">
        <v>225</v>
      </c>
      <c r="B344">
        <v>2</v>
      </c>
      <c r="C344" t="s">
        <v>501</v>
      </c>
      <c r="D344">
        <v>13</v>
      </c>
      <c r="E344">
        <v>3008</v>
      </c>
      <c r="F344">
        <v>1236</v>
      </c>
      <c r="G344" s="4">
        <f t="shared" si="5"/>
        <v>0.41090425531914893</v>
      </c>
    </row>
    <row r="345" spans="1:7">
      <c r="A345" t="s">
        <v>225</v>
      </c>
      <c r="B345">
        <v>2</v>
      </c>
      <c r="C345" t="s">
        <v>502</v>
      </c>
      <c r="D345">
        <v>14</v>
      </c>
      <c r="E345">
        <v>3008</v>
      </c>
      <c r="F345">
        <v>1404</v>
      </c>
      <c r="G345" s="4">
        <f t="shared" si="5"/>
        <v>0.46675531914893614</v>
      </c>
    </row>
    <row r="346" spans="1:7">
      <c r="A346" t="s">
        <v>225</v>
      </c>
      <c r="B346">
        <v>3</v>
      </c>
      <c r="C346" t="s">
        <v>439</v>
      </c>
      <c r="D346">
        <v>1</v>
      </c>
      <c r="E346">
        <v>9112</v>
      </c>
      <c r="F346">
        <v>641</v>
      </c>
      <c r="G346" s="4">
        <f t="shared" si="5"/>
        <v>7.0346795434591741E-2</v>
      </c>
    </row>
    <row r="347" spans="1:7">
      <c r="A347" t="s">
        <v>225</v>
      </c>
      <c r="B347">
        <v>3</v>
      </c>
      <c r="C347" t="s">
        <v>503</v>
      </c>
      <c r="D347">
        <v>2</v>
      </c>
      <c r="E347">
        <v>9112</v>
      </c>
      <c r="F347">
        <v>1026</v>
      </c>
      <c r="G347" s="4">
        <f t="shared" si="5"/>
        <v>0.11259877085162423</v>
      </c>
    </row>
    <row r="348" spans="1:7">
      <c r="A348" t="s">
        <v>225</v>
      </c>
      <c r="B348">
        <v>3</v>
      </c>
      <c r="C348" t="s">
        <v>505</v>
      </c>
      <c r="D348">
        <v>3</v>
      </c>
      <c r="E348">
        <v>9112</v>
      </c>
      <c r="F348">
        <v>2039</v>
      </c>
      <c r="G348" s="4">
        <f t="shared" si="5"/>
        <v>0.22377085162423177</v>
      </c>
    </row>
    <row r="349" spans="1:7">
      <c r="A349" t="s">
        <v>225</v>
      </c>
      <c r="B349">
        <v>3</v>
      </c>
      <c r="C349" t="s">
        <v>504</v>
      </c>
      <c r="D349">
        <v>4</v>
      </c>
      <c r="E349">
        <v>9112</v>
      </c>
      <c r="F349">
        <v>2060</v>
      </c>
      <c r="G349" s="4">
        <f t="shared" si="5"/>
        <v>0.22607550482879718</v>
      </c>
    </row>
    <row r="350" spans="1:7">
      <c r="A350" t="s">
        <v>225</v>
      </c>
      <c r="B350">
        <v>3</v>
      </c>
      <c r="C350" t="s">
        <v>506</v>
      </c>
      <c r="D350">
        <v>5</v>
      </c>
      <c r="E350">
        <v>9112</v>
      </c>
      <c r="F350">
        <v>2875</v>
      </c>
      <c r="G350" s="4">
        <f t="shared" si="5"/>
        <v>0.31551799824407373</v>
      </c>
    </row>
    <row r="351" spans="1:7">
      <c r="A351" t="s">
        <v>225</v>
      </c>
      <c r="B351">
        <v>3</v>
      </c>
      <c r="C351" t="s">
        <v>507</v>
      </c>
      <c r="D351">
        <v>6</v>
      </c>
      <c r="E351">
        <v>9112</v>
      </c>
      <c r="F351">
        <v>5009</v>
      </c>
      <c r="G351" s="4">
        <f t="shared" si="5"/>
        <v>0.54971466198419672</v>
      </c>
    </row>
    <row r="352" spans="1:7">
      <c r="A352" t="s">
        <v>225</v>
      </c>
      <c r="B352">
        <v>4</v>
      </c>
      <c r="C352" t="s">
        <v>439</v>
      </c>
      <c r="D352">
        <v>1</v>
      </c>
      <c r="E352">
        <v>24765</v>
      </c>
      <c r="F352">
        <v>683</v>
      </c>
      <c r="G352" s="4">
        <f t="shared" si="5"/>
        <v>2.7579244902079549E-2</v>
      </c>
    </row>
    <row r="353" spans="1:7">
      <c r="A353" t="s">
        <v>225</v>
      </c>
      <c r="B353">
        <v>4</v>
      </c>
      <c r="C353" t="s">
        <v>508</v>
      </c>
      <c r="D353">
        <v>2</v>
      </c>
      <c r="E353">
        <v>24765</v>
      </c>
      <c r="F353">
        <v>1224</v>
      </c>
      <c r="G353" s="4">
        <f t="shared" si="5"/>
        <v>4.9424591156874621E-2</v>
      </c>
    </row>
    <row r="354" spans="1:7">
      <c r="A354" t="s">
        <v>225</v>
      </c>
      <c r="B354">
        <v>4</v>
      </c>
      <c r="C354" t="s">
        <v>504</v>
      </c>
      <c r="D354">
        <v>3</v>
      </c>
      <c r="E354">
        <v>24765</v>
      </c>
      <c r="F354">
        <v>2085</v>
      </c>
      <c r="G354" s="4">
        <f t="shared" si="5"/>
        <v>8.419139915202907E-2</v>
      </c>
    </row>
    <row r="355" spans="1:7">
      <c r="A355" t="s">
        <v>225</v>
      </c>
      <c r="B355">
        <v>4</v>
      </c>
      <c r="C355" t="s">
        <v>505</v>
      </c>
      <c r="D355">
        <v>4</v>
      </c>
      <c r="E355">
        <v>24765</v>
      </c>
      <c r="F355">
        <v>2096</v>
      </c>
      <c r="G355" s="4">
        <f t="shared" si="5"/>
        <v>8.463557439935393E-2</v>
      </c>
    </row>
    <row r="356" spans="1:7">
      <c r="A356" t="s">
        <v>225</v>
      </c>
      <c r="B356">
        <v>4</v>
      </c>
      <c r="C356" t="s">
        <v>506</v>
      </c>
      <c r="D356">
        <v>5</v>
      </c>
      <c r="E356">
        <v>24765</v>
      </c>
      <c r="F356">
        <v>2949</v>
      </c>
      <c r="G356" s="4">
        <f t="shared" si="5"/>
        <v>0.1190793458509994</v>
      </c>
    </row>
    <row r="357" spans="1:7">
      <c r="A357" t="s">
        <v>225</v>
      </c>
      <c r="B357">
        <v>4</v>
      </c>
      <c r="C357" t="s">
        <v>507</v>
      </c>
      <c r="D357">
        <v>6</v>
      </c>
      <c r="E357">
        <v>24765</v>
      </c>
      <c r="F357">
        <v>4968</v>
      </c>
      <c r="G357" s="4">
        <f t="shared" si="5"/>
        <v>0.20060569351907934</v>
      </c>
    </row>
    <row r="358" spans="1:7">
      <c r="A358" t="s">
        <v>225</v>
      </c>
      <c r="B358">
        <v>4</v>
      </c>
      <c r="C358" t="s">
        <v>509</v>
      </c>
      <c r="D358">
        <v>7</v>
      </c>
      <c r="E358">
        <v>24765</v>
      </c>
      <c r="F358">
        <v>5876</v>
      </c>
      <c r="G358" s="4">
        <f t="shared" si="5"/>
        <v>0.23727034120734908</v>
      </c>
    </row>
    <row r="359" spans="1:7">
      <c r="A359" t="s">
        <v>225</v>
      </c>
      <c r="B359">
        <v>4</v>
      </c>
      <c r="C359" t="s">
        <v>510</v>
      </c>
      <c r="D359">
        <v>8</v>
      </c>
      <c r="E359">
        <v>24765</v>
      </c>
      <c r="F359">
        <v>6183</v>
      </c>
      <c r="G359" s="4">
        <f t="shared" si="5"/>
        <v>0.24966686856450637</v>
      </c>
    </row>
    <row r="360" spans="1:7">
      <c r="A360" t="s">
        <v>225</v>
      </c>
      <c r="B360">
        <v>4</v>
      </c>
      <c r="C360" t="s">
        <v>511</v>
      </c>
      <c r="D360">
        <v>9</v>
      </c>
      <c r="E360">
        <v>24765</v>
      </c>
      <c r="F360">
        <v>6712</v>
      </c>
      <c r="G360" s="4">
        <f t="shared" si="5"/>
        <v>0.27102766000403794</v>
      </c>
    </row>
    <row r="361" spans="1:7">
      <c r="A361" t="s">
        <v>225</v>
      </c>
      <c r="B361">
        <v>5</v>
      </c>
      <c r="C361" t="s">
        <v>203</v>
      </c>
      <c r="D361">
        <v>1</v>
      </c>
      <c r="E361">
        <v>780</v>
      </c>
      <c r="F361">
        <v>400</v>
      </c>
      <c r="G361" s="4">
        <f t="shared" si="5"/>
        <v>0.51282051282051277</v>
      </c>
    </row>
    <row r="362" spans="1:7">
      <c r="A362" t="s">
        <v>225</v>
      </c>
      <c r="B362">
        <v>5</v>
      </c>
      <c r="C362" t="s">
        <v>179</v>
      </c>
      <c r="D362">
        <v>2</v>
      </c>
      <c r="E362">
        <v>780</v>
      </c>
      <c r="F362">
        <v>540</v>
      </c>
      <c r="G362" s="4">
        <f t="shared" si="5"/>
        <v>0.69230769230769229</v>
      </c>
    </row>
    <row r="363" spans="1:7">
      <c r="A363" t="s">
        <v>225</v>
      </c>
      <c r="B363">
        <v>5</v>
      </c>
      <c r="C363" t="s">
        <v>204</v>
      </c>
      <c r="D363">
        <v>3</v>
      </c>
      <c r="E363">
        <v>780</v>
      </c>
      <c r="F363">
        <v>624</v>
      </c>
      <c r="G363" s="4">
        <f t="shared" si="5"/>
        <v>0.8</v>
      </c>
    </row>
    <row r="364" spans="1:7">
      <c r="A364" t="s">
        <v>225</v>
      </c>
      <c r="B364">
        <v>5</v>
      </c>
      <c r="C364" t="s">
        <v>215</v>
      </c>
      <c r="D364">
        <v>4</v>
      </c>
      <c r="E364">
        <v>780</v>
      </c>
      <c r="F364">
        <v>708</v>
      </c>
      <c r="G364" s="4">
        <f t="shared" si="5"/>
        <v>0.90769230769230769</v>
      </c>
    </row>
    <row r="365" spans="1:7">
      <c r="A365" t="s">
        <v>225</v>
      </c>
      <c r="B365">
        <v>5</v>
      </c>
      <c r="C365" t="s">
        <v>443</v>
      </c>
      <c r="D365">
        <v>5</v>
      </c>
      <c r="E365">
        <v>780</v>
      </c>
      <c r="F365">
        <v>754</v>
      </c>
      <c r="G365" s="4">
        <f t="shared" si="5"/>
        <v>0.96666666666666667</v>
      </c>
    </row>
    <row r="366" spans="1:7">
      <c r="A366" t="s">
        <v>225</v>
      </c>
      <c r="B366">
        <v>5</v>
      </c>
      <c r="C366" t="s">
        <v>512</v>
      </c>
      <c r="D366">
        <v>6</v>
      </c>
      <c r="E366">
        <v>780</v>
      </c>
      <c r="F366">
        <v>802</v>
      </c>
      <c r="G366" s="4">
        <f t="shared" si="5"/>
        <v>1.0282051282051281</v>
      </c>
    </row>
    <row r="367" spans="1:7">
      <c r="A367" t="s">
        <v>225</v>
      </c>
      <c r="B367">
        <v>6</v>
      </c>
      <c r="C367" t="s">
        <v>515</v>
      </c>
      <c r="D367">
        <v>1</v>
      </c>
      <c r="E367">
        <v>815</v>
      </c>
      <c r="F367">
        <v>104</v>
      </c>
      <c r="G367" s="4">
        <f t="shared" si="5"/>
        <v>0.1276073619631902</v>
      </c>
    </row>
    <row r="368" spans="1:7">
      <c r="A368" t="s">
        <v>225</v>
      </c>
      <c r="B368">
        <v>6</v>
      </c>
      <c r="C368" t="s">
        <v>513</v>
      </c>
      <c r="D368">
        <v>2</v>
      </c>
      <c r="E368">
        <v>815</v>
      </c>
      <c r="F368">
        <v>282</v>
      </c>
      <c r="G368" s="4">
        <f t="shared" si="5"/>
        <v>0.34601226993865031</v>
      </c>
    </row>
    <row r="369" spans="1:7">
      <c r="A369" t="s">
        <v>225</v>
      </c>
      <c r="B369">
        <v>6</v>
      </c>
      <c r="C369" t="s">
        <v>514</v>
      </c>
      <c r="D369">
        <v>3</v>
      </c>
      <c r="E369">
        <v>815</v>
      </c>
      <c r="F369">
        <v>323</v>
      </c>
      <c r="G369" s="4">
        <f t="shared" si="5"/>
        <v>0.39631901840490796</v>
      </c>
    </row>
    <row r="370" spans="1:7">
      <c r="A370" t="s">
        <v>225</v>
      </c>
      <c r="B370">
        <v>6</v>
      </c>
      <c r="C370" t="s">
        <v>516</v>
      </c>
      <c r="D370">
        <v>4</v>
      </c>
      <c r="E370">
        <v>815</v>
      </c>
      <c r="F370">
        <v>451</v>
      </c>
      <c r="G370" s="4">
        <f t="shared" si="5"/>
        <v>0.55337423312883438</v>
      </c>
    </row>
    <row r="371" spans="1:7">
      <c r="A371" t="s">
        <v>225</v>
      </c>
      <c r="B371">
        <v>6</v>
      </c>
      <c r="C371" t="s">
        <v>521</v>
      </c>
      <c r="D371">
        <v>5</v>
      </c>
      <c r="E371">
        <v>815</v>
      </c>
      <c r="F371">
        <v>510</v>
      </c>
      <c r="G371" s="4">
        <f t="shared" si="5"/>
        <v>0.62576687116564422</v>
      </c>
    </row>
    <row r="372" spans="1:7">
      <c r="A372" t="s">
        <v>225</v>
      </c>
      <c r="B372">
        <v>6</v>
      </c>
      <c r="C372" t="s">
        <v>517</v>
      </c>
      <c r="D372">
        <v>6</v>
      </c>
      <c r="E372">
        <v>815</v>
      </c>
      <c r="F372">
        <v>512</v>
      </c>
      <c r="G372" s="4">
        <f t="shared" si="5"/>
        <v>0.62822085889570556</v>
      </c>
    </row>
    <row r="373" spans="1:7">
      <c r="A373" t="s">
        <v>225</v>
      </c>
      <c r="B373">
        <v>6</v>
      </c>
      <c r="C373" t="s">
        <v>518</v>
      </c>
      <c r="D373">
        <v>7</v>
      </c>
      <c r="E373">
        <v>815</v>
      </c>
      <c r="F373">
        <v>579</v>
      </c>
      <c r="G373" s="4">
        <f t="shared" si="5"/>
        <v>0.71042944785276074</v>
      </c>
    </row>
    <row r="374" spans="1:7">
      <c r="A374" t="s">
        <v>225</v>
      </c>
      <c r="B374">
        <v>6</v>
      </c>
      <c r="C374" t="s">
        <v>519</v>
      </c>
      <c r="D374">
        <v>8</v>
      </c>
      <c r="E374">
        <v>815</v>
      </c>
      <c r="F374">
        <v>667</v>
      </c>
      <c r="G374" s="4">
        <f t="shared" si="5"/>
        <v>0.81840490797546017</v>
      </c>
    </row>
    <row r="375" spans="1:7">
      <c r="A375" t="s">
        <v>225</v>
      </c>
      <c r="B375">
        <v>6</v>
      </c>
      <c r="C375" t="s">
        <v>520</v>
      </c>
      <c r="D375">
        <v>9</v>
      </c>
      <c r="E375">
        <v>815</v>
      </c>
      <c r="F375">
        <v>734</v>
      </c>
      <c r="G375" s="4">
        <f t="shared" si="5"/>
        <v>0.90061349693251536</v>
      </c>
    </row>
    <row r="376" spans="1:7">
      <c r="A376" t="s">
        <v>225</v>
      </c>
      <c r="B376">
        <v>6</v>
      </c>
      <c r="C376" t="s">
        <v>522</v>
      </c>
      <c r="D376">
        <v>10</v>
      </c>
      <c r="E376">
        <v>815</v>
      </c>
      <c r="F376">
        <v>789</v>
      </c>
      <c r="G376" s="4">
        <f t="shared" si="5"/>
        <v>0.96809815950920242</v>
      </c>
    </row>
    <row r="377" spans="1:7">
      <c r="A377" t="s">
        <v>225</v>
      </c>
      <c r="B377">
        <v>7</v>
      </c>
      <c r="C377" t="s">
        <v>525</v>
      </c>
      <c r="D377">
        <v>1</v>
      </c>
      <c r="E377">
        <v>2835</v>
      </c>
      <c r="F377">
        <v>828</v>
      </c>
      <c r="G377" s="4">
        <f t="shared" si="5"/>
        <v>0.29206349206349208</v>
      </c>
    </row>
    <row r="378" spans="1:7">
      <c r="A378" t="s">
        <v>225</v>
      </c>
      <c r="B378">
        <v>7</v>
      </c>
      <c r="C378" t="s">
        <v>528</v>
      </c>
      <c r="D378">
        <v>2</v>
      </c>
      <c r="E378">
        <v>2835</v>
      </c>
      <c r="F378">
        <v>847</v>
      </c>
      <c r="G378" s="4">
        <f t="shared" si="5"/>
        <v>0.29876543209876544</v>
      </c>
    </row>
    <row r="379" spans="1:7">
      <c r="A379" t="s">
        <v>225</v>
      </c>
      <c r="B379">
        <v>7</v>
      </c>
      <c r="C379" t="s">
        <v>523</v>
      </c>
      <c r="D379">
        <v>3</v>
      </c>
      <c r="E379">
        <v>2835</v>
      </c>
      <c r="F379">
        <v>869</v>
      </c>
      <c r="G379" s="4">
        <f t="shared" si="5"/>
        <v>0.30652557319223989</v>
      </c>
    </row>
    <row r="380" spans="1:7">
      <c r="A380" t="s">
        <v>225</v>
      </c>
      <c r="B380">
        <v>7</v>
      </c>
      <c r="C380" t="s">
        <v>526</v>
      </c>
      <c r="D380">
        <v>4</v>
      </c>
      <c r="E380">
        <v>2835</v>
      </c>
      <c r="F380">
        <v>906</v>
      </c>
      <c r="G380" s="4">
        <f t="shared" si="5"/>
        <v>0.31957671957671957</v>
      </c>
    </row>
    <row r="381" spans="1:7">
      <c r="A381" t="s">
        <v>225</v>
      </c>
      <c r="B381">
        <v>7</v>
      </c>
      <c r="C381" t="s">
        <v>524</v>
      </c>
      <c r="D381">
        <v>5</v>
      </c>
      <c r="E381">
        <v>2835</v>
      </c>
      <c r="F381">
        <v>910</v>
      </c>
      <c r="G381" s="4">
        <f t="shared" si="5"/>
        <v>0.32098765432098764</v>
      </c>
    </row>
    <row r="382" spans="1:7">
      <c r="A382" t="s">
        <v>225</v>
      </c>
      <c r="B382">
        <v>7</v>
      </c>
      <c r="C382" t="s">
        <v>527</v>
      </c>
      <c r="D382">
        <v>6</v>
      </c>
      <c r="E382">
        <v>2835</v>
      </c>
      <c r="F382">
        <v>932</v>
      </c>
      <c r="G382" s="4">
        <f t="shared" si="5"/>
        <v>0.32874779541446209</v>
      </c>
    </row>
    <row r="383" spans="1:7">
      <c r="A383" t="s">
        <v>225</v>
      </c>
      <c r="B383">
        <v>7</v>
      </c>
      <c r="C383" t="s">
        <v>529</v>
      </c>
      <c r="D383">
        <v>7</v>
      </c>
      <c r="E383">
        <v>2835</v>
      </c>
      <c r="F383">
        <v>972</v>
      </c>
      <c r="G383" s="4">
        <f t="shared" si="5"/>
        <v>0.34285714285714286</v>
      </c>
    </row>
    <row r="384" spans="1:7">
      <c r="A384" t="s">
        <v>225</v>
      </c>
      <c r="B384">
        <v>7</v>
      </c>
      <c r="C384" t="s">
        <v>530</v>
      </c>
      <c r="D384">
        <v>8</v>
      </c>
      <c r="E384">
        <v>2835</v>
      </c>
      <c r="F384">
        <v>1049</v>
      </c>
      <c r="G384" s="4">
        <f t="shared" si="5"/>
        <v>0.37001763668430337</v>
      </c>
    </row>
    <row r="385" spans="1:7">
      <c r="A385" t="s">
        <v>225</v>
      </c>
      <c r="B385">
        <v>7</v>
      </c>
      <c r="C385" t="s">
        <v>531</v>
      </c>
      <c r="D385">
        <v>9</v>
      </c>
      <c r="E385">
        <v>2835</v>
      </c>
      <c r="F385">
        <v>1191</v>
      </c>
      <c r="G385" s="4">
        <f t="shared" si="5"/>
        <v>0.42010582010582009</v>
      </c>
    </row>
    <row r="386" spans="1:7">
      <c r="A386" t="s">
        <v>225</v>
      </c>
      <c r="B386">
        <v>7</v>
      </c>
      <c r="C386" t="s">
        <v>532</v>
      </c>
      <c r="D386">
        <v>10</v>
      </c>
      <c r="E386">
        <v>2835</v>
      </c>
      <c r="F386">
        <v>1322</v>
      </c>
      <c r="G386" s="4">
        <f t="shared" ref="G386:G449" si="6">F386/E386</f>
        <v>0.46631393298059964</v>
      </c>
    </row>
    <row r="387" spans="1:7">
      <c r="A387" t="s">
        <v>225</v>
      </c>
      <c r="B387">
        <v>8</v>
      </c>
      <c r="C387" t="s">
        <v>439</v>
      </c>
      <c r="D387">
        <v>1</v>
      </c>
      <c r="E387">
        <v>8968</v>
      </c>
      <c r="F387">
        <v>656</v>
      </c>
      <c r="G387" s="4">
        <f t="shared" si="6"/>
        <v>7.3148974130240851E-2</v>
      </c>
    </row>
    <row r="388" spans="1:7">
      <c r="A388" t="s">
        <v>225</v>
      </c>
      <c r="B388">
        <v>8</v>
      </c>
      <c r="C388" t="s">
        <v>533</v>
      </c>
      <c r="D388">
        <v>2</v>
      </c>
      <c r="E388">
        <v>8968</v>
      </c>
      <c r="F388">
        <v>1030</v>
      </c>
      <c r="G388" s="4">
        <f t="shared" si="6"/>
        <v>0.1148528099910794</v>
      </c>
    </row>
    <row r="389" spans="1:7">
      <c r="A389" t="s">
        <v>225</v>
      </c>
      <c r="B389">
        <v>8</v>
      </c>
      <c r="C389" t="s">
        <v>505</v>
      </c>
      <c r="D389">
        <v>3</v>
      </c>
      <c r="E389">
        <v>8968</v>
      </c>
      <c r="F389">
        <v>1871</v>
      </c>
      <c r="G389" s="4">
        <f t="shared" si="6"/>
        <v>0.2086306868867083</v>
      </c>
    </row>
    <row r="390" spans="1:7">
      <c r="A390" t="s">
        <v>225</v>
      </c>
      <c r="B390">
        <v>8</v>
      </c>
      <c r="C390" t="s">
        <v>534</v>
      </c>
      <c r="D390">
        <v>4</v>
      </c>
      <c r="E390">
        <v>8968</v>
      </c>
      <c r="F390">
        <v>2139</v>
      </c>
      <c r="G390" s="4">
        <f t="shared" si="6"/>
        <v>0.23851471900089205</v>
      </c>
    </row>
    <row r="391" spans="1:7">
      <c r="A391" t="s">
        <v>225</v>
      </c>
      <c r="B391">
        <v>8</v>
      </c>
      <c r="C391" t="s">
        <v>535</v>
      </c>
      <c r="D391">
        <v>5</v>
      </c>
      <c r="E391">
        <v>8968</v>
      </c>
      <c r="F391">
        <v>2811</v>
      </c>
      <c r="G391" s="4">
        <f t="shared" si="6"/>
        <v>0.3134478144513827</v>
      </c>
    </row>
    <row r="392" spans="1:7">
      <c r="A392" t="s">
        <v>225</v>
      </c>
      <c r="B392">
        <v>8</v>
      </c>
      <c r="C392" t="s">
        <v>536</v>
      </c>
      <c r="D392">
        <v>6</v>
      </c>
      <c r="E392">
        <v>8968</v>
      </c>
      <c r="F392">
        <v>4992</v>
      </c>
      <c r="G392" s="4">
        <f t="shared" si="6"/>
        <v>0.55664585191793037</v>
      </c>
    </row>
    <row r="393" spans="1:7">
      <c r="A393" t="s">
        <v>225</v>
      </c>
      <c r="B393">
        <v>9</v>
      </c>
      <c r="C393" t="s">
        <v>439</v>
      </c>
      <c r="D393">
        <v>1</v>
      </c>
      <c r="E393">
        <v>24590</v>
      </c>
      <c r="F393">
        <v>673</v>
      </c>
      <c r="G393" s="4">
        <f t="shared" si="6"/>
        <v>2.7368849125660837E-2</v>
      </c>
    </row>
    <row r="394" spans="1:7">
      <c r="A394" t="s">
        <v>225</v>
      </c>
      <c r="B394">
        <v>9</v>
      </c>
      <c r="C394" t="s">
        <v>537</v>
      </c>
      <c r="D394">
        <v>2</v>
      </c>
      <c r="E394">
        <v>24590</v>
      </c>
      <c r="F394">
        <v>1240</v>
      </c>
      <c r="G394" s="4">
        <f t="shared" si="6"/>
        <v>5.0427002846685644E-2</v>
      </c>
    </row>
    <row r="395" spans="1:7">
      <c r="A395" t="s">
        <v>225</v>
      </c>
      <c r="B395">
        <v>9</v>
      </c>
      <c r="C395" t="s">
        <v>505</v>
      </c>
      <c r="D395">
        <v>3</v>
      </c>
      <c r="E395">
        <v>24590</v>
      </c>
      <c r="F395">
        <v>1922</v>
      </c>
      <c r="G395" s="4">
        <f t="shared" si="6"/>
        <v>7.8161854412362744E-2</v>
      </c>
    </row>
    <row r="396" spans="1:7">
      <c r="A396" t="s">
        <v>225</v>
      </c>
      <c r="B396">
        <v>9</v>
      </c>
      <c r="C396" t="s">
        <v>534</v>
      </c>
      <c r="D396">
        <v>4</v>
      </c>
      <c r="E396">
        <v>24590</v>
      </c>
      <c r="F396">
        <v>2181</v>
      </c>
      <c r="G396" s="4">
        <f t="shared" si="6"/>
        <v>8.8694591297275319E-2</v>
      </c>
    </row>
    <row r="397" spans="1:7">
      <c r="A397" t="s">
        <v>225</v>
      </c>
      <c r="B397">
        <v>9</v>
      </c>
      <c r="C397" t="s">
        <v>535</v>
      </c>
      <c r="D397">
        <v>5</v>
      </c>
      <c r="E397">
        <v>24590</v>
      </c>
      <c r="F397">
        <v>2846</v>
      </c>
      <c r="G397" s="4">
        <f t="shared" si="6"/>
        <v>0.11573810492069947</v>
      </c>
    </row>
    <row r="398" spans="1:7">
      <c r="A398" t="s">
        <v>225</v>
      </c>
      <c r="B398">
        <v>9</v>
      </c>
      <c r="C398" t="s">
        <v>536</v>
      </c>
      <c r="D398">
        <v>6</v>
      </c>
      <c r="E398">
        <v>24590</v>
      </c>
      <c r="F398">
        <v>5013</v>
      </c>
      <c r="G398" s="4">
        <f t="shared" si="6"/>
        <v>0.20386335908906059</v>
      </c>
    </row>
    <row r="399" spans="1:7">
      <c r="A399" t="s">
        <v>225</v>
      </c>
      <c r="B399">
        <v>9</v>
      </c>
      <c r="C399" t="s">
        <v>538</v>
      </c>
      <c r="D399">
        <v>7</v>
      </c>
      <c r="E399">
        <v>24590</v>
      </c>
      <c r="F399">
        <v>5674</v>
      </c>
      <c r="G399" s="4">
        <f t="shared" si="6"/>
        <v>0.23074420496136641</v>
      </c>
    </row>
    <row r="400" spans="1:7">
      <c r="A400" t="s">
        <v>225</v>
      </c>
      <c r="B400">
        <v>9</v>
      </c>
      <c r="C400" t="s">
        <v>539</v>
      </c>
      <c r="D400">
        <v>8</v>
      </c>
      <c r="E400">
        <v>24590</v>
      </c>
      <c r="F400">
        <v>6315</v>
      </c>
      <c r="G400" s="4">
        <f t="shared" si="6"/>
        <v>0.25681171207808051</v>
      </c>
    </row>
    <row r="401" spans="1:7">
      <c r="A401" t="s">
        <v>225</v>
      </c>
      <c r="B401">
        <v>9</v>
      </c>
      <c r="C401" t="s">
        <v>540</v>
      </c>
      <c r="D401">
        <v>9</v>
      </c>
      <c r="E401">
        <v>24590</v>
      </c>
      <c r="F401">
        <v>6813</v>
      </c>
      <c r="G401" s="4">
        <f t="shared" si="6"/>
        <v>0.27706384709231396</v>
      </c>
    </row>
    <row r="402" spans="1:7">
      <c r="A402" t="s">
        <v>225</v>
      </c>
      <c r="B402">
        <v>11</v>
      </c>
      <c r="C402" t="s">
        <v>2</v>
      </c>
      <c r="D402">
        <v>1</v>
      </c>
      <c r="E402">
        <v>6429</v>
      </c>
      <c r="F402">
        <v>317</v>
      </c>
      <c r="G402" s="4">
        <f t="shared" si="6"/>
        <v>4.9307823922849589E-2</v>
      </c>
    </row>
    <row r="403" spans="1:7">
      <c r="A403" t="s">
        <v>225</v>
      </c>
      <c r="B403">
        <v>11</v>
      </c>
      <c r="C403" t="s">
        <v>203</v>
      </c>
      <c r="D403">
        <v>2</v>
      </c>
      <c r="E403">
        <v>6429</v>
      </c>
      <c r="F403">
        <v>6160</v>
      </c>
      <c r="G403" s="4">
        <f t="shared" si="6"/>
        <v>0.95815834499922226</v>
      </c>
    </row>
    <row r="404" spans="1:7">
      <c r="A404" t="s">
        <v>225</v>
      </c>
      <c r="B404">
        <v>13</v>
      </c>
      <c r="C404" t="s">
        <v>203</v>
      </c>
      <c r="D404">
        <v>1</v>
      </c>
      <c r="E404">
        <v>23350</v>
      </c>
      <c r="F404">
        <v>1349</v>
      </c>
      <c r="G404" s="4">
        <f t="shared" si="6"/>
        <v>5.7773019271948611E-2</v>
      </c>
    </row>
    <row r="405" spans="1:7">
      <c r="A405" t="s">
        <v>225</v>
      </c>
      <c r="B405">
        <v>13</v>
      </c>
      <c r="C405" t="s">
        <v>179</v>
      </c>
      <c r="D405">
        <v>2</v>
      </c>
      <c r="E405">
        <v>23350</v>
      </c>
      <c r="F405">
        <v>1461</v>
      </c>
      <c r="G405" s="4">
        <f t="shared" si="6"/>
        <v>6.2569593147751609E-2</v>
      </c>
    </row>
    <row r="406" spans="1:7">
      <c r="A406" t="s">
        <v>225</v>
      </c>
      <c r="B406">
        <v>13</v>
      </c>
      <c r="C406" t="s">
        <v>541</v>
      </c>
      <c r="D406">
        <v>3</v>
      </c>
      <c r="E406">
        <v>23350</v>
      </c>
      <c r="F406">
        <v>1498</v>
      </c>
      <c r="G406" s="4">
        <f t="shared" si="6"/>
        <v>6.4154175588865103E-2</v>
      </c>
    </row>
    <row r="407" spans="1:7">
      <c r="A407" t="s">
        <v>225</v>
      </c>
      <c r="B407">
        <v>13</v>
      </c>
      <c r="C407" t="s">
        <v>204</v>
      </c>
      <c r="D407">
        <v>4</v>
      </c>
      <c r="E407">
        <v>23350</v>
      </c>
      <c r="F407">
        <v>23575</v>
      </c>
      <c r="G407" s="4">
        <f t="shared" si="6"/>
        <v>1.0096359743040686</v>
      </c>
    </row>
    <row r="408" spans="1:7">
      <c r="A408" t="s">
        <v>225</v>
      </c>
      <c r="B408">
        <v>14</v>
      </c>
      <c r="C408" t="s">
        <v>203</v>
      </c>
      <c r="D408">
        <v>1</v>
      </c>
      <c r="E408">
        <v>57235</v>
      </c>
      <c r="F408">
        <v>2103</v>
      </c>
      <c r="G408" s="4">
        <f t="shared" si="6"/>
        <v>3.6743251506945053E-2</v>
      </c>
    </row>
    <row r="409" spans="1:7">
      <c r="A409" t="s">
        <v>225</v>
      </c>
      <c r="B409">
        <v>14</v>
      </c>
      <c r="C409" t="s">
        <v>179</v>
      </c>
      <c r="D409">
        <v>2</v>
      </c>
      <c r="E409">
        <v>57235</v>
      </c>
      <c r="F409">
        <v>2249</v>
      </c>
      <c r="G409" s="4">
        <f t="shared" si="6"/>
        <v>3.9294138202149033E-2</v>
      </c>
    </row>
    <row r="410" spans="1:7">
      <c r="A410" t="s">
        <v>225</v>
      </c>
      <c r="B410">
        <v>14</v>
      </c>
      <c r="C410" t="s">
        <v>541</v>
      </c>
      <c r="D410">
        <v>3</v>
      </c>
      <c r="E410">
        <v>57235</v>
      </c>
      <c r="F410">
        <v>2308</v>
      </c>
      <c r="G410" s="4">
        <f t="shared" si="6"/>
        <v>4.0324975976238318E-2</v>
      </c>
    </row>
    <row r="411" spans="1:7">
      <c r="A411" t="s">
        <v>225</v>
      </c>
      <c r="B411">
        <v>14</v>
      </c>
      <c r="C411" t="s">
        <v>685</v>
      </c>
      <c r="D411">
        <v>4</v>
      </c>
      <c r="E411">
        <v>57235</v>
      </c>
      <c r="F411">
        <v>26115</v>
      </c>
      <c r="G411" s="4">
        <f t="shared" si="6"/>
        <v>0.45627675373460297</v>
      </c>
    </row>
    <row r="412" spans="1:7">
      <c r="A412" t="s">
        <v>225</v>
      </c>
      <c r="B412">
        <v>14</v>
      </c>
      <c r="C412" t="s">
        <v>688</v>
      </c>
      <c r="D412">
        <v>5</v>
      </c>
      <c r="E412">
        <v>57235</v>
      </c>
      <c r="F412">
        <v>26163</v>
      </c>
      <c r="G412" s="4">
        <f t="shared" si="6"/>
        <v>0.45711540141521795</v>
      </c>
    </row>
    <row r="413" spans="1:7">
      <c r="A413" t="s">
        <v>225</v>
      </c>
      <c r="B413">
        <v>14</v>
      </c>
      <c r="C413" t="s">
        <v>690</v>
      </c>
      <c r="D413">
        <v>6</v>
      </c>
      <c r="E413">
        <v>57235</v>
      </c>
      <c r="F413">
        <v>26679</v>
      </c>
      <c r="G413" s="4">
        <f t="shared" si="6"/>
        <v>0.46613086398182929</v>
      </c>
    </row>
    <row r="414" spans="1:7">
      <c r="A414" t="s">
        <v>225</v>
      </c>
      <c r="B414">
        <v>14</v>
      </c>
      <c r="C414" t="s">
        <v>686</v>
      </c>
      <c r="D414">
        <v>7</v>
      </c>
      <c r="E414">
        <v>57235</v>
      </c>
      <c r="F414">
        <v>26798</v>
      </c>
      <c r="G414" s="4">
        <f t="shared" si="6"/>
        <v>0.46821001135668733</v>
      </c>
    </row>
    <row r="415" spans="1:7">
      <c r="A415" t="s">
        <v>225</v>
      </c>
      <c r="B415">
        <v>14</v>
      </c>
      <c r="C415" t="s">
        <v>689</v>
      </c>
      <c r="D415">
        <v>8</v>
      </c>
      <c r="E415">
        <v>57235</v>
      </c>
      <c r="F415">
        <v>26811</v>
      </c>
      <c r="G415" s="4">
        <f t="shared" si="6"/>
        <v>0.46843714510352058</v>
      </c>
    </row>
    <row r="416" spans="1:7">
      <c r="A416" t="s">
        <v>225</v>
      </c>
      <c r="B416">
        <v>14</v>
      </c>
      <c r="C416" t="s">
        <v>687</v>
      </c>
      <c r="D416">
        <v>9</v>
      </c>
      <c r="E416">
        <v>57235</v>
      </c>
      <c r="F416">
        <v>26939</v>
      </c>
      <c r="G416" s="4">
        <f t="shared" si="6"/>
        <v>0.47067353891849395</v>
      </c>
    </row>
    <row r="417" spans="1:7">
      <c r="A417" t="s">
        <v>225</v>
      </c>
      <c r="B417">
        <v>14</v>
      </c>
      <c r="C417" t="s">
        <v>691</v>
      </c>
      <c r="D417">
        <v>10</v>
      </c>
      <c r="E417">
        <v>57235</v>
      </c>
      <c r="F417">
        <v>44847</v>
      </c>
      <c r="G417" s="4">
        <f t="shared" si="6"/>
        <v>0.7835590110946099</v>
      </c>
    </row>
    <row r="418" spans="1:7">
      <c r="A418" t="s">
        <v>225</v>
      </c>
      <c r="B418">
        <v>14</v>
      </c>
      <c r="C418" t="s">
        <v>692</v>
      </c>
      <c r="D418">
        <v>11</v>
      </c>
      <c r="E418">
        <v>57235</v>
      </c>
      <c r="F418">
        <v>45415</v>
      </c>
      <c r="G418" s="4">
        <f t="shared" si="6"/>
        <v>0.79348300864855426</v>
      </c>
    </row>
    <row r="419" spans="1:7">
      <c r="A419" t="s">
        <v>225</v>
      </c>
      <c r="B419">
        <v>15</v>
      </c>
      <c r="C419" t="s">
        <v>179</v>
      </c>
      <c r="D419">
        <v>1</v>
      </c>
      <c r="E419">
        <v>15727</v>
      </c>
      <c r="F419">
        <v>877</v>
      </c>
      <c r="G419" s="4">
        <f t="shared" si="6"/>
        <v>5.5763972785655244E-2</v>
      </c>
    </row>
    <row r="420" spans="1:7">
      <c r="A420" t="s">
        <v>225</v>
      </c>
      <c r="B420">
        <v>15</v>
      </c>
      <c r="C420" t="s">
        <v>203</v>
      </c>
      <c r="D420">
        <v>2</v>
      </c>
      <c r="E420">
        <v>15727</v>
      </c>
      <c r="F420">
        <v>899</v>
      </c>
      <c r="G420" s="4">
        <f t="shared" si="6"/>
        <v>5.7162840974120936E-2</v>
      </c>
    </row>
    <row r="421" spans="1:7">
      <c r="A421" t="s">
        <v>225</v>
      </c>
      <c r="B421">
        <v>15</v>
      </c>
      <c r="C421" t="s">
        <v>541</v>
      </c>
      <c r="D421">
        <v>3</v>
      </c>
      <c r="E421">
        <v>15727</v>
      </c>
      <c r="F421">
        <v>948</v>
      </c>
      <c r="G421" s="4">
        <f t="shared" si="6"/>
        <v>6.0278501939339986E-2</v>
      </c>
    </row>
    <row r="422" spans="1:7">
      <c r="A422" t="s">
        <v>225</v>
      </c>
      <c r="B422">
        <v>15</v>
      </c>
      <c r="C422" t="s">
        <v>204</v>
      </c>
      <c r="D422">
        <v>4</v>
      </c>
      <c r="E422">
        <v>15727</v>
      </c>
      <c r="F422">
        <v>15990</v>
      </c>
      <c r="G422" s="4">
        <f t="shared" si="6"/>
        <v>1.0167228333439309</v>
      </c>
    </row>
    <row r="423" spans="1:7">
      <c r="A423" t="s">
        <v>225</v>
      </c>
      <c r="B423">
        <v>16</v>
      </c>
      <c r="C423" t="s">
        <v>203</v>
      </c>
      <c r="D423">
        <v>1</v>
      </c>
      <c r="E423">
        <v>29001</v>
      </c>
      <c r="F423">
        <v>977</v>
      </c>
      <c r="G423" s="4">
        <f t="shared" si="6"/>
        <v>3.3688493500224133E-2</v>
      </c>
    </row>
    <row r="424" spans="1:7">
      <c r="A424" t="s">
        <v>225</v>
      </c>
      <c r="B424">
        <v>16</v>
      </c>
      <c r="C424" t="s">
        <v>179</v>
      </c>
      <c r="D424">
        <v>2</v>
      </c>
      <c r="E424">
        <v>29001</v>
      </c>
      <c r="F424">
        <v>1062</v>
      </c>
      <c r="G424" s="4">
        <f t="shared" si="6"/>
        <v>3.661942691631323E-2</v>
      </c>
    </row>
    <row r="425" spans="1:7">
      <c r="A425" t="s">
        <v>225</v>
      </c>
      <c r="B425">
        <v>16</v>
      </c>
      <c r="C425" t="s">
        <v>541</v>
      </c>
      <c r="D425">
        <v>3</v>
      </c>
      <c r="E425">
        <v>29001</v>
      </c>
      <c r="F425">
        <v>1126</v>
      </c>
      <c r="G425" s="4">
        <f t="shared" si="6"/>
        <v>3.8826247370780317E-2</v>
      </c>
    </row>
    <row r="426" spans="1:7">
      <c r="A426" t="s">
        <v>225</v>
      </c>
      <c r="B426">
        <v>16</v>
      </c>
      <c r="C426" t="s">
        <v>204</v>
      </c>
      <c r="D426">
        <v>4</v>
      </c>
      <c r="E426">
        <v>29001</v>
      </c>
      <c r="F426">
        <v>28989</v>
      </c>
      <c r="G426" s="4">
        <f t="shared" si="6"/>
        <v>0.99958622116478746</v>
      </c>
    </row>
    <row r="427" spans="1:7">
      <c r="A427" t="s">
        <v>225</v>
      </c>
      <c r="B427">
        <v>20</v>
      </c>
      <c r="C427" t="s">
        <v>203</v>
      </c>
      <c r="D427">
        <v>1</v>
      </c>
      <c r="E427">
        <v>3297</v>
      </c>
      <c r="F427">
        <v>1790</v>
      </c>
      <c r="G427" s="4">
        <f t="shared" si="6"/>
        <v>0.5429178040643009</v>
      </c>
    </row>
    <row r="428" spans="1:7">
      <c r="A428" t="s">
        <v>225</v>
      </c>
      <c r="B428">
        <v>20</v>
      </c>
      <c r="C428" t="s">
        <v>2</v>
      </c>
      <c r="D428">
        <v>2</v>
      </c>
      <c r="E428">
        <v>3297</v>
      </c>
      <c r="F428">
        <v>1828</v>
      </c>
      <c r="G428" s="4">
        <f t="shared" si="6"/>
        <v>0.55444343342432512</v>
      </c>
    </row>
    <row r="429" spans="1:7">
      <c r="A429" t="s">
        <v>225</v>
      </c>
      <c r="B429">
        <v>21</v>
      </c>
      <c r="C429" t="s">
        <v>2</v>
      </c>
      <c r="D429">
        <v>1</v>
      </c>
      <c r="E429">
        <v>13280</v>
      </c>
      <c r="F429">
        <v>6781</v>
      </c>
      <c r="G429" s="4">
        <f t="shared" si="6"/>
        <v>0.51061746987951806</v>
      </c>
    </row>
    <row r="430" spans="1:7">
      <c r="A430" t="s">
        <v>225</v>
      </c>
      <c r="B430">
        <v>21</v>
      </c>
      <c r="C430" t="s">
        <v>203</v>
      </c>
      <c r="D430">
        <v>2</v>
      </c>
      <c r="E430">
        <v>13280</v>
      </c>
      <c r="F430">
        <v>6874</v>
      </c>
      <c r="G430" s="4">
        <f t="shared" si="6"/>
        <v>0.51762048192771082</v>
      </c>
    </row>
    <row r="431" spans="1:7">
      <c r="A431" t="s">
        <v>227</v>
      </c>
      <c r="B431">
        <v>0</v>
      </c>
      <c r="C431" t="s">
        <v>2</v>
      </c>
      <c r="D431">
        <v>1</v>
      </c>
      <c r="E431">
        <v>196</v>
      </c>
      <c r="F431">
        <v>81</v>
      </c>
      <c r="G431" s="4">
        <f t="shared" si="6"/>
        <v>0.41326530612244899</v>
      </c>
    </row>
    <row r="432" spans="1:7">
      <c r="A432" t="s">
        <v>227</v>
      </c>
      <c r="B432">
        <v>0</v>
      </c>
      <c r="C432" t="s">
        <v>0</v>
      </c>
      <c r="D432">
        <v>2</v>
      </c>
      <c r="E432">
        <v>196</v>
      </c>
      <c r="F432">
        <v>124</v>
      </c>
      <c r="G432" s="4">
        <f t="shared" si="6"/>
        <v>0.63265306122448983</v>
      </c>
    </row>
    <row r="433" spans="1:7">
      <c r="A433" t="s">
        <v>227</v>
      </c>
      <c r="B433">
        <v>0</v>
      </c>
      <c r="C433" t="s">
        <v>233</v>
      </c>
      <c r="D433">
        <v>3</v>
      </c>
      <c r="E433">
        <v>196</v>
      </c>
      <c r="F433">
        <v>137</v>
      </c>
      <c r="G433" s="4">
        <f t="shared" si="6"/>
        <v>0.69897959183673475</v>
      </c>
    </row>
    <row r="434" spans="1:7">
      <c r="A434" t="s">
        <v>227</v>
      </c>
      <c r="B434">
        <v>0</v>
      </c>
      <c r="C434" t="s">
        <v>234</v>
      </c>
      <c r="D434">
        <v>4</v>
      </c>
      <c r="E434">
        <v>196</v>
      </c>
      <c r="F434">
        <v>197</v>
      </c>
      <c r="G434" s="4">
        <f t="shared" si="6"/>
        <v>1.0051020408163265</v>
      </c>
    </row>
    <row r="435" spans="1:7">
      <c r="A435" t="s">
        <v>227</v>
      </c>
      <c r="B435">
        <v>1</v>
      </c>
      <c r="C435" t="s">
        <v>544</v>
      </c>
      <c r="D435">
        <v>1</v>
      </c>
      <c r="E435">
        <v>8620</v>
      </c>
      <c r="F435">
        <v>706</v>
      </c>
      <c r="G435" s="4">
        <f t="shared" si="6"/>
        <v>8.1902552204176332E-2</v>
      </c>
    </row>
    <row r="436" spans="1:7">
      <c r="A436" t="s">
        <v>227</v>
      </c>
      <c r="B436">
        <v>1</v>
      </c>
      <c r="C436" t="s">
        <v>2</v>
      </c>
      <c r="D436">
        <v>2</v>
      </c>
      <c r="E436">
        <v>8620</v>
      </c>
      <c r="F436">
        <v>1729</v>
      </c>
      <c r="G436" s="4">
        <f t="shared" si="6"/>
        <v>0.2005800464037123</v>
      </c>
    </row>
    <row r="437" spans="1:7">
      <c r="A437" t="s">
        <v>227</v>
      </c>
      <c r="B437">
        <v>1</v>
      </c>
      <c r="C437" t="s">
        <v>545</v>
      </c>
      <c r="D437">
        <v>3</v>
      </c>
      <c r="E437">
        <v>8620</v>
      </c>
      <c r="F437">
        <v>2502</v>
      </c>
      <c r="G437" s="4">
        <f t="shared" si="6"/>
        <v>0.29025522041763341</v>
      </c>
    </row>
    <row r="438" spans="1:7">
      <c r="A438" t="s">
        <v>227</v>
      </c>
      <c r="B438">
        <v>1</v>
      </c>
      <c r="C438" t="s">
        <v>546</v>
      </c>
      <c r="D438">
        <v>4</v>
      </c>
      <c r="E438">
        <v>8620</v>
      </c>
      <c r="F438">
        <v>5216</v>
      </c>
      <c r="G438" s="4">
        <f t="shared" si="6"/>
        <v>0.60510440835266821</v>
      </c>
    </row>
    <row r="439" spans="1:7">
      <c r="A439" t="s">
        <v>228</v>
      </c>
      <c r="B439">
        <v>1</v>
      </c>
      <c r="C439" t="s">
        <v>206</v>
      </c>
      <c r="D439">
        <v>1</v>
      </c>
      <c r="E439">
        <v>3606</v>
      </c>
      <c r="F439">
        <v>477</v>
      </c>
      <c r="G439" s="4">
        <f t="shared" si="6"/>
        <v>0.13227953410981697</v>
      </c>
    </row>
    <row r="440" spans="1:7">
      <c r="A440" t="s">
        <v>228</v>
      </c>
      <c r="B440">
        <v>1</v>
      </c>
      <c r="C440" t="s">
        <v>547</v>
      </c>
      <c r="D440">
        <v>2</v>
      </c>
      <c r="E440">
        <v>3606</v>
      </c>
      <c r="F440">
        <v>488</v>
      </c>
      <c r="G440" s="4">
        <f t="shared" si="6"/>
        <v>0.13533000554631169</v>
      </c>
    </row>
    <row r="441" spans="1:7">
      <c r="A441" t="s">
        <v>228</v>
      </c>
      <c r="B441">
        <v>1</v>
      </c>
      <c r="C441" t="s">
        <v>491</v>
      </c>
      <c r="D441">
        <v>3</v>
      </c>
      <c r="E441">
        <v>3606</v>
      </c>
      <c r="F441">
        <v>872</v>
      </c>
      <c r="G441" s="4">
        <f t="shared" si="6"/>
        <v>0.24181919023849141</v>
      </c>
    </row>
    <row r="442" spans="1:7">
      <c r="A442" t="s">
        <v>228</v>
      </c>
      <c r="B442">
        <v>1</v>
      </c>
      <c r="C442" t="s">
        <v>548</v>
      </c>
      <c r="D442">
        <v>4</v>
      </c>
      <c r="E442">
        <v>3606</v>
      </c>
      <c r="F442">
        <v>884</v>
      </c>
      <c r="G442" s="4">
        <f t="shared" si="6"/>
        <v>0.24514697726012202</v>
      </c>
    </row>
    <row r="443" spans="1:7">
      <c r="A443" t="s">
        <v>228</v>
      </c>
      <c r="B443">
        <v>1</v>
      </c>
      <c r="C443" t="s">
        <v>549</v>
      </c>
      <c r="D443">
        <v>5</v>
      </c>
      <c r="E443">
        <v>3606</v>
      </c>
      <c r="F443">
        <v>912</v>
      </c>
      <c r="G443" s="4">
        <f t="shared" si="6"/>
        <v>0.25291181364392679</v>
      </c>
    </row>
    <row r="444" spans="1:7">
      <c r="A444" t="s">
        <v>228</v>
      </c>
      <c r="B444">
        <v>1</v>
      </c>
      <c r="C444" t="s">
        <v>550</v>
      </c>
      <c r="D444">
        <v>6</v>
      </c>
      <c r="E444">
        <v>3606</v>
      </c>
      <c r="F444">
        <v>932</v>
      </c>
      <c r="G444" s="4">
        <f t="shared" si="6"/>
        <v>0.25845812534664447</v>
      </c>
    </row>
    <row r="445" spans="1:7">
      <c r="A445" t="s">
        <v>228</v>
      </c>
      <c r="B445">
        <v>1</v>
      </c>
      <c r="C445" t="s">
        <v>204</v>
      </c>
      <c r="D445">
        <v>7</v>
      </c>
      <c r="E445">
        <v>3606</v>
      </c>
      <c r="F445">
        <v>953</v>
      </c>
      <c r="G445" s="4">
        <f t="shared" si="6"/>
        <v>0.26428175263449805</v>
      </c>
    </row>
    <row r="446" spans="1:7">
      <c r="A446" t="s">
        <v>228</v>
      </c>
      <c r="B446">
        <v>1</v>
      </c>
      <c r="C446" t="s">
        <v>541</v>
      </c>
      <c r="D446">
        <v>8</v>
      </c>
      <c r="E446">
        <v>3606</v>
      </c>
      <c r="F446">
        <v>1092</v>
      </c>
      <c r="G446" s="4">
        <f t="shared" si="6"/>
        <v>0.30282861896838603</v>
      </c>
    </row>
    <row r="447" spans="1:7">
      <c r="A447" t="s">
        <v>230</v>
      </c>
      <c r="B447">
        <v>1</v>
      </c>
      <c r="C447" t="s">
        <v>2</v>
      </c>
      <c r="D447">
        <v>1</v>
      </c>
      <c r="E447">
        <v>27598</v>
      </c>
      <c r="F447">
        <v>5943</v>
      </c>
      <c r="G447" s="4">
        <f t="shared" si="6"/>
        <v>0.21534169142691501</v>
      </c>
    </row>
    <row r="448" spans="1:7">
      <c r="A448" t="s">
        <v>230</v>
      </c>
      <c r="B448">
        <v>1</v>
      </c>
      <c r="C448" t="s">
        <v>445</v>
      </c>
      <c r="D448">
        <v>2</v>
      </c>
      <c r="E448">
        <v>27598</v>
      </c>
      <c r="F448">
        <v>6383</v>
      </c>
      <c r="G448" s="4">
        <f t="shared" si="6"/>
        <v>0.23128487571563155</v>
      </c>
    </row>
    <row r="449" spans="1:7">
      <c r="A449" t="s">
        <v>230</v>
      </c>
      <c r="B449">
        <v>1</v>
      </c>
      <c r="C449" t="s">
        <v>552</v>
      </c>
      <c r="D449">
        <v>3</v>
      </c>
      <c r="E449">
        <v>27598</v>
      </c>
      <c r="F449">
        <v>7119</v>
      </c>
      <c r="G449" s="4">
        <f t="shared" si="6"/>
        <v>0.25795347488948472</v>
      </c>
    </row>
    <row r="450" spans="1:7">
      <c r="A450" t="s">
        <v>230</v>
      </c>
      <c r="B450">
        <v>1</v>
      </c>
      <c r="C450" t="s">
        <v>551</v>
      </c>
      <c r="D450">
        <v>4</v>
      </c>
      <c r="E450">
        <v>27598</v>
      </c>
      <c r="F450">
        <v>7448</v>
      </c>
      <c r="G450" s="4">
        <f t="shared" ref="G450:G513" si="7">F450/E450</f>
        <v>0.26987462859627509</v>
      </c>
    </row>
    <row r="451" spans="1:7">
      <c r="A451" t="s">
        <v>230</v>
      </c>
      <c r="B451">
        <v>1</v>
      </c>
      <c r="C451" t="s">
        <v>553</v>
      </c>
      <c r="D451">
        <v>5</v>
      </c>
      <c r="E451">
        <v>27598</v>
      </c>
      <c r="F451">
        <v>7672</v>
      </c>
      <c r="G451" s="4">
        <f t="shared" si="7"/>
        <v>0.27799115877962172</v>
      </c>
    </row>
    <row r="452" spans="1:7">
      <c r="A452" t="s">
        <v>231</v>
      </c>
      <c r="B452">
        <v>5</v>
      </c>
      <c r="C452" t="s">
        <v>554</v>
      </c>
      <c r="D452">
        <v>1</v>
      </c>
      <c r="E452">
        <v>26079</v>
      </c>
      <c r="F452">
        <v>5139</v>
      </c>
      <c r="G452" s="4">
        <f t="shared" si="7"/>
        <v>0.19705510180605085</v>
      </c>
    </row>
    <row r="453" spans="1:7">
      <c r="A453" t="s">
        <v>231</v>
      </c>
      <c r="B453">
        <v>5</v>
      </c>
      <c r="C453" t="s">
        <v>2</v>
      </c>
      <c r="D453">
        <v>2</v>
      </c>
      <c r="E453">
        <v>26079</v>
      </c>
      <c r="F453">
        <v>5255</v>
      </c>
      <c r="G453" s="4">
        <f t="shared" si="7"/>
        <v>0.20150312511982821</v>
      </c>
    </row>
    <row r="454" spans="1:7">
      <c r="A454" t="s">
        <v>231</v>
      </c>
      <c r="B454">
        <v>5</v>
      </c>
      <c r="C454" t="s">
        <v>545</v>
      </c>
      <c r="D454">
        <v>3</v>
      </c>
      <c r="E454">
        <v>26079</v>
      </c>
      <c r="F454">
        <v>9459</v>
      </c>
      <c r="G454" s="4">
        <f t="shared" si="7"/>
        <v>0.36270562521569077</v>
      </c>
    </row>
    <row r="455" spans="1:7">
      <c r="A455" t="s">
        <v>231</v>
      </c>
      <c r="B455">
        <v>5</v>
      </c>
      <c r="C455" t="s">
        <v>555</v>
      </c>
      <c r="D455">
        <v>4</v>
      </c>
      <c r="E455">
        <v>26079</v>
      </c>
      <c r="F455">
        <v>12411</v>
      </c>
      <c r="G455" s="4">
        <f t="shared" si="7"/>
        <v>0.47590014954561138</v>
      </c>
    </row>
    <row r="456" spans="1:7">
      <c r="A456" t="s">
        <v>231</v>
      </c>
      <c r="B456">
        <v>5</v>
      </c>
      <c r="C456" t="s">
        <v>556</v>
      </c>
      <c r="D456">
        <v>5</v>
      </c>
      <c r="E456">
        <v>26079</v>
      </c>
      <c r="F456">
        <v>17496</v>
      </c>
      <c r="G456" s="4">
        <f t="shared" si="7"/>
        <v>0.67088461980904179</v>
      </c>
    </row>
    <row r="457" spans="1:7">
      <c r="A457" t="s">
        <v>231</v>
      </c>
      <c r="B457">
        <v>7</v>
      </c>
      <c r="C457" t="s">
        <v>1</v>
      </c>
      <c r="D457">
        <v>1</v>
      </c>
      <c r="E457">
        <v>834</v>
      </c>
      <c r="F457">
        <v>248</v>
      </c>
      <c r="G457" s="4">
        <f t="shared" si="7"/>
        <v>0.29736211031175058</v>
      </c>
    </row>
    <row r="458" spans="1:7">
      <c r="A458" t="s">
        <v>231</v>
      </c>
      <c r="B458">
        <v>7</v>
      </c>
      <c r="C458" t="s">
        <v>2</v>
      </c>
      <c r="D458">
        <v>2</v>
      </c>
      <c r="E458">
        <v>834</v>
      </c>
      <c r="F458">
        <v>451</v>
      </c>
      <c r="G458" s="4">
        <f t="shared" si="7"/>
        <v>0.54076738609112707</v>
      </c>
    </row>
    <row r="459" spans="1:7">
      <c r="A459" t="s">
        <v>231</v>
      </c>
      <c r="B459">
        <v>7</v>
      </c>
      <c r="C459" t="s">
        <v>0</v>
      </c>
      <c r="D459">
        <v>3</v>
      </c>
      <c r="E459">
        <v>834</v>
      </c>
      <c r="F459">
        <v>717</v>
      </c>
      <c r="G459" s="4">
        <f t="shared" si="7"/>
        <v>0.85971223021582732</v>
      </c>
    </row>
    <row r="460" spans="1:7">
      <c r="A460" t="s">
        <v>231</v>
      </c>
      <c r="B460">
        <v>9</v>
      </c>
      <c r="C460" t="s">
        <v>557</v>
      </c>
      <c r="D460">
        <v>1</v>
      </c>
      <c r="E460">
        <v>875</v>
      </c>
      <c r="F460">
        <v>216</v>
      </c>
      <c r="G460" s="4">
        <f t="shared" si="7"/>
        <v>0.24685714285714286</v>
      </c>
    </row>
    <row r="461" spans="1:7">
      <c r="A461" t="s">
        <v>231</v>
      </c>
      <c r="B461">
        <v>9</v>
      </c>
      <c r="C461" t="s">
        <v>559</v>
      </c>
      <c r="D461">
        <v>2</v>
      </c>
      <c r="E461">
        <v>875</v>
      </c>
      <c r="F461">
        <v>227</v>
      </c>
      <c r="G461" s="4">
        <f t="shared" si="7"/>
        <v>0.25942857142857145</v>
      </c>
    </row>
    <row r="462" spans="1:7">
      <c r="A462" t="s">
        <v>231</v>
      </c>
      <c r="B462">
        <v>9</v>
      </c>
      <c r="C462" t="s">
        <v>558</v>
      </c>
      <c r="D462">
        <v>3</v>
      </c>
      <c r="E462">
        <v>875</v>
      </c>
      <c r="F462">
        <v>233</v>
      </c>
      <c r="G462" s="4">
        <f t="shared" si="7"/>
        <v>0.26628571428571429</v>
      </c>
    </row>
    <row r="463" spans="1:7">
      <c r="A463" t="s">
        <v>231</v>
      </c>
      <c r="B463">
        <v>9</v>
      </c>
      <c r="C463" t="s">
        <v>560</v>
      </c>
      <c r="D463">
        <v>4</v>
      </c>
      <c r="E463">
        <v>875</v>
      </c>
      <c r="F463">
        <v>256</v>
      </c>
      <c r="G463" s="4">
        <f t="shared" si="7"/>
        <v>0.29257142857142859</v>
      </c>
    </row>
    <row r="464" spans="1:7">
      <c r="A464" t="s">
        <v>231</v>
      </c>
      <c r="B464">
        <v>9</v>
      </c>
      <c r="C464" t="s">
        <v>561</v>
      </c>
      <c r="D464">
        <v>5</v>
      </c>
      <c r="E464">
        <v>875</v>
      </c>
      <c r="F464">
        <v>273</v>
      </c>
      <c r="G464" s="4">
        <f t="shared" si="7"/>
        <v>0.312</v>
      </c>
    </row>
    <row r="465" spans="1:7">
      <c r="A465" t="s">
        <v>231</v>
      </c>
      <c r="B465">
        <v>9</v>
      </c>
      <c r="C465" t="s">
        <v>563</v>
      </c>
      <c r="D465">
        <v>6</v>
      </c>
      <c r="E465">
        <v>875</v>
      </c>
      <c r="F465">
        <v>281</v>
      </c>
      <c r="G465" s="4">
        <f t="shared" si="7"/>
        <v>0.32114285714285712</v>
      </c>
    </row>
    <row r="466" spans="1:7">
      <c r="A466" t="s">
        <v>231</v>
      </c>
      <c r="B466">
        <v>9</v>
      </c>
      <c r="C466" t="s">
        <v>565</v>
      </c>
      <c r="D466">
        <v>7</v>
      </c>
      <c r="E466">
        <v>875</v>
      </c>
      <c r="F466">
        <v>282</v>
      </c>
      <c r="G466" s="4">
        <f t="shared" si="7"/>
        <v>0.32228571428571429</v>
      </c>
    </row>
    <row r="467" spans="1:7">
      <c r="A467" t="s">
        <v>231</v>
      </c>
      <c r="B467">
        <v>9</v>
      </c>
      <c r="C467" t="s">
        <v>566</v>
      </c>
      <c r="D467">
        <v>8</v>
      </c>
      <c r="E467">
        <v>875</v>
      </c>
      <c r="F467">
        <v>289</v>
      </c>
      <c r="G467" s="4">
        <f t="shared" si="7"/>
        <v>0.33028571428571429</v>
      </c>
    </row>
    <row r="468" spans="1:7">
      <c r="A468" t="s">
        <v>231</v>
      </c>
      <c r="B468">
        <v>9</v>
      </c>
      <c r="C468" t="s">
        <v>205</v>
      </c>
      <c r="D468">
        <v>9</v>
      </c>
      <c r="E468">
        <v>875</v>
      </c>
      <c r="F468">
        <v>292</v>
      </c>
      <c r="G468" s="4">
        <f t="shared" si="7"/>
        <v>0.33371428571428574</v>
      </c>
    </row>
    <row r="469" spans="1:7">
      <c r="A469" t="s">
        <v>231</v>
      </c>
      <c r="B469">
        <v>9</v>
      </c>
      <c r="C469" t="s">
        <v>562</v>
      </c>
      <c r="D469">
        <v>10</v>
      </c>
      <c r="E469">
        <v>875</v>
      </c>
      <c r="F469">
        <v>293</v>
      </c>
      <c r="G469" s="4">
        <f t="shared" si="7"/>
        <v>0.33485714285714285</v>
      </c>
    </row>
    <row r="470" spans="1:7">
      <c r="A470" t="s">
        <v>231</v>
      </c>
      <c r="B470">
        <v>9</v>
      </c>
      <c r="C470" t="s">
        <v>564</v>
      </c>
      <c r="D470">
        <v>11</v>
      </c>
      <c r="E470">
        <v>875</v>
      </c>
      <c r="F470">
        <v>296</v>
      </c>
      <c r="G470" s="4">
        <f t="shared" si="7"/>
        <v>0.3382857142857143</v>
      </c>
    </row>
    <row r="471" spans="1:7">
      <c r="A471" t="s">
        <v>231</v>
      </c>
      <c r="B471">
        <v>9</v>
      </c>
      <c r="C471" t="s">
        <v>567</v>
      </c>
      <c r="D471">
        <v>12</v>
      </c>
      <c r="E471">
        <v>875</v>
      </c>
      <c r="F471">
        <v>347</v>
      </c>
      <c r="G471" s="4">
        <f t="shared" si="7"/>
        <v>0.39657142857142857</v>
      </c>
    </row>
    <row r="472" spans="1:7">
      <c r="A472" t="s">
        <v>231</v>
      </c>
      <c r="B472">
        <v>9</v>
      </c>
      <c r="C472" t="s">
        <v>568</v>
      </c>
      <c r="D472">
        <v>13</v>
      </c>
      <c r="E472">
        <v>875</v>
      </c>
      <c r="F472">
        <v>348</v>
      </c>
      <c r="G472" s="4">
        <f t="shared" si="7"/>
        <v>0.39771428571428569</v>
      </c>
    </row>
    <row r="473" spans="1:7">
      <c r="A473" t="s">
        <v>231</v>
      </c>
      <c r="B473">
        <v>9</v>
      </c>
      <c r="C473" t="s">
        <v>569</v>
      </c>
      <c r="D473">
        <v>14</v>
      </c>
      <c r="E473">
        <v>875</v>
      </c>
      <c r="F473">
        <v>397</v>
      </c>
      <c r="G473" s="4">
        <f t="shared" si="7"/>
        <v>0.45371428571428574</v>
      </c>
    </row>
    <row r="474" spans="1:7">
      <c r="A474" t="s">
        <v>231</v>
      </c>
      <c r="B474">
        <v>9</v>
      </c>
      <c r="C474" t="s">
        <v>571</v>
      </c>
      <c r="D474">
        <v>15</v>
      </c>
      <c r="E474">
        <v>875</v>
      </c>
      <c r="F474">
        <v>571</v>
      </c>
      <c r="G474" s="4">
        <f t="shared" si="7"/>
        <v>0.65257142857142858</v>
      </c>
    </row>
    <row r="475" spans="1:7">
      <c r="A475" t="s">
        <v>231</v>
      </c>
      <c r="B475">
        <v>9</v>
      </c>
      <c r="C475" t="s">
        <v>570</v>
      </c>
      <c r="D475">
        <v>16</v>
      </c>
      <c r="E475">
        <v>875</v>
      </c>
      <c r="F475">
        <v>574</v>
      </c>
      <c r="G475" s="4">
        <f t="shared" si="7"/>
        <v>0.65600000000000003</v>
      </c>
    </row>
    <row r="476" spans="1:7">
      <c r="A476" t="s">
        <v>231</v>
      </c>
      <c r="B476">
        <v>9</v>
      </c>
      <c r="C476" t="s">
        <v>572</v>
      </c>
      <c r="D476">
        <v>17</v>
      </c>
      <c r="E476">
        <v>875</v>
      </c>
      <c r="F476">
        <v>625</v>
      </c>
      <c r="G476" s="4">
        <f t="shared" si="7"/>
        <v>0.7142857142857143</v>
      </c>
    </row>
    <row r="477" spans="1:7">
      <c r="A477" t="s">
        <v>231</v>
      </c>
      <c r="B477">
        <v>9</v>
      </c>
      <c r="C477" t="s">
        <v>573</v>
      </c>
      <c r="D477">
        <v>18</v>
      </c>
      <c r="E477">
        <v>875</v>
      </c>
      <c r="F477">
        <v>631</v>
      </c>
      <c r="G477" s="4">
        <f t="shared" si="7"/>
        <v>0.7211428571428572</v>
      </c>
    </row>
    <row r="478" spans="1:7">
      <c r="A478" t="s">
        <v>231</v>
      </c>
      <c r="B478">
        <v>10</v>
      </c>
      <c r="C478" t="s">
        <v>1</v>
      </c>
      <c r="D478">
        <v>1</v>
      </c>
      <c r="E478">
        <v>1036</v>
      </c>
      <c r="F478">
        <v>979</v>
      </c>
      <c r="G478" s="4">
        <f t="shared" si="7"/>
        <v>0.94498069498069504</v>
      </c>
    </row>
    <row r="479" spans="1:7">
      <c r="A479" t="s">
        <v>231</v>
      </c>
      <c r="B479">
        <v>10</v>
      </c>
      <c r="C479" t="s">
        <v>179</v>
      </c>
      <c r="D479">
        <v>2</v>
      </c>
      <c r="E479">
        <v>1036</v>
      </c>
      <c r="F479">
        <v>995</v>
      </c>
      <c r="G479" s="4">
        <f t="shared" si="7"/>
        <v>0.96042471042471045</v>
      </c>
    </row>
    <row r="480" spans="1:7">
      <c r="A480" t="s">
        <v>231</v>
      </c>
      <c r="B480">
        <v>10</v>
      </c>
      <c r="C480" t="s">
        <v>180</v>
      </c>
      <c r="D480">
        <v>3</v>
      </c>
      <c r="E480">
        <v>1036</v>
      </c>
      <c r="F480">
        <v>1000</v>
      </c>
      <c r="G480" s="4">
        <f t="shared" si="7"/>
        <v>0.96525096525096521</v>
      </c>
    </row>
    <row r="481" spans="1:7">
      <c r="A481" t="s">
        <v>231</v>
      </c>
      <c r="B481">
        <v>10</v>
      </c>
      <c r="C481" t="s">
        <v>0</v>
      </c>
      <c r="D481">
        <v>4</v>
      </c>
      <c r="E481">
        <v>1036</v>
      </c>
      <c r="F481">
        <v>1006</v>
      </c>
      <c r="G481" s="4">
        <f t="shared" si="7"/>
        <v>0.97104247104247099</v>
      </c>
    </row>
    <row r="482" spans="1:7">
      <c r="A482" t="s">
        <v>231</v>
      </c>
      <c r="B482">
        <v>11</v>
      </c>
      <c r="C482" t="s">
        <v>542</v>
      </c>
      <c r="D482">
        <v>1</v>
      </c>
      <c r="E482">
        <v>1869</v>
      </c>
      <c r="F482">
        <v>201</v>
      </c>
      <c r="G482" s="4">
        <f t="shared" si="7"/>
        <v>0.10754414125200643</v>
      </c>
    </row>
    <row r="483" spans="1:7">
      <c r="A483" t="s">
        <v>231</v>
      </c>
      <c r="B483">
        <v>11</v>
      </c>
      <c r="C483" t="s">
        <v>574</v>
      </c>
      <c r="D483">
        <v>2</v>
      </c>
      <c r="E483">
        <v>1869</v>
      </c>
      <c r="F483">
        <v>820</v>
      </c>
      <c r="G483" s="4">
        <f t="shared" si="7"/>
        <v>0.43873729266987693</v>
      </c>
    </row>
    <row r="484" spans="1:7">
      <c r="A484" t="s">
        <v>231</v>
      </c>
      <c r="B484">
        <v>11</v>
      </c>
      <c r="C484" t="s">
        <v>575</v>
      </c>
      <c r="D484">
        <v>3</v>
      </c>
      <c r="E484">
        <v>1869</v>
      </c>
      <c r="F484">
        <v>825</v>
      </c>
      <c r="G484" s="4">
        <f t="shared" si="7"/>
        <v>0.44141252006420545</v>
      </c>
    </row>
    <row r="485" spans="1:7">
      <c r="A485" t="s">
        <v>231</v>
      </c>
      <c r="B485">
        <v>11</v>
      </c>
      <c r="C485" t="s">
        <v>576</v>
      </c>
      <c r="D485">
        <v>4</v>
      </c>
      <c r="E485">
        <v>1869</v>
      </c>
      <c r="F485">
        <v>845</v>
      </c>
      <c r="G485" s="4">
        <f t="shared" si="7"/>
        <v>0.45211342964151952</v>
      </c>
    </row>
    <row r="486" spans="1:7">
      <c r="A486" t="s">
        <v>231</v>
      </c>
      <c r="B486">
        <v>11</v>
      </c>
      <c r="C486" t="s">
        <v>577</v>
      </c>
      <c r="D486">
        <v>5</v>
      </c>
      <c r="E486">
        <v>1869</v>
      </c>
      <c r="F486">
        <v>861</v>
      </c>
      <c r="G486" s="4">
        <f t="shared" si="7"/>
        <v>0.4606741573033708</v>
      </c>
    </row>
    <row r="487" spans="1:7">
      <c r="A487" t="s">
        <v>231</v>
      </c>
      <c r="B487">
        <v>11</v>
      </c>
      <c r="C487" t="s">
        <v>543</v>
      </c>
      <c r="D487">
        <v>6</v>
      </c>
      <c r="E487">
        <v>1869</v>
      </c>
      <c r="F487">
        <v>884</v>
      </c>
      <c r="G487" s="4">
        <f t="shared" si="7"/>
        <v>0.47298020331728197</v>
      </c>
    </row>
    <row r="488" spans="1:7">
      <c r="A488" t="s">
        <v>231</v>
      </c>
      <c r="B488">
        <v>11</v>
      </c>
      <c r="C488" t="s">
        <v>578</v>
      </c>
      <c r="D488">
        <v>7</v>
      </c>
      <c r="E488">
        <v>1869</v>
      </c>
      <c r="F488">
        <v>897</v>
      </c>
      <c r="G488" s="4">
        <f t="shared" si="7"/>
        <v>0.4799357945425361</v>
      </c>
    </row>
    <row r="489" spans="1:7">
      <c r="A489" t="s">
        <v>231</v>
      </c>
      <c r="B489">
        <v>11</v>
      </c>
      <c r="C489" t="s">
        <v>579</v>
      </c>
      <c r="D489">
        <v>8</v>
      </c>
      <c r="E489">
        <v>1869</v>
      </c>
      <c r="F489">
        <v>1001</v>
      </c>
      <c r="G489" s="4">
        <f t="shared" si="7"/>
        <v>0.53558052434456926</v>
      </c>
    </row>
    <row r="490" spans="1:7">
      <c r="A490" t="s">
        <v>231</v>
      </c>
      <c r="B490">
        <v>11</v>
      </c>
      <c r="C490" t="s">
        <v>580</v>
      </c>
      <c r="D490">
        <v>9</v>
      </c>
      <c r="E490">
        <v>1869</v>
      </c>
      <c r="F490">
        <v>1010</v>
      </c>
      <c r="G490" s="4">
        <f t="shared" si="7"/>
        <v>0.54039593365436067</v>
      </c>
    </row>
    <row r="491" spans="1:7">
      <c r="A491" t="s">
        <v>231</v>
      </c>
      <c r="B491">
        <v>11</v>
      </c>
      <c r="C491" t="s">
        <v>581</v>
      </c>
      <c r="D491">
        <v>10</v>
      </c>
      <c r="E491">
        <v>1869</v>
      </c>
      <c r="F491">
        <v>1034</v>
      </c>
      <c r="G491" s="4">
        <f t="shared" si="7"/>
        <v>0.55323702514713746</v>
      </c>
    </row>
    <row r="492" spans="1:7">
      <c r="A492" t="s">
        <v>231</v>
      </c>
      <c r="B492">
        <v>11</v>
      </c>
      <c r="C492" t="s">
        <v>583</v>
      </c>
      <c r="D492">
        <v>11</v>
      </c>
      <c r="E492">
        <v>1869</v>
      </c>
      <c r="F492">
        <v>1039</v>
      </c>
      <c r="G492" s="4">
        <f t="shared" si="7"/>
        <v>0.55591225254146603</v>
      </c>
    </row>
    <row r="493" spans="1:7">
      <c r="A493" t="s">
        <v>231</v>
      </c>
      <c r="B493">
        <v>11</v>
      </c>
      <c r="C493" t="s">
        <v>582</v>
      </c>
      <c r="D493">
        <v>12</v>
      </c>
      <c r="E493">
        <v>1869</v>
      </c>
      <c r="F493">
        <v>1051</v>
      </c>
      <c r="G493" s="4">
        <f t="shared" si="7"/>
        <v>0.56233279828785443</v>
      </c>
    </row>
    <row r="494" spans="1:7">
      <c r="A494" t="s">
        <v>231</v>
      </c>
      <c r="B494">
        <v>11</v>
      </c>
      <c r="C494" t="s">
        <v>586</v>
      </c>
      <c r="D494">
        <v>13</v>
      </c>
      <c r="E494">
        <v>1869</v>
      </c>
      <c r="F494">
        <v>1054</v>
      </c>
      <c r="G494" s="4">
        <f t="shared" si="7"/>
        <v>0.56393793472445153</v>
      </c>
    </row>
    <row r="495" spans="1:7">
      <c r="A495" t="s">
        <v>231</v>
      </c>
      <c r="B495">
        <v>11</v>
      </c>
      <c r="C495" t="s">
        <v>585</v>
      </c>
      <c r="D495">
        <v>14</v>
      </c>
      <c r="E495">
        <v>1869</v>
      </c>
      <c r="F495">
        <v>1055</v>
      </c>
      <c r="G495" s="4">
        <f t="shared" si="7"/>
        <v>0.56447298020331726</v>
      </c>
    </row>
    <row r="496" spans="1:7">
      <c r="A496" t="s">
        <v>231</v>
      </c>
      <c r="B496">
        <v>11</v>
      </c>
      <c r="C496" t="s">
        <v>584</v>
      </c>
      <c r="D496">
        <v>15</v>
      </c>
      <c r="E496">
        <v>1869</v>
      </c>
      <c r="F496">
        <v>1079</v>
      </c>
      <c r="G496" s="4">
        <f t="shared" si="7"/>
        <v>0.57731407169609417</v>
      </c>
    </row>
    <row r="497" spans="1:7">
      <c r="A497" t="s">
        <v>231</v>
      </c>
      <c r="B497">
        <v>11</v>
      </c>
      <c r="C497" t="s">
        <v>589</v>
      </c>
      <c r="D497">
        <v>16</v>
      </c>
      <c r="E497">
        <v>1869</v>
      </c>
      <c r="F497">
        <v>1096</v>
      </c>
      <c r="G497" s="4">
        <f t="shared" si="7"/>
        <v>0.58640984483681113</v>
      </c>
    </row>
    <row r="498" spans="1:7">
      <c r="A498" t="s">
        <v>231</v>
      </c>
      <c r="B498">
        <v>11</v>
      </c>
      <c r="C498" t="s">
        <v>590</v>
      </c>
      <c r="D498">
        <v>17</v>
      </c>
      <c r="E498">
        <v>1869</v>
      </c>
      <c r="F498">
        <v>1102</v>
      </c>
      <c r="G498" s="4">
        <f t="shared" si="7"/>
        <v>0.58962011771000533</v>
      </c>
    </row>
    <row r="499" spans="1:7">
      <c r="A499" t="s">
        <v>231</v>
      </c>
      <c r="B499">
        <v>11</v>
      </c>
      <c r="C499" t="s">
        <v>587</v>
      </c>
      <c r="D499">
        <v>18</v>
      </c>
      <c r="E499">
        <v>1869</v>
      </c>
      <c r="F499">
        <v>1103</v>
      </c>
      <c r="G499" s="4">
        <f t="shared" si="7"/>
        <v>0.59015516318887107</v>
      </c>
    </row>
    <row r="500" spans="1:7">
      <c r="A500" t="s">
        <v>231</v>
      </c>
      <c r="B500">
        <v>11</v>
      </c>
      <c r="C500" t="s">
        <v>588</v>
      </c>
      <c r="D500">
        <v>19</v>
      </c>
      <c r="E500">
        <v>1869</v>
      </c>
      <c r="F500">
        <v>1106</v>
      </c>
      <c r="G500" s="4">
        <f t="shared" si="7"/>
        <v>0.59176029962546817</v>
      </c>
    </row>
    <row r="501" spans="1:7">
      <c r="A501" t="s">
        <v>231</v>
      </c>
      <c r="B501">
        <v>12</v>
      </c>
      <c r="C501" t="s">
        <v>591</v>
      </c>
      <c r="D501">
        <v>1</v>
      </c>
      <c r="E501">
        <v>1067</v>
      </c>
      <c r="F501">
        <v>196</v>
      </c>
      <c r="G501" s="4">
        <f t="shared" si="7"/>
        <v>0.18369259606373009</v>
      </c>
    </row>
    <row r="502" spans="1:7">
      <c r="A502" t="s">
        <v>231</v>
      </c>
      <c r="B502">
        <v>12</v>
      </c>
      <c r="C502" t="s">
        <v>593</v>
      </c>
      <c r="D502">
        <v>2</v>
      </c>
      <c r="E502">
        <v>1067</v>
      </c>
      <c r="F502">
        <v>611</v>
      </c>
      <c r="G502" s="4">
        <f t="shared" si="7"/>
        <v>0.57263355201499533</v>
      </c>
    </row>
    <row r="503" spans="1:7">
      <c r="A503" t="s">
        <v>231</v>
      </c>
      <c r="B503">
        <v>12</v>
      </c>
      <c r="C503" t="s">
        <v>592</v>
      </c>
      <c r="D503">
        <v>3</v>
      </c>
      <c r="E503">
        <v>1067</v>
      </c>
      <c r="F503">
        <v>619</v>
      </c>
      <c r="G503" s="4">
        <f t="shared" si="7"/>
        <v>0.5801312089971884</v>
      </c>
    </row>
    <row r="504" spans="1:7">
      <c r="A504" t="s">
        <v>231</v>
      </c>
      <c r="B504">
        <v>12</v>
      </c>
      <c r="C504" t="s">
        <v>558</v>
      </c>
      <c r="D504">
        <v>4</v>
      </c>
      <c r="E504">
        <v>1067</v>
      </c>
      <c r="F504">
        <v>659</v>
      </c>
      <c r="G504" s="4">
        <f t="shared" si="7"/>
        <v>0.61761949390815374</v>
      </c>
    </row>
    <row r="505" spans="1:7">
      <c r="A505" t="s">
        <v>231</v>
      </c>
      <c r="B505">
        <v>12</v>
      </c>
      <c r="C505" t="s">
        <v>594</v>
      </c>
      <c r="D505">
        <v>5</v>
      </c>
      <c r="E505">
        <v>1067</v>
      </c>
      <c r="F505">
        <v>669</v>
      </c>
      <c r="G505" s="4">
        <f t="shared" si="7"/>
        <v>0.62699156513589505</v>
      </c>
    </row>
    <row r="506" spans="1:7">
      <c r="A506" t="s">
        <v>231</v>
      </c>
      <c r="B506">
        <v>12</v>
      </c>
      <c r="C506" t="s">
        <v>595</v>
      </c>
      <c r="D506">
        <v>6</v>
      </c>
      <c r="E506">
        <v>1067</v>
      </c>
      <c r="F506">
        <v>691</v>
      </c>
      <c r="G506" s="4">
        <f t="shared" si="7"/>
        <v>0.64761012183692601</v>
      </c>
    </row>
    <row r="507" spans="1:7">
      <c r="A507" t="s">
        <v>231</v>
      </c>
      <c r="B507">
        <v>12</v>
      </c>
      <c r="C507" t="s">
        <v>197</v>
      </c>
      <c r="D507">
        <v>7</v>
      </c>
      <c r="E507">
        <v>1067</v>
      </c>
      <c r="F507">
        <v>697</v>
      </c>
      <c r="G507" s="4">
        <f t="shared" si="7"/>
        <v>0.65323336457357073</v>
      </c>
    </row>
    <row r="508" spans="1:7">
      <c r="A508" t="s">
        <v>231</v>
      </c>
      <c r="B508">
        <v>12</v>
      </c>
      <c r="C508" t="s">
        <v>597</v>
      </c>
      <c r="D508">
        <v>8</v>
      </c>
      <c r="E508">
        <v>1067</v>
      </c>
      <c r="F508">
        <v>720</v>
      </c>
      <c r="G508" s="4">
        <f t="shared" si="7"/>
        <v>0.67478912839737581</v>
      </c>
    </row>
    <row r="509" spans="1:7">
      <c r="A509" t="s">
        <v>231</v>
      </c>
      <c r="B509">
        <v>12</v>
      </c>
      <c r="C509" t="s">
        <v>596</v>
      </c>
      <c r="D509">
        <v>9</v>
      </c>
      <c r="E509">
        <v>1067</v>
      </c>
      <c r="F509">
        <v>727</v>
      </c>
      <c r="G509" s="4">
        <f t="shared" si="7"/>
        <v>0.68134957825679476</v>
      </c>
    </row>
    <row r="510" spans="1:7">
      <c r="A510" t="s">
        <v>231</v>
      </c>
      <c r="B510">
        <v>13</v>
      </c>
      <c r="C510" t="s">
        <v>203</v>
      </c>
      <c r="D510">
        <v>1</v>
      </c>
      <c r="E510">
        <v>193</v>
      </c>
      <c r="F510">
        <v>128</v>
      </c>
      <c r="G510" s="4">
        <f t="shared" si="7"/>
        <v>0.66321243523316065</v>
      </c>
    </row>
    <row r="511" spans="1:7">
      <c r="A511" t="s">
        <v>231</v>
      </c>
      <c r="B511">
        <v>13</v>
      </c>
      <c r="C511" t="s">
        <v>2</v>
      </c>
      <c r="D511">
        <v>2</v>
      </c>
      <c r="E511">
        <v>193</v>
      </c>
      <c r="F511">
        <v>202</v>
      </c>
      <c r="G511" s="4">
        <f t="shared" si="7"/>
        <v>1.0466321243523315</v>
      </c>
    </row>
    <row r="512" spans="1:7">
      <c r="A512" t="s">
        <v>598</v>
      </c>
      <c r="B512">
        <v>2</v>
      </c>
      <c r="C512" t="s">
        <v>693</v>
      </c>
      <c r="D512">
        <v>1</v>
      </c>
      <c r="E512">
        <v>2321</v>
      </c>
      <c r="F512">
        <v>688</v>
      </c>
      <c r="G512" s="4">
        <f t="shared" si="7"/>
        <v>0.29642395519172771</v>
      </c>
    </row>
    <row r="513" spans="1:7">
      <c r="A513" t="s">
        <v>598</v>
      </c>
      <c r="B513">
        <v>2</v>
      </c>
      <c r="C513" t="s">
        <v>235</v>
      </c>
      <c r="D513">
        <v>2</v>
      </c>
      <c r="E513">
        <v>2321</v>
      </c>
      <c r="F513">
        <v>1062</v>
      </c>
      <c r="G513" s="4">
        <f t="shared" si="7"/>
        <v>0.45756139595002154</v>
      </c>
    </row>
    <row r="514" spans="1:7">
      <c r="A514" t="s">
        <v>598</v>
      </c>
      <c r="B514">
        <v>2</v>
      </c>
      <c r="C514" t="s">
        <v>694</v>
      </c>
      <c r="D514">
        <v>3</v>
      </c>
      <c r="E514">
        <v>2321</v>
      </c>
      <c r="F514">
        <v>1526</v>
      </c>
      <c r="G514" s="4">
        <f t="shared" ref="G514:G522" si="8">F514/E514</f>
        <v>0.65747522619560539</v>
      </c>
    </row>
    <row r="515" spans="1:7">
      <c r="A515" t="s">
        <v>598</v>
      </c>
      <c r="B515">
        <v>6</v>
      </c>
      <c r="C515" t="s">
        <v>236</v>
      </c>
      <c r="D515">
        <v>1</v>
      </c>
      <c r="E515">
        <v>932</v>
      </c>
      <c r="F515">
        <v>713</v>
      </c>
      <c r="G515" s="4">
        <f t="shared" si="8"/>
        <v>0.76502145922746778</v>
      </c>
    </row>
    <row r="516" spans="1:7">
      <c r="A516" t="s">
        <v>598</v>
      </c>
      <c r="B516">
        <v>6</v>
      </c>
      <c r="C516" t="s">
        <v>599</v>
      </c>
      <c r="D516">
        <v>2</v>
      </c>
      <c r="E516">
        <v>932</v>
      </c>
      <c r="F516">
        <v>729</v>
      </c>
      <c r="G516" s="4">
        <f t="shared" si="8"/>
        <v>0.78218884120171672</v>
      </c>
    </row>
    <row r="517" spans="1:7">
      <c r="A517" t="s">
        <v>598</v>
      </c>
      <c r="B517">
        <v>6</v>
      </c>
      <c r="C517" t="s">
        <v>602</v>
      </c>
      <c r="D517">
        <v>3</v>
      </c>
      <c r="E517">
        <v>932</v>
      </c>
      <c r="F517">
        <v>814</v>
      </c>
      <c r="G517" s="4">
        <f t="shared" si="8"/>
        <v>0.87339055793991416</v>
      </c>
    </row>
    <row r="518" spans="1:7">
      <c r="A518" t="s">
        <v>598</v>
      </c>
      <c r="B518">
        <v>6</v>
      </c>
      <c r="C518" t="s">
        <v>601</v>
      </c>
      <c r="D518">
        <v>4</v>
      </c>
      <c r="E518">
        <v>932</v>
      </c>
      <c r="F518">
        <v>815</v>
      </c>
      <c r="G518" s="4">
        <f t="shared" si="8"/>
        <v>0.87446351931330468</v>
      </c>
    </row>
    <row r="519" spans="1:7">
      <c r="A519" t="s">
        <v>598</v>
      </c>
      <c r="B519">
        <v>6</v>
      </c>
      <c r="C519" t="s">
        <v>600</v>
      </c>
      <c r="D519">
        <v>5</v>
      </c>
      <c r="E519">
        <v>932</v>
      </c>
      <c r="F519">
        <v>836</v>
      </c>
      <c r="G519" s="4">
        <f t="shared" si="8"/>
        <v>0.89699570815450647</v>
      </c>
    </row>
    <row r="520" spans="1:7">
      <c r="A520" t="s">
        <v>598</v>
      </c>
      <c r="B520">
        <v>6</v>
      </c>
      <c r="C520" t="s">
        <v>446</v>
      </c>
      <c r="D520">
        <v>6</v>
      </c>
      <c r="E520">
        <v>932</v>
      </c>
      <c r="F520">
        <v>1472</v>
      </c>
      <c r="G520" s="4">
        <f t="shared" si="8"/>
        <v>1.5793991416309012</v>
      </c>
    </row>
    <row r="521" spans="1:7">
      <c r="A521" t="s">
        <v>598</v>
      </c>
      <c r="B521">
        <v>8</v>
      </c>
      <c r="C521" t="s">
        <v>203</v>
      </c>
      <c r="D521">
        <v>1</v>
      </c>
      <c r="E521">
        <v>1067</v>
      </c>
      <c r="F521">
        <v>1002</v>
      </c>
      <c r="G521" s="4">
        <f t="shared" si="8"/>
        <v>0.93908153701968133</v>
      </c>
    </row>
    <row r="522" spans="1:7">
      <c r="A522" t="s">
        <v>598</v>
      </c>
      <c r="B522">
        <v>8</v>
      </c>
      <c r="C522" t="s">
        <v>2</v>
      </c>
      <c r="D522">
        <v>2</v>
      </c>
      <c r="E522">
        <v>1067</v>
      </c>
      <c r="F522">
        <v>1032</v>
      </c>
      <c r="G522" s="4">
        <f t="shared" si="8"/>
        <v>0.96719775070290537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2"/>
  <sheetViews>
    <sheetView topLeftCell="A380" workbookViewId="0">
      <selection activeCell="D522" sqref="A1:D522"/>
    </sheetView>
  </sheetViews>
  <sheetFormatPr baseColWidth="10" defaultRowHeight="15" x14ac:dyDescent="0"/>
  <cols>
    <col min="1" max="1" width="25.33203125" bestFit="1" customWidth="1"/>
  </cols>
  <sheetData>
    <row r="1" spans="1:7">
      <c r="A1" t="s">
        <v>3</v>
      </c>
      <c r="B1" t="s">
        <v>5</v>
      </c>
      <c r="C1" t="s">
        <v>7</v>
      </c>
      <c r="D1" t="s">
        <v>186</v>
      </c>
      <c r="E1" t="s">
        <v>8</v>
      </c>
      <c r="F1" t="s">
        <v>187</v>
      </c>
      <c r="G1" t="s">
        <v>185</v>
      </c>
    </row>
    <row r="2" spans="1:7">
      <c r="A2" t="s">
        <v>188</v>
      </c>
      <c r="B2">
        <v>1</v>
      </c>
      <c r="C2" t="s">
        <v>179</v>
      </c>
      <c r="D2">
        <v>1</v>
      </c>
      <c r="E2">
        <v>7406</v>
      </c>
      <c r="F2">
        <v>7234</v>
      </c>
      <c r="G2" s="4">
        <f t="shared" ref="G2" si="0">F2/E2</f>
        <v>0.97677558736159875</v>
      </c>
    </row>
    <row r="3" spans="1:7">
      <c r="A3" t="s">
        <v>188</v>
      </c>
      <c r="B3">
        <v>1</v>
      </c>
      <c r="C3" t="s">
        <v>0</v>
      </c>
      <c r="D3">
        <v>2</v>
      </c>
      <c r="E3">
        <v>7406</v>
      </c>
      <c r="F3">
        <v>7344</v>
      </c>
      <c r="G3" s="4">
        <f t="shared" ref="G3:G66" si="1">F3/E3</f>
        <v>0.99162840939778563</v>
      </c>
    </row>
    <row r="4" spans="1:7">
      <c r="A4" t="s">
        <v>188</v>
      </c>
      <c r="B4">
        <v>1</v>
      </c>
      <c r="C4" t="s">
        <v>180</v>
      </c>
      <c r="D4">
        <v>3</v>
      </c>
      <c r="E4">
        <v>7406</v>
      </c>
      <c r="F4">
        <v>7364</v>
      </c>
      <c r="G4" s="4">
        <f t="shared" si="1"/>
        <v>0.99432892249527405</v>
      </c>
    </row>
    <row r="5" spans="1:7">
      <c r="A5" t="s">
        <v>188</v>
      </c>
      <c r="B5">
        <v>1</v>
      </c>
      <c r="C5" t="s">
        <v>1</v>
      </c>
      <c r="D5">
        <v>4</v>
      </c>
      <c r="E5">
        <v>7406</v>
      </c>
      <c r="F5">
        <v>9764</v>
      </c>
      <c r="G5" s="4">
        <f t="shared" si="1"/>
        <v>1.3183904941938969</v>
      </c>
    </row>
    <row r="6" spans="1:7">
      <c r="A6" t="s">
        <v>188</v>
      </c>
      <c r="B6">
        <v>2</v>
      </c>
      <c r="C6" t="s">
        <v>180</v>
      </c>
      <c r="D6">
        <v>1</v>
      </c>
      <c r="E6">
        <v>1119</v>
      </c>
      <c r="F6">
        <v>472</v>
      </c>
      <c r="G6" s="4">
        <f t="shared" si="1"/>
        <v>0.42180518319928506</v>
      </c>
    </row>
    <row r="7" spans="1:7">
      <c r="A7" t="s">
        <v>188</v>
      </c>
      <c r="B7">
        <v>2</v>
      </c>
      <c r="C7" t="s">
        <v>189</v>
      </c>
      <c r="D7">
        <v>2</v>
      </c>
      <c r="E7">
        <v>1119</v>
      </c>
      <c r="F7">
        <v>655</v>
      </c>
      <c r="G7" s="4">
        <f t="shared" si="1"/>
        <v>0.58534405719392313</v>
      </c>
    </row>
    <row r="8" spans="1:7">
      <c r="A8" t="s">
        <v>188</v>
      </c>
      <c r="B8">
        <v>2</v>
      </c>
      <c r="C8" t="s">
        <v>190</v>
      </c>
      <c r="D8">
        <v>3</v>
      </c>
      <c r="E8">
        <v>1119</v>
      </c>
      <c r="F8">
        <v>730</v>
      </c>
      <c r="G8" s="4">
        <f t="shared" si="1"/>
        <v>0.65236818588025025</v>
      </c>
    </row>
    <row r="9" spans="1:7">
      <c r="A9" t="s">
        <v>188</v>
      </c>
      <c r="B9">
        <v>2</v>
      </c>
      <c r="C9" t="s">
        <v>191</v>
      </c>
      <c r="D9">
        <v>4</v>
      </c>
      <c r="E9">
        <v>1119</v>
      </c>
      <c r="F9">
        <v>779</v>
      </c>
      <c r="G9" s="4">
        <f t="shared" si="1"/>
        <v>0.69615728328865056</v>
      </c>
    </row>
    <row r="10" spans="1:7">
      <c r="A10" t="s">
        <v>188</v>
      </c>
      <c r="B10">
        <v>2</v>
      </c>
      <c r="C10" t="s">
        <v>193</v>
      </c>
      <c r="D10">
        <v>5</v>
      </c>
      <c r="E10">
        <v>1119</v>
      </c>
      <c r="F10">
        <v>863</v>
      </c>
      <c r="G10" s="4">
        <f t="shared" si="1"/>
        <v>0.77122430741733694</v>
      </c>
    </row>
    <row r="11" spans="1:7">
      <c r="A11" t="s">
        <v>188</v>
      </c>
      <c r="B11">
        <v>2</v>
      </c>
      <c r="C11" t="s">
        <v>194</v>
      </c>
      <c r="D11">
        <v>6</v>
      </c>
      <c r="E11">
        <v>1119</v>
      </c>
      <c r="F11">
        <v>880</v>
      </c>
      <c r="G11" s="4">
        <f t="shared" si="1"/>
        <v>0.78641644325290438</v>
      </c>
    </row>
    <row r="12" spans="1:7">
      <c r="A12" t="s">
        <v>188</v>
      </c>
      <c r="B12">
        <v>2</v>
      </c>
      <c r="C12" t="s">
        <v>192</v>
      </c>
      <c r="D12">
        <v>7</v>
      </c>
      <c r="E12">
        <v>1119</v>
      </c>
      <c r="F12">
        <v>884</v>
      </c>
      <c r="G12" s="4">
        <f t="shared" si="1"/>
        <v>0.78999106344950853</v>
      </c>
    </row>
    <row r="13" spans="1:7">
      <c r="A13" t="s">
        <v>188</v>
      </c>
      <c r="B13">
        <v>2</v>
      </c>
      <c r="C13" t="s">
        <v>195</v>
      </c>
      <c r="D13">
        <v>8</v>
      </c>
      <c r="E13">
        <v>1119</v>
      </c>
      <c r="F13">
        <v>944</v>
      </c>
      <c r="G13" s="4">
        <f t="shared" si="1"/>
        <v>0.84361036639857012</v>
      </c>
    </row>
    <row r="14" spans="1:7">
      <c r="A14" t="s">
        <v>188</v>
      </c>
      <c r="B14">
        <v>2</v>
      </c>
      <c r="C14" t="s">
        <v>196</v>
      </c>
      <c r="D14">
        <v>9</v>
      </c>
      <c r="E14">
        <v>1119</v>
      </c>
      <c r="F14">
        <v>972</v>
      </c>
      <c r="G14" s="4">
        <f t="shared" si="1"/>
        <v>0.86863270777479895</v>
      </c>
    </row>
    <row r="15" spans="1:7">
      <c r="A15" t="s">
        <v>188</v>
      </c>
      <c r="B15">
        <v>2</v>
      </c>
      <c r="C15" t="s">
        <v>198</v>
      </c>
      <c r="D15">
        <v>10</v>
      </c>
      <c r="E15">
        <v>1119</v>
      </c>
      <c r="F15">
        <v>974</v>
      </c>
      <c r="G15" s="4">
        <f t="shared" si="1"/>
        <v>0.87042001787310097</v>
      </c>
    </row>
    <row r="16" spans="1:7">
      <c r="A16" t="s">
        <v>188</v>
      </c>
      <c r="B16">
        <v>2</v>
      </c>
      <c r="C16" t="s">
        <v>197</v>
      </c>
      <c r="D16">
        <v>11</v>
      </c>
      <c r="E16">
        <v>1119</v>
      </c>
      <c r="F16">
        <v>983</v>
      </c>
      <c r="G16" s="4">
        <f t="shared" si="1"/>
        <v>0.87846291331546023</v>
      </c>
    </row>
    <row r="17" spans="1:7">
      <c r="A17" t="s">
        <v>188</v>
      </c>
      <c r="B17">
        <v>2</v>
      </c>
      <c r="C17" t="s">
        <v>199</v>
      </c>
      <c r="D17">
        <v>12</v>
      </c>
      <c r="E17">
        <v>1119</v>
      </c>
      <c r="F17">
        <v>1041</v>
      </c>
      <c r="G17" s="4">
        <f t="shared" si="1"/>
        <v>0.93029490616621979</v>
      </c>
    </row>
    <row r="18" spans="1:7">
      <c r="A18" t="s">
        <v>188</v>
      </c>
      <c r="B18">
        <v>2</v>
      </c>
      <c r="C18" t="s">
        <v>200</v>
      </c>
      <c r="D18">
        <v>13</v>
      </c>
      <c r="E18">
        <v>1119</v>
      </c>
      <c r="F18">
        <v>1043</v>
      </c>
      <c r="G18" s="4">
        <f t="shared" si="1"/>
        <v>0.93208221626452192</v>
      </c>
    </row>
    <row r="19" spans="1:7">
      <c r="A19" t="s">
        <v>188</v>
      </c>
      <c r="B19">
        <v>2</v>
      </c>
      <c r="C19" t="s">
        <v>201</v>
      </c>
      <c r="D19">
        <v>14</v>
      </c>
      <c r="E19">
        <v>1119</v>
      </c>
      <c r="F19">
        <v>1048</v>
      </c>
      <c r="G19" s="4">
        <f t="shared" si="1"/>
        <v>0.93655049151027703</v>
      </c>
    </row>
    <row r="20" spans="1:7">
      <c r="A20" t="s">
        <v>188</v>
      </c>
      <c r="B20">
        <v>2</v>
      </c>
      <c r="C20" t="s">
        <v>202</v>
      </c>
      <c r="D20">
        <v>15</v>
      </c>
      <c r="E20">
        <v>1119</v>
      </c>
      <c r="F20">
        <v>1128</v>
      </c>
      <c r="G20" s="4">
        <f t="shared" si="1"/>
        <v>1.0080428954423593</v>
      </c>
    </row>
    <row r="21" spans="1:7">
      <c r="A21" t="s">
        <v>188</v>
      </c>
      <c r="B21">
        <v>6</v>
      </c>
      <c r="C21" t="s">
        <v>179</v>
      </c>
      <c r="D21">
        <v>1</v>
      </c>
      <c r="E21">
        <v>1624</v>
      </c>
      <c r="F21">
        <v>191</v>
      </c>
      <c r="G21" s="4">
        <f t="shared" si="1"/>
        <v>0.11761083743842364</v>
      </c>
    </row>
    <row r="22" spans="1:7">
      <c r="A22" t="s">
        <v>188</v>
      </c>
      <c r="B22">
        <v>6</v>
      </c>
      <c r="C22" t="s">
        <v>204</v>
      </c>
      <c r="D22">
        <v>2</v>
      </c>
      <c r="E22">
        <v>1624</v>
      </c>
      <c r="F22">
        <v>1438</v>
      </c>
      <c r="G22" s="4">
        <f t="shared" si="1"/>
        <v>0.8854679802955665</v>
      </c>
    </row>
    <row r="23" spans="1:7">
      <c r="A23" t="s">
        <v>188</v>
      </c>
      <c r="B23">
        <v>6</v>
      </c>
      <c r="C23" t="s">
        <v>203</v>
      </c>
      <c r="D23">
        <v>3</v>
      </c>
      <c r="E23">
        <v>1624</v>
      </c>
      <c r="F23">
        <v>1595</v>
      </c>
      <c r="G23" s="4">
        <f t="shared" si="1"/>
        <v>0.9821428571428571</v>
      </c>
    </row>
    <row r="24" spans="1:7">
      <c r="A24" t="s">
        <v>188</v>
      </c>
      <c r="B24">
        <v>6</v>
      </c>
      <c r="C24" t="s">
        <v>205</v>
      </c>
      <c r="D24">
        <v>4</v>
      </c>
      <c r="E24">
        <v>1624</v>
      </c>
      <c r="F24">
        <v>1956</v>
      </c>
      <c r="G24" s="4">
        <f t="shared" si="1"/>
        <v>1.2044334975369457</v>
      </c>
    </row>
    <row r="25" spans="1:7">
      <c r="A25" t="s">
        <v>188</v>
      </c>
      <c r="B25">
        <v>6</v>
      </c>
      <c r="C25" t="s">
        <v>215</v>
      </c>
      <c r="D25">
        <v>5</v>
      </c>
      <c r="E25">
        <v>1624</v>
      </c>
      <c r="F25">
        <v>2118</v>
      </c>
      <c r="G25" s="4">
        <f t="shared" si="1"/>
        <v>1.3041871921182266</v>
      </c>
    </row>
    <row r="26" spans="1:7">
      <c r="A26" t="s">
        <v>188</v>
      </c>
      <c r="B26">
        <v>9</v>
      </c>
      <c r="C26" t="s">
        <v>206</v>
      </c>
      <c r="D26">
        <v>1</v>
      </c>
      <c r="E26">
        <v>2057</v>
      </c>
      <c r="F26">
        <v>159</v>
      </c>
      <c r="G26" s="4">
        <f t="shared" si="1"/>
        <v>7.7297034516285848E-2</v>
      </c>
    </row>
    <row r="27" spans="1:7">
      <c r="A27" t="s">
        <v>188</v>
      </c>
      <c r="B27">
        <v>9</v>
      </c>
      <c r="C27" t="s">
        <v>208</v>
      </c>
      <c r="D27">
        <v>2</v>
      </c>
      <c r="E27">
        <v>2057</v>
      </c>
      <c r="F27">
        <v>161</v>
      </c>
      <c r="G27" s="4">
        <f t="shared" si="1"/>
        <v>7.8269324258629078E-2</v>
      </c>
    </row>
    <row r="28" spans="1:7">
      <c r="A28" t="s">
        <v>188</v>
      </c>
      <c r="B28">
        <v>9</v>
      </c>
      <c r="C28" t="s">
        <v>207</v>
      </c>
      <c r="D28">
        <v>3</v>
      </c>
      <c r="E28">
        <v>2057</v>
      </c>
      <c r="F28">
        <v>162</v>
      </c>
      <c r="G28" s="4">
        <f t="shared" si="1"/>
        <v>7.8755469129800679E-2</v>
      </c>
    </row>
    <row r="29" spans="1:7">
      <c r="A29" t="s">
        <v>188</v>
      </c>
      <c r="B29">
        <v>9</v>
      </c>
      <c r="C29" t="s">
        <v>209</v>
      </c>
      <c r="D29">
        <v>4</v>
      </c>
      <c r="E29">
        <v>2057</v>
      </c>
      <c r="F29">
        <v>331</v>
      </c>
      <c r="G29" s="4">
        <f t="shared" si="1"/>
        <v>0.16091395235780262</v>
      </c>
    </row>
    <row r="30" spans="1:7">
      <c r="A30" t="s">
        <v>188</v>
      </c>
      <c r="B30">
        <v>9</v>
      </c>
      <c r="C30" t="s">
        <v>180</v>
      </c>
      <c r="D30">
        <v>5</v>
      </c>
      <c r="E30">
        <v>2057</v>
      </c>
      <c r="F30">
        <v>340</v>
      </c>
      <c r="G30" s="4">
        <f t="shared" si="1"/>
        <v>0.16528925619834711</v>
      </c>
    </row>
    <row r="31" spans="1:7">
      <c r="A31" t="s">
        <v>188</v>
      </c>
      <c r="B31">
        <v>9</v>
      </c>
      <c r="C31" t="s">
        <v>210</v>
      </c>
      <c r="D31">
        <v>6</v>
      </c>
      <c r="E31">
        <v>2057</v>
      </c>
      <c r="F31">
        <v>697</v>
      </c>
      <c r="G31" s="4">
        <f t="shared" si="1"/>
        <v>0.33884297520661155</v>
      </c>
    </row>
    <row r="32" spans="1:7">
      <c r="A32" t="s">
        <v>188</v>
      </c>
      <c r="B32">
        <v>9</v>
      </c>
      <c r="C32" t="s">
        <v>212</v>
      </c>
      <c r="D32">
        <v>7</v>
      </c>
      <c r="E32">
        <v>2057</v>
      </c>
      <c r="F32">
        <v>701</v>
      </c>
      <c r="G32" s="4">
        <f t="shared" si="1"/>
        <v>0.34078755469129801</v>
      </c>
    </row>
    <row r="33" spans="1:7">
      <c r="A33" t="s">
        <v>188</v>
      </c>
      <c r="B33">
        <v>9</v>
      </c>
      <c r="C33" t="s">
        <v>211</v>
      </c>
      <c r="D33">
        <v>8</v>
      </c>
      <c r="E33">
        <v>2057</v>
      </c>
      <c r="F33">
        <v>717</v>
      </c>
      <c r="G33" s="4">
        <f t="shared" si="1"/>
        <v>0.34856587263004374</v>
      </c>
    </row>
    <row r="34" spans="1:7">
      <c r="A34" t="s">
        <v>188</v>
      </c>
      <c r="B34">
        <v>9</v>
      </c>
      <c r="C34" t="s">
        <v>213</v>
      </c>
      <c r="D34">
        <v>9</v>
      </c>
      <c r="E34">
        <v>2057</v>
      </c>
      <c r="F34">
        <v>831</v>
      </c>
      <c r="G34" s="4">
        <f t="shared" si="1"/>
        <v>0.40398638794360719</v>
      </c>
    </row>
    <row r="35" spans="1:7">
      <c r="A35" t="s">
        <v>188</v>
      </c>
      <c r="B35">
        <v>9</v>
      </c>
      <c r="C35" t="s">
        <v>214</v>
      </c>
      <c r="D35">
        <v>10</v>
      </c>
      <c r="E35">
        <v>2057</v>
      </c>
      <c r="F35">
        <v>845</v>
      </c>
      <c r="G35" s="4">
        <f t="shared" si="1"/>
        <v>0.41079241614000972</v>
      </c>
    </row>
    <row r="36" spans="1:7">
      <c r="A36" t="s">
        <v>219</v>
      </c>
      <c r="B36">
        <v>2</v>
      </c>
      <c r="C36" t="s">
        <v>2</v>
      </c>
      <c r="D36">
        <v>1</v>
      </c>
      <c r="E36">
        <v>1114</v>
      </c>
      <c r="F36">
        <v>353</v>
      </c>
      <c r="G36" s="4">
        <f t="shared" si="1"/>
        <v>0.31687612208258525</v>
      </c>
    </row>
    <row r="37" spans="1:7">
      <c r="A37" t="s">
        <v>219</v>
      </c>
      <c r="B37">
        <v>2</v>
      </c>
      <c r="C37" t="s">
        <v>0</v>
      </c>
      <c r="D37">
        <v>2</v>
      </c>
      <c r="E37">
        <v>1114</v>
      </c>
      <c r="F37">
        <v>771</v>
      </c>
      <c r="G37" s="4">
        <f t="shared" si="1"/>
        <v>0.69210053859964094</v>
      </c>
    </row>
    <row r="38" spans="1:7">
      <c r="A38" t="s">
        <v>219</v>
      </c>
      <c r="B38">
        <v>2</v>
      </c>
      <c r="C38" t="s">
        <v>233</v>
      </c>
      <c r="D38">
        <v>3</v>
      </c>
      <c r="E38">
        <v>1114</v>
      </c>
      <c r="F38">
        <v>772</v>
      </c>
      <c r="G38" s="4">
        <f t="shared" si="1"/>
        <v>0.69299820466786355</v>
      </c>
    </row>
    <row r="39" spans="1:7">
      <c r="A39" t="s">
        <v>219</v>
      </c>
      <c r="B39">
        <v>2</v>
      </c>
      <c r="C39" t="s">
        <v>234</v>
      </c>
      <c r="D39">
        <v>4</v>
      </c>
      <c r="E39">
        <v>1114</v>
      </c>
      <c r="F39">
        <v>1120</v>
      </c>
      <c r="G39" s="4">
        <f t="shared" si="1"/>
        <v>1.0053859964093357</v>
      </c>
    </row>
    <row r="40" spans="1:7">
      <c r="A40" t="s">
        <v>219</v>
      </c>
      <c r="B40">
        <v>4</v>
      </c>
      <c r="C40" t="s">
        <v>2</v>
      </c>
      <c r="D40">
        <v>1</v>
      </c>
      <c r="E40">
        <v>1116</v>
      </c>
      <c r="F40">
        <v>355</v>
      </c>
      <c r="G40" s="4">
        <f t="shared" si="1"/>
        <v>0.31810035842293904</v>
      </c>
    </row>
    <row r="41" spans="1:7">
      <c r="A41" t="s">
        <v>219</v>
      </c>
      <c r="B41">
        <v>4</v>
      </c>
      <c r="C41" t="s">
        <v>233</v>
      </c>
      <c r="D41">
        <v>2</v>
      </c>
      <c r="E41">
        <v>1116</v>
      </c>
      <c r="F41">
        <v>765</v>
      </c>
      <c r="G41" s="4">
        <f t="shared" si="1"/>
        <v>0.68548387096774188</v>
      </c>
    </row>
    <row r="42" spans="1:7">
      <c r="A42" t="s">
        <v>219</v>
      </c>
      <c r="B42">
        <v>4</v>
      </c>
      <c r="C42" t="s">
        <v>0</v>
      </c>
      <c r="D42">
        <v>3</v>
      </c>
      <c r="E42">
        <v>1116</v>
      </c>
      <c r="F42">
        <v>771</v>
      </c>
      <c r="G42" s="4">
        <f t="shared" si="1"/>
        <v>0.69086021505376349</v>
      </c>
    </row>
    <row r="43" spans="1:7">
      <c r="A43" t="s">
        <v>219</v>
      </c>
      <c r="B43">
        <v>4</v>
      </c>
      <c r="C43" t="s">
        <v>234</v>
      </c>
      <c r="D43">
        <v>4</v>
      </c>
      <c r="E43">
        <v>1116</v>
      </c>
      <c r="F43">
        <v>1111</v>
      </c>
      <c r="G43" s="4">
        <f t="shared" si="1"/>
        <v>0.99551971326164879</v>
      </c>
    </row>
    <row r="44" spans="1:7">
      <c r="A44" t="s">
        <v>219</v>
      </c>
      <c r="B44">
        <v>13</v>
      </c>
      <c r="C44" t="s">
        <v>203</v>
      </c>
      <c r="D44">
        <v>1</v>
      </c>
      <c r="E44">
        <v>351</v>
      </c>
      <c r="F44">
        <v>99</v>
      </c>
      <c r="G44" s="4">
        <f t="shared" si="1"/>
        <v>0.28205128205128205</v>
      </c>
    </row>
    <row r="45" spans="1:7">
      <c r="A45" t="s">
        <v>219</v>
      </c>
      <c r="B45">
        <v>13</v>
      </c>
      <c r="C45" t="s">
        <v>179</v>
      </c>
      <c r="D45">
        <v>2</v>
      </c>
      <c r="E45">
        <v>351</v>
      </c>
      <c r="F45">
        <v>186</v>
      </c>
      <c r="G45" s="4">
        <f t="shared" si="1"/>
        <v>0.52991452991452992</v>
      </c>
    </row>
    <row r="46" spans="1:7">
      <c r="A46" t="s">
        <v>219</v>
      </c>
      <c r="B46">
        <v>13</v>
      </c>
      <c r="C46" t="s">
        <v>204</v>
      </c>
      <c r="D46">
        <v>3</v>
      </c>
      <c r="E46">
        <v>351</v>
      </c>
      <c r="F46">
        <v>269</v>
      </c>
      <c r="G46" s="4">
        <f t="shared" si="1"/>
        <v>0.76638176638176636</v>
      </c>
    </row>
    <row r="47" spans="1:7">
      <c r="A47" t="s">
        <v>219</v>
      </c>
      <c r="B47">
        <v>13</v>
      </c>
      <c r="C47" t="s">
        <v>205</v>
      </c>
      <c r="D47">
        <v>4</v>
      </c>
      <c r="E47">
        <v>351</v>
      </c>
      <c r="F47">
        <v>347</v>
      </c>
      <c r="G47" s="4">
        <f t="shared" si="1"/>
        <v>0.98860398860398857</v>
      </c>
    </row>
    <row r="48" spans="1:7">
      <c r="A48" t="s">
        <v>219</v>
      </c>
      <c r="B48">
        <v>13</v>
      </c>
      <c r="C48" t="s">
        <v>215</v>
      </c>
      <c r="D48">
        <v>5</v>
      </c>
      <c r="E48">
        <v>351</v>
      </c>
      <c r="F48">
        <v>350</v>
      </c>
      <c r="G48" s="4">
        <f t="shared" si="1"/>
        <v>0.9971509971509972</v>
      </c>
    </row>
    <row r="49" spans="1:7">
      <c r="A49" t="s">
        <v>219</v>
      </c>
      <c r="B49">
        <v>16</v>
      </c>
      <c r="C49" t="s">
        <v>235</v>
      </c>
      <c r="D49">
        <v>1</v>
      </c>
      <c r="E49">
        <v>21816</v>
      </c>
      <c r="F49">
        <v>228</v>
      </c>
      <c r="G49" s="4">
        <f t="shared" si="1"/>
        <v>1.0451045104510451E-2</v>
      </c>
    </row>
    <row r="50" spans="1:7">
      <c r="A50" t="s">
        <v>219</v>
      </c>
      <c r="B50">
        <v>16</v>
      </c>
      <c r="C50" t="s">
        <v>236</v>
      </c>
      <c r="D50">
        <v>2</v>
      </c>
      <c r="E50">
        <v>21816</v>
      </c>
      <c r="F50">
        <v>338</v>
      </c>
      <c r="G50" s="4">
        <f t="shared" si="1"/>
        <v>1.5493215988265493E-2</v>
      </c>
    </row>
    <row r="51" spans="1:7">
      <c r="A51" t="s">
        <v>219</v>
      </c>
      <c r="B51">
        <v>16</v>
      </c>
      <c r="C51" t="s">
        <v>237</v>
      </c>
      <c r="D51">
        <v>3</v>
      </c>
      <c r="E51">
        <v>21816</v>
      </c>
      <c r="F51">
        <v>20379</v>
      </c>
      <c r="G51" s="4">
        <f t="shared" si="1"/>
        <v>0.93413091309130913</v>
      </c>
    </row>
    <row r="52" spans="1:7">
      <c r="A52" t="s">
        <v>219</v>
      </c>
      <c r="B52">
        <v>16</v>
      </c>
      <c r="C52" t="s">
        <v>238</v>
      </c>
      <c r="D52">
        <v>4</v>
      </c>
      <c r="E52">
        <v>21816</v>
      </c>
      <c r="F52">
        <v>21666</v>
      </c>
      <c r="G52" s="4">
        <f t="shared" si="1"/>
        <v>0.99312431243124311</v>
      </c>
    </row>
    <row r="53" spans="1:7">
      <c r="A53" t="s">
        <v>219</v>
      </c>
      <c r="B53">
        <v>18</v>
      </c>
      <c r="C53" t="s">
        <v>2</v>
      </c>
      <c r="D53">
        <v>1</v>
      </c>
      <c r="E53">
        <v>12136</v>
      </c>
      <c r="F53">
        <v>162</v>
      </c>
      <c r="G53" s="4">
        <f t="shared" si="1"/>
        <v>1.3348714568226764E-2</v>
      </c>
    </row>
    <row r="54" spans="1:7">
      <c r="A54" t="s">
        <v>219</v>
      </c>
      <c r="B54">
        <v>18</v>
      </c>
      <c r="C54" t="s">
        <v>1</v>
      </c>
      <c r="D54">
        <v>2</v>
      </c>
      <c r="E54">
        <v>12136</v>
      </c>
      <c r="F54">
        <v>283</v>
      </c>
      <c r="G54" s="4">
        <f t="shared" si="1"/>
        <v>2.3319050758075149E-2</v>
      </c>
    </row>
    <row r="55" spans="1:7">
      <c r="A55" t="s">
        <v>219</v>
      </c>
      <c r="B55">
        <v>18</v>
      </c>
      <c r="C55" t="s">
        <v>239</v>
      </c>
      <c r="D55">
        <v>3</v>
      </c>
      <c r="E55">
        <v>12136</v>
      </c>
      <c r="F55">
        <v>681</v>
      </c>
      <c r="G55" s="4">
        <f t="shared" si="1"/>
        <v>5.6114040870138431E-2</v>
      </c>
    </row>
    <row r="56" spans="1:7">
      <c r="A56" t="s">
        <v>219</v>
      </c>
      <c r="B56">
        <v>18</v>
      </c>
      <c r="C56" t="s">
        <v>240</v>
      </c>
      <c r="D56">
        <v>4</v>
      </c>
      <c r="E56">
        <v>12136</v>
      </c>
      <c r="F56">
        <v>845</v>
      </c>
      <c r="G56" s="4">
        <f t="shared" si="1"/>
        <v>6.9627554383651938E-2</v>
      </c>
    </row>
    <row r="57" spans="1:7">
      <c r="A57" t="s">
        <v>219</v>
      </c>
      <c r="B57">
        <v>18</v>
      </c>
      <c r="C57" t="s">
        <v>241</v>
      </c>
      <c r="D57">
        <v>5</v>
      </c>
      <c r="E57">
        <v>12136</v>
      </c>
      <c r="F57">
        <v>1117</v>
      </c>
      <c r="G57" s="4">
        <f t="shared" si="1"/>
        <v>9.2040210942649969E-2</v>
      </c>
    </row>
    <row r="58" spans="1:7">
      <c r="A58" t="s">
        <v>219</v>
      </c>
      <c r="B58">
        <v>18</v>
      </c>
      <c r="C58" t="s">
        <v>242</v>
      </c>
      <c r="D58">
        <v>6</v>
      </c>
      <c r="E58">
        <v>12136</v>
      </c>
      <c r="F58">
        <v>1200</v>
      </c>
      <c r="G58" s="4">
        <f t="shared" si="1"/>
        <v>9.8879367172050092E-2</v>
      </c>
    </row>
    <row r="59" spans="1:7">
      <c r="A59" t="s">
        <v>219</v>
      </c>
      <c r="B59">
        <v>18</v>
      </c>
      <c r="C59" t="s">
        <v>243</v>
      </c>
      <c r="D59">
        <v>7</v>
      </c>
      <c r="E59">
        <v>12136</v>
      </c>
      <c r="F59">
        <v>1209</v>
      </c>
      <c r="G59" s="4">
        <f t="shared" si="1"/>
        <v>9.9620962425840481E-2</v>
      </c>
    </row>
    <row r="60" spans="1:7">
      <c r="A60" t="s">
        <v>219</v>
      </c>
      <c r="B60">
        <v>18</v>
      </c>
      <c r="C60" t="s">
        <v>244</v>
      </c>
      <c r="D60">
        <v>8</v>
      </c>
      <c r="E60">
        <v>12136</v>
      </c>
      <c r="F60">
        <v>1234</v>
      </c>
      <c r="G60" s="4">
        <f t="shared" si="1"/>
        <v>0.10168094924192485</v>
      </c>
    </row>
    <row r="61" spans="1:7">
      <c r="A61" t="s">
        <v>219</v>
      </c>
      <c r="B61">
        <v>18</v>
      </c>
      <c r="C61" t="s">
        <v>245</v>
      </c>
      <c r="D61">
        <v>9</v>
      </c>
      <c r="E61">
        <v>12136</v>
      </c>
      <c r="F61">
        <v>1259</v>
      </c>
      <c r="G61" s="4">
        <f t="shared" si="1"/>
        <v>0.10374093605800923</v>
      </c>
    </row>
    <row r="62" spans="1:7">
      <c r="A62" t="s">
        <v>219</v>
      </c>
      <c r="B62">
        <v>18</v>
      </c>
      <c r="C62" t="s">
        <v>246</v>
      </c>
      <c r="D62">
        <v>10</v>
      </c>
      <c r="E62">
        <v>12136</v>
      </c>
      <c r="F62">
        <v>1275</v>
      </c>
      <c r="G62" s="4">
        <f t="shared" si="1"/>
        <v>0.10505932762030323</v>
      </c>
    </row>
    <row r="63" spans="1:7">
      <c r="A63" t="s">
        <v>219</v>
      </c>
      <c r="B63">
        <v>18</v>
      </c>
      <c r="C63" t="s">
        <v>247</v>
      </c>
      <c r="D63">
        <v>11</v>
      </c>
      <c r="E63">
        <v>12136</v>
      </c>
      <c r="F63">
        <v>1288</v>
      </c>
      <c r="G63" s="4">
        <f t="shared" si="1"/>
        <v>0.1061305207646671</v>
      </c>
    </row>
    <row r="64" spans="1:7">
      <c r="A64" t="s">
        <v>219</v>
      </c>
      <c r="B64">
        <v>18</v>
      </c>
      <c r="C64" t="s">
        <v>248</v>
      </c>
      <c r="D64">
        <v>12</v>
      </c>
      <c r="E64">
        <v>12136</v>
      </c>
      <c r="F64">
        <v>1291</v>
      </c>
      <c r="G64" s="4">
        <f t="shared" si="1"/>
        <v>0.10637771918259722</v>
      </c>
    </row>
    <row r="65" spans="1:7">
      <c r="A65" t="s">
        <v>219</v>
      </c>
      <c r="B65">
        <v>18</v>
      </c>
      <c r="C65" t="s">
        <v>249</v>
      </c>
      <c r="D65">
        <v>13</v>
      </c>
      <c r="E65">
        <v>12136</v>
      </c>
      <c r="F65">
        <v>1308</v>
      </c>
      <c r="G65" s="4">
        <f t="shared" si="1"/>
        <v>0.10777851021753461</v>
      </c>
    </row>
    <row r="66" spans="1:7">
      <c r="A66" t="s">
        <v>219</v>
      </c>
      <c r="B66">
        <v>18</v>
      </c>
      <c r="C66" t="s">
        <v>250</v>
      </c>
      <c r="D66">
        <v>14</v>
      </c>
      <c r="E66">
        <v>12136</v>
      </c>
      <c r="F66">
        <v>1310</v>
      </c>
      <c r="G66" s="4">
        <f t="shared" si="1"/>
        <v>0.10794330916282135</v>
      </c>
    </row>
    <row r="67" spans="1:7">
      <c r="A67" t="s">
        <v>219</v>
      </c>
      <c r="B67">
        <v>18</v>
      </c>
      <c r="C67" t="s">
        <v>251</v>
      </c>
      <c r="D67">
        <v>15</v>
      </c>
      <c r="E67">
        <v>12136</v>
      </c>
      <c r="F67">
        <v>1355</v>
      </c>
      <c r="G67" s="4">
        <f t="shared" ref="G67:G130" si="2">F67/E67</f>
        <v>0.11165128543177323</v>
      </c>
    </row>
    <row r="68" spans="1:7">
      <c r="A68" t="s">
        <v>219</v>
      </c>
      <c r="B68">
        <v>18</v>
      </c>
      <c r="C68" t="s">
        <v>253</v>
      </c>
      <c r="D68">
        <v>16</v>
      </c>
      <c r="E68">
        <v>12136</v>
      </c>
      <c r="F68">
        <v>1378</v>
      </c>
      <c r="G68" s="4">
        <f t="shared" si="2"/>
        <v>0.11354647330257087</v>
      </c>
    </row>
    <row r="69" spans="1:7">
      <c r="A69" t="s">
        <v>219</v>
      </c>
      <c r="B69">
        <v>18</v>
      </c>
      <c r="C69" t="s">
        <v>252</v>
      </c>
      <c r="D69">
        <v>17</v>
      </c>
      <c r="E69">
        <v>12136</v>
      </c>
      <c r="F69">
        <v>1381</v>
      </c>
      <c r="G69" s="4">
        <f t="shared" si="2"/>
        <v>0.11379367172050099</v>
      </c>
    </row>
    <row r="70" spans="1:7">
      <c r="A70" t="s">
        <v>219</v>
      </c>
      <c r="B70">
        <v>18</v>
      </c>
      <c r="C70" t="s">
        <v>254</v>
      </c>
      <c r="D70">
        <v>18</v>
      </c>
      <c r="E70">
        <v>12136</v>
      </c>
      <c r="F70">
        <v>1440</v>
      </c>
      <c r="G70" s="4">
        <f t="shared" si="2"/>
        <v>0.11865524060646011</v>
      </c>
    </row>
    <row r="71" spans="1:7">
      <c r="A71" t="s">
        <v>219</v>
      </c>
      <c r="B71">
        <v>18</v>
      </c>
      <c r="C71" t="s">
        <v>255</v>
      </c>
      <c r="D71">
        <v>19</v>
      </c>
      <c r="E71">
        <v>12136</v>
      </c>
      <c r="F71">
        <v>1759</v>
      </c>
      <c r="G71" s="4">
        <f t="shared" si="2"/>
        <v>0.14494067237969677</v>
      </c>
    </row>
    <row r="72" spans="1:7">
      <c r="A72" t="s">
        <v>219</v>
      </c>
      <c r="B72">
        <v>18</v>
      </c>
      <c r="C72" t="s">
        <v>256</v>
      </c>
      <c r="D72">
        <v>20</v>
      </c>
      <c r="E72">
        <v>12136</v>
      </c>
      <c r="F72">
        <v>1850</v>
      </c>
      <c r="G72" s="4">
        <f t="shared" si="2"/>
        <v>0.1524390243902439</v>
      </c>
    </row>
    <row r="73" spans="1:7">
      <c r="A73" t="s">
        <v>219</v>
      </c>
      <c r="B73">
        <v>18</v>
      </c>
      <c r="C73" t="s">
        <v>257</v>
      </c>
      <c r="D73">
        <v>21</v>
      </c>
      <c r="E73">
        <v>12136</v>
      </c>
      <c r="F73">
        <v>1869</v>
      </c>
      <c r="G73" s="4">
        <f t="shared" si="2"/>
        <v>0.15400461437046803</v>
      </c>
    </row>
    <row r="74" spans="1:7">
      <c r="A74" t="s">
        <v>219</v>
      </c>
      <c r="B74">
        <v>18</v>
      </c>
      <c r="C74" t="s">
        <v>258</v>
      </c>
      <c r="D74">
        <v>22</v>
      </c>
      <c r="E74">
        <v>12136</v>
      </c>
      <c r="F74">
        <v>1956</v>
      </c>
      <c r="G74" s="4">
        <f t="shared" si="2"/>
        <v>0.16117336849044167</v>
      </c>
    </row>
    <row r="75" spans="1:7">
      <c r="A75" t="s">
        <v>219</v>
      </c>
      <c r="B75">
        <v>18</v>
      </c>
      <c r="C75" t="s">
        <v>259</v>
      </c>
      <c r="D75">
        <v>23</v>
      </c>
      <c r="E75">
        <v>12136</v>
      </c>
      <c r="F75">
        <v>1971</v>
      </c>
      <c r="G75" s="4">
        <f t="shared" si="2"/>
        <v>0.16240936058009228</v>
      </c>
    </row>
    <row r="76" spans="1:7">
      <c r="A76" t="s">
        <v>219</v>
      </c>
      <c r="B76">
        <v>18</v>
      </c>
      <c r="C76" t="s">
        <v>260</v>
      </c>
      <c r="D76">
        <v>24</v>
      </c>
      <c r="E76">
        <v>12136</v>
      </c>
      <c r="F76">
        <v>2005</v>
      </c>
      <c r="G76" s="4">
        <f t="shared" si="2"/>
        <v>0.16521094264996705</v>
      </c>
    </row>
    <row r="77" spans="1:7">
      <c r="A77" t="s">
        <v>219</v>
      </c>
      <c r="B77">
        <v>18</v>
      </c>
      <c r="C77" t="s">
        <v>261</v>
      </c>
      <c r="D77">
        <v>25</v>
      </c>
      <c r="E77">
        <v>12136</v>
      </c>
      <c r="F77">
        <v>2037</v>
      </c>
      <c r="G77" s="4">
        <f t="shared" si="2"/>
        <v>0.16784772577455503</v>
      </c>
    </row>
    <row r="78" spans="1:7">
      <c r="A78" t="s">
        <v>219</v>
      </c>
      <c r="B78">
        <v>18</v>
      </c>
      <c r="C78" t="s">
        <v>262</v>
      </c>
      <c r="D78">
        <v>26</v>
      </c>
      <c r="E78">
        <v>12136</v>
      </c>
      <c r="F78">
        <v>2102</v>
      </c>
      <c r="G78" s="4">
        <f t="shared" si="2"/>
        <v>0.17320369149637443</v>
      </c>
    </row>
    <row r="79" spans="1:7">
      <c r="A79" t="s">
        <v>219</v>
      </c>
      <c r="B79">
        <v>18</v>
      </c>
      <c r="C79" t="s">
        <v>263</v>
      </c>
      <c r="D79">
        <v>27</v>
      </c>
      <c r="E79">
        <v>12136</v>
      </c>
      <c r="F79">
        <v>2144</v>
      </c>
      <c r="G79" s="4">
        <f t="shared" si="2"/>
        <v>0.17666446934739619</v>
      </c>
    </row>
    <row r="80" spans="1:7">
      <c r="A80" t="s">
        <v>219</v>
      </c>
      <c r="B80">
        <v>18</v>
      </c>
      <c r="C80" t="s">
        <v>264</v>
      </c>
      <c r="D80">
        <v>28</v>
      </c>
      <c r="E80">
        <v>12136</v>
      </c>
      <c r="F80">
        <v>2175</v>
      </c>
      <c r="G80" s="4">
        <f t="shared" si="2"/>
        <v>0.17921885299934082</v>
      </c>
    </row>
    <row r="81" spans="1:7">
      <c r="A81" t="s">
        <v>219</v>
      </c>
      <c r="B81">
        <v>18</v>
      </c>
      <c r="C81" t="s">
        <v>265</v>
      </c>
      <c r="D81">
        <v>29</v>
      </c>
      <c r="E81">
        <v>12136</v>
      </c>
      <c r="F81">
        <v>2201</v>
      </c>
      <c r="G81" s="4">
        <f t="shared" si="2"/>
        <v>0.18136123928806855</v>
      </c>
    </row>
    <row r="82" spans="1:7">
      <c r="A82" t="s">
        <v>219</v>
      </c>
      <c r="B82">
        <v>18</v>
      </c>
      <c r="C82" t="s">
        <v>266</v>
      </c>
      <c r="D82">
        <v>30</v>
      </c>
      <c r="E82">
        <v>12136</v>
      </c>
      <c r="F82">
        <v>2392</v>
      </c>
      <c r="G82" s="4">
        <f t="shared" si="2"/>
        <v>0.1970995385629532</v>
      </c>
    </row>
    <row r="83" spans="1:7">
      <c r="A83" t="s">
        <v>219</v>
      </c>
      <c r="B83">
        <v>18</v>
      </c>
      <c r="C83" t="s">
        <v>267</v>
      </c>
      <c r="D83">
        <v>31</v>
      </c>
      <c r="E83">
        <v>12136</v>
      </c>
      <c r="F83">
        <v>3321</v>
      </c>
      <c r="G83" s="4">
        <f t="shared" si="2"/>
        <v>0.27364864864864863</v>
      </c>
    </row>
    <row r="84" spans="1:7">
      <c r="A84" t="s">
        <v>219</v>
      </c>
      <c r="B84">
        <v>18</v>
      </c>
      <c r="C84" t="s">
        <v>268</v>
      </c>
      <c r="D84">
        <v>32</v>
      </c>
      <c r="E84">
        <v>12136</v>
      </c>
      <c r="F84">
        <v>3384</v>
      </c>
      <c r="G84" s="4">
        <f t="shared" si="2"/>
        <v>0.27883981542518127</v>
      </c>
    </row>
    <row r="85" spans="1:7">
      <c r="A85" t="s">
        <v>219</v>
      </c>
      <c r="B85">
        <v>18</v>
      </c>
      <c r="C85" t="s">
        <v>269</v>
      </c>
      <c r="D85">
        <v>33</v>
      </c>
      <c r="E85">
        <v>12136</v>
      </c>
      <c r="F85">
        <v>3409</v>
      </c>
      <c r="G85" s="4">
        <f t="shared" si="2"/>
        <v>0.28089980224126565</v>
      </c>
    </row>
    <row r="86" spans="1:7">
      <c r="A86" t="s">
        <v>219</v>
      </c>
      <c r="B86">
        <v>18</v>
      </c>
      <c r="C86" t="s">
        <v>270</v>
      </c>
      <c r="D86">
        <v>34</v>
      </c>
      <c r="E86">
        <v>12136</v>
      </c>
      <c r="F86">
        <v>3486</v>
      </c>
      <c r="G86" s="4">
        <f t="shared" si="2"/>
        <v>0.28724456163480555</v>
      </c>
    </row>
    <row r="87" spans="1:7">
      <c r="A87" t="s">
        <v>219</v>
      </c>
      <c r="B87">
        <v>18</v>
      </c>
      <c r="C87" t="s">
        <v>271</v>
      </c>
      <c r="D87">
        <v>35</v>
      </c>
      <c r="E87">
        <v>12136</v>
      </c>
      <c r="F87">
        <v>3569</v>
      </c>
      <c r="G87" s="4">
        <f t="shared" si="2"/>
        <v>0.29408371786420567</v>
      </c>
    </row>
    <row r="88" spans="1:7">
      <c r="A88" t="s">
        <v>219</v>
      </c>
      <c r="B88">
        <v>18</v>
      </c>
      <c r="C88" t="s">
        <v>272</v>
      </c>
      <c r="D88">
        <v>36</v>
      </c>
      <c r="E88">
        <v>12136</v>
      </c>
      <c r="F88">
        <v>3666</v>
      </c>
      <c r="G88" s="4">
        <f t="shared" si="2"/>
        <v>0.30207646671061306</v>
      </c>
    </row>
    <row r="89" spans="1:7">
      <c r="A89" t="s">
        <v>219</v>
      </c>
      <c r="B89">
        <v>18</v>
      </c>
      <c r="C89" t="s">
        <v>273</v>
      </c>
      <c r="D89">
        <v>37</v>
      </c>
      <c r="E89">
        <v>12136</v>
      </c>
      <c r="F89">
        <v>4575</v>
      </c>
      <c r="G89" s="4">
        <f t="shared" si="2"/>
        <v>0.376977587343441</v>
      </c>
    </row>
    <row r="90" spans="1:7">
      <c r="A90" t="s">
        <v>219</v>
      </c>
      <c r="B90">
        <v>18</v>
      </c>
      <c r="C90" t="s">
        <v>274</v>
      </c>
      <c r="D90">
        <v>38</v>
      </c>
      <c r="E90">
        <v>12136</v>
      </c>
      <c r="F90">
        <v>4789</v>
      </c>
      <c r="G90" s="4">
        <f t="shared" si="2"/>
        <v>0.39461107448912325</v>
      </c>
    </row>
    <row r="91" spans="1:7">
      <c r="A91" t="s">
        <v>219</v>
      </c>
      <c r="B91">
        <v>18</v>
      </c>
      <c r="C91" t="s">
        <v>275</v>
      </c>
      <c r="D91">
        <v>39</v>
      </c>
      <c r="E91">
        <v>12136</v>
      </c>
      <c r="F91">
        <v>6222</v>
      </c>
      <c r="G91" s="4">
        <f t="shared" si="2"/>
        <v>0.5126895187870798</v>
      </c>
    </row>
    <row r="92" spans="1:7">
      <c r="A92" t="s">
        <v>219</v>
      </c>
      <c r="B92">
        <v>18</v>
      </c>
      <c r="C92" t="s">
        <v>276</v>
      </c>
      <c r="D92">
        <v>40</v>
      </c>
      <c r="E92">
        <v>12136</v>
      </c>
      <c r="F92">
        <v>9886</v>
      </c>
      <c r="G92" s="4">
        <f t="shared" si="2"/>
        <v>0.8146011865524061</v>
      </c>
    </row>
    <row r="93" spans="1:7">
      <c r="A93" t="s">
        <v>219</v>
      </c>
      <c r="B93">
        <v>18</v>
      </c>
      <c r="C93" t="s">
        <v>277</v>
      </c>
      <c r="D93">
        <v>41</v>
      </c>
      <c r="E93">
        <v>12136</v>
      </c>
      <c r="F93">
        <v>9940</v>
      </c>
      <c r="G93" s="4">
        <f t="shared" si="2"/>
        <v>0.81905075807514827</v>
      </c>
    </row>
    <row r="94" spans="1:7">
      <c r="A94" t="s">
        <v>219</v>
      </c>
      <c r="B94">
        <v>18</v>
      </c>
      <c r="C94" t="s">
        <v>278</v>
      </c>
      <c r="D94">
        <v>42</v>
      </c>
      <c r="E94">
        <v>12136</v>
      </c>
      <c r="F94">
        <v>9951</v>
      </c>
      <c r="G94" s="4">
        <f t="shared" si="2"/>
        <v>0.8199571522742255</v>
      </c>
    </row>
    <row r="95" spans="1:7">
      <c r="A95" t="s">
        <v>219</v>
      </c>
      <c r="B95">
        <v>18</v>
      </c>
      <c r="C95" t="s">
        <v>279</v>
      </c>
      <c r="D95">
        <v>43</v>
      </c>
      <c r="E95">
        <v>12136</v>
      </c>
      <c r="F95">
        <v>10238</v>
      </c>
      <c r="G95" s="4">
        <f t="shared" si="2"/>
        <v>0.84360580092287407</v>
      </c>
    </row>
    <row r="96" spans="1:7">
      <c r="A96" t="s">
        <v>219</v>
      </c>
      <c r="B96">
        <v>18</v>
      </c>
      <c r="C96" t="s">
        <v>281</v>
      </c>
      <c r="D96">
        <v>44</v>
      </c>
      <c r="E96">
        <v>12136</v>
      </c>
      <c r="F96">
        <v>11516</v>
      </c>
      <c r="G96" s="4">
        <f t="shared" si="2"/>
        <v>0.9489123269611075</v>
      </c>
    </row>
    <row r="97" spans="1:7">
      <c r="A97" t="s">
        <v>219</v>
      </c>
      <c r="B97">
        <v>18</v>
      </c>
      <c r="C97" t="s">
        <v>282</v>
      </c>
      <c r="D97">
        <v>45</v>
      </c>
      <c r="E97">
        <v>12136</v>
      </c>
      <c r="F97">
        <v>12575</v>
      </c>
      <c r="G97" s="4">
        <f t="shared" si="2"/>
        <v>1.0361733684904417</v>
      </c>
    </row>
    <row r="98" spans="1:7">
      <c r="A98" t="s">
        <v>219</v>
      </c>
      <c r="B98">
        <v>18</v>
      </c>
      <c r="C98" t="s">
        <v>280</v>
      </c>
      <c r="D98">
        <v>46</v>
      </c>
      <c r="E98">
        <v>12136</v>
      </c>
      <c r="F98">
        <v>12678</v>
      </c>
      <c r="G98" s="4">
        <f t="shared" si="2"/>
        <v>1.0446605141727092</v>
      </c>
    </row>
    <row r="99" spans="1:7">
      <c r="A99" t="s">
        <v>219</v>
      </c>
      <c r="B99">
        <v>19</v>
      </c>
      <c r="C99" t="s">
        <v>2</v>
      </c>
      <c r="D99">
        <v>1</v>
      </c>
      <c r="E99">
        <v>10747</v>
      </c>
      <c r="F99">
        <v>147</v>
      </c>
      <c r="G99" s="4">
        <f t="shared" si="2"/>
        <v>1.3678235786731181E-2</v>
      </c>
    </row>
    <row r="100" spans="1:7">
      <c r="A100" t="s">
        <v>219</v>
      </c>
      <c r="B100">
        <v>19</v>
      </c>
      <c r="C100" t="s">
        <v>1</v>
      </c>
      <c r="D100">
        <v>2</v>
      </c>
      <c r="E100">
        <v>10747</v>
      </c>
      <c r="F100">
        <v>280</v>
      </c>
      <c r="G100" s="4">
        <f t="shared" si="2"/>
        <v>2.6053782450916534E-2</v>
      </c>
    </row>
    <row r="101" spans="1:7">
      <c r="A101" t="s">
        <v>219</v>
      </c>
      <c r="B101">
        <v>19</v>
      </c>
      <c r="C101" t="s">
        <v>239</v>
      </c>
      <c r="D101">
        <v>3</v>
      </c>
      <c r="E101">
        <v>10747</v>
      </c>
      <c r="F101">
        <v>2206</v>
      </c>
      <c r="G101" s="4">
        <f t="shared" si="2"/>
        <v>0.20526658602400669</v>
      </c>
    </row>
    <row r="102" spans="1:7">
      <c r="A102" t="s">
        <v>219</v>
      </c>
      <c r="B102">
        <v>19</v>
      </c>
      <c r="C102" t="s">
        <v>283</v>
      </c>
      <c r="D102">
        <v>4</v>
      </c>
      <c r="E102">
        <v>10747</v>
      </c>
      <c r="F102">
        <v>2370</v>
      </c>
      <c r="G102" s="4">
        <f t="shared" si="2"/>
        <v>0.22052665860240067</v>
      </c>
    </row>
    <row r="103" spans="1:7">
      <c r="A103" t="s">
        <v>219</v>
      </c>
      <c r="B103">
        <v>19</v>
      </c>
      <c r="C103" t="s">
        <v>284</v>
      </c>
      <c r="D103">
        <v>5</v>
      </c>
      <c r="E103">
        <v>10747</v>
      </c>
      <c r="F103">
        <v>7541</v>
      </c>
      <c r="G103" s="4">
        <f t="shared" si="2"/>
        <v>0.70168419093700563</v>
      </c>
    </row>
    <row r="104" spans="1:7">
      <c r="A104" t="s">
        <v>219</v>
      </c>
      <c r="B104">
        <v>19</v>
      </c>
      <c r="C104" t="s">
        <v>285</v>
      </c>
      <c r="D104">
        <v>6</v>
      </c>
      <c r="E104">
        <v>10747</v>
      </c>
      <c r="F104">
        <v>8378</v>
      </c>
      <c r="G104" s="4">
        <f t="shared" si="2"/>
        <v>0.77956639062063837</v>
      </c>
    </row>
    <row r="105" spans="1:7">
      <c r="A105" t="s">
        <v>219</v>
      </c>
      <c r="B105">
        <v>19</v>
      </c>
      <c r="C105" t="s">
        <v>287</v>
      </c>
      <c r="D105">
        <v>7</v>
      </c>
      <c r="E105">
        <v>10747</v>
      </c>
      <c r="F105">
        <v>8660</v>
      </c>
      <c r="G105" s="4">
        <f t="shared" si="2"/>
        <v>0.80580627151763284</v>
      </c>
    </row>
    <row r="106" spans="1:7">
      <c r="A106" t="s">
        <v>219</v>
      </c>
      <c r="B106">
        <v>19</v>
      </c>
      <c r="C106" t="s">
        <v>288</v>
      </c>
      <c r="D106">
        <v>8</v>
      </c>
      <c r="E106">
        <v>10747</v>
      </c>
      <c r="F106">
        <v>8669</v>
      </c>
      <c r="G106" s="4">
        <f t="shared" si="2"/>
        <v>0.80664371452498373</v>
      </c>
    </row>
    <row r="107" spans="1:7">
      <c r="A107" t="s">
        <v>219</v>
      </c>
      <c r="B107">
        <v>19</v>
      </c>
      <c r="C107" t="s">
        <v>286</v>
      </c>
      <c r="D107">
        <v>9</v>
      </c>
      <c r="E107">
        <v>10747</v>
      </c>
      <c r="F107">
        <v>8703</v>
      </c>
      <c r="G107" s="4">
        <f t="shared" si="2"/>
        <v>0.80980738810830932</v>
      </c>
    </row>
    <row r="108" spans="1:7">
      <c r="A108" t="s">
        <v>219</v>
      </c>
      <c r="B108">
        <v>19</v>
      </c>
      <c r="C108" t="s">
        <v>290</v>
      </c>
      <c r="D108">
        <v>10</v>
      </c>
      <c r="E108">
        <v>10747</v>
      </c>
      <c r="F108">
        <v>8750</v>
      </c>
      <c r="G108" s="4">
        <f t="shared" si="2"/>
        <v>0.81418070159114175</v>
      </c>
    </row>
    <row r="109" spans="1:7">
      <c r="A109" t="s">
        <v>219</v>
      </c>
      <c r="B109">
        <v>19</v>
      </c>
      <c r="C109" t="s">
        <v>289</v>
      </c>
      <c r="D109">
        <v>11</v>
      </c>
      <c r="E109">
        <v>10747</v>
      </c>
      <c r="F109">
        <v>8786</v>
      </c>
      <c r="G109" s="4">
        <f t="shared" si="2"/>
        <v>0.81753047362054532</v>
      </c>
    </row>
    <row r="110" spans="1:7">
      <c r="A110" t="s">
        <v>219</v>
      </c>
      <c r="B110">
        <v>19</v>
      </c>
      <c r="C110" t="s">
        <v>291</v>
      </c>
      <c r="D110">
        <v>12</v>
      </c>
      <c r="E110">
        <v>10747</v>
      </c>
      <c r="F110">
        <v>8795</v>
      </c>
      <c r="G110" s="4">
        <f t="shared" si="2"/>
        <v>0.81836791662789621</v>
      </c>
    </row>
    <row r="111" spans="1:7">
      <c r="A111" t="s">
        <v>219</v>
      </c>
      <c r="B111">
        <v>19</v>
      </c>
      <c r="C111" t="s">
        <v>294</v>
      </c>
      <c r="D111">
        <v>13</v>
      </c>
      <c r="E111">
        <v>10747</v>
      </c>
      <c r="F111">
        <v>8808</v>
      </c>
      <c r="G111" s="4">
        <f t="shared" si="2"/>
        <v>0.81957755652740305</v>
      </c>
    </row>
    <row r="112" spans="1:7">
      <c r="A112" t="s">
        <v>219</v>
      </c>
      <c r="B112">
        <v>19</v>
      </c>
      <c r="C112" t="s">
        <v>293</v>
      </c>
      <c r="D112">
        <v>14</v>
      </c>
      <c r="E112">
        <v>10747</v>
      </c>
      <c r="F112">
        <v>8827</v>
      </c>
      <c r="G112" s="4">
        <f t="shared" si="2"/>
        <v>0.82134549176514371</v>
      </c>
    </row>
    <row r="113" spans="1:7">
      <c r="A113" t="s">
        <v>219</v>
      </c>
      <c r="B113">
        <v>19</v>
      </c>
      <c r="C113" t="s">
        <v>292</v>
      </c>
      <c r="D113">
        <v>15</v>
      </c>
      <c r="E113">
        <v>10747</v>
      </c>
      <c r="F113">
        <v>8871</v>
      </c>
      <c r="G113" s="4">
        <f t="shared" si="2"/>
        <v>0.82543965757885918</v>
      </c>
    </row>
    <row r="114" spans="1:7">
      <c r="A114" t="s">
        <v>219</v>
      </c>
      <c r="B114">
        <v>19</v>
      </c>
      <c r="C114" t="s">
        <v>296</v>
      </c>
      <c r="D114">
        <v>16</v>
      </c>
      <c r="E114">
        <v>10747</v>
      </c>
      <c r="F114">
        <v>9023</v>
      </c>
      <c r="G114" s="4">
        <f t="shared" si="2"/>
        <v>0.83958313948078533</v>
      </c>
    </row>
    <row r="115" spans="1:7">
      <c r="A115" t="s">
        <v>219</v>
      </c>
      <c r="B115">
        <v>19</v>
      </c>
      <c r="C115" t="s">
        <v>298</v>
      </c>
      <c r="D115">
        <v>17</v>
      </c>
      <c r="E115">
        <v>10747</v>
      </c>
      <c r="F115">
        <v>9505</v>
      </c>
      <c r="G115" s="4">
        <f t="shared" si="2"/>
        <v>0.88443286498557738</v>
      </c>
    </row>
    <row r="116" spans="1:7">
      <c r="A116" t="s">
        <v>219</v>
      </c>
      <c r="B116">
        <v>19</v>
      </c>
      <c r="C116" t="s">
        <v>301</v>
      </c>
      <c r="D116">
        <v>18</v>
      </c>
      <c r="E116">
        <v>10747</v>
      </c>
      <c r="F116">
        <v>10052</v>
      </c>
      <c r="G116" s="4">
        <f t="shared" si="2"/>
        <v>0.93533078998790364</v>
      </c>
    </row>
    <row r="117" spans="1:7">
      <c r="A117" t="s">
        <v>219</v>
      </c>
      <c r="B117">
        <v>19</v>
      </c>
      <c r="C117" t="s">
        <v>295</v>
      </c>
      <c r="D117">
        <v>19</v>
      </c>
      <c r="E117">
        <v>10747</v>
      </c>
      <c r="F117">
        <v>10138</v>
      </c>
      <c r="G117" s="4">
        <f t="shared" si="2"/>
        <v>0.94333302316925649</v>
      </c>
    </row>
    <row r="118" spans="1:7">
      <c r="A118" t="s">
        <v>219</v>
      </c>
      <c r="B118">
        <v>19</v>
      </c>
      <c r="C118" t="s">
        <v>303</v>
      </c>
      <c r="D118">
        <v>20</v>
      </c>
      <c r="E118">
        <v>10747</v>
      </c>
      <c r="F118">
        <v>10150</v>
      </c>
      <c r="G118" s="4">
        <f t="shared" si="2"/>
        <v>0.94444961384572435</v>
      </c>
    </row>
    <row r="119" spans="1:7">
      <c r="A119" t="s">
        <v>219</v>
      </c>
      <c r="B119">
        <v>19</v>
      </c>
      <c r="C119" t="s">
        <v>304</v>
      </c>
      <c r="D119">
        <v>21</v>
      </c>
      <c r="E119">
        <v>10747</v>
      </c>
      <c r="F119">
        <v>10260</v>
      </c>
      <c r="G119" s="4">
        <f t="shared" si="2"/>
        <v>0.95468502838001301</v>
      </c>
    </row>
    <row r="120" spans="1:7">
      <c r="A120" t="s">
        <v>219</v>
      </c>
      <c r="B120">
        <v>19</v>
      </c>
      <c r="C120" t="s">
        <v>297</v>
      </c>
      <c r="D120">
        <v>22</v>
      </c>
      <c r="E120">
        <v>10747</v>
      </c>
      <c r="F120">
        <v>10294</v>
      </c>
      <c r="G120" s="4">
        <f t="shared" si="2"/>
        <v>0.9578487019633386</v>
      </c>
    </row>
    <row r="121" spans="1:7">
      <c r="A121" t="s">
        <v>219</v>
      </c>
      <c r="B121">
        <v>19</v>
      </c>
      <c r="C121" t="s">
        <v>305</v>
      </c>
      <c r="D121">
        <v>23</v>
      </c>
      <c r="E121">
        <v>10747</v>
      </c>
      <c r="F121">
        <v>10401</v>
      </c>
      <c r="G121" s="4">
        <f t="shared" si="2"/>
        <v>0.9678049688285103</v>
      </c>
    </row>
    <row r="122" spans="1:7">
      <c r="A122" t="s">
        <v>219</v>
      </c>
      <c r="B122">
        <v>19</v>
      </c>
      <c r="C122" t="s">
        <v>306</v>
      </c>
      <c r="D122">
        <v>24</v>
      </c>
      <c r="E122">
        <v>10747</v>
      </c>
      <c r="F122">
        <v>10573</v>
      </c>
      <c r="G122" s="4">
        <f t="shared" si="2"/>
        <v>0.98380943519121611</v>
      </c>
    </row>
    <row r="123" spans="1:7">
      <c r="A123" t="s">
        <v>219</v>
      </c>
      <c r="B123">
        <v>19</v>
      </c>
      <c r="C123" t="s">
        <v>307</v>
      </c>
      <c r="D123">
        <v>25</v>
      </c>
      <c r="E123">
        <v>10747</v>
      </c>
      <c r="F123">
        <v>11225</v>
      </c>
      <c r="G123" s="4">
        <f t="shared" si="2"/>
        <v>1.044477528612636</v>
      </c>
    </row>
    <row r="124" spans="1:7">
      <c r="A124" t="s">
        <v>219</v>
      </c>
      <c r="B124">
        <v>19</v>
      </c>
      <c r="C124" t="s">
        <v>300</v>
      </c>
      <c r="D124">
        <v>26</v>
      </c>
      <c r="E124">
        <v>10747</v>
      </c>
      <c r="F124">
        <v>11286</v>
      </c>
      <c r="G124" s="4">
        <f t="shared" si="2"/>
        <v>1.0501535312180144</v>
      </c>
    </row>
    <row r="125" spans="1:7">
      <c r="A125" t="s">
        <v>219</v>
      </c>
      <c r="B125">
        <v>19</v>
      </c>
      <c r="C125" t="s">
        <v>299</v>
      </c>
      <c r="D125">
        <v>27</v>
      </c>
      <c r="E125">
        <v>10747</v>
      </c>
      <c r="F125">
        <v>11327</v>
      </c>
      <c r="G125" s="4">
        <f t="shared" si="2"/>
        <v>1.0539685493626127</v>
      </c>
    </row>
    <row r="126" spans="1:7">
      <c r="A126" t="s">
        <v>219</v>
      </c>
      <c r="B126">
        <v>19</v>
      </c>
      <c r="C126" t="s">
        <v>302</v>
      </c>
      <c r="D126">
        <v>28</v>
      </c>
      <c r="E126">
        <v>10747</v>
      </c>
      <c r="F126">
        <v>11329</v>
      </c>
      <c r="G126" s="4">
        <f t="shared" si="2"/>
        <v>1.0541546478086907</v>
      </c>
    </row>
    <row r="127" spans="1:7">
      <c r="A127" t="s">
        <v>219</v>
      </c>
      <c r="B127">
        <v>20</v>
      </c>
      <c r="C127" t="s">
        <v>308</v>
      </c>
      <c r="D127">
        <v>1</v>
      </c>
      <c r="E127">
        <v>6183</v>
      </c>
      <c r="F127">
        <v>552</v>
      </c>
      <c r="G127" s="4">
        <f t="shared" si="2"/>
        <v>8.9277049975739931E-2</v>
      </c>
    </row>
    <row r="128" spans="1:7">
      <c r="A128" t="s">
        <v>219</v>
      </c>
      <c r="B128">
        <v>20</v>
      </c>
      <c r="C128" t="s">
        <v>309</v>
      </c>
      <c r="D128">
        <v>2</v>
      </c>
      <c r="E128">
        <v>6183</v>
      </c>
      <c r="F128">
        <v>641</v>
      </c>
      <c r="G128" s="4">
        <f t="shared" si="2"/>
        <v>0.10367135694646612</v>
      </c>
    </row>
    <row r="129" spans="1:7">
      <c r="A129" t="s">
        <v>219</v>
      </c>
      <c r="B129">
        <v>20</v>
      </c>
      <c r="C129" t="s">
        <v>310</v>
      </c>
      <c r="D129">
        <v>3</v>
      </c>
      <c r="E129">
        <v>6183</v>
      </c>
      <c r="F129">
        <v>651</v>
      </c>
      <c r="G129" s="4">
        <f t="shared" si="2"/>
        <v>0.10528869480834546</v>
      </c>
    </row>
    <row r="130" spans="1:7">
      <c r="A130" t="s">
        <v>219</v>
      </c>
      <c r="B130">
        <v>20</v>
      </c>
      <c r="C130" t="s">
        <v>311</v>
      </c>
      <c r="D130">
        <v>4</v>
      </c>
      <c r="E130">
        <v>6183</v>
      </c>
      <c r="F130">
        <v>675</v>
      </c>
      <c r="G130" s="4">
        <f t="shared" si="2"/>
        <v>0.1091703056768559</v>
      </c>
    </row>
    <row r="131" spans="1:7">
      <c r="A131" t="s">
        <v>219</v>
      </c>
      <c r="B131">
        <v>20</v>
      </c>
      <c r="C131" t="s">
        <v>312</v>
      </c>
      <c r="D131">
        <v>5</v>
      </c>
      <c r="E131">
        <v>6183</v>
      </c>
      <c r="F131">
        <v>703</v>
      </c>
      <c r="G131" s="4">
        <f t="shared" ref="G131:G194" si="3">F131/E131</f>
        <v>0.11369885169011806</v>
      </c>
    </row>
    <row r="132" spans="1:7">
      <c r="A132" t="s">
        <v>219</v>
      </c>
      <c r="B132">
        <v>20</v>
      </c>
      <c r="C132" t="s">
        <v>313</v>
      </c>
      <c r="D132">
        <v>6</v>
      </c>
      <c r="E132">
        <v>6183</v>
      </c>
      <c r="F132">
        <v>726</v>
      </c>
      <c r="G132" s="4">
        <f t="shared" si="3"/>
        <v>0.11741872877244056</v>
      </c>
    </row>
    <row r="133" spans="1:7">
      <c r="A133" t="s">
        <v>219</v>
      </c>
      <c r="B133">
        <v>20</v>
      </c>
      <c r="C133" t="s">
        <v>314</v>
      </c>
      <c r="D133">
        <v>7</v>
      </c>
      <c r="E133">
        <v>6183</v>
      </c>
      <c r="F133">
        <v>731</v>
      </c>
      <c r="G133" s="4">
        <f t="shared" si="3"/>
        <v>0.11822739770338024</v>
      </c>
    </row>
    <row r="134" spans="1:7">
      <c r="A134" t="s">
        <v>219</v>
      </c>
      <c r="B134">
        <v>20</v>
      </c>
      <c r="C134" t="s">
        <v>315</v>
      </c>
      <c r="D134">
        <v>8</v>
      </c>
      <c r="E134">
        <v>6183</v>
      </c>
      <c r="F134">
        <v>751</v>
      </c>
      <c r="G134" s="4">
        <f t="shared" si="3"/>
        <v>0.12146207342713893</v>
      </c>
    </row>
    <row r="135" spans="1:7">
      <c r="A135" t="s">
        <v>219</v>
      </c>
      <c r="B135">
        <v>20</v>
      </c>
      <c r="C135" t="s">
        <v>316</v>
      </c>
      <c r="D135">
        <v>9</v>
      </c>
      <c r="E135">
        <v>6183</v>
      </c>
      <c r="F135">
        <v>762</v>
      </c>
      <c r="G135" s="4">
        <f t="shared" si="3"/>
        <v>0.12324114507520621</v>
      </c>
    </row>
    <row r="136" spans="1:7">
      <c r="A136" t="s">
        <v>219</v>
      </c>
      <c r="B136">
        <v>20</v>
      </c>
      <c r="C136" t="s">
        <v>317</v>
      </c>
      <c r="D136">
        <v>10</v>
      </c>
      <c r="E136">
        <v>6183</v>
      </c>
      <c r="F136">
        <v>827</v>
      </c>
      <c r="G136" s="4">
        <f t="shared" si="3"/>
        <v>0.13375384117742195</v>
      </c>
    </row>
    <row r="137" spans="1:7">
      <c r="A137" t="s">
        <v>219</v>
      </c>
      <c r="B137">
        <v>20</v>
      </c>
      <c r="C137" t="s">
        <v>318</v>
      </c>
      <c r="D137">
        <v>11</v>
      </c>
      <c r="E137">
        <v>6183</v>
      </c>
      <c r="F137">
        <v>831</v>
      </c>
      <c r="G137" s="4">
        <f t="shared" si="3"/>
        <v>0.1344007763221737</v>
      </c>
    </row>
    <row r="138" spans="1:7">
      <c r="A138" t="s">
        <v>219</v>
      </c>
      <c r="B138">
        <v>20</v>
      </c>
      <c r="C138" t="s">
        <v>319</v>
      </c>
      <c r="D138">
        <v>12</v>
      </c>
      <c r="E138">
        <v>6183</v>
      </c>
      <c r="F138">
        <v>845</v>
      </c>
      <c r="G138" s="4">
        <f t="shared" si="3"/>
        <v>0.1366650493288048</v>
      </c>
    </row>
    <row r="139" spans="1:7">
      <c r="A139" t="s">
        <v>219</v>
      </c>
      <c r="B139">
        <v>20</v>
      </c>
      <c r="C139" t="s">
        <v>320</v>
      </c>
      <c r="D139">
        <v>13</v>
      </c>
      <c r="E139">
        <v>6183</v>
      </c>
      <c r="F139">
        <v>860</v>
      </c>
      <c r="G139" s="4">
        <f t="shared" si="3"/>
        <v>0.13909105612162381</v>
      </c>
    </row>
    <row r="140" spans="1:7">
      <c r="A140" t="s">
        <v>219</v>
      </c>
      <c r="B140">
        <v>20</v>
      </c>
      <c r="C140" t="s">
        <v>321</v>
      </c>
      <c r="D140">
        <v>14</v>
      </c>
      <c r="E140">
        <v>6183</v>
      </c>
      <c r="F140">
        <v>915</v>
      </c>
      <c r="G140" s="4">
        <f t="shared" si="3"/>
        <v>0.14798641436196022</v>
      </c>
    </row>
    <row r="141" spans="1:7">
      <c r="A141" t="s">
        <v>219</v>
      </c>
      <c r="B141">
        <v>20</v>
      </c>
      <c r="C141" t="s">
        <v>322</v>
      </c>
      <c r="D141">
        <v>15</v>
      </c>
      <c r="E141">
        <v>6183</v>
      </c>
      <c r="F141">
        <v>960</v>
      </c>
      <c r="G141" s="4">
        <f t="shared" si="3"/>
        <v>0.15526443474041726</v>
      </c>
    </row>
    <row r="142" spans="1:7">
      <c r="A142" t="s">
        <v>219</v>
      </c>
      <c r="B142">
        <v>20</v>
      </c>
      <c r="C142" t="s">
        <v>323</v>
      </c>
      <c r="D142">
        <v>16</v>
      </c>
      <c r="E142">
        <v>6183</v>
      </c>
      <c r="F142">
        <v>976</v>
      </c>
      <c r="G142" s="4">
        <f t="shared" si="3"/>
        <v>0.15785217531942422</v>
      </c>
    </row>
    <row r="143" spans="1:7">
      <c r="A143" t="s">
        <v>219</v>
      </c>
      <c r="B143">
        <v>20</v>
      </c>
      <c r="C143" t="s">
        <v>324</v>
      </c>
      <c r="D143">
        <v>17</v>
      </c>
      <c r="E143">
        <v>6183</v>
      </c>
      <c r="F143">
        <v>988</v>
      </c>
      <c r="G143" s="4">
        <f t="shared" si="3"/>
        <v>0.15979298075367945</v>
      </c>
    </row>
    <row r="144" spans="1:7">
      <c r="A144" t="s">
        <v>219</v>
      </c>
      <c r="B144">
        <v>20</v>
      </c>
      <c r="C144" t="s">
        <v>325</v>
      </c>
      <c r="D144">
        <v>18</v>
      </c>
      <c r="E144">
        <v>6183</v>
      </c>
      <c r="F144">
        <v>1061</v>
      </c>
      <c r="G144" s="4">
        <f t="shared" si="3"/>
        <v>0.17159954714539868</v>
      </c>
    </row>
    <row r="145" spans="1:7">
      <c r="A145" t="s">
        <v>219</v>
      </c>
      <c r="B145">
        <v>20</v>
      </c>
      <c r="C145" t="s">
        <v>326</v>
      </c>
      <c r="D145">
        <v>19</v>
      </c>
      <c r="E145">
        <v>6183</v>
      </c>
      <c r="F145">
        <v>1086</v>
      </c>
      <c r="G145" s="4">
        <f t="shared" si="3"/>
        <v>0.17564289180009704</v>
      </c>
    </row>
    <row r="146" spans="1:7">
      <c r="A146" t="s">
        <v>219</v>
      </c>
      <c r="B146">
        <v>20</v>
      </c>
      <c r="C146" t="s">
        <v>328</v>
      </c>
      <c r="D146">
        <v>20</v>
      </c>
      <c r="E146">
        <v>6183</v>
      </c>
      <c r="F146">
        <v>1132</v>
      </c>
      <c r="G146" s="4">
        <f t="shared" si="3"/>
        <v>0.18308264596474202</v>
      </c>
    </row>
    <row r="147" spans="1:7">
      <c r="A147" t="s">
        <v>219</v>
      </c>
      <c r="B147">
        <v>20</v>
      </c>
      <c r="C147" t="s">
        <v>327</v>
      </c>
      <c r="D147">
        <v>21</v>
      </c>
      <c r="E147">
        <v>6183</v>
      </c>
      <c r="F147">
        <v>1144</v>
      </c>
      <c r="G147" s="4">
        <f t="shared" si="3"/>
        <v>0.18502345139899726</v>
      </c>
    </row>
    <row r="148" spans="1:7">
      <c r="A148" t="s">
        <v>219</v>
      </c>
      <c r="B148">
        <v>20</v>
      </c>
      <c r="C148" t="s">
        <v>329</v>
      </c>
      <c r="D148">
        <v>22</v>
      </c>
      <c r="E148">
        <v>6183</v>
      </c>
      <c r="F148">
        <v>1197</v>
      </c>
      <c r="G148" s="4">
        <f t="shared" si="3"/>
        <v>0.19359534206695778</v>
      </c>
    </row>
    <row r="149" spans="1:7">
      <c r="A149" t="s">
        <v>219</v>
      </c>
      <c r="B149">
        <v>20</v>
      </c>
      <c r="C149" t="s">
        <v>330</v>
      </c>
      <c r="D149">
        <v>23</v>
      </c>
      <c r="E149">
        <v>6183</v>
      </c>
      <c r="F149">
        <v>5253</v>
      </c>
      <c r="G149" s="4">
        <f t="shared" si="3"/>
        <v>0.84958757884522074</v>
      </c>
    </row>
    <row r="150" spans="1:7">
      <c r="A150" t="s">
        <v>219</v>
      </c>
      <c r="B150">
        <v>20</v>
      </c>
      <c r="C150" t="s">
        <v>331</v>
      </c>
      <c r="D150">
        <v>24</v>
      </c>
      <c r="E150">
        <v>6183</v>
      </c>
      <c r="F150">
        <v>5299</v>
      </c>
      <c r="G150" s="4">
        <f t="shared" si="3"/>
        <v>0.85702733300986578</v>
      </c>
    </row>
    <row r="151" spans="1:7">
      <c r="A151" t="s">
        <v>219</v>
      </c>
      <c r="B151">
        <v>20</v>
      </c>
      <c r="C151" t="s">
        <v>333</v>
      </c>
      <c r="D151">
        <v>25</v>
      </c>
      <c r="E151">
        <v>6183</v>
      </c>
      <c r="F151">
        <v>5379</v>
      </c>
      <c r="G151" s="4">
        <f t="shared" si="3"/>
        <v>0.86996603590490051</v>
      </c>
    </row>
    <row r="152" spans="1:7">
      <c r="A152" t="s">
        <v>219</v>
      </c>
      <c r="B152">
        <v>20</v>
      </c>
      <c r="C152" t="s">
        <v>334</v>
      </c>
      <c r="D152">
        <v>26</v>
      </c>
      <c r="E152">
        <v>6183</v>
      </c>
      <c r="F152">
        <v>5425</v>
      </c>
      <c r="G152" s="4">
        <f t="shared" si="3"/>
        <v>0.87740579006954555</v>
      </c>
    </row>
    <row r="153" spans="1:7">
      <c r="A153" t="s">
        <v>219</v>
      </c>
      <c r="B153">
        <v>20</v>
      </c>
      <c r="C153" t="s">
        <v>335</v>
      </c>
      <c r="D153">
        <v>27</v>
      </c>
      <c r="E153">
        <v>6183</v>
      </c>
      <c r="F153">
        <v>5443</v>
      </c>
      <c r="G153" s="4">
        <f t="shared" si="3"/>
        <v>0.88031699822092835</v>
      </c>
    </row>
    <row r="154" spans="1:7">
      <c r="A154" t="s">
        <v>219</v>
      </c>
      <c r="B154">
        <v>20</v>
      </c>
      <c r="C154" t="s">
        <v>336</v>
      </c>
      <c r="D154">
        <v>28</v>
      </c>
      <c r="E154">
        <v>6183</v>
      </c>
      <c r="F154">
        <v>5531</v>
      </c>
      <c r="G154" s="4">
        <f t="shared" si="3"/>
        <v>0.89454957140546665</v>
      </c>
    </row>
    <row r="155" spans="1:7">
      <c r="A155" t="s">
        <v>219</v>
      </c>
      <c r="B155">
        <v>20</v>
      </c>
      <c r="C155" t="s">
        <v>337</v>
      </c>
      <c r="D155">
        <v>29</v>
      </c>
      <c r="E155">
        <v>6183</v>
      </c>
      <c r="F155">
        <v>5601</v>
      </c>
      <c r="G155" s="4">
        <f t="shared" si="3"/>
        <v>0.90587093643862204</v>
      </c>
    </row>
    <row r="156" spans="1:7">
      <c r="A156" t="s">
        <v>219</v>
      </c>
      <c r="B156">
        <v>20</v>
      </c>
      <c r="C156" t="s">
        <v>338</v>
      </c>
      <c r="D156">
        <v>30</v>
      </c>
      <c r="E156">
        <v>6183</v>
      </c>
      <c r="F156">
        <v>5632</v>
      </c>
      <c r="G156" s="4">
        <f t="shared" si="3"/>
        <v>0.91088468381044796</v>
      </c>
    </row>
    <row r="157" spans="1:7">
      <c r="A157" t="s">
        <v>219</v>
      </c>
      <c r="B157">
        <v>20</v>
      </c>
      <c r="C157" t="s">
        <v>339</v>
      </c>
      <c r="D157">
        <v>31</v>
      </c>
      <c r="E157">
        <v>6183</v>
      </c>
      <c r="F157">
        <v>5692</v>
      </c>
      <c r="G157" s="4">
        <f t="shared" si="3"/>
        <v>0.92058871098172412</v>
      </c>
    </row>
    <row r="158" spans="1:7">
      <c r="A158" t="s">
        <v>219</v>
      </c>
      <c r="B158">
        <v>20</v>
      </c>
      <c r="C158" t="s">
        <v>340</v>
      </c>
      <c r="D158">
        <v>32</v>
      </c>
      <c r="E158">
        <v>6183</v>
      </c>
      <c r="F158">
        <v>5783</v>
      </c>
      <c r="G158" s="4">
        <f t="shared" si="3"/>
        <v>0.93530648552482609</v>
      </c>
    </row>
    <row r="159" spans="1:7">
      <c r="A159" t="s">
        <v>219</v>
      </c>
      <c r="B159">
        <v>20</v>
      </c>
      <c r="C159" t="s">
        <v>332</v>
      </c>
      <c r="D159">
        <v>33</v>
      </c>
      <c r="E159">
        <v>6183</v>
      </c>
      <c r="F159">
        <v>6576</v>
      </c>
      <c r="G159" s="4">
        <f t="shared" si="3"/>
        <v>1.0635613779718582</v>
      </c>
    </row>
    <row r="160" spans="1:7">
      <c r="A160" t="s">
        <v>220</v>
      </c>
      <c r="B160">
        <v>2</v>
      </c>
      <c r="C160" t="s">
        <v>203</v>
      </c>
      <c r="D160">
        <v>1</v>
      </c>
      <c r="E160">
        <v>4612</v>
      </c>
      <c r="F160">
        <v>238</v>
      </c>
      <c r="G160" s="4">
        <f t="shared" si="3"/>
        <v>5.1604509973980917E-2</v>
      </c>
    </row>
    <row r="161" spans="1:7">
      <c r="A161" t="s">
        <v>220</v>
      </c>
      <c r="B161">
        <v>2</v>
      </c>
      <c r="C161" t="s">
        <v>341</v>
      </c>
      <c r="D161">
        <v>2</v>
      </c>
      <c r="E161">
        <v>4612</v>
      </c>
      <c r="F161">
        <v>2351</v>
      </c>
      <c r="G161" s="4">
        <f t="shared" si="3"/>
        <v>0.50975715524718124</v>
      </c>
    </row>
    <row r="162" spans="1:7">
      <c r="A162" t="s">
        <v>220</v>
      </c>
      <c r="B162">
        <v>2</v>
      </c>
      <c r="C162" t="s">
        <v>342</v>
      </c>
      <c r="D162">
        <v>3</v>
      </c>
      <c r="E162">
        <v>4612</v>
      </c>
      <c r="F162">
        <v>4600</v>
      </c>
      <c r="G162" s="4">
        <f t="shared" si="3"/>
        <v>0.99739809193408502</v>
      </c>
    </row>
    <row r="163" spans="1:7">
      <c r="A163" t="s">
        <v>220</v>
      </c>
      <c r="B163">
        <v>3</v>
      </c>
      <c r="C163" t="s">
        <v>343</v>
      </c>
      <c r="D163">
        <v>1</v>
      </c>
      <c r="E163">
        <v>1865</v>
      </c>
      <c r="F163">
        <v>1798</v>
      </c>
      <c r="G163" s="4">
        <f t="shared" si="3"/>
        <v>0.96407506702412871</v>
      </c>
    </row>
    <row r="164" spans="1:7">
      <c r="A164" t="s">
        <v>220</v>
      </c>
      <c r="B164">
        <v>3</v>
      </c>
      <c r="C164" t="s">
        <v>235</v>
      </c>
      <c r="D164">
        <v>2</v>
      </c>
      <c r="E164">
        <v>1865</v>
      </c>
      <c r="F164">
        <v>1871</v>
      </c>
      <c r="G164" s="4">
        <f t="shared" si="3"/>
        <v>1.0032171581769438</v>
      </c>
    </row>
    <row r="165" spans="1:7">
      <c r="A165" t="s">
        <v>220</v>
      </c>
      <c r="B165">
        <v>7</v>
      </c>
      <c r="C165" t="s">
        <v>343</v>
      </c>
      <c r="D165">
        <v>1</v>
      </c>
      <c r="E165">
        <v>1775</v>
      </c>
      <c r="F165">
        <v>1786</v>
      </c>
      <c r="G165" s="4">
        <f t="shared" si="3"/>
        <v>1.0061971830985916</v>
      </c>
    </row>
    <row r="166" spans="1:7">
      <c r="A166" t="s">
        <v>220</v>
      </c>
      <c r="B166">
        <v>7</v>
      </c>
      <c r="C166" t="s">
        <v>235</v>
      </c>
      <c r="D166">
        <v>2</v>
      </c>
      <c r="E166">
        <v>1775</v>
      </c>
      <c r="F166">
        <v>1797</v>
      </c>
      <c r="G166" s="4">
        <f t="shared" si="3"/>
        <v>1.012394366197183</v>
      </c>
    </row>
    <row r="167" spans="1:7">
      <c r="A167" t="s">
        <v>220</v>
      </c>
      <c r="B167">
        <v>10</v>
      </c>
      <c r="C167" t="s">
        <v>344</v>
      </c>
      <c r="D167">
        <v>1</v>
      </c>
      <c r="E167">
        <v>16513</v>
      </c>
      <c r="F167">
        <v>2089</v>
      </c>
      <c r="G167" s="4">
        <f t="shared" si="3"/>
        <v>0.12650638890571064</v>
      </c>
    </row>
    <row r="168" spans="1:7">
      <c r="A168" t="s">
        <v>220</v>
      </c>
      <c r="B168">
        <v>10</v>
      </c>
      <c r="C168" t="s">
        <v>346</v>
      </c>
      <c r="D168">
        <v>2</v>
      </c>
      <c r="E168">
        <v>16513</v>
      </c>
      <c r="F168">
        <v>2091</v>
      </c>
      <c r="G168" s="4">
        <f t="shared" si="3"/>
        <v>0.12662750560164718</v>
      </c>
    </row>
    <row r="169" spans="1:7">
      <c r="A169" t="s">
        <v>220</v>
      </c>
      <c r="B169">
        <v>10</v>
      </c>
      <c r="C169" t="s">
        <v>347</v>
      </c>
      <c r="D169">
        <v>3</v>
      </c>
      <c r="E169">
        <v>16513</v>
      </c>
      <c r="F169">
        <v>2101</v>
      </c>
      <c r="G169" s="4">
        <f t="shared" si="3"/>
        <v>0.12723308908132985</v>
      </c>
    </row>
    <row r="170" spans="1:7">
      <c r="A170" t="s">
        <v>220</v>
      </c>
      <c r="B170">
        <v>10</v>
      </c>
      <c r="C170" t="s">
        <v>345</v>
      </c>
      <c r="D170">
        <v>4</v>
      </c>
      <c r="E170">
        <v>16513</v>
      </c>
      <c r="F170">
        <v>2106</v>
      </c>
      <c r="G170" s="4">
        <f t="shared" si="3"/>
        <v>0.1275358808211712</v>
      </c>
    </row>
    <row r="171" spans="1:7">
      <c r="A171" t="s">
        <v>220</v>
      </c>
      <c r="B171">
        <v>10</v>
      </c>
      <c r="C171" t="s">
        <v>349</v>
      </c>
      <c r="D171">
        <v>5</v>
      </c>
      <c r="E171">
        <v>16513</v>
      </c>
      <c r="F171">
        <v>2142</v>
      </c>
      <c r="G171" s="4">
        <f t="shared" si="3"/>
        <v>0.12971598134802884</v>
      </c>
    </row>
    <row r="172" spans="1:7">
      <c r="A172" t="s">
        <v>220</v>
      </c>
      <c r="B172">
        <v>10</v>
      </c>
      <c r="C172" t="s">
        <v>348</v>
      </c>
      <c r="D172">
        <v>6</v>
      </c>
      <c r="E172">
        <v>16513</v>
      </c>
      <c r="F172">
        <v>2161</v>
      </c>
      <c r="G172" s="4">
        <f t="shared" si="3"/>
        <v>0.13086658995942591</v>
      </c>
    </row>
    <row r="173" spans="1:7">
      <c r="A173" t="s">
        <v>220</v>
      </c>
      <c r="B173">
        <v>10</v>
      </c>
      <c r="C173" t="s">
        <v>350</v>
      </c>
      <c r="D173">
        <v>7</v>
      </c>
      <c r="E173">
        <v>16513</v>
      </c>
      <c r="F173">
        <v>2172</v>
      </c>
      <c r="G173" s="4">
        <f t="shared" si="3"/>
        <v>0.13153273178707686</v>
      </c>
    </row>
    <row r="174" spans="1:7">
      <c r="A174" t="s">
        <v>220</v>
      </c>
      <c r="B174">
        <v>10</v>
      </c>
      <c r="C174" t="s">
        <v>351</v>
      </c>
      <c r="D174">
        <v>8</v>
      </c>
      <c r="E174">
        <v>16513</v>
      </c>
      <c r="F174">
        <v>2182</v>
      </c>
      <c r="G174" s="4">
        <f t="shared" si="3"/>
        <v>0.13213831526675951</v>
      </c>
    </row>
    <row r="175" spans="1:7">
      <c r="A175" t="s">
        <v>220</v>
      </c>
      <c r="B175">
        <v>10</v>
      </c>
      <c r="C175" t="s">
        <v>352</v>
      </c>
      <c r="D175">
        <v>9</v>
      </c>
      <c r="E175">
        <v>16513</v>
      </c>
      <c r="F175">
        <v>2270</v>
      </c>
      <c r="G175" s="4">
        <f t="shared" si="3"/>
        <v>0.13746744988796705</v>
      </c>
    </row>
    <row r="176" spans="1:7">
      <c r="A176" t="s">
        <v>220</v>
      </c>
      <c r="B176">
        <v>10</v>
      </c>
      <c r="C176" t="s">
        <v>353</v>
      </c>
      <c r="D176">
        <v>10</v>
      </c>
      <c r="E176">
        <v>16513</v>
      </c>
      <c r="F176">
        <v>2297</v>
      </c>
      <c r="G176" s="4">
        <f t="shared" si="3"/>
        <v>0.13910252528311029</v>
      </c>
    </row>
    <row r="177" spans="1:7">
      <c r="A177" t="s">
        <v>220</v>
      </c>
      <c r="B177">
        <v>10</v>
      </c>
      <c r="C177" t="s">
        <v>354</v>
      </c>
      <c r="D177">
        <v>11</v>
      </c>
      <c r="E177">
        <v>16513</v>
      </c>
      <c r="F177">
        <v>2299</v>
      </c>
      <c r="G177" s="4">
        <f t="shared" si="3"/>
        <v>0.13922364197904682</v>
      </c>
    </row>
    <row r="178" spans="1:7">
      <c r="A178" t="s">
        <v>220</v>
      </c>
      <c r="B178">
        <v>10</v>
      </c>
      <c r="C178" t="s">
        <v>355</v>
      </c>
      <c r="D178">
        <v>12</v>
      </c>
      <c r="E178">
        <v>16513</v>
      </c>
      <c r="F178">
        <v>2302</v>
      </c>
      <c r="G178" s="4">
        <f t="shared" si="3"/>
        <v>0.13940531702295161</v>
      </c>
    </row>
    <row r="179" spans="1:7">
      <c r="A179" t="s">
        <v>220</v>
      </c>
      <c r="B179">
        <v>10</v>
      </c>
      <c r="C179" t="s">
        <v>356</v>
      </c>
      <c r="D179">
        <v>13</v>
      </c>
      <c r="E179">
        <v>16513</v>
      </c>
      <c r="F179">
        <v>2350</v>
      </c>
      <c r="G179" s="4">
        <f t="shared" si="3"/>
        <v>0.14231211772542846</v>
      </c>
    </row>
    <row r="180" spans="1:7">
      <c r="A180" t="s">
        <v>220</v>
      </c>
      <c r="B180">
        <v>10</v>
      </c>
      <c r="C180" t="s">
        <v>357</v>
      </c>
      <c r="D180">
        <v>14</v>
      </c>
      <c r="E180">
        <v>16513</v>
      </c>
      <c r="F180">
        <v>2356</v>
      </c>
      <c r="G180" s="4">
        <f t="shared" si="3"/>
        <v>0.14267546781323806</v>
      </c>
    </row>
    <row r="181" spans="1:7">
      <c r="A181" t="s">
        <v>220</v>
      </c>
      <c r="B181">
        <v>10</v>
      </c>
      <c r="C181" t="s">
        <v>358</v>
      </c>
      <c r="D181">
        <v>15</v>
      </c>
      <c r="E181">
        <v>16513</v>
      </c>
      <c r="F181">
        <v>2373</v>
      </c>
      <c r="G181" s="4">
        <f t="shared" si="3"/>
        <v>0.14370495972869859</v>
      </c>
    </row>
    <row r="182" spans="1:7">
      <c r="A182" t="s">
        <v>220</v>
      </c>
      <c r="B182">
        <v>10</v>
      </c>
      <c r="C182" t="s">
        <v>359</v>
      </c>
      <c r="D182">
        <v>16</v>
      </c>
      <c r="E182">
        <v>16513</v>
      </c>
      <c r="F182">
        <v>2386</v>
      </c>
      <c r="G182" s="4">
        <f t="shared" si="3"/>
        <v>0.14449221825228609</v>
      </c>
    </row>
    <row r="183" spans="1:7">
      <c r="A183" t="s">
        <v>220</v>
      </c>
      <c r="B183">
        <v>10</v>
      </c>
      <c r="C183" t="s">
        <v>360</v>
      </c>
      <c r="D183">
        <v>17</v>
      </c>
      <c r="E183">
        <v>16513</v>
      </c>
      <c r="F183">
        <v>2601</v>
      </c>
      <c r="G183" s="4">
        <f t="shared" si="3"/>
        <v>0.15751226306546356</v>
      </c>
    </row>
    <row r="184" spans="1:7">
      <c r="A184" t="s">
        <v>220</v>
      </c>
      <c r="B184">
        <v>10</v>
      </c>
      <c r="C184" t="s">
        <v>361</v>
      </c>
      <c r="D184">
        <v>18</v>
      </c>
      <c r="E184">
        <v>16513</v>
      </c>
      <c r="F184">
        <v>2654</v>
      </c>
      <c r="G184" s="4">
        <f t="shared" si="3"/>
        <v>0.16072185550778176</v>
      </c>
    </row>
    <row r="185" spans="1:7">
      <c r="A185" t="s">
        <v>220</v>
      </c>
      <c r="B185">
        <v>10</v>
      </c>
      <c r="C185" t="s">
        <v>362</v>
      </c>
      <c r="D185">
        <v>19</v>
      </c>
      <c r="E185">
        <v>16513</v>
      </c>
      <c r="F185">
        <v>2714</v>
      </c>
      <c r="G185" s="4">
        <f t="shared" si="3"/>
        <v>0.16435535638587778</v>
      </c>
    </row>
    <row r="186" spans="1:7">
      <c r="A186" t="s">
        <v>220</v>
      </c>
      <c r="B186">
        <v>10</v>
      </c>
      <c r="C186" t="s">
        <v>363</v>
      </c>
      <c r="D186">
        <v>20</v>
      </c>
      <c r="E186">
        <v>16513</v>
      </c>
      <c r="F186">
        <v>2771</v>
      </c>
      <c r="G186" s="4">
        <f t="shared" si="3"/>
        <v>0.16780718222006905</v>
      </c>
    </row>
    <row r="187" spans="1:7">
      <c r="A187" t="s">
        <v>220</v>
      </c>
      <c r="B187">
        <v>10</v>
      </c>
      <c r="C187" t="s">
        <v>364</v>
      </c>
      <c r="D187">
        <v>21</v>
      </c>
      <c r="E187">
        <v>16513</v>
      </c>
      <c r="F187">
        <v>2863</v>
      </c>
      <c r="G187" s="4">
        <f t="shared" si="3"/>
        <v>0.17337855023314963</v>
      </c>
    </row>
    <row r="188" spans="1:7">
      <c r="A188" t="s">
        <v>220</v>
      </c>
      <c r="B188">
        <v>10</v>
      </c>
      <c r="C188" t="s">
        <v>365</v>
      </c>
      <c r="D188">
        <v>22</v>
      </c>
      <c r="E188">
        <v>16513</v>
      </c>
      <c r="F188">
        <v>2900</v>
      </c>
      <c r="G188" s="4">
        <f t="shared" si="3"/>
        <v>0.17561920910797554</v>
      </c>
    </row>
    <row r="189" spans="1:7">
      <c r="A189" t="s">
        <v>220</v>
      </c>
      <c r="B189">
        <v>10</v>
      </c>
      <c r="C189" t="s">
        <v>366</v>
      </c>
      <c r="D189">
        <v>23</v>
      </c>
      <c r="E189">
        <v>16513</v>
      </c>
      <c r="F189">
        <v>3704</v>
      </c>
      <c r="G189" s="4">
        <f t="shared" si="3"/>
        <v>0.22430812087446256</v>
      </c>
    </row>
    <row r="190" spans="1:7">
      <c r="A190" t="s">
        <v>220</v>
      </c>
      <c r="B190">
        <v>10</v>
      </c>
      <c r="C190" t="s">
        <v>367</v>
      </c>
      <c r="D190">
        <v>24</v>
      </c>
      <c r="E190">
        <v>16513</v>
      </c>
      <c r="F190">
        <v>3724</v>
      </c>
      <c r="G190" s="4">
        <f t="shared" si="3"/>
        <v>0.22551928783382788</v>
      </c>
    </row>
    <row r="191" spans="1:7">
      <c r="A191" t="s">
        <v>220</v>
      </c>
      <c r="B191">
        <v>10</v>
      </c>
      <c r="C191" t="s">
        <v>368</v>
      </c>
      <c r="D191">
        <v>25</v>
      </c>
      <c r="E191">
        <v>16513</v>
      </c>
      <c r="F191">
        <v>3744</v>
      </c>
      <c r="G191" s="4">
        <f t="shared" si="3"/>
        <v>0.22673045479319323</v>
      </c>
    </row>
    <row r="192" spans="1:7">
      <c r="A192" t="s">
        <v>220</v>
      </c>
      <c r="B192">
        <v>10</v>
      </c>
      <c r="C192" t="s">
        <v>369</v>
      </c>
      <c r="D192">
        <v>26</v>
      </c>
      <c r="E192">
        <v>16513</v>
      </c>
      <c r="F192">
        <v>3766</v>
      </c>
      <c r="G192" s="4">
        <f t="shared" si="3"/>
        <v>0.22806273844849512</v>
      </c>
    </row>
    <row r="193" spans="1:7">
      <c r="A193" t="s">
        <v>220</v>
      </c>
      <c r="B193">
        <v>10</v>
      </c>
      <c r="C193" t="s">
        <v>370</v>
      </c>
      <c r="D193">
        <v>27</v>
      </c>
      <c r="E193">
        <v>16513</v>
      </c>
      <c r="F193">
        <v>3935</v>
      </c>
      <c r="G193" s="4">
        <f t="shared" si="3"/>
        <v>0.23829709925513232</v>
      </c>
    </row>
    <row r="194" spans="1:7">
      <c r="A194" t="s">
        <v>220</v>
      </c>
      <c r="B194">
        <v>10</v>
      </c>
      <c r="C194" t="s">
        <v>372</v>
      </c>
      <c r="D194">
        <v>28</v>
      </c>
      <c r="E194">
        <v>16513</v>
      </c>
      <c r="F194">
        <v>3959</v>
      </c>
      <c r="G194" s="4">
        <f t="shared" si="3"/>
        <v>0.23975049960637074</v>
      </c>
    </row>
    <row r="195" spans="1:7">
      <c r="A195" t="s">
        <v>220</v>
      </c>
      <c r="B195">
        <v>10</v>
      </c>
      <c r="C195" t="s">
        <v>371</v>
      </c>
      <c r="D195">
        <v>29</v>
      </c>
      <c r="E195">
        <v>16513</v>
      </c>
      <c r="F195">
        <v>3973</v>
      </c>
      <c r="G195" s="4">
        <f t="shared" ref="G195:G258" si="4">F195/E195</f>
        <v>0.24059831647792648</v>
      </c>
    </row>
    <row r="196" spans="1:7">
      <c r="A196" t="s">
        <v>220</v>
      </c>
      <c r="B196">
        <v>10</v>
      </c>
      <c r="C196" t="s">
        <v>373</v>
      </c>
      <c r="D196">
        <v>30</v>
      </c>
      <c r="E196">
        <v>16513</v>
      </c>
      <c r="F196">
        <v>4018</v>
      </c>
      <c r="G196" s="4">
        <f t="shared" si="4"/>
        <v>0.24332344213649851</v>
      </c>
    </row>
    <row r="197" spans="1:7">
      <c r="A197" t="s">
        <v>220</v>
      </c>
      <c r="B197">
        <v>10</v>
      </c>
      <c r="C197" t="s">
        <v>374</v>
      </c>
      <c r="D197">
        <v>31</v>
      </c>
      <c r="E197">
        <v>16513</v>
      </c>
      <c r="F197">
        <v>4614</v>
      </c>
      <c r="G197" s="4">
        <f t="shared" si="4"/>
        <v>0.27941621752558587</v>
      </c>
    </row>
    <row r="198" spans="1:7">
      <c r="A198" t="s">
        <v>220</v>
      </c>
      <c r="B198">
        <v>10</v>
      </c>
      <c r="C198" t="s">
        <v>375</v>
      </c>
      <c r="D198">
        <v>32</v>
      </c>
      <c r="E198">
        <v>16513</v>
      </c>
      <c r="F198">
        <v>4841</v>
      </c>
      <c r="G198" s="4">
        <f t="shared" si="4"/>
        <v>0.29316296251438262</v>
      </c>
    </row>
    <row r="199" spans="1:7">
      <c r="A199" t="s">
        <v>220</v>
      </c>
      <c r="B199">
        <v>11</v>
      </c>
      <c r="C199" t="s">
        <v>2</v>
      </c>
      <c r="D199">
        <v>1</v>
      </c>
      <c r="E199">
        <v>7290</v>
      </c>
      <c r="F199">
        <v>129</v>
      </c>
      <c r="G199" s="4">
        <f t="shared" si="4"/>
        <v>1.7695473251028805E-2</v>
      </c>
    </row>
    <row r="200" spans="1:7">
      <c r="A200" t="s">
        <v>220</v>
      </c>
      <c r="B200">
        <v>11</v>
      </c>
      <c r="C200" t="s">
        <v>376</v>
      </c>
      <c r="D200">
        <v>2</v>
      </c>
      <c r="E200">
        <v>7290</v>
      </c>
      <c r="F200">
        <v>914</v>
      </c>
      <c r="G200" s="4">
        <f t="shared" si="4"/>
        <v>0.12537722908093279</v>
      </c>
    </row>
    <row r="201" spans="1:7">
      <c r="A201" t="s">
        <v>220</v>
      </c>
      <c r="B201">
        <v>11</v>
      </c>
      <c r="C201" t="s">
        <v>377</v>
      </c>
      <c r="D201">
        <v>3</v>
      </c>
      <c r="E201">
        <v>7290</v>
      </c>
      <c r="F201">
        <v>1104</v>
      </c>
      <c r="G201" s="4">
        <f t="shared" si="4"/>
        <v>0.15144032921810699</v>
      </c>
    </row>
    <row r="202" spans="1:7">
      <c r="A202" t="s">
        <v>220</v>
      </c>
      <c r="B202">
        <v>11</v>
      </c>
      <c r="C202" t="s">
        <v>378</v>
      </c>
      <c r="D202">
        <v>4</v>
      </c>
      <c r="E202">
        <v>7290</v>
      </c>
      <c r="F202">
        <v>1696</v>
      </c>
      <c r="G202" s="4">
        <f t="shared" si="4"/>
        <v>0.2326474622770919</v>
      </c>
    </row>
    <row r="203" spans="1:7">
      <c r="A203" t="s">
        <v>220</v>
      </c>
      <c r="B203">
        <v>11</v>
      </c>
      <c r="C203" t="s">
        <v>379</v>
      </c>
      <c r="D203">
        <v>5</v>
      </c>
      <c r="E203">
        <v>7290</v>
      </c>
      <c r="F203">
        <v>1811</v>
      </c>
      <c r="G203" s="4">
        <f t="shared" si="4"/>
        <v>0.24842249657064472</v>
      </c>
    </row>
    <row r="204" spans="1:7">
      <c r="A204" t="s">
        <v>220</v>
      </c>
      <c r="B204">
        <v>11</v>
      </c>
      <c r="C204" t="s">
        <v>380</v>
      </c>
      <c r="D204">
        <v>6</v>
      </c>
      <c r="E204">
        <v>7290</v>
      </c>
      <c r="F204">
        <v>1855</v>
      </c>
      <c r="G204" s="4">
        <f t="shared" si="4"/>
        <v>0.2544581618655693</v>
      </c>
    </row>
    <row r="205" spans="1:7">
      <c r="A205" t="s">
        <v>220</v>
      </c>
      <c r="B205">
        <v>11</v>
      </c>
      <c r="C205" t="s">
        <v>382</v>
      </c>
      <c r="D205">
        <v>7</v>
      </c>
      <c r="E205">
        <v>7290</v>
      </c>
      <c r="F205">
        <v>1914</v>
      </c>
      <c r="G205" s="4">
        <f t="shared" si="4"/>
        <v>0.26255144032921812</v>
      </c>
    </row>
    <row r="206" spans="1:7">
      <c r="A206" t="s">
        <v>220</v>
      </c>
      <c r="B206">
        <v>11</v>
      </c>
      <c r="C206" t="s">
        <v>381</v>
      </c>
      <c r="D206">
        <v>8</v>
      </c>
      <c r="E206">
        <v>7290</v>
      </c>
      <c r="F206">
        <v>1927</v>
      </c>
      <c r="G206" s="4">
        <f t="shared" si="4"/>
        <v>0.26433470507544582</v>
      </c>
    </row>
    <row r="207" spans="1:7">
      <c r="A207" t="s">
        <v>220</v>
      </c>
      <c r="B207">
        <v>11</v>
      </c>
      <c r="C207" t="s">
        <v>383</v>
      </c>
      <c r="D207">
        <v>9</v>
      </c>
      <c r="E207">
        <v>7290</v>
      </c>
      <c r="F207">
        <v>1949</v>
      </c>
      <c r="G207" s="4">
        <f t="shared" si="4"/>
        <v>0.26735253772290807</v>
      </c>
    </row>
    <row r="208" spans="1:7">
      <c r="A208" t="s">
        <v>220</v>
      </c>
      <c r="B208">
        <v>11</v>
      </c>
      <c r="C208" t="s">
        <v>384</v>
      </c>
      <c r="D208">
        <v>10</v>
      </c>
      <c r="E208">
        <v>7290</v>
      </c>
      <c r="F208">
        <v>2035</v>
      </c>
      <c r="G208" s="4">
        <f t="shared" si="4"/>
        <v>0.27914951989026066</v>
      </c>
    </row>
    <row r="209" spans="1:7">
      <c r="A209" t="s">
        <v>220</v>
      </c>
      <c r="B209">
        <v>11</v>
      </c>
      <c r="C209" t="s">
        <v>385</v>
      </c>
      <c r="D209">
        <v>11</v>
      </c>
      <c r="E209">
        <v>7290</v>
      </c>
      <c r="F209">
        <v>2141</v>
      </c>
      <c r="G209" s="4">
        <f t="shared" si="4"/>
        <v>0.29368998628257886</v>
      </c>
    </row>
    <row r="210" spans="1:7">
      <c r="A210" t="s">
        <v>220</v>
      </c>
      <c r="B210">
        <v>11</v>
      </c>
      <c r="C210" t="s">
        <v>386</v>
      </c>
      <c r="D210">
        <v>12</v>
      </c>
      <c r="E210">
        <v>7290</v>
      </c>
      <c r="F210">
        <v>7058</v>
      </c>
      <c r="G210" s="4">
        <f t="shared" si="4"/>
        <v>0.96817558299039785</v>
      </c>
    </row>
    <row r="211" spans="1:7">
      <c r="A211" t="s">
        <v>220</v>
      </c>
      <c r="B211">
        <v>11</v>
      </c>
      <c r="C211" t="s">
        <v>387</v>
      </c>
      <c r="D211">
        <v>13</v>
      </c>
      <c r="E211">
        <v>7290</v>
      </c>
      <c r="F211">
        <v>7295</v>
      </c>
      <c r="G211" s="4">
        <f t="shared" si="4"/>
        <v>1.0006858710562414</v>
      </c>
    </row>
    <row r="212" spans="1:7">
      <c r="A212" t="s">
        <v>220</v>
      </c>
      <c r="B212">
        <v>12</v>
      </c>
      <c r="C212" t="s">
        <v>2</v>
      </c>
      <c r="D212">
        <v>1</v>
      </c>
      <c r="E212">
        <v>4556</v>
      </c>
      <c r="F212">
        <v>120</v>
      </c>
      <c r="G212" s="4">
        <f t="shared" si="4"/>
        <v>2.6338893766461809E-2</v>
      </c>
    </row>
    <row r="213" spans="1:7">
      <c r="A213" t="s">
        <v>220</v>
      </c>
      <c r="B213">
        <v>12</v>
      </c>
      <c r="C213" t="s">
        <v>388</v>
      </c>
      <c r="D213">
        <v>2</v>
      </c>
      <c r="E213">
        <v>4556</v>
      </c>
      <c r="F213">
        <v>2734</v>
      </c>
      <c r="G213" s="4">
        <f t="shared" si="4"/>
        <v>0.60008779631255482</v>
      </c>
    </row>
    <row r="214" spans="1:7">
      <c r="A214" t="s">
        <v>220</v>
      </c>
      <c r="B214">
        <v>12</v>
      </c>
      <c r="C214" t="s">
        <v>389</v>
      </c>
      <c r="D214">
        <v>3</v>
      </c>
      <c r="E214">
        <v>4556</v>
      </c>
      <c r="F214">
        <v>2877</v>
      </c>
      <c r="G214" s="4">
        <f t="shared" si="4"/>
        <v>0.6314749780509219</v>
      </c>
    </row>
    <row r="215" spans="1:7">
      <c r="A215" t="s">
        <v>220</v>
      </c>
      <c r="B215">
        <v>12</v>
      </c>
      <c r="C215" t="s">
        <v>390</v>
      </c>
      <c r="D215">
        <v>4</v>
      </c>
      <c r="E215">
        <v>4556</v>
      </c>
      <c r="F215">
        <v>3095</v>
      </c>
      <c r="G215" s="4">
        <f t="shared" si="4"/>
        <v>0.67932396839332743</v>
      </c>
    </row>
    <row r="216" spans="1:7">
      <c r="A216" t="s">
        <v>220</v>
      </c>
      <c r="B216">
        <v>12</v>
      </c>
      <c r="C216" t="s">
        <v>391</v>
      </c>
      <c r="D216">
        <v>5</v>
      </c>
      <c r="E216">
        <v>4556</v>
      </c>
      <c r="F216">
        <v>3276</v>
      </c>
      <c r="G216" s="4">
        <f t="shared" si="4"/>
        <v>0.71905179982440737</v>
      </c>
    </row>
    <row r="217" spans="1:7">
      <c r="A217" t="s">
        <v>220</v>
      </c>
      <c r="B217">
        <v>12</v>
      </c>
      <c r="C217" t="s">
        <v>392</v>
      </c>
      <c r="D217">
        <v>6</v>
      </c>
      <c r="E217">
        <v>4556</v>
      </c>
      <c r="F217">
        <v>3341</v>
      </c>
      <c r="G217" s="4">
        <f t="shared" si="4"/>
        <v>0.73331870061457416</v>
      </c>
    </row>
    <row r="218" spans="1:7">
      <c r="A218" t="s">
        <v>220</v>
      </c>
      <c r="B218">
        <v>12</v>
      </c>
      <c r="C218" t="s">
        <v>393</v>
      </c>
      <c r="D218">
        <v>7</v>
      </c>
      <c r="E218">
        <v>4556</v>
      </c>
      <c r="F218">
        <v>3350</v>
      </c>
      <c r="G218" s="4">
        <f t="shared" si="4"/>
        <v>0.73529411764705888</v>
      </c>
    </row>
    <row r="219" spans="1:7">
      <c r="A219" t="s">
        <v>220</v>
      </c>
      <c r="B219">
        <v>12</v>
      </c>
      <c r="C219" t="s">
        <v>394</v>
      </c>
      <c r="D219">
        <v>8</v>
      </c>
      <c r="E219">
        <v>4556</v>
      </c>
      <c r="F219">
        <v>3478</v>
      </c>
      <c r="G219" s="4">
        <f t="shared" si="4"/>
        <v>0.76338893766461813</v>
      </c>
    </row>
    <row r="220" spans="1:7">
      <c r="A220" t="s">
        <v>220</v>
      </c>
      <c r="B220">
        <v>12</v>
      </c>
      <c r="C220" t="s">
        <v>395</v>
      </c>
      <c r="D220">
        <v>9</v>
      </c>
      <c r="E220">
        <v>4556</v>
      </c>
      <c r="F220">
        <v>3650</v>
      </c>
      <c r="G220" s="4">
        <f t="shared" si="4"/>
        <v>0.80114135206321335</v>
      </c>
    </row>
    <row r="221" spans="1:7">
      <c r="A221" t="s">
        <v>220</v>
      </c>
      <c r="B221">
        <v>12</v>
      </c>
      <c r="C221" t="s">
        <v>396</v>
      </c>
      <c r="D221">
        <v>10</v>
      </c>
      <c r="E221">
        <v>4556</v>
      </c>
      <c r="F221">
        <v>3757</v>
      </c>
      <c r="G221" s="4">
        <f t="shared" si="4"/>
        <v>0.82462686567164178</v>
      </c>
    </row>
    <row r="222" spans="1:7">
      <c r="A222" t="s">
        <v>220</v>
      </c>
      <c r="B222">
        <v>12</v>
      </c>
      <c r="C222" t="s">
        <v>398</v>
      </c>
      <c r="D222">
        <v>11</v>
      </c>
      <c r="E222">
        <v>4556</v>
      </c>
      <c r="F222">
        <v>3942</v>
      </c>
      <c r="G222" s="4">
        <f t="shared" si="4"/>
        <v>0.86523266022827039</v>
      </c>
    </row>
    <row r="223" spans="1:7">
      <c r="A223" t="s">
        <v>220</v>
      </c>
      <c r="B223">
        <v>12</v>
      </c>
      <c r="C223" t="s">
        <v>397</v>
      </c>
      <c r="D223">
        <v>12</v>
      </c>
      <c r="E223">
        <v>4556</v>
      </c>
      <c r="F223">
        <v>3961</v>
      </c>
      <c r="G223" s="4">
        <f t="shared" si="4"/>
        <v>0.86940298507462688</v>
      </c>
    </row>
    <row r="224" spans="1:7">
      <c r="A224" t="s">
        <v>220</v>
      </c>
      <c r="B224">
        <v>12</v>
      </c>
      <c r="C224" t="s">
        <v>399</v>
      </c>
      <c r="D224">
        <v>13</v>
      </c>
      <c r="E224">
        <v>4556</v>
      </c>
      <c r="F224">
        <v>3972</v>
      </c>
      <c r="G224" s="4">
        <f t="shared" si="4"/>
        <v>0.87181738366988581</v>
      </c>
    </row>
    <row r="225" spans="1:7">
      <c r="A225" t="s">
        <v>220</v>
      </c>
      <c r="B225">
        <v>12</v>
      </c>
      <c r="C225" t="s">
        <v>401</v>
      </c>
      <c r="D225">
        <v>14</v>
      </c>
      <c r="E225">
        <v>4556</v>
      </c>
      <c r="F225">
        <v>4035</v>
      </c>
      <c r="G225" s="4">
        <f t="shared" si="4"/>
        <v>0.88564530289727827</v>
      </c>
    </row>
    <row r="226" spans="1:7">
      <c r="A226" t="s">
        <v>220</v>
      </c>
      <c r="B226">
        <v>12</v>
      </c>
      <c r="C226" t="s">
        <v>400</v>
      </c>
      <c r="D226">
        <v>15</v>
      </c>
      <c r="E226">
        <v>4556</v>
      </c>
      <c r="F226">
        <v>4128</v>
      </c>
      <c r="G226" s="4">
        <f t="shared" si="4"/>
        <v>0.90605794556628627</v>
      </c>
    </row>
    <row r="227" spans="1:7">
      <c r="A227" t="s">
        <v>220</v>
      </c>
      <c r="B227">
        <v>12</v>
      </c>
      <c r="C227" t="s">
        <v>402</v>
      </c>
      <c r="D227">
        <v>16</v>
      </c>
      <c r="E227">
        <v>4556</v>
      </c>
      <c r="F227">
        <v>4307</v>
      </c>
      <c r="G227" s="4">
        <f t="shared" si="4"/>
        <v>0.94534679543459177</v>
      </c>
    </row>
    <row r="228" spans="1:7">
      <c r="A228" t="s">
        <v>220</v>
      </c>
      <c r="B228">
        <v>12</v>
      </c>
      <c r="C228" t="s">
        <v>403</v>
      </c>
      <c r="D228">
        <v>17</v>
      </c>
      <c r="E228">
        <v>4556</v>
      </c>
      <c r="F228">
        <v>4555</v>
      </c>
      <c r="G228" s="4">
        <f t="shared" si="4"/>
        <v>0.99978050921861283</v>
      </c>
    </row>
    <row r="229" spans="1:7">
      <c r="A229" t="s">
        <v>221</v>
      </c>
      <c r="B229">
        <v>1</v>
      </c>
      <c r="C229" t="s">
        <v>404</v>
      </c>
      <c r="D229">
        <v>1</v>
      </c>
      <c r="E229">
        <v>3295</v>
      </c>
      <c r="F229">
        <v>1269</v>
      </c>
      <c r="G229" s="4">
        <f t="shared" si="4"/>
        <v>0.38512898330804252</v>
      </c>
    </row>
    <row r="230" spans="1:7">
      <c r="A230" t="s">
        <v>221</v>
      </c>
      <c r="B230">
        <v>1</v>
      </c>
      <c r="C230" t="s">
        <v>405</v>
      </c>
      <c r="D230">
        <v>2</v>
      </c>
      <c r="E230">
        <v>3295</v>
      </c>
      <c r="F230">
        <v>1574</v>
      </c>
      <c r="G230" s="4">
        <f t="shared" si="4"/>
        <v>0.47769347496206371</v>
      </c>
    </row>
    <row r="231" spans="1:7">
      <c r="A231" t="s">
        <v>221</v>
      </c>
      <c r="B231">
        <v>1</v>
      </c>
      <c r="C231" t="s">
        <v>406</v>
      </c>
      <c r="D231">
        <v>3</v>
      </c>
      <c r="E231">
        <v>3295</v>
      </c>
      <c r="F231">
        <v>1647</v>
      </c>
      <c r="G231" s="4">
        <f t="shared" si="4"/>
        <v>0.4998482549317147</v>
      </c>
    </row>
    <row r="232" spans="1:7">
      <c r="A232" t="s">
        <v>221</v>
      </c>
      <c r="B232">
        <v>1</v>
      </c>
      <c r="C232" t="s">
        <v>407</v>
      </c>
      <c r="D232">
        <v>4</v>
      </c>
      <c r="E232">
        <v>3295</v>
      </c>
      <c r="F232">
        <v>1688</v>
      </c>
      <c r="G232" s="4">
        <f t="shared" si="4"/>
        <v>0.51229135053110775</v>
      </c>
    </row>
    <row r="233" spans="1:7">
      <c r="A233" t="s">
        <v>221</v>
      </c>
      <c r="B233">
        <v>1</v>
      </c>
      <c r="C233" t="s">
        <v>408</v>
      </c>
      <c r="D233">
        <v>5</v>
      </c>
      <c r="E233">
        <v>3295</v>
      </c>
      <c r="F233">
        <v>2815</v>
      </c>
      <c r="G233" s="4">
        <f t="shared" si="4"/>
        <v>0.85432473444613055</v>
      </c>
    </row>
    <row r="234" spans="1:7">
      <c r="A234" t="s">
        <v>221</v>
      </c>
      <c r="B234">
        <v>1</v>
      </c>
      <c r="C234" t="s">
        <v>409</v>
      </c>
      <c r="D234">
        <v>6</v>
      </c>
      <c r="E234">
        <v>3295</v>
      </c>
      <c r="F234">
        <v>2878</v>
      </c>
      <c r="G234" s="4">
        <f t="shared" si="4"/>
        <v>0.87344461305007592</v>
      </c>
    </row>
    <row r="235" spans="1:7">
      <c r="A235" t="s">
        <v>221</v>
      </c>
      <c r="B235">
        <v>1</v>
      </c>
      <c r="C235" t="s">
        <v>410</v>
      </c>
      <c r="D235">
        <v>7</v>
      </c>
      <c r="E235">
        <v>3295</v>
      </c>
      <c r="F235">
        <v>2935</v>
      </c>
      <c r="G235" s="4">
        <f t="shared" si="4"/>
        <v>0.89074355083459789</v>
      </c>
    </row>
    <row r="236" spans="1:7">
      <c r="A236" t="s">
        <v>222</v>
      </c>
      <c r="B236">
        <v>1</v>
      </c>
      <c r="C236" t="s">
        <v>411</v>
      </c>
      <c r="D236">
        <v>1</v>
      </c>
      <c r="E236">
        <v>15734</v>
      </c>
      <c r="F236">
        <v>516</v>
      </c>
      <c r="G236" s="4">
        <f t="shared" si="4"/>
        <v>3.2795220541502482E-2</v>
      </c>
    </row>
    <row r="237" spans="1:7">
      <c r="A237" t="s">
        <v>222</v>
      </c>
      <c r="B237">
        <v>1</v>
      </c>
      <c r="C237" t="s">
        <v>412</v>
      </c>
      <c r="D237">
        <v>2</v>
      </c>
      <c r="E237">
        <v>15734</v>
      </c>
      <c r="F237">
        <v>593</v>
      </c>
      <c r="G237" s="4">
        <f t="shared" si="4"/>
        <v>3.7689080971145289E-2</v>
      </c>
    </row>
    <row r="238" spans="1:7">
      <c r="A238" t="s">
        <v>222</v>
      </c>
      <c r="B238">
        <v>1</v>
      </c>
      <c r="C238" t="s">
        <v>413</v>
      </c>
      <c r="D238">
        <v>3</v>
      </c>
      <c r="E238">
        <v>15734</v>
      </c>
      <c r="F238">
        <v>648</v>
      </c>
      <c r="G238" s="4">
        <f t="shared" si="4"/>
        <v>4.1184695563747299E-2</v>
      </c>
    </row>
    <row r="239" spans="1:7">
      <c r="A239" t="s">
        <v>222</v>
      </c>
      <c r="B239">
        <v>1</v>
      </c>
      <c r="C239" t="s">
        <v>414</v>
      </c>
      <c r="D239">
        <v>4</v>
      </c>
      <c r="E239">
        <v>15734</v>
      </c>
      <c r="F239">
        <v>683</v>
      </c>
      <c r="G239" s="4">
        <f t="shared" si="4"/>
        <v>4.3409177577221306E-2</v>
      </c>
    </row>
    <row r="240" spans="1:7">
      <c r="A240" t="s">
        <v>222</v>
      </c>
      <c r="B240">
        <v>1</v>
      </c>
      <c r="C240" t="s">
        <v>415</v>
      </c>
      <c r="D240">
        <v>5</v>
      </c>
      <c r="E240">
        <v>15734</v>
      </c>
      <c r="F240">
        <v>709</v>
      </c>
      <c r="G240" s="4">
        <f t="shared" si="4"/>
        <v>4.506164993008771E-2</v>
      </c>
    </row>
    <row r="241" spans="1:7">
      <c r="A241" t="s">
        <v>222</v>
      </c>
      <c r="B241">
        <v>1</v>
      </c>
      <c r="C241" t="s">
        <v>416</v>
      </c>
      <c r="D241">
        <v>6</v>
      </c>
      <c r="E241">
        <v>15734</v>
      </c>
      <c r="F241">
        <v>722</v>
      </c>
      <c r="G241" s="4">
        <f t="shared" si="4"/>
        <v>4.5887886106520913E-2</v>
      </c>
    </row>
    <row r="242" spans="1:7">
      <c r="A242" t="s">
        <v>222</v>
      </c>
      <c r="B242">
        <v>1</v>
      </c>
      <c r="C242" t="s">
        <v>417</v>
      </c>
      <c r="D242">
        <v>7</v>
      </c>
      <c r="E242">
        <v>15734</v>
      </c>
      <c r="F242">
        <v>724</v>
      </c>
      <c r="G242" s="4">
        <f t="shared" si="4"/>
        <v>4.6014999364433713E-2</v>
      </c>
    </row>
    <row r="243" spans="1:7">
      <c r="A243" t="s">
        <v>222</v>
      </c>
      <c r="B243">
        <v>1</v>
      </c>
      <c r="C243" t="s">
        <v>418</v>
      </c>
      <c r="D243">
        <v>8</v>
      </c>
      <c r="E243">
        <v>15734</v>
      </c>
      <c r="F243">
        <v>739</v>
      </c>
      <c r="G243" s="4">
        <f t="shared" si="4"/>
        <v>4.6968348798779716E-2</v>
      </c>
    </row>
    <row r="244" spans="1:7">
      <c r="A244" t="s">
        <v>222</v>
      </c>
      <c r="B244">
        <v>1</v>
      </c>
      <c r="C244" t="s">
        <v>419</v>
      </c>
      <c r="D244">
        <v>9</v>
      </c>
      <c r="E244">
        <v>15734</v>
      </c>
      <c r="F244">
        <v>762</v>
      </c>
      <c r="G244" s="4">
        <f t="shared" si="4"/>
        <v>4.8430151264776913E-2</v>
      </c>
    </row>
    <row r="245" spans="1:7">
      <c r="A245" t="s">
        <v>222</v>
      </c>
      <c r="B245">
        <v>1</v>
      </c>
      <c r="C245" t="s">
        <v>420</v>
      </c>
      <c r="D245">
        <v>10</v>
      </c>
      <c r="E245">
        <v>15734</v>
      </c>
      <c r="F245">
        <v>788</v>
      </c>
      <c r="G245" s="4">
        <f t="shared" si="4"/>
        <v>5.0082623617643318E-2</v>
      </c>
    </row>
    <row r="246" spans="1:7">
      <c r="A246" t="s">
        <v>222</v>
      </c>
      <c r="B246">
        <v>1</v>
      </c>
      <c r="C246" t="s">
        <v>421</v>
      </c>
      <c r="D246">
        <v>11</v>
      </c>
      <c r="E246">
        <v>15734</v>
      </c>
      <c r="F246">
        <v>814</v>
      </c>
      <c r="G246" s="4">
        <f t="shared" si="4"/>
        <v>5.1735095970509723E-2</v>
      </c>
    </row>
    <row r="247" spans="1:7">
      <c r="A247" t="s">
        <v>222</v>
      </c>
      <c r="B247">
        <v>1</v>
      </c>
      <c r="C247" t="s">
        <v>422</v>
      </c>
      <c r="D247">
        <v>12</v>
      </c>
      <c r="E247">
        <v>15734</v>
      </c>
      <c r="F247">
        <v>817</v>
      </c>
      <c r="G247" s="4">
        <f t="shared" si="4"/>
        <v>5.1925765857378924E-2</v>
      </c>
    </row>
    <row r="248" spans="1:7">
      <c r="A248" t="s">
        <v>222</v>
      </c>
      <c r="B248">
        <v>1</v>
      </c>
      <c r="C248" t="s">
        <v>424</v>
      </c>
      <c r="D248">
        <v>13</v>
      </c>
      <c r="E248">
        <v>15734</v>
      </c>
      <c r="F248">
        <v>855</v>
      </c>
      <c r="G248" s="4">
        <f t="shared" si="4"/>
        <v>5.4340917757722131E-2</v>
      </c>
    </row>
    <row r="249" spans="1:7">
      <c r="A249" t="s">
        <v>222</v>
      </c>
      <c r="B249">
        <v>1</v>
      </c>
      <c r="C249" t="s">
        <v>423</v>
      </c>
      <c r="D249">
        <v>14</v>
      </c>
      <c r="E249">
        <v>15734</v>
      </c>
      <c r="F249">
        <v>856</v>
      </c>
      <c r="G249" s="4">
        <f t="shared" si="4"/>
        <v>5.4404474386678531E-2</v>
      </c>
    </row>
    <row r="250" spans="1:7">
      <c r="A250" t="s">
        <v>222</v>
      </c>
      <c r="B250">
        <v>1</v>
      </c>
      <c r="C250" t="s">
        <v>425</v>
      </c>
      <c r="D250">
        <v>15</v>
      </c>
      <c r="E250">
        <v>15734</v>
      </c>
      <c r="F250">
        <v>862</v>
      </c>
      <c r="G250" s="4">
        <f t="shared" si="4"/>
        <v>5.4785814160416932E-2</v>
      </c>
    </row>
    <row r="251" spans="1:7">
      <c r="A251" t="s">
        <v>222</v>
      </c>
      <c r="B251">
        <v>1</v>
      </c>
      <c r="C251" t="s">
        <v>426</v>
      </c>
      <c r="D251">
        <v>16</v>
      </c>
      <c r="E251">
        <v>15734</v>
      </c>
      <c r="F251">
        <v>15063</v>
      </c>
      <c r="G251" s="4">
        <f t="shared" si="4"/>
        <v>0.95735350197025548</v>
      </c>
    </row>
    <row r="252" spans="1:7">
      <c r="A252" t="s">
        <v>222</v>
      </c>
      <c r="B252">
        <v>3</v>
      </c>
      <c r="C252" t="s">
        <v>427</v>
      </c>
      <c r="D252">
        <v>1</v>
      </c>
      <c r="E252">
        <v>25178</v>
      </c>
      <c r="F252">
        <v>19109</v>
      </c>
      <c r="G252" s="4">
        <f t="shared" si="4"/>
        <v>0.75895623163078874</v>
      </c>
    </row>
    <row r="253" spans="1:7">
      <c r="A253" t="s">
        <v>222</v>
      </c>
      <c r="B253">
        <v>3</v>
      </c>
      <c r="C253" t="s">
        <v>428</v>
      </c>
      <c r="D253">
        <v>2</v>
      </c>
      <c r="E253">
        <v>25178</v>
      </c>
      <c r="F253">
        <v>22667</v>
      </c>
      <c r="G253" s="4">
        <f t="shared" si="4"/>
        <v>0.90027007705139406</v>
      </c>
    </row>
    <row r="254" spans="1:7">
      <c r="A254" t="s">
        <v>222</v>
      </c>
      <c r="B254">
        <v>3</v>
      </c>
      <c r="C254" t="s">
        <v>429</v>
      </c>
      <c r="D254">
        <v>3</v>
      </c>
      <c r="E254">
        <v>25178</v>
      </c>
      <c r="F254">
        <v>25125</v>
      </c>
      <c r="G254" s="4">
        <f t="shared" si="4"/>
        <v>0.99789498768766383</v>
      </c>
    </row>
    <row r="255" spans="1:7">
      <c r="A255" t="s">
        <v>222</v>
      </c>
      <c r="B255">
        <v>4</v>
      </c>
      <c r="C255" t="s">
        <v>430</v>
      </c>
      <c r="D255">
        <v>1</v>
      </c>
      <c r="E255">
        <v>5343</v>
      </c>
      <c r="F255">
        <v>4652</v>
      </c>
      <c r="G255" s="4">
        <f t="shared" si="4"/>
        <v>0.87067190716825749</v>
      </c>
    </row>
    <row r="256" spans="1:7">
      <c r="A256" t="s">
        <v>222</v>
      </c>
      <c r="B256">
        <v>4</v>
      </c>
      <c r="C256" t="s">
        <v>431</v>
      </c>
      <c r="D256">
        <v>2</v>
      </c>
      <c r="E256">
        <v>5343</v>
      </c>
      <c r="F256">
        <v>4746</v>
      </c>
      <c r="G256" s="4">
        <f t="shared" si="4"/>
        <v>0.88826501965188098</v>
      </c>
    </row>
    <row r="257" spans="1:7">
      <c r="A257" t="s">
        <v>222</v>
      </c>
      <c r="B257">
        <v>4</v>
      </c>
      <c r="C257" t="s">
        <v>432</v>
      </c>
      <c r="D257">
        <v>3</v>
      </c>
      <c r="E257">
        <v>5343</v>
      </c>
      <c r="F257">
        <v>4763</v>
      </c>
      <c r="G257" s="4">
        <f t="shared" si="4"/>
        <v>0.89144675276062135</v>
      </c>
    </row>
    <row r="258" spans="1:7">
      <c r="A258" t="s">
        <v>222</v>
      </c>
      <c r="B258">
        <v>4</v>
      </c>
      <c r="C258" t="s">
        <v>433</v>
      </c>
      <c r="D258">
        <v>4</v>
      </c>
      <c r="E258">
        <v>5343</v>
      </c>
      <c r="F258">
        <v>5044</v>
      </c>
      <c r="G258" s="4">
        <f t="shared" si="4"/>
        <v>0.94403892944038925</v>
      </c>
    </row>
    <row r="259" spans="1:7">
      <c r="A259" t="s">
        <v>222</v>
      </c>
      <c r="B259">
        <v>4</v>
      </c>
      <c r="C259" t="s">
        <v>435</v>
      </c>
      <c r="D259">
        <v>5</v>
      </c>
      <c r="E259">
        <v>5343</v>
      </c>
      <c r="F259">
        <v>5168</v>
      </c>
      <c r="G259" s="4">
        <f t="shared" ref="G259:G322" si="5">F259/E259</f>
        <v>0.96724686505708402</v>
      </c>
    </row>
    <row r="260" spans="1:7">
      <c r="A260" t="s">
        <v>222</v>
      </c>
      <c r="B260">
        <v>4</v>
      </c>
      <c r="C260" t="s">
        <v>434</v>
      </c>
      <c r="D260">
        <v>6</v>
      </c>
      <c r="E260">
        <v>5343</v>
      </c>
      <c r="F260">
        <v>5603</v>
      </c>
      <c r="G260" s="4">
        <f t="shared" si="5"/>
        <v>1.0486618004866179</v>
      </c>
    </row>
    <row r="261" spans="1:7">
      <c r="A261" t="s">
        <v>222</v>
      </c>
      <c r="B261">
        <v>4</v>
      </c>
      <c r="C261" t="s">
        <v>436</v>
      </c>
      <c r="D261">
        <v>7</v>
      </c>
      <c r="E261">
        <v>5343</v>
      </c>
      <c r="F261">
        <v>5773</v>
      </c>
      <c r="G261" s="4">
        <f t="shared" si="5"/>
        <v>1.0804791315740221</v>
      </c>
    </row>
    <row r="262" spans="1:7">
      <c r="A262" t="s">
        <v>222</v>
      </c>
      <c r="B262">
        <v>4</v>
      </c>
      <c r="C262" t="s">
        <v>437</v>
      </c>
      <c r="D262">
        <v>8</v>
      </c>
      <c r="E262">
        <v>5343</v>
      </c>
      <c r="F262">
        <v>5831</v>
      </c>
      <c r="G262" s="4">
        <f t="shared" si="5"/>
        <v>1.0913344562979599</v>
      </c>
    </row>
    <row r="263" spans="1:7">
      <c r="A263" t="s">
        <v>222</v>
      </c>
      <c r="B263">
        <v>4</v>
      </c>
      <c r="C263" t="s">
        <v>438</v>
      </c>
      <c r="D263">
        <v>9</v>
      </c>
      <c r="E263">
        <v>5343</v>
      </c>
      <c r="F263">
        <v>5887</v>
      </c>
      <c r="G263" s="4">
        <f t="shared" si="5"/>
        <v>1.1018154594796929</v>
      </c>
    </row>
    <row r="264" spans="1:7">
      <c r="A264" t="s">
        <v>222</v>
      </c>
      <c r="B264">
        <v>6</v>
      </c>
      <c r="C264" t="s">
        <v>440</v>
      </c>
      <c r="D264">
        <v>1</v>
      </c>
      <c r="E264">
        <v>7468</v>
      </c>
      <c r="F264">
        <v>4596</v>
      </c>
      <c r="G264" s="4">
        <f t="shared" si="5"/>
        <v>0.61542581681842523</v>
      </c>
    </row>
    <row r="265" spans="1:7">
      <c r="A265" t="s">
        <v>222</v>
      </c>
      <c r="B265">
        <v>6</v>
      </c>
      <c r="C265" t="s">
        <v>439</v>
      </c>
      <c r="D265">
        <v>2</v>
      </c>
      <c r="E265">
        <v>7468</v>
      </c>
      <c r="F265">
        <v>4597</v>
      </c>
      <c r="G265" s="4">
        <f t="shared" si="5"/>
        <v>0.6155597214783074</v>
      </c>
    </row>
    <row r="266" spans="1:7">
      <c r="A266" t="s">
        <v>222</v>
      </c>
      <c r="B266">
        <v>7</v>
      </c>
      <c r="C266" t="s">
        <v>203</v>
      </c>
      <c r="D266">
        <v>1</v>
      </c>
      <c r="E266">
        <v>1395</v>
      </c>
      <c r="F266">
        <v>106</v>
      </c>
      <c r="G266" s="4">
        <f t="shared" si="5"/>
        <v>7.5985663082437274E-2</v>
      </c>
    </row>
    <row r="267" spans="1:7">
      <c r="A267" t="s">
        <v>222</v>
      </c>
      <c r="B267">
        <v>7</v>
      </c>
      <c r="C267" t="s">
        <v>179</v>
      </c>
      <c r="D267">
        <v>2</v>
      </c>
      <c r="E267">
        <v>1395</v>
      </c>
      <c r="F267">
        <v>194</v>
      </c>
      <c r="G267" s="4">
        <f t="shared" si="5"/>
        <v>0.13906810035842293</v>
      </c>
    </row>
    <row r="268" spans="1:7">
      <c r="A268" t="s">
        <v>222</v>
      </c>
      <c r="B268">
        <v>7</v>
      </c>
      <c r="C268" t="s">
        <v>215</v>
      </c>
      <c r="D268">
        <v>3</v>
      </c>
      <c r="E268">
        <v>1395</v>
      </c>
      <c r="F268">
        <v>283</v>
      </c>
      <c r="G268" s="4">
        <f t="shared" si="5"/>
        <v>0.2028673835125448</v>
      </c>
    </row>
    <row r="269" spans="1:7">
      <c r="A269" t="s">
        <v>222</v>
      </c>
      <c r="B269">
        <v>7</v>
      </c>
      <c r="C269" t="s">
        <v>204</v>
      </c>
      <c r="D269">
        <v>4</v>
      </c>
      <c r="E269">
        <v>1395</v>
      </c>
      <c r="F269">
        <v>733</v>
      </c>
      <c r="G269" s="4">
        <f t="shared" si="5"/>
        <v>0.52544802867383511</v>
      </c>
    </row>
    <row r="270" spans="1:7">
      <c r="A270" t="s">
        <v>222</v>
      </c>
      <c r="B270">
        <v>7</v>
      </c>
      <c r="C270" t="s">
        <v>441</v>
      </c>
      <c r="D270">
        <v>5</v>
      </c>
      <c r="E270">
        <v>1395</v>
      </c>
      <c r="F270">
        <v>1044</v>
      </c>
      <c r="G270" s="4">
        <f t="shared" si="5"/>
        <v>0.74838709677419357</v>
      </c>
    </row>
    <row r="271" spans="1:7">
      <c r="A271" t="s">
        <v>222</v>
      </c>
      <c r="B271">
        <v>7</v>
      </c>
      <c r="C271" t="s">
        <v>442</v>
      </c>
      <c r="D271">
        <v>6</v>
      </c>
      <c r="E271">
        <v>1395</v>
      </c>
      <c r="F271">
        <v>1380</v>
      </c>
      <c r="G271" s="4">
        <f t="shared" si="5"/>
        <v>0.989247311827957</v>
      </c>
    </row>
    <row r="272" spans="1:7">
      <c r="A272" t="s">
        <v>222</v>
      </c>
      <c r="B272">
        <v>7</v>
      </c>
      <c r="C272" t="s">
        <v>443</v>
      </c>
      <c r="D272">
        <v>7</v>
      </c>
      <c r="E272">
        <v>1395</v>
      </c>
      <c r="F272">
        <v>1682</v>
      </c>
      <c r="G272" s="4">
        <f t="shared" si="5"/>
        <v>1.2057347670250895</v>
      </c>
    </row>
    <row r="273" spans="1:7">
      <c r="A273" t="s">
        <v>223</v>
      </c>
      <c r="B273">
        <v>3</v>
      </c>
      <c r="C273" t="s">
        <v>2</v>
      </c>
      <c r="D273">
        <v>1</v>
      </c>
      <c r="E273">
        <v>6829</v>
      </c>
      <c r="F273">
        <v>476</v>
      </c>
      <c r="G273" s="4">
        <f t="shared" si="5"/>
        <v>6.9702738321862648E-2</v>
      </c>
    </row>
    <row r="274" spans="1:7">
      <c r="A274" t="s">
        <v>223</v>
      </c>
      <c r="B274">
        <v>3</v>
      </c>
      <c r="C274" t="s">
        <v>444</v>
      </c>
      <c r="D274">
        <v>2</v>
      </c>
      <c r="E274">
        <v>6829</v>
      </c>
      <c r="F274">
        <v>4060</v>
      </c>
      <c r="G274" s="4">
        <f t="shared" si="5"/>
        <v>0.59452335627471076</v>
      </c>
    </row>
    <row r="275" spans="1:7">
      <c r="A275" t="s">
        <v>223</v>
      </c>
      <c r="B275">
        <v>3</v>
      </c>
      <c r="C275" t="s">
        <v>445</v>
      </c>
      <c r="D275">
        <v>3</v>
      </c>
      <c r="E275">
        <v>6829</v>
      </c>
      <c r="F275">
        <v>4104</v>
      </c>
      <c r="G275" s="4">
        <f t="shared" si="5"/>
        <v>0.60096646653975694</v>
      </c>
    </row>
    <row r="276" spans="1:7">
      <c r="A276" t="s">
        <v>223</v>
      </c>
      <c r="B276">
        <v>7</v>
      </c>
      <c r="C276" t="s">
        <v>235</v>
      </c>
      <c r="D276">
        <v>1</v>
      </c>
      <c r="E276">
        <v>6591</v>
      </c>
      <c r="F276">
        <v>59</v>
      </c>
      <c r="G276" s="4">
        <f t="shared" si="5"/>
        <v>8.9516006675769994E-3</v>
      </c>
    </row>
    <row r="277" spans="1:7">
      <c r="A277" t="s">
        <v>223</v>
      </c>
      <c r="B277">
        <v>7</v>
      </c>
      <c r="C277" t="s">
        <v>236</v>
      </c>
      <c r="D277">
        <v>2</v>
      </c>
      <c r="E277">
        <v>6591</v>
      </c>
      <c r="F277">
        <v>146</v>
      </c>
      <c r="G277" s="4">
        <f t="shared" si="5"/>
        <v>2.2151418601122744E-2</v>
      </c>
    </row>
    <row r="278" spans="1:7">
      <c r="A278" t="s">
        <v>223</v>
      </c>
      <c r="B278">
        <v>7</v>
      </c>
      <c r="C278" t="s">
        <v>446</v>
      </c>
      <c r="D278">
        <v>3</v>
      </c>
      <c r="E278">
        <v>6591</v>
      </c>
      <c r="F278">
        <v>408</v>
      </c>
      <c r="G278" s="4">
        <f t="shared" si="5"/>
        <v>6.1902594446973144E-2</v>
      </c>
    </row>
    <row r="279" spans="1:7">
      <c r="A279" t="s">
        <v>223</v>
      </c>
      <c r="B279">
        <v>7</v>
      </c>
      <c r="C279" t="s">
        <v>447</v>
      </c>
      <c r="D279">
        <v>4</v>
      </c>
      <c r="E279">
        <v>6591</v>
      </c>
      <c r="F279">
        <v>603</v>
      </c>
      <c r="G279" s="4">
        <f t="shared" si="5"/>
        <v>9.148839326354119E-2</v>
      </c>
    </row>
    <row r="280" spans="1:7">
      <c r="A280" t="s">
        <v>223</v>
      </c>
      <c r="B280">
        <v>7</v>
      </c>
      <c r="C280" t="s">
        <v>448</v>
      </c>
      <c r="D280">
        <v>5</v>
      </c>
      <c r="E280">
        <v>6591</v>
      </c>
      <c r="F280">
        <v>613</v>
      </c>
      <c r="G280" s="4">
        <f t="shared" si="5"/>
        <v>9.3005613715672883E-2</v>
      </c>
    </row>
    <row r="281" spans="1:7">
      <c r="A281" t="s">
        <v>223</v>
      </c>
      <c r="B281">
        <v>7</v>
      </c>
      <c r="C281" t="s">
        <v>449</v>
      </c>
      <c r="D281">
        <v>6</v>
      </c>
      <c r="E281">
        <v>6591</v>
      </c>
      <c r="F281">
        <v>6469</v>
      </c>
      <c r="G281" s="4">
        <f t="shared" si="5"/>
        <v>0.98148991048399337</v>
      </c>
    </row>
    <row r="282" spans="1:7">
      <c r="A282" t="s">
        <v>223</v>
      </c>
      <c r="B282">
        <v>8</v>
      </c>
      <c r="C282" t="s">
        <v>2</v>
      </c>
      <c r="D282">
        <v>1</v>
      </c>
      <c r="E282">
        <v>4220</v>
      </c>
      <c r="F282">
        <v>198</v>
      </c>
      <c r="G282" s="4">
        <f t="shared" si="5"/>
        <v>4.6919431279620852E-2</v>
      </c>
    </row>
    <row r="283" spans="1:7">
      <c r="A283" t="s">
        <v>223</v>
      </c>
      <c r="B283">
        <v>8</v>
      </c>
      <c r="C283" t="s">
        <v>233</v>
      </c>
      <c r="D283">
        <v>2</v>
      </c>
      <c r="E283">
        <v>4220</v>
      </c>
      <c r="F283">
        <v>510</v>
      </c>
      <c r="G283" s="4">
        <f t="shared" si="5"/>
        <v>0.12085308056872038</v>
      </c>
    </row>
    <row r="284" spans="1:7">
      <c r="A284" t="s">
        <v>223</v>
      </c>
      <c r="B284">
        <v>8</v>
      </c>
      <c r="C284" t="s">
        <v>234</v>
      </c>
      <c r="D284">
        <v>3</v>
      </c>
      <c r="E284">
        <v>4220</v>
      </c>
      <c r="F284">
        <v>617</v>
      </c>
      <c r="G284" s="4">
        <f t="shared" si="5"/>
        <v>0.14620853080568721</v>
      </c>
    </row>
    <row r="285" spans="1:7">
      <c r="A285" t="s">
        <v>223</v>
      </c>
      <c r="B285">
        <v>8</v>
      </c>
      <c r="C285" t="s">
        <v>450</v>
      </c>
      <c r="D285">
        <v>4</v>
      </c>
      <c r="E285">
        <v>4220</v>
      </c>
      <c r="F285">
        <v>707</v>
      </c>
      <c r="G285" s="4">
        <f t="shared" si="5"/>
        <v>0.16753554502369669</v>
      </c>
    </row>
    <row r="286" spans="1:7">
      <c r="A286" t="s">
        <v>223</v>
      </c>
      <c r="B286">
        <v>8</v>
      </c>
      <c r="C286" t="s">
        <v>451</v>
      </c>
      <c r="D286">
        <v>5</v>
      </c>
      <c r="E286">
        <v>4220</v>
      </c>
      <c r="F286">
        <v>752</v>
      </c>
      <c r="G286" s="4">
        <f t="shared" si="5"/>
        <v>0.17819905213270143</v>
      </c>
    </row>
    <row r="287" spans="1:7">
      <c r="A287" t="s">
        <v>223</v>
      </c>
      <c r="B287">
        <v>8</v>
      </c>
      <c r="C287" t="s">
        <v>452</v>
      </c>
      <c r="D287">
        <v>6</v>
      </c>
      <c r="E287">
        <v>4220</v>
      </c>
      <c r="F287">
        <v>3137</v>
      </c>
      <c r="G287" s="4">
        <f t="shared" si="5"/>
        <v>0.74336492890995265</v>
      </c>
    </row>
    <row r="288" spans="1:7">
      <c r="A288" t="s">
        <v>223</v>
      </c>
      <c r="B288">
        <v>8</v>
      </c>
      <c r="C288" t="s">
        <v>453</v>
      </c>
      <c r="D288">
        <v>7</v>
      </c>
      <c r="E288">
        <v>4220</v>
      </c>
      <c r="F288">
        <v>3262</v>
      </c>
      <c r="G288" s="4">
        <f t="shared" si="5"/>
        <v>0.77298578199052137</v>
      </c>
    </row>
    <row r="289" spans="1:7">
      <c r="A289" t="s">
        <v>223</v>
      </c>
      <c r="B289">
        <v>8</v>
      </c>
      <c r="C289" t="s">
        <v>454</v>
      </c>
      <c r="D289">
        <v>8</v>
      </c>
      <c r="E289">
        <v>4220</v>
      </c>
      <c r="F289">
        <v>3274</v>
      </c>
      <c r="G289" s="4">
        <f t="shared" si="5"/>
        <v>0.77582938388625589</v>
      </c>
    </row>
    <row r="290" spans="1:7">
      <c r="A290" t="s">
        <v>223</v>
      </c>
      <c r="B290">
        <v>8</v>
      </c>
      <c r="C290" t="s">
        <v>455</v>
      </c>
      <c r="D290">
        <v>9</v>
      </c>
      <c r="E290">
        <v>4220</v>
      </c>
      <c r="F290">
        <v>3485</v>
      </c>
      <c r="G290" s="4">
        <f t="shared" si="5"/>
        <v>0.82582938388625593</v>
      </c>
    </row>
    <row r="291" spans="1:7">
      <c r="A291" t="s">
        <v>223</v>
      </c>
      <c r="B291">
        <v>8</v>
      </c>
      <c r="C291" t="s">
        <v>456</v>
      </c>
      <c r="D291">
        <v>10</v>
      </c>
      <c r="E291">
        <v>4220</v>
      </c>
      <c r="F291">
        <v>3654</v>
      </c>
      <c r="G291" s="4">
        <f t="shared" si="5"/>
        <v>0.86587677725118484</v>
      </c>
    </row>
    <row r="292" spans="1:7">
      <c r="A292" t="s">
        <v>223</v>
      </c>
      <c r="B292">
        <v>8</v>
      </c>
      <c r="C292" t="s">
        <v>457</v>
      </c>
      <c r="D292">
        <v>11</v>
      </c>
      <c r="E292">
        <v>4220</v>
      </c>
      <c r="F292">
        <v>3926</v>
      </c>
      <c r="G292" s="4">
        <f t="shared" si="5"/>
        <v>0.93033175355450237</v>
      </c>
    </row>
    <row r="293" spans="1:7">
      <c r="A293" t="s">
        <v>223</v>
      </c>
      <c r="B293">
        <v>9</v>
      </c>
      <c r="C293" t="s">
        <v>2</v>
      </c>
      <c r="D293">
        <v>1</v>
      </c>
      <c r="E293">
        <v>2841</v>
      </c>
      <c r="F293">
        <v>190</v>
      </c>
      <c r="G293" s="4">
        <f t="shared" si="5"/>
        <v>6.6877859908482926E-2</v>
      </c>
    </row>
    <row r="294" spans="1:7">
      <c r="A294" t="s">
        <v>223</v>
      </c>
      <c r="B294">
        <v>9</v>
      </c>
      <c r="C294" t="s">
        <v>1</v>
      </c>
      <c r="D294">
        <v>2</v>
      </c>
      <c r="E294">
        <v>2841</v>
      </c>
      <c r="F294">
        <v>321</v>
      </c>
      <c r="G294" s="4">
        <f t="shared" si="5"/>
        <v>0.11298838437170011</v>
      </c>
    </row>
    <row r="295" spans="1:7">
      <c r="A295" t="s">
        <v>223</v>
      </c>
      <c r="B295">
        <v>9</v>
      </c>
      <c r="C295" t="s">
        <v>458</v>
      </c>
      <c r="D295">
        <v>3</v>
      </c>
      <c r="E295">
        <v>2841</v>
      </c>
      <c r="F295">
        <v>703</v>
      </c>
      <c r="G295" s="4">
        <f t="shared" si="5"/>
        <v>0.24744808166138685</v>
      </c>
    </row>
    <row r="296" spans="1:7">
      <c r="A296" t="s">
        <v>223</v>
      </c>
      <c r="B296">
        <v>9</v>
      </c>
      <c r="C296" t="s">
        <v>459</v>
      </c>
      <c r="D296">
        <v>4</v>
      </c>
      <c r="E296">
        <v>2841</v>
      </c>
      <c r="F296">
        <v>756</v>
      </c>
      <c r="G296" s="4">
        <f t="shared" si="5"/>
        <v>0.26610348468848999</v>
      </c>
    </row>
    <row r="297" spans="1:7">
      <c r="A297" t="s">
        <v>223</v>
      </c>
      <c r="B297">
        <v>9</v>
      </c>
      <c r="C297" t="s">
        <v>460</v>
      </c>
      <c r="D297">
        <v>5</v>
      </c>
      <c r="E297">
        <v>2841</v>
      </c>
      <c r="F297">
        <v>2760</v>
      </c>
      <c r="G297" s="4">
        <f t="shared" si="5"/>
        <v>0.97148891235480461</v>
      </c>
    </row>
    <row r="298" spans="1:7">
      <c r="A298" t="s">
        <v>223</v>
      </c>
      <c r="B298">
        <v>10</v>
      </c>
      <c r="C298" t="s">
        <v>2</v>
      </c>
      <c r="D298">
        <v>1</v>
      </c>
      <c r="E298">
        <v>1177</v>
      </c>
      <c r="F298">
        <v>95</v>
      </c>
      <c r="G298" s="4">
        <f t="shared" si="5"/>
        <v>8.0713678844519965E-2</v>
      </c>
    </row>
    <row r="299" spans="1:7">
      <c r="A299" t="s">
        <v>223</v>
      </c>
      <c r="B299">
        <v>10</v>
      </c>
      <c r="C299" t="s">
        <v>233</v>
      </c>
      <c r="D299">
        <v>2</v>
      </c>
      <c r="E299">
        <v>1177</v>
      </c>
      <c r="F299">
        <v>392</v>
      </c>
      <c r="G299" s="4">
        <f t="shared" si="5"/>
        <v>0.33305012744265083</v>
      </c>
    </row>
    <row r="300" spans="1:7">
      <c r="A300" t="s">
        <v>223</v>
      </c>
      <c r="B300">
        <v>10</v>
      </c>
      <c r="C300" t="s">
        <v>459</v>
      </c>
      <c r="D300">
        <v>3</v>
      </c>
      <c r="E300">
        <v>1177</v>
      </c>
      <c r="F300">
        <v>570</v>
      </c>
      <c r="G300" s="4">
        <f t="shared" si="5"/>
        <v>0.48428207306711979</v>
      </c>
    </row>
    <row r="301" spans="1:7">
      <c r="A301" t="s">
        <v>223</v>
      </c>
      <c r="B301">
        <v>10</v>
      </c>
      <c r="C301" t="s">
        <v>461</v>
      </c>
      <c r="D301">
        <v>4</v>
      </c>
      <c r="E301">
        <v>1177</v>
      </c>
      <c r="F301">
        <v>665</v>
      </c>
      <c r="G301" s="4">
        <f t="shared" si="5"/>
        <v>0.56499575191163975</v>
      </c>
    </row>
    <row r="302" spans="1:7">
      <c r="A302" t="s">
        <v>223</v>
      </c>
      <c r="B302">
        <v>10</v>
      </c>
      <c r="C302" t="s">
        <v>462</v>
      </c>
      <c r="D302">
        <v>5</v>
      </c>
      <c r="E302">
        <v>1177</v>
      </c>
      <c r="F302">
        <v>766</v>
      </c>
      <c r="G302" s="4">
        <f t="shared" si="5"/>
        <v>0.65080713678844515</v>
      </c>
    </row>
    <row r="303" spans="1:7">
      <c r="A303" t="s">
        <v>223</v>
      </c>
      <c r="B303">
        <v>10</v>
      </c>
      <c r="C303" t="s">
        <v>464</v>
      </c>
      <c r="D303">
        <v>6</v>
      </c>
      <c r="E303">
        <v>1177</v>
      </c>
      <c r="F303">
        <v>845</v>
      </c>
      <c r="G303" s="4">
        <f t="shared" si="5"/>
        <v>0.71792693288020393</v>
      </c>
    </row>
    <row r="304" spans="1:7">
      <c r="A304" t="s">
        <v>223</v>
      </c>
      <c r="B304">
        <v>10</v>
      </c>
      <c r="C304" t="s">
        <v>463</v>
      </c>
      <c r="D304">
        <v>7</v>
      </c>
      <c r="E304">
        <v>1177</v>
      </c>
      <c r="F304">
        <v>847</v>
      </c>
      <c r="G304" s="4">
        <f t="shared" si="5"/>
        <v>0.71962616822429903</v>
      </c>
    </row>
    <row r="305" spans="1:7">
      <c r="A305" t="s">
        <v>223</v>
      </c>
      <c r="B305">
        <v>10</v>
      </c>
      <c r="C305" t="s">
        <v>465</v>
      </c>
      <c r="D305">
        <v>8</v>
      </c>
      <c r="E305">
        <v>1177</v>
      </c>
      <c r="F305">
        <v>869</v>
      </c>
      <c r="G305" s="4">
        <f t="shared" si="5"/>
        <v>0.73831775700934577</v>
      </c>
    </row>
    <row r="306" spans="1:7">
      <c r="A306" t="s">
        <v>223</v>
      </c>
      <c r="B306">
        <v>10</v>
      </c>
      <c r="C306" t="s">
        <v>466</v>
      </c>
      <c r="D306">
        <v>9</v>
      </c>
      <c r="E306">
        <v>1177</v>
      </c>
      <c r="F306">
        <v>915</v>
      </c>
      <c r="G306" s="4">
        <f t="shared" si="5"/>
        <v>0.77740016992353445</v>
      </c>
    </row>
    <row r="307" spans="1:7">
      <c r="A307" t="s">
        <v>223</v>
      </c>
      <c r="B307">
        <v>10</v>
      </c>
      <c r="C307" t="s">
        <v>467</v>
      </c>
      <c r="D307">
        <v>10</v>
      </c>
      <c r="E307">
        <v>1177</v>
      </c>
      <c r="F307">
        <v>941</v>
      </c>
      <c r="G307" s="4">
        <f t="shared" si="5"/>
        <v>0.7994902293967715</v>
      </c>
    </row>
    <row r="308" spans="1:7">
      <c r="A308" t="s">
        <v>223</v>
      </c>
      <c r="B308">
        <v>10</v>
      </c>
      <c r="C308" t="s">
        <v>468</v>
      </c>
      <c r="D308">
        <v>11</v>
      </c>
      <c r="E308">
        <v>1177</v>
      </c>
      <c r="F308">
        <v>945</v>
      </c>
      <c r="G308" s="4">
        <f t="shared" si="5"/>
        <v>0.80288870008496172</v>
      </c>
    </row>
    <row r="309" spans="1:7">
      <c r="A309" t="s">
        <v>223</v>
      </c>
      <c r="B309">
        <v>10</v>
      </c>
      <c r="C309" t="s">
        <v>469</v>
      </c>
      <c r="D309">
        <v>12</v>
      </c>
      <c r="E309">
        <v>1177</v>
      </c>
      <c r="F309">
        <v>948</v>
      </c>
      <c r="G309" s="4">
        <f t="shared" si="5"/>
        <v>0.80543755310110454</v>
      </c>
    </row>
    <row r="310" spans="1:7">
      <c r="A310" t="s">
        <v>223</v>
      </c>
      <c r="B310">
        <v>10</v>
      </c>
      <c r="C310" t="s">
        <v>470</v>
      </c>
      <c r="D310">
        <v>13</v>
      </c>
      <c r="E310">
        <v>1177</v>
      </c>
      <c r="F310">
        <v>954</v>
      </c>
      <c r="G310" s="4">
        <f t="shared" si="5"/>
        <v>0.81053525913338997</v>
      </c>
    </row>
    <row r="311" spans="1:7">
      <c r="A311" t="s">
        <v>223</v>
      </c>
      <c r="B311">
        <v>10</v>
      </c>
      <c r="C311" t="s">
        <v>471</v>
      </c>
      <c r="D311">
        <v>14</v>
      </c>
      <c r="E311">
        <v>1177</v>
      </c>
      <c r="F311">
        <v>966</v>
      </c>
      <c r="G311" s="4">
        <f t="shared" si="5"/>
        <v>0.82073067119796095</v>
      </c>
    </row>
    <row r="312" spans="1:7">
      <c r="A312" t="s">
        <v>223</v>
      </c>
      <c r="B312">
        <v>10</v>
      </c>
      <c r="C312" t="s">
        <v>472</v>
      </c>
      <c r="D312">
        <v>15</v>
      </c>
      <c r="E312">
        <v>1177</v>
      </c>
      <c r="F312">
        <v>1027</v>
      </c>
      <c r="G312" s="4">
        <f t="shared" si="5"/>
        <v>0.87255734919286321</v>
      </c>
    </row>
    <row r="313" spans="1:7">
      <c r="A313" t="s">
        <v>223</v>
      </c>
      <c r="B313">
        <v>10</v>
      </c>
      <c r="C313" t="s">
        <v>473</v>
      </c>
      <c r="D313">
        <v>16</v>
      </c>
      <c r="E313">
        <v>1177</v>
      </c>
      <c r="F313">
        <v>1028</v>
      </c>
      <c r="G313" s="4">
        <f t="shared" si="5"/>
        <v>0.87340696686491082</v>
      </c>
    </row>
    <row r="314" spans="1:7">
      <c r="A314" t="s">
        <v>223</v>
      </c>
      <c r="B314">
        <v>10</v>
      </c>
      <c r="C314" t="s">
        <v>475</v>
      </c>
      <c r="D314">
        <v>17</v>
      </c>
      <c r="E314">
        <v>1177</v>
      </c>
      <c r="F314">
        <v>1031</v>
      </c>
      <c r="G314" s="4">
        <f t="shared" si="5"/>
        <v>0.87595581988105353</v>
      </c>
    </row>
    <row r="315" spans="1:7">
      <c r="A315" t="s">
        <v>223</v>
      </c>
      <c r="B315">
        <v>10</v>
      </c>
      <c r="C315" t="s">
        <v>477</v>
      </c>
      <c r="D315">
        <v>18</v>
      </c>
      <c r="E315">
        <v>1177</v>
      </c>
      <c r="F315">
        <v>1036</v>
      </c>
      <c r="G315" s="4">
        <f t="shared" si="5"/>
        <v>0.88020390824129147</v>
      </c>
    </row>
    <row r="316" spans="1:7">
      <c r="A316" t="s">
        <v>223</v>
      </c>
      <c r="B316">
        <v>10</v>
      </c>
      <c r="C316" t="s">
        <v>474</v>
      </c>
      <c r="D316">
        <v>19</v>
      </c>
      <c r="E316">
        <v>1177</v>
      </c>
      <c r="F316">
        <v>1037</v>
      </c>
      <c r="G316" s="4">
        <f t="shared" si="5"/>
        <v>0.88105352591333896</v>
      </c>
    </row>
    <row r="317" spans="1:7">
      <c r="A317" t="s">
        <v>223</v>
      </c>
      <c r="B317">
        <v>10</v>
      </c>
      <c r="C317" t="s">
        <v>476</v>
      </c>
      <c r="D317">
        <v>20</v>
      </c>
      <c r="E317">
        <v>1177</v>
      </c>
      <c r="F317">
        <v>1038</v>
      </c>
      <c r="G317" s="4">
        <f t="shared" si="5"/>
        <v>0.88190314358538657</v>
      </c>
    </row>
    <row r="318" spans="1:7">
      <c r="A318" t="s">
        <v>223</v>
      </c>
      <c r="B318">
        <v>10</v>
      </c>
      <c r="C318" t="s">
        <v>479</v>
      </c>
      <c r="D318">
        <v>21</v>
      </c>
      <c r="E318">
        <v>1177</v>
      </c>
      <c r="F318">
        <v>1039</v>
      </c>
      <c r="G318" s="4">
        <f t="shared" si="5"/>
        <v>0.88275276125743418</v>
      </c>
    </row>
    <row r="319" spans="1:7">
      <c r="A319" t="s">
        <v>223</v>
      </c>
      <c r="B319">
        <v>10</v>
      </c>
      <c r="C319" t="s">
        <v>478</v>
      </c>
      <c r="D319">
        <v>22</v>
      </c>
      <c r="E319">
        <v>1177</v>
      </c>
      <c r="F319">
        <v>1040</v>
      </c>
      <c r="G319" s="4">
        <f t="shared" si="5"/>
        <v>0.88360237892948168</v>
      </c>
    </row>
    <row r="320" spans="1:7">
      <c r="A320" t="s">
        <v>223</v>
      </c>
      <c r="B320">
        <v>10</v>
      </c>
      <c r="C320" t="s">
        <v>480</v>
      </c>
      <c r="D320">
        <v>23</v>
      </c>
      <c r="E320">
        <v>1177</v>
      </c>
      <c r="F320">
        <v>1042</v>
      </c>
      <c r="G320" s="4">
        <f t="shared" si="5"/>
        <v>0.8853016142735769</v>
      </c>
    </row>
    <row r="321" spans="1:7">
      <c r="A321" t="s">
        <v>223</v>
      </c>
      <c r="B321">
        <v>10</v>
      </c>
      <c r="C321" t="s">
        <v>481</v>
      </c>
      <c r="D321">
        <v>24</v>
      </c>
      <c r="E321">
        <v>1177</v>
      </c>
      <c r="F321">
        <v>1101</v>
      </c>
      <c r="G321" s="4">
        <f t="shared" si="5"/>
        <v>0.93542905692438405</v>
      </c>
    </row>
    <row r="322" spans="1:7">
      <c r="A322" t="s">
        <v>223</v>
      </c>
      <c r="B322">
        <v>10</v>
      </c>
      <c r="C322" t="s">
        <v>482</v>
      </c>
      <c r="D322">
        <v>25</v>
      </c>
      <c r="E322">
        <v>1177</v>
      </c>
      <c r="F322">
        <v>1110</v>
      </c>
      <c r="G322" s="4">
        <f t="shared" si="5"/>
        <v>0.9430756159728122</v>
      </c>
    </row>
    <row r="323" spans="1:7">
      <c r="A323" t="s">
        <v>223</v>
      </c>
      <c r="B323">
        <v>10</v>
      </c>
      <c r="C323" t="s">
        <v>483</v>
      </c>
      <c r="D323">
        <v>26</v>
      </c>
      <c r="E323">
        <v>1177</v>
      </c>
      <c r="F323">
        <v>1111</v>
      </c>
      <c r="G323" s="4">
        <f t="shared" ref="G323:G386" si="6">F323/E323</f>
        <v>0.94392523364485981</v>
      </c>
    </row>
    <row r="324" spans="1:7">
      <c r="A324" t="s">
        <v>223</v>
      </c>
      <c r="B324">
        <v>10</v>
      </c>
      <c r="C324" t="s">
        <v>485</v>
      </c>
      <c r="D324">
        <v>27</v>
      </c>
      <c r="E324">
        <v>1177</v>
      </c>
      <c r="F324">
        <v>1117</v>
      </c>
      <c r="G324" s="4">
        <f t="shared" si="6"/>
        <v>0.94902293967714524</v>
      </c>
    </row>
    <row r="325" spans="1:7">
      <c r="A325" t="s">
        <v>223</v>
      </c>
      <c r="B325">
        <v>10</v>
      </c>
      <c r="C325" t="s">
        <v>484</v>
      </c>
      <c r="D325">
        <v>28</v>
      </c>
      <c r="E325">
        <v>1177</v>
      </c>
      <c r="F325">
        <v>1120</v>
      </c>
      <c r="G325" s="4">
        <f t="shared" si="6"/>
        <v>0.95157179269328807</v>
      </c>
    </row>
    <row r="326" spans="1:7">
      <c r="A326" t="s">
        <v>223</v>
      </c>
      <c r="B326">
        <v>10</v>
      </c>
      <c r="C326" t="s">
        <v>486</v>
      </c>
      <c r="D326">
        <v>29</v>
      </c>
      <c r="E326">
        <v>1177</v>
      </c>
      <c r="F326">
        <v>1139</v>
      </c>
      <c r="G326" s="4">
        <f t="shared" si="6"/>
        <v>0.96771452846219197</v>
      </c>
    </row>
    <row r="327" spans="1:7">
      <c r="A327" t="s">
        <v>223</v>
      </c>
      <c r="B327">
        <v>10</v>
      </c>
      <c r="C327" t="s">
        <v>487</v>
      </c>
      <c r="D327">
        <v>30</v>
      </c>
      <c r="E327">
        <v>1177</v>
      </c>
      <c r="F327">
        <v>1140</v>
      </c>
      <c r="G327" s="4">
        <f t="shared" si="6"/>
        <v>0.96856414613423958</v>
      </c>
    </row>
    <row r="328" spans="1:7">
      <c r="A328" t="s">
        <v>223</v>
      </c>
      <c r="B328">
        <v>10</v>
      </c>
      <c r="C328" t="s">
        <v>488</v>
      </c>
      <c r="D328">
        <v>31</v>
      </c>
      <c r="E328">
        <v>1177</v>
      </c>
      <c r="F328">
        <v>1186</v>
      </c>
      <c r="G328" s="4">
        <f t="shared" si="6"/>
        <v>1.0076465590484283</v>
      </c>
    </row>
    <row r="329" spans="1:7">
      <c r="A329" t="s">
        <v>223</v>
      </c>
      <c r="B329">
        <v>10</v>
      </c>
      <c r="C329" t="s">
        <v>489</v>
      </c>
      <c r="D329">
        <v>32</v>
      </c>
      <c r="E329">
        <v>1177</v>
      </c>
      <c r="F329">
        <v>1218</v>
      </c>
      <c r="G329" s="4">
        <f t="shared" si="6"/>
        <v>1.0348343245539506</v>
      </c>
    </row>
    <row r="330" spans="1:7">
      <c r="A330" t="s">
        <v>224</v>
      </c>
      <c r="B330">
        <v>3</v>
      </c>
      <c r="C330" t="s">
        <v>343</v>
      </c>
      <c r="D330">
        <v>1</v>
      </c>
      <c r="E330">
        <v>43584</v>
      </c>
      <c r="F330">
        <v>42071</v>
      </c>
      <c r="G330" s="4">
        <f t="shared" si="6"/>
        <v>0.96528542584434651</v>
      </c>
    </row>
    <row r="331" spans="1:7">
      <c r="A331" t="s">
        <v>224</v>
      </c>
      <c r="B331">
        <v>3</v>
      </c>
      <c r="C331" t="s">
        <v>235</v>
      </c>
      <c r="D331">
        <v>2</v>
      </c>
      <c r="E331">
        <v>43584</v>
      </c>
      <c r="F331">
        <v>42075</v>
      </c>
      <c r="G331" s="4">
        <f t="shared" si="6"/>
        <v>0.96537720264317184</v>
      </c>
    </row>
    <row r="332" spans="1:7">
      <c r="A332" t="s">
        <v>225</v>
      </c>
      <c r="B332">
        <v>2</v>
      </c>
      <c r="C332" t="s">
        <v>490</v>
      </c>
      <c r="D332">
        <v>1</v>
      </c>
      <c r="E332">
        <v>3827</v>
      </c>
      <c r="F332">
        <v>728</v>
      </c>
      <c r="G332" s="4">
        <f t="shared" si="6"/>
        <v>0.19022733211392737</v>
      </c>
    </row>
    <row r="333" spans="1:7">
      <c r="A333" t="s">
        <v>225</v>
      </c>
      <c r="B333">
        <v>2</v>
      </c>
      <c r="C333" t="s">
        <v>211</v>
      </c>
      <c r="D333">
        <v>2</v>
      </c>
      <c r="E333">
        <v>3827</v>
      </c>
      <c r="F333">
        <v>761</v>
      </c>
      <c r="G333" s="4">
        <f t="shared" si="6"/>
        <v>0.19885027436634439</v>
      </c>
    </row>
    <row r="334" spans="1:7">
      <c r="A334" t="s">
        <v>225</v>
      </c>
      <c r="B334">
        <v>2</v>
      </c>
      <c r="C334" t="s">
        <v>491</v>
      </c>
      <c r="D334">
        <v>3</v>
      </c>
      <c r="E334">
        <v>3827</v>
      </c>
      <c r="F334">
        <v>788</v>
      </c>
      <c r="G334" s="4">
        <f t="shared" si="6"/>
        <v>0.20590540893650378</v>
      </c>
    </row>
    <row r="335" spans="1:7">
      <c r="A335" t="s">
        <v>225</v>
      </c>
      <c r="B335">
        <v>2</v>
      </c>
      <c r="C335" t="s">
        <v>492</v>
      </c>
      <c r="D335">
        <v>4</v>
      </c>
      <c r="E335">
        <v>3827</v>
      </c>
      <c r="F335">
        <v>913</v>
      </c>
      <c r="G335" s="4">
        <f t="shared" si="6"/>
        <v>0.23856806898353802</v>
      </c>
    </row>
    <row r="336" spans="1:7">
      <c r="A336" t="s">
        <v>225</v>
      </c>
      <c r="B336">
        <v>2</v>
      </c>
      <c r="C336" t="s">
        <v>493</v>
      </c>
      <c r="D336">
        <v>5</v>
      </c>
      <c r="E336">
        <v>3827</v>
      </c>
      <c r="F336">
        <v>1082</v>
      </c>
      <c r="G336" s="4">
        <f t="shared" si="6"/>
        <v>0.28272798536712829</v>
      </c>
    </row>
    <row r="337" spans="1:7">
      <c r="A337" t="s">
        <v>225</v>
      </c>
      <c r="B337">
        <v>2</v>
      </c>
      <c r="C337" t="s">
        <v>494</v>
      </c>
      <c r="D337">
        <v>6</v>
      </c>
      <c r="E337">
        <v>3827</v>
      </c>
      <c r="F337">
        <v>1104</v>
      </c>
      <c r="G337" s="4">
        <f t="shared" si="6"/>
        <v>0.28847661353540632</v>
      </c>
    </row>
    <row r="338" spans="1:7">
      <c r="A338" t="s">
        <v>225</v>
      </c>
      <c r="B338">
        <v>2</v>
      </c>
      <c r="C338" t="s">
        <v>495</v>
      </c>
      <c r="D338">
        <v>7</v>
      </c>
      <c r="E338">
        <v>3827</v>
      </c>
      <c r="F338">
        <v>1124</v>
      </c>
      <c r="G338" s="4">
        <f t="shared" si="6"/>
        <v>0.29370263914293182</v>
      </c>
    </row>
    <row r="339" spans="1:7">
      <c r="A339" t="s">
        <v>225</v>
      </c>
      <c r="B339">
        <v>2</v>
      </c>
      <c r="C339" t="s">
        <v>496</v>
      </c>
      <c r="D339">
        <v>8</v>
      </c>
      <c r="E339">
        <v>3827</v>
      </c>
      <c r="F339">
        <v>1156</v>
      </c>
      <c r="G339" s="4">
        <f t="shared" si="6"/>
        <v>0.30206428011497255</v>
      </c>
    </row>
    <row r="340" spans="1:7">
      <c r="A340" t="s">
        <v>225</v>
      </c>
      <c r="B340">
        <v>2</v>
      </c>
      <c r="C340" t="s">
        <v>497</v>
      </c>
      <c r="D340">
        <v>9</v>
      </c>
      <c r="E340">
        <v>3827</v>
      </c>
      <c r="F340">
        <v>1187</v>
      </c>
      <c r="G340" s="4">
        <f t="shared" si="6"/>
        <v>0.31016461980663707</v>
      </c>
    </row>
    <row r="341" spans="1:7">
      <c r="A341" t="s">
        <v>225</v>
      </c>
      <c r="B341">
        <v>2</v>
      </c>
      <c r="C341" t="s">
        <v>498</v>
      </c>
      <c r="D341">
        <v>10</v>
      </c>
      <c r="E341">
        <v>3827</v>
      </c>
      <c r="F341">
        <v>1213</v>
      </c>
      <c r="G341" s="4">
        <f t="shared" si="6"/>
        <v>0.31695845309642018</v>
      </c>
    </row>
    <row r="342" spans="1:7">
      <c r="A342" t="s">
        <v>225</v>
      </c>
      <c r="B342">
        <v>2</v>
      </c>
      <c r="C342" t="s">
        <v>499</v>
      </c>
      <c r="D342">
        <v>11</v>
      </c>
      <c r="E342">
        <v>3827</v>
      </c>
      <c r="F342">
        <v>1327</v>
      </c>
      <c r="G342" s="4">
        <f t="shared" si="6"/>
        <v>0.34674679905931538</v>
      </c>
    </row>
    <row r="343" spans="1:7">
      <c r="A343" t="s">
        <v>225</v>
      </c>
      <c r="B343">
        <v>2</v>
      </c>
      <c r="C343" t="s">
        <v>500</v>
      </c>
      <c r="D343">
        <v>12</v>
      </c>
      <c r="E343">
        <v>3827</v>
      </c>
      <c r="F343">
        <v>1397</v>
      </c>
      <c r="G343" s="4">
        <f t="shared" si="6"/>
        <v>0.36503788868565457</v>
      </c>
    </row>
    <row r="344" spans="1:7">
      <c r="A344" t="s">
        <v>225</v>
      </c>
      <c r="B344">
        <v>2</v>
      </c>
      <c r="C344" t="s">
        <v>501</v>
      </c>
      <c r="D344">
        <v>13</v>
      </c>
      <c r="E344">
        <v>3827</v>
      </c>
      <c r="F344">
        <v>1611</v>
      </c>
      <c r="G344" s="4">
        <f t="shared" si="6"/>
        <v>0.42095636268617714</v>
      </c>
    </row>
    <row r="345" spans="1:7">
      <c r="A345" t="s">
        <v>225</v>
      </c>
      <c r="B345">
        <v>2</v>
      </c>
      <c r="C345" t="s">
        <v>502</v>
      </c>
      <c r="D345">
        <v>14</v>
      </c>
      <c r="E345">
        <v>3827</v>
      </c>
      <c r="F345">
        <v>1728</v>
      </c>
      <c r="G345" s="4">
        <f t="shared" si="6"/>
        <v>0.45152861249020121</v>
      </c>
    </row>
    <row r="346" spans="1:7">
      <c r="A346" t="s">
        <v>225</v>
      </c>
      <c r="B346">
        <v>3</v>
      </c>
      <c r="C346" t="s">
        <v>439</v>
      </c>
      <c r="D346">
        <v>1</v>
      </c>
      <c r="E346">
        <v>11656</v>
      </c>
      <c r="F346">
        <v>1267</v>
      </c>
      <c r="G346" s="4">
        <f t="shared" si="6"/>
        <v>0.1086993822923816</v>
      </c>
    </row>
    <row r="347" spans="1:7">
      <c r="A347" t="s">
        <v>225</v>
      </c>
      <c r="B347">
        <v>3</v>
      </c>
      <c r="C347" t="s">
        <v>503</v>
      </c>
      <c r="D347">
        <v>2</v>
      </c>
      <c r="E347">
        <v>11656</v>
      </c>
      <c r="F347">
        <v>1767</v>
      </c>
      <c r="G347" s="4">
        <f t="shared" si="6"/>
        <v>0.15159574468085107</v>
      </c>
    </row>
    <row r="348" spans="1:7">
      <c r="A348" t="s">
        <v>225</v>
      </c>
      <c r="B348">
        <v>3</v>
      </c>
      <c r="C348" t="s">
        <v>504</v>
      </c>
      <c r="D348">
        <v>3</v>
      </c>
      <c r="E348">
        <v>11656</v>
      </c>
      <c r="F348">
        <v>2696</v>
      </c>
      <c r="G348" s="4">
        <f t="shared" si="6"/>
        <v>0.23129718599862731</v>
      </c>
    </row>
    <row r="349" spans="1:7">
      <c r="A349" t="s">
        <v>225</v>
      </c>
      <c r="B349">
        <v>3</v>
      </c>
      <c r="C349" t="s">
        <v>505</v>
      </c>
      <c r="D349">
        <v>4</v>
      </c>
      <c r="E349">
        <v>11656</v>
      </c>
      <c r="F349">
        <v>3228</v>
      </c>
      <c r="G349" s="4">
        <f t="shared" si="6"/>
        <v>0.27693891557995881</v>
      </c>
    </row>
    <row r="350" spans="1:7">
      <c r="A350" t="s">
        <v>225</v>
      </c>
      <c r="B350">
        <v>3</v>
      </c>
      <c r="C350" t="s">
        <v>506</v>
      </c>
      <c r="D350">
        <v>5</v>
      </c>
      <c r="E350">
        <v>11656</v>
      </c>
      <c r="F350">
        <v>3909</v>
      </c>
      <c r="G350" s="4">
        <f t="shared" si="6"/>
        <v>0.33536376115305422</v>
      </c>
    </row>
    <row r="351" spans="1:7">
      <c r="A351" t="s">
        <v>225</v>
      </c>
      <c r="B351">
        <v>3</v>
      </c>
      <c r="C351" t="s">
        <v>507</v>
      </c>
      <c r="D351">
        <v>6</v>
      </c>
      <c r="E351">
        <v>11656</v>
      </c>
      <c r="F351">
        <v>6672</v>
      </c>
      <c r="G351" s="4">
        <f t="shared" si="6"/>
        <v>0.57240905971173639</v>
      </c>
    </row>
    <row r="352" spans="1:7">
      <c r="A352" t="s">
        <v>225</v>
      </c>
      <c r="B352">
        <v>4</v>
      </c>
      <c r="C352" t="s">
        <v>439</v>
      </c>
      <c r="D352">
        <v>1</v>
      </c>
      <c r="E352">
        <v>31938</v>
      </c>
      <c r="F352">
        <v>817</v>
      </c>
      <c r="G352" s="4">
        <f t="shared" si="6"/>
        <v>2.5580812824848143E-2</v>
      </c>
    </row>
    <row r="353" spans="1:7">
      <c r="A353" t="s">
        <v>225</v>
      </c>
      <c r="B353">
        <v>4</v>
      </c>
      <c r="C353" t="s">
        <v>508</v>
      </c>
      <c r="D353">
        <v>2</v>
      </c>
      <c r="E353">
        <v>31938</v>
      </c>
      <c r="F353">
        <v>1499</v>
      </c>
      <c r="G353" s="4">
        <f t="shared" si="6"/>
        <v>4.6934685954035944E-2</v>
      </c>
    </row>
    <row r="354" spans="1:7">
      <c r="A354" t="s">
        <v>225</v>
      </c>
      <c r="B354">
        <v>4</v>
      </c>
      <c r="C354" t="s">
        <v>505</v>
      </c>
      <c r="D354">
        <v>3</v>
      </c>
      <c r="E354">
        <v>31938</v>
      </c>
      <c r="F354">
        <v>2534</v>
      </c>
      <c r="G354" s="4">
        <f t="shared" si="6"/>
        <v>7.9341223620765233E-2</v>
      </c>
    </row>
    <row r="355" spans="1:7">
      <c r="A355" t="s">
        <v>225</v>
      </c>
      <c r="B355">
        <v>4</v>
      </c>
      <c r="C355" t="s">
        <v>504</v>
      </c>
      <c r="D355">
        <v>4</v>
      </c>
      <c r="E355">
        <v>31938</v>
      </c>
      <c r="F355">
        <v>2742</v>
      </c>
      <c r="G355" s="4">
        <f t="shared" si="6"/>
        <v>8.5853841818523388E-2</v>
      </c>
    </row>
    <row r="356" spans="1:7">
      <c r="A356" t="s">
        <v>225</v>
      </c>
      <c r="B356">
        <v>4</v>
      </c>
      <c r="C356" t="s">
        <v>506</v>
      </c>
      <c r="D356">
        <v>5</v>
      </c>
      <c r="E356">
        <v>31938</v>
      </c>
      <c r="F356">
        <v>4021</v>
      </c>
      <c r="G356" s="4">
        <f t="shared" si="6"/>
        <v>0.12590018160185359</v>
      </c>
    </row>
    <row r="357" spans="1:7">
      <c r="A357" t="s">
        <v>225</v>
      </c>
      <c r="B357">
        <v>4</v>
      </c>
      <c r="C357" t="s">
        <v>507</v>
      </c>
      <c r="D357">
        <v>6</v>
      </c>
      <c r="E357">
        <v>31938</v>
      </c>
      <c r="F357">
        <v>6752</v>
      </c>
      <c r="G357" s="4">
        <f t="shared" si="6"/>
        <v>0.2114096061118417</v>
      </c>
    </row>
    <row r="358" spans="1:7">
      <c r="A358" t="s">
        <v>225</v>
      </c>
      <c r="B358">
        <v>4</v>
      </c>
      <c r="C358" t="s">
        <v>509</v>
      </c>
      <c r="D358">
        <v>7</v>
      </c>
      <c r="E358">
        <v>31938</v>
      </c>
      <c r="F358">
        <v>7671</v>
      </c>
      <c r="G358" s="4">
        <f t="shared" si="6"/>
        <v>0.24018410670674431</v>
      </c>
    </row>
    <row r="359" spans="1:7">
      <c r="A359" t="s">
        <v>225</v>
      </c>
      <c r="B359">
        <v>4</v>
      </c>
      <c r="C359" t="s">
        <v>510</v>
      </c>
      <c r="D359">
        <v>8</v>
      </c>
      <c r="E359">
        <v>31938</v>
      </c>
      <c r="F359">
        <v>8006</v>
      </c>
      <c r="G359" s="4">
        <f t="shared" si="6"/>
        <v>0.25067317928486443</v>
      </c>
    </row>
    <row r="360" spans="1:7">
      <c r="A360" t="s">
        <v>225</v>
      </c>
      <c r="B360">
        <v>4</v>
      </c>
      <c r="C360" t="s">
        <v>511</v>
      </c>
      <c r="D360">
        <v>9</v>
      </c>
      <c r="E360">
        <v>31938</v>
      </c>
      <c r="F360">
        <v>8691</v>
      </c>
      <c r="G360" s="4">
        <f t="shared" si="6"/>
        <v>0.2721209844072891</v>
      </c>
    </row>
    <row r="361" spans="1:7">
      <c r="A361" t="s">
        <v>225</v>
      </c>
      <c r="B361">
        <v>5</v>
      </c>
      <c r="C361" t="s">
        <v>203</v>
      </c>
      <c r="D361">
        <v>1</v>
      </c>
      <c r="E361">
        <v>977</v>
      </c>
      <c r="F361">
        <v>502</v>
      </c>
      <c r="G361" s="4">
        <f t="shared" si="6"/>
        <v>0.51381780962128965</v>
      </c>
    </row>
    <row r="362" spans="1:7">
      <c r="A362" t="s">
        <v>225</v>
      </c>
      <c r="B362">
        <v>5</v>
      </c>
      <c r="C362" t="s">
        <v>179</v>
      </c>
      <c r="D362">
        <v>2</v>
      </c>
      <c r="E362">
        <v>977</v>
      </c>
      <c r="F362">
        <v>704</v>
      </c>
      <c r="G362" s="4">
        <f t="shared" si="6"/>
        <v>0.72057318321392017</v>
      </c>
    </row>
    <row r="363" spans="1:7">
      <c r="A363" t="s">
        <v>225</v>
      </c>
      <c r="B363">
        <v>5</v>
      </c>
      <c r="C363" t="s">
        <v>215</v>
      </c>
      <c r="D363">
        <v>3</v>
      </c>
      <c r="E363">
        <v>977</v>
      </c>
      <c r="F363">
        <v>903</v>
      </c>
      <c r="G363" s="4">
        <f t="shared" si="6"/>
        <v>0.92425793244626409</v>
      </c>
    </row>
    <row r="364" spans="1:7">
      <c r="A364" t="s">
        <v>225</v>
      </c>
      <c r="B364">
        <v>5</v>
      </c>
      <c r="C364" t="s">
        <v>204</v>
      </c>
      <c r="D364">
        <v>4</v>
      </c>
      <c r="E364">
        <v>977</v>
      </c>
      <c r="F364">
        <v>973</v>
      </c>
      <c r="G364" s="4">
        <f t="shared" si="6"/>
        <v>0.99590583418628453</v>
      </c>
    </row>
    <row r="365" spans="1:7">
      <c r="A365" t="s">
        <v>225</v>
      </c>
      <c r="B365">
        <v>5</v>
      </c>
      <c r="C365" t="s">
        <v>443</v>
      </c>
      <c r="D365">
        <v>5</v>
      </c>
      <c r="E365">
        <v>977</v>
      </c>
      <c r="F365">
        <v>1038</v>
      </c>
      <c r="G365" s="4">
        <f t="shared" si="6"/>
        <v>1.0624360286591608</v>
      </c>
    </row>
    <row r="366" spans="1:7">
      <c r="A366" t="s">
        <v>225</v>
      </c>
      <c r="B366">
        <v>5</v>
      </c>
      <c r="C366" t="s">
        <v>512</v>
      </c>
      <c r="D366">
        <v>6</v>
      </c>
      <c r="E366">
        <v>977</v>
      </c>
      <c r="F366">
        <v>1042</v>
      </c>
      <c r="G366" s="4">
        <f t="shared" si="6"/>
        <v>1.0665301944728762</v>
      </c>
    </row>
    <row r="367" spans="1:7">
      <c r="A367" t="s">
        <v>225</v>
      </c>
      <c r="B367">
        <v>6</v>
      </c>
      <c r="C367" t="s">
        <v>513</v>
      </c>
      <c r="D367">
        <v>1</v>
      </c>
      <c r="E367">
        <v>3004</v>
      </c>
      <c r="F367">
        <v>359</v>
      </c>
      <c r="G367" s="4">
        <f t="shared" si="6"/>
        <v>0.11950732356857523</v>
      </c>
    </row>
    <row r="368" spans="1:7">
      <c r="A368" t="s">
        <v>225</v>
      </c>
      <c r="B368">
        <v>6</v>
      </c>
      <c r="C368" t="s">
        <v>514</v>
      </c>
      <c r="D368">
        <v>2</v>
      </c>
      <c r="E368">
        <v>3004</v>
      </c>
      <c r="F368">
        <v>922</v>
      </c>
      <c r="G368" s="4">
        <f t="shared" si="6"/>
        <v>0.30692410119840213</v>
      </c>
    </row>
    <row r="369" spans="1:7">
      <c r="A369" t="s">
        <v>225</v>
      </c>
      <c r="B369">
        <v>6</v>
      </c>
      <c r="C369" t="s">
        <v>515</v>
      </c>
      <c r="D369">
        <v>3</v>
      </c>
      <c r="E369">
        <v>3004</v>
      </c>
      <c r="F369">
        <v>1132</v>
      </c>
      <c r="G369" s="4">
        <f t="shared" si="6"/>
        <v>0.37683089214380827</v>
      </c>
    </row>
    <row r="370" spans="1:7">
      <c r="A370" t="s">
        <v>225</v>
      </c>
      <c r="B370">
        <v>6</v>
      </c>
      <c r="C370" t="s">
        <v>520</v>
      </c>
      <c r="D370">
        <v>4</v>
      </c>
      <c r="E370">
        <v>3004</v>
      </c>
      <c r="F370">
        <v>1992</v>
      </c>
      <c r="G370" s="4">
        <f t="shared" si="6"/>
        <v>0.66311584553928093</v>
      </c>
    </row>
    <row r="371" spans="1:7">
      <c r="A371" t="s">
        <v>225</v>
      </c>
      <c r="B371">
        <v>6</v>
      </c>
      <c r="C371" t="s">
        <v>516</v>
      </c>
      <c r="D371">
        <v>5</v>
      </c>
      <c r="E371">
        <v>3004</v>
      </c>
      <c r="F371">
        <v>2030</v>
      </c>
      <c r="G371" s="4">
        <f t="shared" si="6"/>
        <v>0.67576564580559251</v>
      </c>
    </row>
    <row r="372" spans="1:7">
      <c r="A372" t="s">
        <v>225</v>
      </c>
      <c r="B372">
        <v>6</v>
      </c>
      <c r="C372" t="s">
        <v>517</v>
      </c>
      <c r="D372">
        <v>6</v>
      </c>
      <c r="E372">
        <v>3004</v>
      </c>
      <c r="F372">
        <v>2118</v>
      </c>
      <c r="G372" s="4">
        <f t="shared" si="6"/>
        <v>0.70505992010652463</v>
      </c>
    </row>
    <row r="373" spans="1:7">
      <c r="A373" t="s">
        <v>225</v>
      </c>
      <c r="B373">
        <v>6</v>
      </c>
      <c r="C373" t="s">
        <v>518</v>
      </c>
      <c r="D373">
        <v>7</v>
      </c>
      <c r="E373">
        <v>3004</v>
      </c>
      <c r="F373">
        <v>2192</v>
      </c>
      <c r="G373" s="4">
        <f t="shared" si="6"/>
        <v>0.72969374167776302</v>
      </c>
    </row>
    <row r="374" spans="1:7">
      <c r="A374" t="s">
        <v>225</v>
      </c>
      <c r="B374">
        <v>6</v>
      </c>
      <c r="C374" t="s">
        <v>519</v>
      </c>
      <c r="D374">
        <v>8</v>
      </c>
      <c r="E374">
        <v>3004</v>
      </c>
      <c r="F374">
        <v>2316</v>
      </c>
      <c r="G374" s="4">
        <f t="shared" si="6"/>
        <v>0.77097203728362185</v>
      </c>
    </row>
    <row r="375" spans="1:7">
      <c r="A375" t="s">
        <v>225</v>
      </c>
      <c r="B375">
        <v>6</v>
      </c>
      <c r="C375" t="s">
        <v>522</v>
      </c>
      <c r="D375">
        <v>9</v>
      </c>
      <c r="E375">
        <v>3004</v>
      </c>
      <c r="F375">
        <v>2477</v>
      </c>
      <c r="G375" s="4">
        <f t="shared" si="6"/>
        <v>0.82456724367509981</v>
      </c>
    </row>
    <row r="376" spans="1:7">
      <c r="A376" t="s">
        <v>225</v>
      </c>
      <c r="B376">
        <v>6</v>
      </c>
      <c r="C376" t="s">
        <v>521</v>
      </c>
      <c r="D376">
        <v>10</v>
      </c>
      <c r="E376">
        <v>3004</v>
      </c>
      <c r="F376">
        <v>2602</v>
      </c>
      <c r="G376" s="4">
        <f t="shared" si="6"/>
        <v>0.86617842876165119</v>
      </c>
    </row>
    <row r="377" spans="1:7">
      <c r="A377" t="s">
        <v>225</v>
      </c>
      <c r="B377">
        <v>7</v>
      </c>
      <c r="C377" t="s">
        <v>523</v>
      </c>
      <c r="D377">
        <v>1</v>
      </c>
      <c r="E377">
        <v>3851</v>
      </c>
      <c r="F377">
        <v>1091</v>
      </c>
      <c r="G377" s="4">
        <f t="shared" si="6"/>
        <v>0.28330303817190339</v>
      </c>
    </row>
    <row r="378" spans="1:7">
      <c r="A378" t="s">
        <v>225</v>
      </c>
      <c r="B378">
        <v>7</v>
      </c>
      <c r="C378" t="s">
        <v>524</v>
      </c>
      <c r="D378">
        <v>2</v>
      </c>
      <c r="E378">
        <v>3851</v>
      </c>
      <c r="F378">
        <v>1132</v>
      </c>
      <c r="G378" s="4">
        <f t="shared" si="6"/>
        <v>0.29394962347442222</v>
      </c>
    </row>
    <row r="379" spans="1:7">
      <c r="A379" t="s">
        <v>225</v>
      </c>
      <c r="B379">
        <v>7</v>
      </c>
      <c r="C379" t="s">
        <v>526</v>
      </c>
      <c r="D379">
        <v>3</v>
      </c>
      <c r="E379">
        <v>3851</v>
      </c>
      <c r="F379">
        <v>1141</v>
      </c>
      <c r="G379" s="4">
        <f t="shared" si="6"/>
        <v>0.29628667878473125</v>
      </c>
    </row>
    <row r="380" spans="1:7">
      <c r="A380" t="s">
        <v>225</v>
      </c>
      <c r="B380">
        <v>7</v>
      </c>
      <c r="C380" t="s">
        <v>525</v>
      </c>
      <c r="D380">
        <v>4</v>
      </c>
      <c r="E380">
        <v>3851</v>
      </c>
      <c r="F380">
        <v>1144</v>
      </c>
      <c r="G380" s="4">
        <f t="shared" si="6"/>
        <v>0.29706569722150089</v>
      </c>
    </row>
    <row r="381" spans="1:7">
      <c r="A381" t="s">
        <v>225</v>
      </c>
      <c r="B381">
        <v>7</v>
      </c>
      <c r="C381" t="s">
        <v>527</v>
      </c>
      <c r="D381">
        <v>5</v>
      </c>
      <c r="E381">
        <v>3851</v>
      </c>
      <c r="F381">
        <v>1145</v>
      </c>
      <c r="G381" s="4">
        <f t="shared" si="6"/>
        <v>0.29732537003375747</v>
      </c>
    </row>
    <row r="382" spans="1:7">
      <c r="A382" t="s">
        <v>225</v>
      </c>
      <c r="B382">
        <v>7</v>
      </c>
      <c r="C382" t="s">
        <v>528</v>
      </c>
      <c r="D382">
        <v>6</v>
      </c>
      <c r="E382">
        <v>3851</v>
      </c>
      <c r="F382">
        <v>1161</v>
      </c>
      <c r="G382" s="4">
        <f t="shared" si="6"/>
        <v>0.30148013502986237</v>
      </c>
    </row>
    <row r="383" spans="1:7">
      <c r="A383" t="s">
        <v>225</v>
      </c>
      <c r="B383">
        <v>7</v>
      </c>
      <c r="C383" t="s">
        <v>529</v>
      </c>
      <c r="D383">
        <v>7</v>
      </c>
      <c r="E383">
        <v>3851</v>
      </c>
      <c r="F383">
        <v>1208</v>
      </c>
      <c r="G383" s="4">
        <f t="shared" si="6"/>
        <v>0.31368475720592054</v>
      </c>
    </row>
    <row r="384" spans="1:7">
      <c r="A384" t="s">
        <v>225</v>
      </c>
      <c r="B384">
        <v>7</v>
      </c>
      <c r="C384" t="s">
        <v>530</v>
      </c>
      <c r="D384">
        <v>8</v>
      </c>
      <c r="E384">
        <v>3851</v>
      </c>
      <c r="F384">
        <v>1283</v>
      </c>
      <c r="G384" s="4">
        <f t="shared" si="6"/>
        <v>0.33316021812516228</v>
      </c>
    </row>
    <row r="385" spans="1:7">
      <c r="A385" t="s">
        <v>225</v>
      </c>
      <c r="B385">
        <v>7</v>
      </c>
      <c r="C385" t="s">
        <v>531</v>
      </c>
      <c r="D385">
        <v>9</v>
      </c>
      <c r="E385">
        <v>3851</v>
      </c>
      <c r="F385">
        <v>1578</v>
      </c>
      <c r="G385" s="4">
        <f t="shared" si="6"/>
        <v>0.40976369774084653</v>
      </c>
    </row>
    <row r="386" spans="1:7">
      <c r="A386" t="s">
        <v>225</v>
      </c>
      <c r="B386">
        <v>7</v>
      </c>
      <c r="C386" t="s">
        <v>532</v>
      </c>
      <c r="D386">
        <v>10</v>
      </c>
      <c r="E386">
        <v>3851</v>
      </c>
      <c r="F386">
        <v>1629</v>
      </c>
      <c r="G386" s="4">
        <f t="shared" si="6"/>
        <v>0.42300701116593092</v>
      </c>
    </row>
    <row r="387" spans="1:7">
      <c r="A387" t="s">
        <v>225</v>
      </c>
      <c r="B387">
        <v>8</v>
      </c>
      <c r="C387" t="s">
        <v>439</v>
      </c>
      <c r="D387">
        <v>1</v>
      </c>
      <c r="E387">
        <v>12779</v>
      </c>
      <c r="F387">
        <v>784</v>
      </c>
      <c r="G387" s="4">
        <f t="shared" ref="G387:G450" si="7">F387/E387</f>
        <v>6.135065341576023E-2</v>
      </c>
    </row>
    <row r="388" spans="1:7">
      <c r="A388" t="s">
        <v>225</v>
      </c>
      <c r="B388">
        <v>8</v>
      </c>
      <c r="C388" t="s">
        <v>533</v>
      </c>
      <c r="D388">
        <v>2</v>
      </c>
      <c r="E388">
        <v>12779</v>
      </c>
      <c r="F388">
        <v>1261</v>
      </c>
      <c r="G388" s="4">
        <f t="shared" si="7"/>
        <v>9.8677517802644971E-2</v>
      </c>
    </row>
    <row r="389" spans="1:7">
      <c r="A389" t="s">
        <v>225</v>
      </c>
      <c r="B389">
        <v>8</v>
      </c>
      <c r="C389" t="s">
        <v>505</v>
      </c>
      <c r="D389">
        <v>3</v>
      </c>
      <c r="E389">
        <v>12779</v>
      </c>
      <c r="F389">
        <v>2464</v>
      </c>
      <c r="G389" s="4">
        <f t="shared" si="7"/>
        <v>0.19281633930667502</v>
      </c>
    </row>
    <row r="390" spans="1:7">
      <c r="A390" t="s">
        <v>225</v>
      </c>
      <c r="B390">
        <v>8</v>
      </c>
      <c r="C390" t="s">
        <v>534</v>
      </c>
      <c r="D390">
        <v>4</v>
      </c>
      <c r="E390">
        <v>12779</v>
      </c>
      <c r="F390">
        <v>2748</v>
      </c>
      <c r="G390" s="4">
        <f t="shared" si="7"/>
        <v>0.21504030049299633</v>
      </c>
    </row>
    <row r="391" spans="1:7">
      <c r="A391" t="s">
        <v>225</v>
      </c>
      <c r="B391">
        <v>8</v>
      </c>
      <c r="C391" t="s">
        <v>535</v>
      </c>
      <c r="D391">
        <v>5</v>
      </c>
      <c r="E391">
        <v>12779</v>
      </c>
      <c r="F391">
        <v>5129</v>
      </c>
      <c r="G391" s="4">
        <f t="shared" si="7"/>
        <v>0.4013616088895845</v>
      </c>
    </row>
    <row r="392" spans="1:7">
      <c r="A392" t="s">
        <v>225</v>
      </c>
      <c r="B392">
        <v>8</v>
      </c>
      <c r="C392" t="s">
        <v>536</v>
      </c>
      <c r="D392">
        <v>6</v>
      </c>
      <c r="E392">
        <v>12779</v>
      </c>
      <c r="F392">
        <v>6246</v>
      </c>
      <c r="G392" s="4">
        <f t="shared" si="7"/>
        <v>0.48877063933015102</v>
      </c>
    </row>
    <row r="393" spans="1:7">
      <c r="A393" t="s">
        <v>225</v>
      </c>
      <c r="B393">
        <v>9</v>
      </c>
      <c r="C393" t="s">
        <v>439</v>
      </c>
      <c r="D393">
        <v>1</v>
      </c>
      <c r="E393">
        <v>33423</v>
      </c>
      <c r="F393">
        <v>837</v>
      </c>
      <c r="G393" s="4">
        <f t="shared" si="7"/>
        <v>2.5042635311013375E-2</v>
      </c>
    </row>
    <row r="394" spans="1:7">
      <c r="A394" t="s">
        <v>225</v>
      </c>
      <c r="B394">
        <v>9</v>
      </c>
      <c r="C394" t="s">
        <v>537</v>
      </c>
      <c r="D394">
        <v>2</v>
      </c>
      <c r="E394">
        <v>33423</v>
      </c>
      <c r="F394">
        <v>1549</v>
      </c>
      <c r="G394" s="4">
        <f t="shared" si="7"/>
        <v>4.634533105945008E-2</v>
      </c>
    </row>
    <row r="395" spans="1:7">
      <c r="A395" t="s">
        <v>225</v>
      </c>
      <c r="B395">
        <v>9</v>
      </c>
      <c r="C395" t="s">
        <v>505</v>
      </c>
      <c r="D395">
        <v>3</v>
      </c>
      <c r="E395">
        <v>33423</v>
      </c>
      <c r="F395">
        <v>2486</v>
      </c>
      <c r="G395" s="4">
        <f t="shared" si="7"/>
        <v>7.4379918020524793E-2</v>
      </c>
    </row>
    <row r="396" spans="1:7">
      <c r="A396" t="s">
        <v>225</v>
      </c>
      <c r="B396">
        <v>9</v>
      </c>
      <c r="C396" t="s">
        <v>534</v>
      </c>
      <c r="D396">
        <v>4</v>
      </c>
      <c r="E396">
        <v>33423</v>
      </c>
      <c r="F396">
        <v>3255</v>
      </c>
      <c r="G396" s="4">
        <f t="shared" si="7"/>
        <v>9.7388026209496451E-2</v>
      </c>
    </row>
    <row r="397" spans="1:7">
      <c r="A397" t="s">
        <v>225</v>
      </c>
      <c r="B397">
        <v>9</v>
      </c>
      <c r="C397" t="s">
        <v>535</v>
      </c>
      <c r="D397">
        <v>5</v>
      </c>
      <c r="E397">
        <v>33423</v>
      </c>
      <c r="F397">
        <v>4665</v>
      </c>
      <c r="G397" s="4">
        <f t="shared" si="7"/>
        <v>0.13957454447536127</v>
      </c>
    </row>
    <row r="398" spans="1:7">
      <c r="A398" t="s">
        <v>225</v>
      </c>
      <c r="B398">
        <v>9</v>
      </c>
      <c r="C398" t="s">
        <v>536</v>
      </c>
      <c r="D398">
        <v>6</v>
      </c>
      <c r="E398">
        <v>33423</v>
      </c>
      <c r="F398">
        <v>6261</v>
      </c>
      <c r="G398" s="4">
        <f t="shared" si="7"/>
        <v>0.18732609281034018</v>
      </c>
    </row>
    <row r="399" spans="1:7">
      <c r="A399" t="s">
        <v>225</v>
      </c>
      <c r="B399">
        <v>9</v>
      </c>
      <c r="C399" t="s">
        <v>538</v>
      </c>
      <c r="D399">
        <v>7</v>
      </c>
      <c r="E399">
        <v>33423</v>
      </c>
      <c r="F399">
        <v>7369</v>
      </c>
      <c r="G399" s="4">
        <f t="shared" si="7"/>
        <v>0.22047691709301978</v>
      </c>
    </row>
    <row r="400" spans="1:7">
      <c r="A400" t="s">
        <v>225</v>
      </c>
      <c r="B400">
        <v>9</v>
      </c>
      <c r="C400" t="s">
        <v>539</v>
      </c>
      <c r="D400">
        <v>8</v>
      </c>
      <c r="E400">
        <v>33423</v>
      </c>
      <c r="F400">
        <v>8143</v>
      </c>
      <c r="G400" s="4">
        <f t="shared" si="7"/>
        <v>0.2436346228644945</v>
      </c>
    </row>
    <row r="401" spans="1:7">
      <c r="A401" t="s">
        <v>225</v>
      </c>
      <c r="B401">
        <v>9</v>
      </c>
      <c r="C401" t="s">
        <v>540</v>
      </c>
      <c r="D401">
        <v>9</v>
      </c>
      <c r="E401">
        <v>33423</v>
      </c>
      <c r="F401">
        <v>8872</v>
      </c>
      <c r="G401" s="4">
        <f t="shared" si="7"/>
        <v>0.26544595039344165</v>
      </c>
    </row>
    <row r="402" spans="1:7">
      <c r="A402" t="s">
        <v>225</v>
      </c>
      <c r="B402">
        <v>11</v>
      </c>
      <c r="C402" t="s">
        <v>2</v>
      </c>
      <c r="D402">
        <v>1</v>
      </c>
      <c r="E402">
        <v>8362</v>
      </c>
      <c r="F402">
        <v>377</v>
      </c>
      <c r="G402" s="4">
        <f t="shared" si="7"/>
        <v>4.5084907916766323E-2</v>
      </c>
    </row>
    <row r="403" spans="1:7">
      <c r="A403" t="s">
        <v>225</v>
      </c>
      <c r="B403">
        <v>11</v>
      </c>
      <c r="C403" t="s">
        <v>203</v>
      </c>
      <c r="D403">
        <v>2</v>
      </c>
      <c r="E403">
        <v>8362</v>
      </c>
      <c r="F403">
        <v>8045</v>
      </c>
      <c r="G403" s="4">
        <f t="shared" si="7"/>
        <v>0.96209040899306386</v>
      </c>
    </row>
    <row r="404" spans="1:7">
      <c r="A404" t="s">
        <v>225</v>
      </c>
      <c r="B404">
        <v>13</v>
      </c>
      <c r="C404" t="s">
        <v>203</v>
      </c>
      <c r="D404">
        <v>1</v>
      </c>
      <c r="E404">
        <v>26686</v>
      </c>
      <c r="F404">
        <v>1428</v>
      </c>
      <c r="G404" s="4">
        <f t="shared" si="7"/>
        <v>5.3511204376826799E-2</v>
      </c>
    </row>
    <row r="405" spans="1:7">
      <c r="A405" t="s">
        <v>225</v>
      </c>
      <c r="B405">
        <v>13</v>
      </c>
      <c r="C405" t="s">
        <v>179</v>
      </c>
      <c r="D405">
        <v>2</v>
      </c>
      <c r="E405">
        <v>26686</v>
      </c>
      <c r="F405">
        <v>1445</v>
      </c>
      <c r="G405" s="4">
        <f t="shared" si="7"/>
        <v>5.4148242524169977E-2</v>
      </c>
    </row>
    <row r="406" spans="1:7">
      <c r="A406" t="s">
        <v>225</v>
      </c>
      <c r="B406">
        <v>13</v>
      </c>
      <c r="C406" t="s">
        <v>541</v>
      </c>
      <c r="D406">
        <v>3</v>
      </c>
      <c r="E406">
        <v>26686</v>
      </c>
      <c r="F406">
        <v>1599</v>
      </c>
      <c r="G406" s="4">
        <f t="shared" si="7"/>
        <v>5.9919058682455222E-2</v>
      </c>
    </row>
    <row r="407" spans="1:7">
      <c r="A407" t="s">
        <v>225</v>
      </c>
      <c r="B407">
        <v>13</v>
      </c>
      <c r="C407" t="s">
        <v>204</v>
      </c>
      <c r="D407">
        <v>4</v>
      </c>
      <c r="E407">
        <v>26686</v>
      </c>
      <c r="F407">
        <v>26997</v>
      </c>
      <c r="G407" s="4">
        <f t="shared" si="7"/>
        <v>1.0116540508131604</v>
      </c>
    </row>
    <row r="408" spans="1:7">
      <c r="A408" t="s">
        <v>225</v>
      </c>
      <c r="B408">
        <v>14</v>
      </c>
      <c r="C408" t="s">
        <v>203</v>
      </c>
      <c r="D408">
        <v>1</v>
      </c>
      <c r="E408">
        <v>70222</v>
      </c>
      <c r="F408">
        <v>2188</v>
      </c>
      <c r="G408" s="4">
        <f t="shared" si="7"/>
        <v>3.1158326450400158E-2</v>
      </c>
    </row>
    <row r="409" spans="1:7">
      <c r="A409" t="s">
        <v>225</v>
      </c>
      <c r="B409">
        <v>14</v>
      </c>
      <c r="C409" t="s">
        <v>179</v>
      </c>
      <c r="D409">
        <v>2</v>
      </c>
      <c r="E409">
        <v>70222</v>
      </c>
      <c r="F409">
        <v>2291</v>
      </c>
      <c r="G409" s="4">
        <f t="shared" si="7"/>
        <v>3.2625103243997609E-2</v>
      </c>
    </row>
    <row r="410" spans="1:7">
      <c r="A410" t="s">
        <v>225</v>
      </c>
      <c r="B410">
        <v>14</v>
      </c>
      <c r="C410" t="s">
        <v>541</v>
      </c>
      <c r="D410">
        <v>3</v>
      </c>
      <c r="E410">
        <v>70222</v>
      </c>
      <c r="F410">
        <v>2415</v>
      </c>
      <c r="G410" s="4">
        <f t="shared" si="7"/>
        <v>3.4390931616872206E-2</v>
      </c>
    </row>
    <row r="411" spans="1:7">
      <c r="A411" t="s">
        <v>225</v>
      </c>
      <c r="B411">
        <v>14</v>
      </c>
      <c r="C411" t="s">
        <v>685</v>
      </c>
      <c r="D411">
        <v>4</v>
      </c>
      <c r="E411">
        <v>70222</v>
      </c>
      <c r="F411">
        <v>32518</v>
      </c>
      <c r="G411" s="4">
        <f t="shared" si="7"/>
        <v>0.46307425023496912</v>
      </c>
    </row>
    <row r="412" spans="1:7">
      <c r="A412" t="s">
        <v>225</v>
      </c>
      <c r="B412">
        <v>14</v>
      </c>
      <c r="C412" t="s">
        <v>686</v>
      </c>
      <c r="D412">
        <v>5</v>
      </c>
      <c r="E412">
        <v>70222</v>
      </c>
      <c r="F412">
        <v>33068</v>
      </c>
      <c r="G412" s="4">
        <f t="shared" si="7"/>
        <v>0.47090655350175159</v>
      </c>
    </row>
    <row r="413" spans="1:7">
      <c r="A413" t="s">
        <v>225</v>
      </c>
      <c r="B413">
        <v>14</v>
      </c>
      <c r="C413" t="s">
        <v>687</v>
      </c>
      <c r="D413">
        <v>6</v>
      </c>
      <c r="E413">
        <v>70222</v>
      </c>
      <c r="F413">
        <v>33260</v>
      </c>
      <c r="G413" s="4">
        <f t="shared" si="7"/>
        <v>0.47364073936942841</v>
      </c>
    </row>
    <row r="414" spans="1:7">
      <c r="A414" t="s">
        <v>225</v>
      </c>
      <c r="B414">
        <v>14</v>
      </c>
      <c r="C414" t="s">
        <v>688</v>
      </c>
      <c r="D414">
        <v>7</v>
      </c>
      <c r="E414">
        <v>70222</v>
      </c>
      <c r="F414">
        <v>33275</v>
      </c>
      <c r="G414" s="4">
        <f t="shared" si="7"/>
        <v>0.47385434764034062</v>
      </c>
    </row>
    <row r="415" spans="1:7">
      <c r="A415" t="s">
        <v>225</v>
      </c>
      <c r="B415">
        <v>14</v>
      </c>
      <c r="C415" t="s">
        <v>689</v>
      </c>
      <c r="D415">
        <v>8</v>
      </c>
      <c r="E415">
        <v>70222</v>
      </c>
      <c r="F415">
        <v>35393</v>
      </c>
      <c r="G415" s="4">
        <f t="shared" si="7"/>
        <v>0.50401583549315032</v>
      </c>
    </row>
    <row r="416" spans="1:7">
      <c r="A416" t="s">
        <v>225</v>
      </c>
      <c r="B416">
        <v>14</v>
      </c>
      <c r="C416" t="s">
        <v>690</v>
      </c>
      <c r="D416">
        <v>9</v>
      </c>
      <c r="E416">
        <v>70222</v>
      </c>
      <c r="F416">
        <v>36369</v>
      </c>
      <c r="G416" s="4">
        <f t="shared" si="7"/>
        <v>0.51791461365384073</v>
      </c>
    </row>
    <row r="417" spans="1:7">
      <c r="A417" t="s">
        <v>225</v>
      </c>
      <c r="B417">
        <v>14</v>
      </c>
      <c r="C417" t="s">
        <v>691</v>
      </c>
      <c r="D417">
        <v>10</v>
      </c>
      <c r="E417">
        <v>70222</v>
      </c>
      <c r="F417">
        <v>55465</v>
      </c>
      <c r="G417" s="4">
        <f t="shared" si="7"/>
        <v>0.78985218307652871</v>
      </c>
    </row>
    <row r="418" spans="1:7">
      <c r="A418" t="s">
        <v>225</v>
      </c>
      <c r="B418">
        <v>14</v>
      </c>
      <c r="C418" t="s">
        <v>692</v>
      </c>
      <c r="D418">
        <v>11</v>
      </c>
      <c r="E418">
        <v>70222</v>
      </c>
      <c r="F418">
        <v>58118</v>
      </c>
      <c r="G418" s="4">
        <f t="shared" si="7"/>
        <v>0.82763236592520861</v>
      </c>
    </row>
    <row r="419" spans="1:7">
      <c r="A419" t="s">
        <v>225</v>
      </c>
      <c r="B419">
        <v>15</v>
      </c>
      <c r="C419" t="s">
        <v>203</v>
      </c>
      <c r="D419">
        <v>1</v>
      </c>
      <c r="E419">
        <v>19737</v>
      </c>
      <c r="F419">
        <v>828</v>
      </c>
      <c r="G419" s="4">
        <f t="shared" si="7"/>
        <v>4.1951664386684906E-2</v>
      </c>
    </row>
    <row r="420" spans="1:7">
      <c r="A420" t="s">
        <v>225</v>
      </c>
      <c r="B420">
        <v>15</v>
      </c>
      <c r="C420" t="s">
        <v>179</v>
      </c>
      <c r="D420">
        <v>2</v>
      </c>
      <c r="E420">
        <v>19737</v>
      </c>
      <c r="F420">
        <v>913</v>
      </c>
      <c r="G420" s="4">
        <f t="shared" si="7"/>
        <v>4.6258296600293868E-2</v>
      </c>
    </row>
    <row r="421" spans="1:7">
      <c r="A421" t="s">
        <v>225</v>
      </c>
      <c r="B421">
        <v>15</v>
      </c>
      <c r="C421" t="s">
        <v>541</v>
      </c>
      <c r="D421">
        <v>3</v>
      </c>
      <c r="E421">
        <v>19737</v>
      </c>
      <c r="F421">
        <v>968</v>
      </c>
      <c r="G421" s="4">
        <f t="shared" si="7"/>
        <v>4.9044940973805545E-2</v>
      </c>
    </row>
    <row r="422" spans="1:7">
      <c r="A422" t="s">
        <v>225</v>
      </c>
      <c r="B422">
        <v>15</v>
      </c>
      <c r="C422" t="s">
        <v>204</v>
      </c>
      <c r="D422">
        <v>4</v>
      </c>
      <c r="E422">
        <v>19737</v>
      </c>
      <c r="F422">
        <v>19471</v>
      </c>
      <c r="G422" s="4">
        <f t="shared" si="7"/>
        <v>0.98652277448447079</v>
      </c>
    </row>
    <row r="423" spans="1:7">
      <c r="A423" t="s">
        <v>225</v>
      </c>
      <c r="B423">
        <v>16</v>
      </c>
      <c r="C423" t="s">
        <v>203</v>
      </c>
      <c r="D423">
        <v>1</v>
      </c>
      <c r="E423">
        <v>36483</v>
      </c>
      <c r="F423">
        <v>998</v>
      </c>
      <c r="G423" s="4">
        <f t="shared" si="7"/>
        <v>2.7355206534550338E-2</v>
      </c>
    </row>
    <row r="424" spans="1:7">
      <c r="A424" t="s">
        <v>225</v>
      </c>
      <c r="B424">
        <v>16</v>
      </c>
      <c r="C424" t="s">
        <v>179</v>
      </c>
      <c r="D424">
        <v>2</v>
      </c>
      <c r="E424">
        <v>36483</v>
      </c>
      <c r="F424">
        <v>1121</v>
      </c>
      <c r="G424" s="4">
        <f t="shared" si="7"/>
        <v>3.0726639804840611E-2</v>
      </c>
    </row>
    <row r="425" spans="1:7">
      <c r="A425" t="s">
        <v>225</v>
      </c>
      <c r="B425">
        <v>16</v>
      </c>
      <c r="C425" t="s">
        <v>541</v>
      </c>
      <c r="D425">
        <v>3</v>
      </c>
      <c r="E425">
        <v>36483</v>
      </c>
      <c r="F425">
        <v>1148</v>
      </c>
      <c r="G425" s="4">
        <f t="shared" si="7"/>
        <v>3.1466710522709204E-2</v>
      </c>
    </row>
    <row r="426" spans="1:7">
      <c r="A426" t="s">
        <v>225</v>
      </c>
      <c r="B426">
        <v>16</v>
      </c>
      <c r="C426" t="s">
        <v>204</v>
      </c>
      <c r="D426">
        <v>4</v>
      </c>
      <c r="E426">
        <v>36483</v>
      </c>
      <c r="F426">
        <v>36037</v>
      </c>
      <c r="G426" s="4">
        <f t="shared" si="7"/>
        <v>0.98777512814187429</v>
      </c>
    </row>
    <row r="427" spans="1:7">
      <c r="A427" t="s">
        <v>225</v>
      </c>
      <c r="B427">
        <v>20</v>
      </c>
      <c r="C427" t="s">
        <v>203</v>
      </c>
      <c r="D427">
        <v>1</v>
      </c>
      <c r="E427">
        <v>3914</v>
      </c>
      <c r="F427">
        <v>2113</v>
      </c>
      <c r="G427" s="4">
        <f t="shared" si="7"/>
        <v>0.53985692386305573</v>
      </c>
    </row>
    <row r="428" spans="1:7">
      <c r="A428" t="s">
        <v>225</v>
      </c>
      <c r="B428">
        <v>20</v>
      </c>
      <c r="C428" t="s">
        <v>2</v>
      </c>
      <c r="D428">
        <v>2</v>
      </c>
      <c r="E428">
        <v>3914</v>
      </c>
      <c r="F428">
        <v>2152</v>
      </c>
      <c r="G428" s="4">
        <f t="shared" si="7"/>
        <v>0.54982115482881966</v>
      </c>
    </row>
    <row r="429" spans="1:7">
      <c r="A429" t="s">
        <v>225</v>
      </c>
      <c r="B429">
        <v>21</v>
      </c>
      <c r="C429" t="s">
        <v>2</v>
      </c>
      <c r="D429">
        <v>1</v>
      </c>
      <c r="E429">
        <v>15686</v>
      </c>
      <c r="F429">
        <v>8016</v>
      </c>
      <c r="G429" s="4">
        <f t="shared" si="7"/>
        <v>0.51102894300650259</v>
      </c>
    </row>
    <row r="430" spans="1:7">
      <c r="A430" t="s">
        <v>225</v>
      </c>
      <c r="B430">
        <v>21</v>
      </c>
      <c r="C430" t="s">
        <v>203</v>
      </c>
      <c r="D430">
        <v>2</v>
      </c>
      <c r="E430">
        <v>15686</v>
      </c>
      <c r="F430">
        <v>8067</v>
      </c>
      <c r="G430" s="4">
        <f t="shared" si="7"/>
        <v>0.51428024990437338</v>
      </c>
    </row>
    <row r="431" spans="1:7">
      <c r="A431" t="s">
        <v>227</v>
      </c>
      <c r="B431">
        <v>0</v>
      </c>
      <c r="C431" t="s">
        <v>2</v>
      </c>
      <c r="D431">
        <v>1</v>
      </c>
      <c r="E431">
        <v>183</v>
      </c>
      <c r="F431">
        <v>96</v>
      </c>
      <c r="G431" s="4">
        <f t="shared" si="7"/>
        <v>0.52459016393442626</v>
      </c>
    </row>
    <row r="432" spans="1:7">
      <c r="A432" t="s">
        <v>227</v>
      </c>
      <c r="B432">
        <v>0</v>
      </c>
      <c r="C432" t="s">
        <v>0</v>
      </c>
      <c r="D432">
        <v>2</v>
      </c>
      <c r="E432">
        <v>183</v>
      </c>
      <c r="F432">
        <v>133</v>
      </c>
      <c r="G432" s="4">
        <f t="shared" si="7"/>
        <v>0.72677595628415304</v>
      </c>
    </row>
    <row r="433" spans="1:7">
      <c r="A433" t="s">
        <v>227</v>
      </c>
      <c r="B433">
        <v>0</v>
      </c>
      <c r="C433" t="s">
        <v>233</v>
      </c>
      <c r="D433">
        <v>3</v>
      </c>
      <c r="E433">
        <v>183</v>
      </c>
      <c r="F433">
        <v>140</v>
      </c>
      <c r="G433" s="4">
        <f t="shared" si="7"/>
        <v>0.76502732240437155</v>
      </c>
    </row>
    <row r="434" spans="1:7">
      <c r="A434" t="s">
        <v>227</v>
      </c>
      <c r="B434">
        <v>0</v>
      </c>
      <c r="C434" t="s">
        <v>234</v>
      </c>
      <c r="D434">
        <v>4</v>
      </c>
      <c r="E434">
        <v>183</v>
      </c>
      <c r="F434">
        <v>181</v>
      </c>
      <c r="G434" s="4">
        <f t="shared" si="7"/>
        <v>0.98907103825136611</v>
      </c>
    </row>
    <row r="435" spans="1:7">
      <c r="A435" t="s">
        <v>227</v>
      </c>
      <c r="B435">
        <v>1</v>
      </c>
      <c r="C435" t="s">
        <v>544</v>
      </c>
      <c r="D435">
        <v>1</v>
      </c>
      <c r="E435">
        <v>10339</v>
      </c>
      <c r="F435">
        <v>853</v>
      </c>
      <c r="G435" s="4">
        <f t="shared" si="7"/>
        <v>8.250314343746977E-2</v>
      </c>
    </row>
    <row r="436" spans="1:7">
      <c r="A436" t="s">
        <v>227</v>
      </c>
      <c r="B436">
        <v>1</v>
      </c>
      <c r="C436" t="s">
        <v>2</v>
      </c>
      <c r="D436">
        <v>2</v>
      </c>
      <c r="E436">
        <v>10339</v>
      </c>
      <c r="F436">
        <v>2031</v>
      </c>
      <c r="G436" s="4">
        <f t="shared" si="7"/>
        <v>0.19644066157268594</v>
      </c>
    </row>
    <row r="437" spans="1:7">
      <c r="A437" t="s">
        <v>227</v>
      </c>
      <c r="B437">
        <v>1</v>
      </c>
      <c r="C437" t="s">
        <v>545</v>
      </c>
      <c r="D437">
        <v>3</v>
      </c>
      <c r="E437">
        <v>10339</v>
      </c>
      <c r="F437">
        <v>2936</v>
      </c>
      <c r="G437" s="4">
        <f t="shared" si="7"/>
        <v>0.28397330496179513</v>
      </c>
    </row>
    <row r="438" spans="1:7">
      <c r="A438" t="s">
        <v>227</v>
      </c>
      <c r="B438">
        <v>1</v>
      </c>
      <c r="C438" t="s">
        <v>546</v>
      </c>
      <c r="D438">
        <v>4</v>
      </c>
      <c r="E438">
        <v>10339</v>
      </c>
      <c r="F438">
        <v>6179</v>
      </c>
      <c r="G438" s="4">
        <f t="shared" si="7"/>
        <v>0.59764000386884608</v>
      </c>
    </row>
    <row r="439" spans="1:7">
      <c r="A439" t="s">
        <v>228</v>
      </c>
      <c r="B439">
        <v>1</v>
      </c>
      <c r="C439" t="s">
        <v>547</v>
      </c>
      <c r="D439">
        <v>1</v>
      </c>
      <c r="E439">
        <v>5160</v>
      </c>
      <c r="F439">
        <v>570</v>
      </c>
      <c r="G439" s="4">
        <f t="shared" si="7"/>
        <v>0.11046511627906977</v>
      </c>
    </row>
    <row r="440" spans="1:7">
      <c r="A440" t="s">
        <v>228</v>
      </c>
      <c r="B440">
        <v>1</v>
      </c>
      <c r="C440" t="s">
        <v>206</v>
      </c>
      <c r="D440">
        <v>2</v>
      </c>
      <c r="E440">
        <v>5160</v>
      </c>
      <c r="F440">
        <v>572</v>
      </c>
      <c r="G440" s="4">
        <f t="shared" si="7"/>
        <v>0.11085271317829458</v>
      </c>
    </row>
    <row r="441" spans="1:7">
      <c r="A441" t="s">
        <v>228</v>
      </c>
      <c r="B441">
        <v>1</v>
      </c>
      <c r="C441" t="s">
        <v>491</v>
      </c>
      <c r="D441">
        <v>3</v>
      </c>
      <c r="E441">
        <v>5160</v>
      </c>
      <c r="F441">
        <v>1154</v>
      </c>
      <c r="G441" s="4">
        <f t="shared" si="7"/>
        <v>0.22364341085271316</v>
      </c>
    </row>
    <row r="442" spans="1:7">
      <c r="A442" t="s">
        <v>228</v>
      </c>
      <c r="B442">
        <v>1</v>
      </c>
      <c r="C442" t="s">
        <v>548</v>
      </c>
      <c r="D442">
        <v>4</v>
      </c>
      <c r="E442">
        <v>5160</v>
      </c>
      <c r="F442">
        <v>1171</v>
      </c>
      <c r="G442" s="4">
        <f t="shared" si="7"/>
        <v>0.22693798449612404</v>
      </c>
    </row>
    <row r="443" spans="1:7">
      <c r="A443" t="s">
        <v>228</v>
      </c>
      <c r="B443">
        <v>1</v>
      </c>
      <c r="C443" t="s">
        <v>549</v>
      </c>
      <c r="D443">
        <v>5</v>
      </c>
      <c r="E443">
        <v>5160</v>
      </c>
      <c r="F443">
        <v>1222</v>
      </c>
      <c r="G443" s="4">
        <f t="shared" si="7"/>
        <v>0.23682170542635658</v>
      </c>
    </row>
    <row r="444" spans="1:7">
      <c r="A444" t="s">
        <v>228</v>
      </c>
      <c r="B444">
        <v>1</v>
      </c>
      <c r="C444" t="s">
        <v>550</v>
      </c>
      <c r="D444">
        <v>6</v>
      </c>
      <c r="E444">
        <v>5160</v>
      </c>
      <c r="F444">
        <v>1240</v>
      </c>
      <c r="G444" s="4">
        <f t="shared" si="7"/>
        <v>0.24031007751937986</v>
      </c>
    </row>
    <row r="445" spans="1:7">
      <c r="A445" t="s">
        <v>228</v>
      </c>
      <c r="B445">
        <v>1</v>
      </c>
      <c r="C445" t="s">
        <v>204</v>
      </c>
      <c r="D445">
        <v>7</v>
      </c>
      <c r="E445">
        <v>5160</v>
      </c>
      <c r="F445">
        <v>1281</v>
      </c>
      <c r="G445" s="4">
        <f t="shared" si="7"/>
        <v>0.24825581395348836</v>
      </c>
    </row>
    <row r="446" spans="1:7">
      <c r="A446" t="s">
        <v>228</v>
      </c>
      <c r="B446">
        <v>1</v>
      </c>
      <c r="C446" t="s">
        <v>541</v>
      </c>
      <c r="D446">
        <v>8</v>
      </c>
      <c r="E446">
        <v>5160</v>
      </c>
      <c r="F446">
        <v>1549</v>
      </c>
      <c r="G446" s="4">
        <f t="shared" si="7"/>
        <v>0.30019379844961241</v>
      </c>
    </row>
    <row r="447" spans="1:7">
      <c r="A447" t="s">
        <v>230</v>
      </c>
      <c r="B447">
        <v>1</v>
      </c>
      <c r="C447" t="s">
        <v>2</v>
      </c>
      <c r="D447">
        <v>1</v>
      </c>
      <c r="E447">
        <v>33645</v>
      </c>
      <c r="F447">
        <v>7005</v>
      </c>
      <c r="G447" s="4">
        <f t="shared" si="7"/>
        <v>0.20820329915292018</v>
      </c>
    </row>
    <row r="448" spans="1:7">
      <c r="A448" t="s">
        <v>230</v>
      </c>
      <c r="B448">
        <v>1</v>
      </c>
      <c r="C448" t="s">
        <v>445</v>
      </c>
      <c r="D448">
        <v>2</v>
      </c>
      <c r="E448">
        <v>33645</v>
      </c>
      <c r="F448">
        <v>8195</v>
      </c>
      <c r="G448" s="4">
        <f t="shared" si="7"/>
        <v>0.24357259622529351</v>
      </c>
    </row>
    <row r="449" spans="1:7">
      <c r="A449" t="s">
        <v>230</v>
      </c>
      <c r="B449">
        <v>1</v>
      </c>
      <c r="C449" t="s">
        <v>551</v>
      </c>
      <c r="D449">
        <v>3</v>
      </c>
      <c r="E449">
        <v>33645</v>
      </c>
      <c r="F449">
        <v>8693</v>
      </c>
      <c r="G449" s="4">
        <f t="shared" si="7"/>
        <v>0.25837420121860605</v>
      </c>
    </row>
    <row r="450" spans="1:7">
      <c r="A450" t="s">
        <v>230</v>
      </c>
      <c r="B450">
        <v>1</v>
      </c>
      <c r="C450" t="s">
        <v>552</v>
      </c>
      <c r="D450">
        <v>4</v>
      </c>
      <c r="E450">
        <v>33645</v>
      </c>
      <c r="F450">
        <v>9240</v>
      </c>
      <c r="G450" s="4">
        <f t="shared" si="7"/>
        <v>0.27463218903254571</v>
      </c>
    </row>
    <row r="451" spans="1:7">
      <c r="A451" t="s">
        <v>230</v>
      </c>
      <c r="B451">
        <v>1</v>
      </c>
      <c r="C451" t="s">
        <v>553</v>
      </c>
      <c r="D451">
        <v>5</v>
      </c>
      <c r="E451">
        <v>33645</v>
      </c>
      <c r="F451">
        <v>9709</v>
      </c>
      <c r="G451" s="4">
        <f t="shared" ref="G451:G514" si="8">F451/E451</f>
        <v>0.28857185317283401</v>
      </c>
    </row>
    <row r="452" spans="1:7">
      <c r="A452" t="s">
        <v>231</v>
      </c>
      <c r="B452">
        <v>5</v>
      </c>
      <c r="C452" t="s">
        <v>554</v>
      </c>
      <c r="D452">
        <v>1</v>
      </c>
      <c r="E452">
        <v>30839</v>
      </c>
      <c r="F452">
        <v>6171</v>
      </c>
      <c r="G452" s="4">
        <f t="shared" si="8"/>
        <v>0.2001037647135121</v>
      </c>
    </row>
    <row r="453" spans="1:7">
      <c r="A453" t="s">
        <v>231</v>
      </c>
      <c r="B453">
        <v>5</v>
      </c>
      <c r="C453" t="s">
        <v>2</v>
      </c>
      <c r="D453">
        <v>2</v>
      </c>
      <c r="E453">
        <v>30839</v>
      </c>
      <c r="F453">
        <v>6306</v>
      </c>
      <c r="G453" s="4">
        <f t="shared" si="8"/>
        <v>0.2044813385648043</v>
      </c>
    </row>
    <row r="454" spans="1:7">
      <c r="A454" t="s">
        <v>231</v>
      </c>
      <c r="B454">
        <v>5</v>
      </c>
      <c r="C454" t="s">
        <v>545</v>
      </c>
      <c r="D454">
        <v>3</v>
      </c>
      <c r="E454">
        <v>30839</v>
      </c>
      <c r="F454">
        <v>9332</v>
      </c>
      <c r="G454" s="4">
        <f t="shared" si="8"/>
        <v>0.30260384577969457</v>
      </c>
    </row>
    <row r="455" spans="1:7">
      <c r="A455" t="s">
        <v>231</v>
      </c>
      <c r="B455">
        <v>5</v>
      </c>
      <c r="C455" t="s">
        <v>555</v>
      </c>
      <c r="D455">
        <v>4</v>
      </c>
      <c r="E455">
        <v>30839</v>
      </c>
      <c r="F455">
        <v>15018</v>
      </c>
      <c r="G455" s="4">
        <f t="shared" si="8"/>
        <v>0.48698077110152727</v>
      </c>
    </row>
    <row r="456" spans="1:7">
      <c r="A456" t="s">
        <v>231</v>
      </c>
      <c r="B456">
        <v>5</v>
      </c>
      <c r="C456" t="s">
        <v>556</v>
      </c>
      <c r="D456">
        <v>5</v>
      </c>
      <c r="E456">
        <v>30839</v>
      </c>
      <c r="F456">
        <v>20566</v>
      </c>
      <c r="G456" s="4">
        <f t="shared" si="8"/>
        <v>0.66688284315315027</v>
      </c>
    </row>
    <row r="457" spans="1:7">
      <c r="A457" t="s">
        <v>231</v>
      </c>
      <c r="B457">
        <v>7</v>
      </c>
      <c r="C457" t="s">
        <v>1</v>
      </c>
      <c r="D457">
        <v>1</v>
      </c>
      <c r="E457">
        <v>1007</v>
      </c>
      <c r="F457">
        <v>288</v>
      </c>
      <c r="G457" s="4">
        <f t="shared" si="8"/>
        <v>0.28599801390268126</v>
      </c>
    </row>
    <row r="458" spans="1:7">
      <c r="A458" t="s">
        <v>231</v>
      </c>
      <c r="B458">
        <v>7</v>
      </c>
      <c r="C458" t="s">
        <v>2</v>
      </c>
      <c r="D458">
        <v>2</v>
      </c>
      <c r="E458">
        <v>1007</v>
      </c>
      <c r="F458">
        <v>528</v>
      </c>
      <c r="G458" s="4">
        <f t="shared" si="8"/>
        <v>0.52432969215491554</v>
      </c>
    </row>
    <row r="459" spans="1:7">
      <c r="A459" t="s">
        <v>231</v>
      </c>
      <c r="B459">
        <v>7</v>
      </c>
      <c r="C459" t="s">
        <v>0</v>
      </c>
      <c r="D459">
        <v>3</v>
      </c>
      <c r="E459">
        <v>1007</v>
      </c>
      <c r="F459">
        <v>872</v>
      </c>
      <c r="G459" s="4">
        <f t="shared" si="8"/>
        <v>0.86593843098311818</v>
      </c>
    </row>
    <row r="460" spans="1:7">
      <c r="A460" t="s">
        <v>231</v>
      </c>
      <c r="B460">
        <v>9</v>
      </c>
      <c r="C460" t="s">
        <v>557</v>
      </c>
      <c r="D460">
        <v>1</v>
      </c>
      <c r="E460">
        <v>1089</v>
      </c>
      <c r="F460">
        <v>258</v>
      </c>
      <c r="G460" s="4">
        <f t="shared" si="8"/>
        <v>0.23691460055096419</v>
      </c>
    </row>
    <row r="461" spans="1:7">
      <c r="A461" t="s">
        <v>231</v>
      </c>
      <c r="B461">
        <v>9</v>
      </c>
      <c r="C461" t="s">
        <v>559</v>
      </c>
      <c r="D461">
        <v>2</v>
      </c>
      <c r="E461">
        <v>1089</v>
      </c>
      <c r="F461">
        <v>268</v>
      </c>
      <c r="G461" s="4">
        <f t="shared" si="8"/>
        <v>0.24609733700642791</v>
      </c>
    </row>
    <row r="462" spans="1:7">
      <c r="A462" t="s">
        <v>231</v>
      </c>
      <c r="B462">
        <v>9</v>
      </c>
      <c r="C462" t="s">
        <v>558</v>
      </c>
      <c r="D462">
        <v>3</v>
      </c>
      <c r="E462">
        <v>1089</v>
      </c>
      <c r="F462">
        <v>273</v>
      </c>
      <c r="G462" s="4">
        <f t="shared" si="8"/>
        <v>0.25068870523415976</v>
      </c>
    </row>
    <row r="463" spans="1:7">
      <c r="A463" t="s">
        <v>231</v>
      </c>
      <c r="B463">
        <v>9</v>
      </c>
      <c r="C463" t="s">
        <v>560</v>
      </c>
      <c r="D463">
        <v>4</v>
      </c>
      <c r="E463">
        <v>1089</v>
      </c>
      <c r="F463">
        <v>304</v>
      </c>
      <c r="G463" s="4">
        <f t="shared" si="8"/>
        <v>0.27915518824609736</v>
      </c>
    </row>
    <row r="464" spans="1:7">
      <c r="A464" t="s">
        <v>231</v>
      </c>
      <c r="B464">
        <v>9</v>
      </c>
      <c r="C464" t="s">
        <v>561</v>
      </c>
      <c r="D464">
        <v>5</v>
      </c>
      <c r="E464">
        <v>1089</v>
      </c>
      <c r="F464">
        <v>335</v>
      </c>
      <c r="G464" s="4">
        <f t="shared" si="8"/>
        <v>0.30762167125803491</v>
      </c>
    </row>
    <row r="465" spans="1:7">
      <c r="A465" t="s">
        <v>231</v>
      </c>
      <c r="B465">
        <v>9</v>
      </c>
      <c r="C465" t="s">
        <v>563</v>
      </c>
      <c r="D465">
        <v>6</v>
      </c>
      <c r="E465">
        <v>1089</v>
      </c>
      <c r="F465">
        <v>342</v>
      </c>
      <c r="G465" s="4">
        <f t="shared" si="8"/>
        <v>0.31404958677685951</v>
      </c>
    </row>
    <row r="466" spans="1:7">
      <c r="A466" t="s">
        <v>231</v>
      </c>
      <c r="B466">
        <v>9</v>
      </c>
      <c r="C466" t="s">
        <v>564</v>
      </c>
      <c r="D466">
        <v>7</v>
      </c>
      <c r="E466">
        <v>1089</v>
      </c>
      <c r="F466">
        <v>343</v>
      </c>
      <c r="G466" s="4">
        <f t="shared" si="8"/>
        <v>0.31496786042240588</v>
      </c>
    </row>
    <row r="467" spans="1:7">
      <c r="A467" t="s">
        <v>231</v>
      </c>
      <c r="B467">
        <v>9</v>
      </c>
      <c r="C467" t="s">
        <v>205</v>
      </c>
      <c r="D467">
        <v>8</v>
      </c>
      <c r="E467">
        <v>1089</v>
      </c>
      <c r="F467">
        <v>346</v>
      </c>
      <c r="G467" s="4">
        <f t="shared" si="8"/>
        <v>0.31772268135904502</v>
      </c>
    </row>
    <row r="468" spans="1:7">
      <c r="A468" t="s">
        <v>231</v>
      </c>
      <c r="B468">
        <v>9</v>
      </c>
      <c r="C468" t="s">
        <v>562</v>
      </c>
      <c r="D468">
        <v>9</v>
      </c>
      <c r="E468">
        <v>1089</v>
      </c>
      <c r="F468">
        <v>348</v>
      </c>
      <c r="G468" s="4">
        <f t="shared" si="8"/>
        <v>0.31955922865013775</v>
      </c>
    </row>
    <row r="469" spans="1:7">
      <c r="A469" t="s">
        <v>231</v>
      </c>
      <c r="B469">
        <v>9</v>
      </c>
      <c r="C469" t="s">
        <v>566</v>
      </c>
      <c r="D469">
        <v>10</v>
      </c>
      <c r="E469">
        <v>1089</v>
      </c>
      <c r="F469">
        <v>351</v>
      </c>
      <c r="G469" s="4">
        <f t="shared" si="8"/>
        <v>0.32231404958677684</v>
      </c>
    </row>
    <row r="470" spans="1:7">
      <c r="A470" t="s">
        <v>231</v>
      </c>
      <c r="B470">
        <v>9</v>
      </c>
      <c r="C470" t="s">
        <v>565</v>
      </c>
      <c r="D470">
        <v>11</v>
      </c>
      <c r="E470">
        <v>1089</v>
      </c>
      <c r="F470">
        <v>353</v>
      </c>
      <c r="G470" s="4">
        <f t="shared" si="8"/>
        <v>0.32415059687786962</v>
      </c>
    </row>
    <row r="471" spans="1:7">
      <c r="A471" t="s">
        <v>231</v>
      </c>
      <c r="B471">
        <v>9</v>
      </c>
      <c r="C471" t="s">
        <v>567</v>
      </c>
      <c r="D471">
        <v>12</v>
      </c>
      <c r="E471">
        <v>1089</v>
      </c>
      <c r="F471">
        <v>419</v>
      </c>
      <c r="G471" s="4">
        <f t="shared" si="8"/>
        <v>0.38475665748393023</v>
      </c>
    </row>
    <row r="472" spans="1:7">
      <c r="A472" t="s">
        <v>231</v>
      </c>
      <c r="B472">
        <v>9</v>
      </c>
      <c r="C472" t="s">
        <v>568</v>
      </c>
      <c r="D472">
        <v>13</v>
      </c>
      <c r="E472">
        <v>1089</v>
      </c>
      <c r="F472">
        <v>434</v>
      </c>
      <c r="G472" s="4">
        <f t="shared" si="8"/>
        <v>0.3985307621671258</v>
      </c>
    </row>
    <row r="473" spans="1:7">
      <c r="A473" t="s">
        <v>231</v>
      </c>
      <c r="B473">
        <v>9</v>
      </c>
      <c r="C473" t="s">
        <v>569</v>
      </c>
      <c r="D473">
        <v>14</v>
      </c>
      <c r="E473">
        <v>1089</v>
      </c>
      <c r="F473">
        <v>492</v>
      </c>
      <c r="G473" s="4">
        <f t="shared" si="8"/>
        <v>0.45179063360881544</v>
      </c>
    </row>
    <row r="474" spans="1:7">
      <c r="A474" t="s">
        <v>231</v>
      </c>
      <c r="B474">
        <v>9</v>
      </c>
      <c r="C474" t="s">
        <v>570</v>
      </c>
      <c r="D474">
        <v>15</v>
      </c>
      <c r="E474">
        <v>1089</v>
      </c>
      <c r="F474">
        <v>669</v>
      </c>
      <c r="G474" s="4">
        <f t="shared" si="8"/>
        <v>0.61432506887052341</v>
      </c>
    </row>
    <row r="475" spans="1:7">
      <c r="A475" t="s">
        <v>231</v>
      </c>
      <c r="B475">
        <v>9</v>
      </c>
      <c r="C475" t="s">
        <v>571</v>
      </c>
      <c r="D475">
        <v>16</v>
      </c>
      <c r="E475">
        <v>1089</v>
      </c>
      <c r="F475">
        <v>693</v>
      </c>
      <c r="G475" s="4">
        <f t="shared" si="8"/>
        <v>0.63636363636363635</v>
      </c>
    </row>
    <row r="476" spans="1:7">
      <c r="A476" t="s">
        <v>231</v>
      </c>
      <c r="B476">
        <v>9</v>
      </c>
      <c r="C476" t="s">
        <v>572</v>
      </c>
      <c r="D476">
        <v>17</v>
      </c>
      <c r="E476">
        <v>1089</v>
      </c>
      <c r="F476">
        <v>744</v>
      </c>
      <c r="G476" s="4">
        <f t="shared" si="8"/>
        <v>0.6831955922865014</v>
      </c>
    </row>
    <row r="477" spans="1:7">
      <c r="A477" t="s">
        <v>231</v>
      </c>
      <c r="B477">
        <v>9</v>
      </c>
      <c r="C477" t="s">
        <v>573</v>
      </c>
      <c r="D477">
        <v>18</v>
      </c>
      <c r="E477">
        <v>1089</v>
      </c>
      <c r="F477">
        <v>758</v>
      </c>
      <c r="G477" s="4">
        <f t="shared" si="8"/>
        <v>0.6960514233241506</v>
      </c>
    </row>
    <row r="478" spans="1:7">
      <c r="A478" t="s">
        <v>231</v>
      </c>
      <c r="B478">
        <v>10</v>
      </c>
      <c r="C478" t="s">
        <v>179</v>
      </c>
      <c r="D478">
        <v>1</v>
      </c>
      <c r="E478">
        <v>1290</v>
      </c>
      <c r="F478">
        <v>1207</v>
      </c>
      <c r="G478" s="4">
        <f t="shared" si="8"/>
        <v>0.93565891472868212</v>
      </c>
    </row>
    <row r="479" spans="1:7">
      <c r="A479" t="s">
        <v>231</v>
      </c>
      <c r="B479">
        <v>10</v>
      </c>
      <c r="C479" t="s">
        <v>1</v>
      </c>
      <c r="D479">
        <v>2</v>
      </c>
      <c r="E479">
        <v>1290</v>
      </c>
      <c r="F479">
        <v>1218</v>
      </c>
      <c r="G479" s="4">
        <f t="shared" si="8"/>
        <v>0.94418604651162785</v>
      </c>
    </row>
    <row r="480" spans="1:7">
      <c r="A480" t="s">
        <v>231</v>
      </c>
      <c r="B480">
        <v>10</v>
      </c>
      <c r="C480" t="s">
        <v>180</v>
      </c>
      <c r="D480">
        <v>3</v>
      </c>
      <c r="E480">
        <v>1290</v>
      </c>
      <c r="F480">
        <v>1225</v>
      </c>
      <c r="G480" s="4">
        <f t="shared" si="8"/>
        <v>0.94961240310077522</v>
      </c>
    </row>
    <row r="481" spans="1:7">
      <c r="A481" t="s">
        <v>231</v>
      </c>
      <c r="B481">
        <v>10</v>
      </c>
      <c r="C481" t="s">
        <v>0</v>
      </c>
      <c r="D481">
        <v>4</v>
      </c>
      <c r="E481">
        <v>1290</v>
      </c>
      <c r="F481">
        <v>1226</v>
      </c>
      <c r="G481" s="4">
        <f t="shared" si="8"/>
        <v>0.95038759689922481</v>
      </c>
    </row>
    <row r="482" spans="1:7">
      <c r="A482" t="s">
        <v>231</v>
      </c>
      <c r="B482">
        <v>11</v>
      </c>
      <c r="C482" t="s">
        <v>542</v>
      </c>
      <c r="D482">
        <v>1</v>
      </c>
      <c r="E482">
        <v>2222</v>
      </c>
      <c r="F482">
        <v>256</v>
      </c>
      <c r="G482" s="4">
        <f t="shared" si="8"/>
        <v>0.11521152115211521</v>
      </c>
    </row>
    <row r="483" spans="1:7">
      <c r="A483" t="s">
        <v>231</v>
      </c>
      <c r="B483">
        <v>11</v>
      </c>
      <c r="C483" t="s">
        <v>574</v>
      </c>
      <c r="D483">
        <v>2</v>
      </c>
      <c r="E483">
        <v>2222</v>
      </c>
      <c r="F483">
        <v>957</v>
      </c>
      <c r="G483" s="4">
        <f t="shared" si="8"/>
        <v>0.43069306930693069</v>
      </c>
    </row>
    <row r="484" spans="1:7">
      <c r="A484" t="s">
        <v>231</v>
      </c>
      <c r="B484">
        <v>11</v>
      </c>
      <c r="C484" t="s">
        <v>575</v>
      </c>
      <c r="D484">
        <v>3</v>
      </c>
      <c r="E484">
        <v>2222</v>
      </c>
      <c r="F484">
        <v>1019</v>
      </c>
      <c r="G484" s="4">
        <f t="shared" si="8"/>
        <v>0.45859585958595861</v>
      </c>
    </row>
    <row r="485" spans="1:7">
      <c r="A485" t="s">
        <v>231</v>
      </c>
      <c r="B485">
        <v>11</v>
      </c>
      <c r="C485" t="s">
        <v>576</v>
      </c>
      <c r="D485">
        <v>4</v>
      </c>
      <c r="E485">
        <v>2222</v>
      </c>
      <c r="F485">
        <v>1025</v>
      </c>
      <c r="G485" s="4">
        <f t="shared" si="8"/>
        <v>0.46129612961296129</v>
      </c>
    </row>
    <row r="486" spans="1:7">
      <c r="A486" t="s">
        <v>231</v>
      </c>
      <c r="B486">
        <v>11</v>
      </c>
      <c r="C486" t="s">
        <v>577</v>
      </c>
      <c r="D486">
        <v>5</v>
      </c>
      <c r="E486">
        <v>2222</v>
      </c>
      <c r="F486">
        <v>1061</v>
      </c>
      <c r="G486" s="4">
        <f t="shared" si="8"/>
        <v>0.4774977497749775</v>
      </c>
    </row>
    <row r="487" spans="1:7">
      <c r="A487" t="s">
        <v>231</v>
      </c>
      <c r="B487">
        <v>11</v>
      </c>
      <c r="C487" t="s">
        <v>543</v>
      </c>
      <c r="D487">
        <v>6</v>
      </c>
      <c r="E487">
        <v>2222</v>
      </c>
      <c r="F487">
        <v>1076</v>
      </c>
      <c r="G487" s="4">
        <f t="shared" si="8"/>
        <v>0.48424842484248426</v>
      </c>
    </row>
    <row r="488" spans="1:7">
      <c r="A488" t="s">
        <v>231</v>
      </c>
      <c r="B488">
        <v>11</v>
      </c>
      <c r="C488" t="s">
        <v>578</v>
      </c>
      <c r="D488">
        <v>7</v>
      </c>
      <c r="E488">
        <v>2222</v>
      </c>
      <c r="F488">
        <v>1105</v>
      </c>
      <c r="G488" s="4">
        <f t="shared" si="8"/>
        <v>0.49729972997299732</v>
      </c>
    </row>
    <row r="489" spans="1:7">
      <c r="A489" t="s">
        <v>231</v>
      </c>
      <c r="B489">
        <v>11</v>
      </c>
      <c r="C489" t="s">
        <v>579</v>
      </c>
      <c r="D489">
        <v>8</v>
      </c>
      <c r="E489">
        <v>2222</v>
      </c>
      <c r="F489">
        <v>1202</v>
      </c>
      <c r="G489" s="4">
        <f t="shared" si="8"/>
        <v>0.54095409540954098</v>
      </c>
    </row>
    <row r="490" spans="1:7">
      <c r="A490" t="s">
        <v>231</v>
      </c>
      <c r="B490">
        <v>11</v>
      </c>
      <c r="C490" t="s">
        <v>580</v>
      </c>
      <c r="D490">
        <v>9</v>
      </c>
      <c r="E490">
        <v>2222</v>
      </c>
      <c r="F490">
        <v>1207</v>
      </c>
      <c r="G490" s="4">
        <f t="shared" si="8"/>
        <v>0.54320432043204325</v>
      </c>
    </row>
    <row r="491" spans="1:7">
      <c r="A491" t="s">
        <v>231</v>
      </c>
      <c r="B491">
        <v>11</v>
      </c>
      <c r="C491" t="s">
        <v>581</v>
      </c>
      <c r="D491">
        <v>10</v>
      </c>
      <c r="E491">
        <v>2222</v>
      </c>
      <c r="F491">
        <v>1251</v>
      </c>
      <c r="G491" s="4">
        <f t="shared" si="8"/>
        <v>0.56300630063006296</v>
      </c>
    </row>
    <row r="492" spans="1:7">
      <c r="A492" t="s">
        <v>231</v>
      </c>
      <c r="B492">
        <v>11</v>
      </c>
      <c r="C492" t="s">
        <v>583</v>
      </c>
      <c r="D492">
        <v>11</v>
      </c>
      <c r="E492">
        <v>2222</v>
      </c>
      <c r="F492">
        <v>1258</v>
      </c>
      <c r="G492" s="4">
        <f t="shared" si="8"/>
        <v>0.56615661566156616</v>
      </c>
    </row>
    <row r="493" spans="1:7">
      <c r="A493" t="s">
        <v>231</v>
      </c>
      <c r="B493">
        <v>11</v>
      </c>
      <c r="C493" t="s">
        <v>585</v>
      </c>
      <c r="D493">
        <v>12</v>
      </c>
      <c r="E493">
        <v>2222</v>
      </c>
      <c r="F493">
        <v>1271</v>
      </c>
      <c r="G493" s="4">
        <f t="shared" si="8"/>
        <v>0.57200720072007205</v>
      </c>
    </row>
    <row r="494" spans="1:7">
      <c r="A494" t="s">
        <v>231</v>
      </c>
      <c r="B494">
        <v>11</v>
      </c>
      <c r="C494" t="s">
        <v>584</v>
      </c>
      <c r="D494">
        <v>13</v>
      </c>
      <c r="E494">
        <v>2222</v>
      </c>
      <c r="F494">
        <v>1272</v>
      </c>
      <c r="G494" s="4">
        <f t="shared" si="8"/>
        <v>0.57245724572457246</v>
      </c>
    </row>
    <row r="495" spans="1:7">
      <c r="A495" t="s">
        <v>231</v>
      </c>
      <c r="B495">
        <v>11</v>
      </c>
      <c r="C495" t="s">
        <v>582</v>
      </c>
      <c r="D495">
        <v>14</v>
      </c>
      <c r="E495">
        <v>2222</v>
      </c>
      <c r="F495">
        <v>1275</v>
      </c>
      <c r="G495" s="4">
        <f t="shared" si="8"/>
        <v>0.5738073807380738</v>
      </c>
    </row>
    <row r="496" spans="1:7">
      <c r="A496" t="s">
        <v>231</v>
      </c>
      <c r="B496">
        <v>11</v>
      </c>
      <c r="C496" t="s">
        <v>587</v>
      </c>
      <c r="D496">
        <v>15</v>
      </c>
      <c r="E496">
        <v>2222</v>
      </c>
      <c r="F496">
        <v>1311</v>
      </c>
      <c r="G496" s="4">
        <f t="shared" si="8"/>
        <v>0.59000900090009001</v>
      </c>
    </row>
    <row r="497" spans="1:7">
      <c r="A497" t="s">
        <v>231</v>
      </c>
      <c r="B497">
        <v>11</v>
      </c>
      <c r="C497" t="s">
        <v>586</v>
      </c>
      <c r="D497">
        <v>16</v>
      </c>
      <c r="E497">
        <v>2222</v>
      </c>
      <c r="F497">
        <v>1324</v>
      </c>
      <c r="G497" s="4">
        <f t="shared" si="8"/>
        <v>0.59585958595859589</v>
      </c>
    </row>
    <row r="498" spans="1:7">
      <c r="A498" t="s">
        <v>231</v>
      </c>
      <c r="B498">
        <v>11</v>
      </c>
      <c r="C498" t="s">
        <v>588</v>
      </c>
      <c r="D498">
        <v>17</v>
      </c>
      <c r="E498">
        <v>2222</v>
      </c>
      <c r="F498">
        <v>1329</v>
      </c>
      <c r="G498" s="4">
        <f t="shared" si="8"/>
        <v>0.59810981098109806</v>
      </c>
    </row>
    <row r="499" spans="1:7">
      <c r="A499" t="s">
        <v>231</v>
      </c>
      <c r="B499">
        <v>11</v>
      </c>
      <c r="C499" t="s">
        <v>589</v>
      </c>
      <c r="D499">
        <v>18</v>
      </c>
      <c r="E499">
        <v>2222</v>
      </c>
      <c r="F499">
        <v>1350</v>
      </c>
      <c r="G499" s="4">
        <f t="shared" si="8"/>
        <v>0.60756075607560756</v>
      </c>
    </row>
    <row r="500" spans="1:7">
      <c r="A500" t="s">
        <v>231</v>
      </c>
      <c r="B500">
        <v>11</v>
      </c>
      <c r="C500" t="s">
        <v>590</v>
      </c>
      <c r="D500">
        <v>19</v>
      </c>
      <c r="E500">
        <v>2222</v>
      </c>
      <c r="F500">
        <v>1381</v>
      </c>
      <c r="G500" s="4">
        <f t="shared" si="8"/>
        <v>0.62151215121512149</v>
      </c>
    </row>
    <row r="501" spans="1:7">
      <c r="A501" t="s">
        <v>231</v>
      </c>
      <c r="B501">
        <v>12</v>
      </c>
      <c r="C501" t="s">
        <v>591</v>
      </c>
      <c r="D501">
        <v>1</v>
      </c>
      <c r="E501">
        <v>1311</v>
      </c>
      <c r="F501">
        <v>239</v>
      </c>
      <c r="G501" s="4">
        <f t="shared" si="8"/>
        <v>0.18230358504958047</v>
      </c>
    </row>
    <row r="502" spans="1:7">
      <c r="A502" t="s">
        <v>231</v>
      </c>
      <c r="B502">
        <v>12</v>
      </c>
      <c r="C502" t="s">
        <v>592</v>
      </c>
      <c r="D502">
        <v>2</v>
      </c>
      <c r="E502">
        <v>1311</v>
      </c>
      <c r="F502">
        <v>758</v>
      </c>
      <c r="G502" s="4">
        <f t="shared" si="8"/>
        <v>0.57818459191456906</v>
      </c>
    </row>
    <row r="503" spans="1:7">
      <c r="A503" t="s">
        <v>231</v>
      </c>
      <c r="B503">
        <v>12</v>
      </c>
      <c r="C503" t="s">
        <v>593</v>
      </c>
      <c r="D503">
        <v>3</v>
      </c>
      <c r="E503">
        <v>1311</v>
      </c>
      <c r="F503">
        <v>769</v>
      </c>
      <c r="G503" s="4">
        <f t="shared" si="8"/>
        <v>0.58657513348588863</v>
      </c>
    </row>
    <row r="504" spans="1:7">
      <c r="A504" t="s">
        <v>231</v>
      </c>
      <c r="B504">
        <v>12</v>
      </c>
      <c r="C504" t="s">
        <v>594</v>
      </c>
      <c r="D504">
        <v>4</v>
      </c>
      <c r="E504">
        <v>1311</v>
      </c>
      <c r="F504">
        <v>795</v>
      </c>
      <c r="G504" s="4">
        <f t="shared" si="8"/>
        <v>0.60640732265446229</v>
      </c>
    </row>
    <row r="505" spans="1:7">
      <c r="A505" t="s">
        <v>231</v>
      </c>
      <c r="B505">
        <v>12</v>
      </c>
      <c r="C505" t="s">
        <v>558</v>
      </c>
      <c r="D505">
        <v>5</v>
      </c>
      <c r="E505">
        <v>1311</v>
      </c>
      <c r="F505">
        <v>813</v>
      </c>
      <c r="G505" s="4">
        <f t="shared" si="8"/>
        <v>0.62013729977116705</v>
      </c>
    </row>
    <row r="506" spans="1:7">
      <c r="A506" t="s">
        <v>231</v>
      </c>
      <c r="B506">
        <v>12</v>
      </c>
      <c r="C506" t="s">
        <v>197</v>
      </c>
      <c r="D506">
        <v>6</v>
      </c>
      <c r="E506">
        <v>1311</v>
      </c>
      <c r="F506">
        <v>827</v>
      </c>
      <c r="G506" s="4">
        <f t="shared" si="8"/>
        <v>0.63081617086193742</v>
      </c>
    </row>
    <row r="507" spans="1:7">
      <c r="A507" t="s">
        <v>231</v>
      </c>
      <c r="B507">
        <v>12</v>
      </c>
      <c r="C507" t="s">
        <v>595</v>
      </c>
      <c r="D507">
        <v>7</v>
      </c>
      <c r="E507">
        <v>1311</v>
      </c>
      <c r="F507">
        <v>841</v>
      </c>
      <c r="G507" s="4">
        <f t="shared" si="8"/>
        <v>0.6414950419527079</v>
      </c>
    </row>
    <row r="508" spans="1:7">
      <c r="A508" t="s">
        <v>231</v>
      </c>
      <c r="B508">
        <v>12</v>
      </c>
      <c r="C508" t="s">
        <v>596</v>
      </c>
      <c r="D508">
        <v>8</v>
      </c>
      <c r="E508">
        <v>1311</v>
      </c>
      <c r="F508">
        <v>862</v>
      </c>
      <c r="G508" s="4">
        <f t="shared" si="8"/>
        <v>0.65751334858886346</v>
      </c>
    </row>
    <row r="509" spans="1:7">
      <c r="A509" t="s">
        <v>231</v>
      </c>
      <c r="B509">
        <v>12</v>
      </c>
      <c r="C509" t="s">
        <v>597</v>
      </c>
      <c r="D509">
        <v>9</v>
      </c>
      <c r="E509">
        <v>1311</v>
      </c>
      <c r="F509">
        <v>881</v>
      </c>
      <c r="G509" s="4">
        <f t="shared" si="8"/>
        <v>0.67200610221205181</v>
      </c>
    </row>
    <row r="510" spans="1:7">
      <c r="A510" t="s">
        <v>231</v>
      </c>
      <c r="B510">
        <v>13</v>
      </c>
      <c r="C510" t="s">
        <v>203</v>
      </c>
      <c r="D510">
        <v>1</v>
      </c>
      <c r="E510">
        <v>243</v>
      </c>
      <c r="F510">
        <v>156</v>
      </c>
      <c r="G510" s="4">
        <f t="shared" si="8"/>
        <v>0.64197530864197527</v>
      </c>
    </row>
    <row r="511" spans="1:7">
      <c r="A511" t="s">
        <v>231</v>
      </c>
      <c r="B511">
        <v>13</v>
      </c>
      <c r="C511" t="s">
        <v>2</v>
      </c>
      <c r="D511">
        <v>2</v>
      </c>
      <c r="E511">
        <v>243</v>
      </c>
      <c r="F511">
        <v>230</v>
      </c>
      <c r="G511" s="4">
        <f t="shared" si="8"/>
        <v>0.94650205761316875</v>
      </c>
    </row>
    <row r="512" spans="1:7">
      <c r="A512" t="s">
        <v>598</v>
      </c>
      <c r="B512">
        <v>2</v>
      </c>
      <c r="C512" t="s">
        <v>693</v>
      </c>
      <c r="D512">
        <v>1</v>
      </c>
      <c r="E512">
        <v>2725</v>
      </c>
      <c r="F512">
        <v>843</v>
      </c>
      <c r="G512" s="4">
        <f t="shared" si="8"/>
        <v>0.30935779816513759</v>
      </c>
    </row>
    <row r="513" spans="1:7">
      <c r="A513" t="s">
        <v>598</v>
      </c>
      <c r="B513">
        <v>2</v>
      </c>
      <c r="C513" t="s">
        <v>235</v>
      </c>
      <c r="D513">
        <v>2</v>
      </c>
      <c r="E513">
        <v>2725</v>
      </c>
      <c r="F513">
        <v>1264</v>
      </c>
      <c r="G513" s="4">
        <f t="shared" si="8"/>
        <v>0.46385321100917432</v>
      </c>
    </row>
    <row r="514" spans="1:7">
      <c r="A514" t="s">
        <v>598</v>
      </c>
      <c r="B514">
        <v>2</v>
      </c>
      <c r="C514" t="s">
        <v>694</v>
      </c>
      <c r="D514">
        <v>3</v>
      </c>
      <c r="E514">
        <v>2725</v>
      </c>
      <c r="F514">
        <v>1790</v>
      </c>
      <c r="G514" s="4">
        <f t="shared" si="8"/>
        <v>0.65688073394495416</v>
      </c>
    </row>
    <row r="515" spans="1:7">
      <c r="A515" t="s">
        <v>598</v>
      </c>
      <c r="B515">
        <v>6</v>
      </c>
      <c r="C515" t="s">
        <v>599</v>
      </c>
      <c r="D515">
        <v>1</v>
      </c>
      <c r="E515">
        <v>1112</v>
      </c>
      <c r="F515">
        <v>860</v>
      </c>
      <c r="G515" s="4">
        <f t="shared" ref="G515:G522" si="9">F515/E515</f>
        <v>0.77338129496402874</v>
      </c>
    </row>
    <row r="516" spans="1:7">
      <c r="A516" t="s">
        <v>598</v>
      </c>
      <c r="B516">
        <v>6</v>
      </c>
      <c r="C516" t="s">
        <v>236</v>
      </c>
      <c r="D516">
        <v>2</v>
      </c>
      <c r="E516">
        <v>1112</v>
      </c>
      <c r="F516">
        <v>870</v>
      </c>
      <c r="G516" s="4">
        <f t="shared" si="9"/>
        <v>0.78237410071942448</v>
      </c>
    </row>
    <row r="517" spans="1:7">
      <c r="A517" t="s">
        <v>598</v>
      </c>
      <c r="B517">
        <v>6</v>
      </c>
      <c r="C517" t="s">
        <v>600</v>
      </c>
      <c r="D517">
        <v>3</v>
      </c>
      <c r="E517">
        <v>1112</v>
      </c>
      <c r="F517">
        <v>974</v>
      </c>
      <c r="G517" s="4">
        <f t="shared" si="9"/>
        <v>0.87589928057553956</v>
      </c>
    </row>
    <row r="518" spans="1:7">
      <c r="A518" t="s">
        <v>598</v>
      </c>
      <c r="B518">
        <v>6</v>
      </c>
      <c r="C518" t="s">
        <v>601</v>
      </c>
      <c r="D518">
        <v>4</v>
      </c>
      <c r="E518">
        <v>1112</v>
      </c>
      <c r="F518">
        <v>978</v>
      </c>
      <c r="G518" s="4">
        <f t="shared" si="9"/>
        <v>0.87949640287769781</v>
      </c>
    </row>
    <row r="519" spans="1:7">
      <c r="A519" t="s">
        <v>598</v>
      </c>
      <c r="B519">
        <v>6</v>
      </c>
      <c r="C519" t="s">
        <v>446</v>
      </c>
      <c r="D519">
        <v>5</v>
      </c>
      <c r="E519">
        <v>1112</v>
      </c>
      <c r="F519">
        <v>979</v>
      </c>
      <c r="G519" s="4">
        <f t="shared" si="9"/>
        <v>0.88039568345323738</v>
      </c>
    </row>
    <row r="520" spans="1:7">
      <c r="A520" t="s">
        <v>598</v>
      </c>
      <c r="B520">
        <v>6</v>
      </c>
      <c r="C520" t="s">
        <v>602</v>
      </c>
      <c r="D520">
        <v>6</v>
      </c>
      <c r="E520">
        <v>1112</v>
      </c>
      <c r="F520">
        <v>980</v>
      </c>
      <c r="G520" s="4">
        <f t="shared" si="9"/>
        <v>0.88129496402877694</v>
      </c>
    </row>
    <row r="521" spans="1:7">
      <c r="A521" t="s">
        <v>598</v>
      </c>
      <c r="B521">
        <v>8</v>
      </c>
      <c r="C521" t="s">
        <v>203</v>
      </c>
      <c r="D521">
        <v>1</v>
      </c>
      <c r="E521">
        <v>1293</v>
      </c>
      <c r="F521">
        <v>1201</v>
      </c>
      <c r="G521" s="4">
        <f t="shared" si="9"/>
        <v>0.92884764114462492</v>
      </c>
    </row>
    <row r="522" spans="1:7">
      <c r="A522" t="s">
        <v>598</v>
      </c>
      <c r="B522">
        <v>8</v>
      </c>
      <c r="C522" t="s">
        <v>2</v>
      </c>
      <c r="D522">
        <v>2</v>
      </c>
      <c r="E522">
        <v>1293</v>
      </c>
      <c r="F522">
        <v>1238</v>
      </c>
      <c r="G522" s="4">
        <f t="shared" si="9"/>
        <v>0.95746326372776491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540"/>
  <sheetViews>
    <sheetView topLeftCell="I29" workbookViewId="0">
      <selection activeCell="N52" sqref="N52"/>
    </sheetView>
  </sheetViews>
  <sheetFormatPr baseColWidth="10" defaultRowHeight="15" x14ac:dyDescent="0"/>
  <cols>
    <col min="3" max="3" width="28.5" bestFit="1" customWidth="1"/>
    <col min="6" max="7" width="10.83203125" style="4"/>
    <col min="24" max="24" width="14" customWidth="1"/>
    <col min="35" max="35" width="13" bestFit="1" customWidth="1"/>
  </cols>
  <sheetData>
    <row r="1" spans="1:88">
      <c r="A1" t="s">
        <v>216</v>
      </c>
      <c r="B1" t="s">
        <v>217</v>
      </c>
      <c r="C1" t="s">
        <v>608</v>
      </c>
      <c r="D1" t="s">
        <v>218</v>
      </c>
      <c r="E1" t="s">
        <v>232</v>
      </c>
      <c r="F1" s="4" t="s">
        <v>603</v>
      </c>
      <c r="G1" s="4" t="s">
        <v>604</v>
      </c>
      <c r="H1" t="s">
        <v>605</v>
      </c>
      <c r="I1" t="s">
        <v>606</v>
      </c>
      <c r="J1" t="s">
        <v>681</v>
      </c>
      <c r="K1" s="7" t="s">
        <v>607</v>
      </c>
      <c r="L1" s="7" t="s">
        <v>682</v>
      </c>
      <c r="M1" s="7"/>
      <c r="N1" s="7"/>
      <c r="O1" s="7"/>
      <c r="P1" s="7"/>
      <c r="Q1" s="7" t="s">
        <v>680</v>
      </c>
      <c r="R1" s="7"/>
      <c r="S1" s="7"/>
      <c r="T1" s="7"/>
      <c r="U1" s="7"/>
      <c r="W1" t="s">
        <v>182</v>
      </c>
      <c r="X1" t="s">
        <v>608</v>
      </c>
      <c r="Y1" t="s">
        <v>608</v>
      </c>
      <c r="Z1" t="s">
        <v>608</v>
      </c>
      <c r="AA1" t="s">
        <v>608</v>
      </c>
      <c r="AB1" t="s">
        <v>608</v>
      </c>
      <c r="AC1" t="s">
        <v>608</v>
      </c>
      <c r="AD1" t="s">
        <v>608</v>
      </c>
      <c r="AE1" t="s">
        <v>608</v>
      </c>
      <c r="AF1" t="s">
        <v>608</v>
      </c>
      <c r="AG1" t="s">
        <v>608</v>
      </c>
      <c r="AH1" t="s">
        <v>608</v>
      </c>
      <c r="AI1" t="s">
        <v>608</v>
      </c>
      <c r="AJ1" t="s">
        <v>608</v>
      </c>
      <c r="AK1" t="s">
        <v>608</v>
      </c>
      <c r="AL1" t="s">
        <v>608</v>
      </c>
      <c r="AM1" t="s">
        <v>608</v>
      </c>
      <c r="AN1" t="s">
        <v>608</v>
      </c>
      <c r="AO1" t="s">
        <v>608</v>
      </c>
      <c r="AP1" t="s">
        <v>608</v>
      </c>
      <c r="AQ1" t="s">
        <v>608</v>
      </c>
      <c r="AR1" t="s">
        <v>608</v>
      </c>
      <c r="AS1" t="s">
        <v>608</v>
      </c>
      <c r="AT1" t="s">
        <v>608</v>
      </c>
      <c r="AU1" t="s">
        <v>608</v>
      </c>
      <c r="AV1" t="s">
        <v>608</v>
      </c>
      <c r="AW1" t="s">
        <v>608</v>
      </c>
      <c r="AX1" t="s">
        <v>608</v>
      </c>
      <c r="AY1" t="s">
        <v>608</v>
      </c>
      <c r="AZ1" t="s">
        <v>608</v>
      </c>
      <c r="BA1" t="s">
        <v>608</v>
      </c>
      <c r="BB1" t="s">
        <v>608</v>
      </c>
      <c r="BC1" t="s">
        <v>608</v>
      </c>
      <c r="BD1" t="s">
        <v>608</v>
      </c>
      <c r="BE1" t="s">
        <v>608</v>
      </c>
      <c r="BF1" t="s">
        <v>608</v>
      </c>
      <c r="BG1" t="s">
        <v>608</v>
      </c>
      <c r="BH1" t="s">
        <v>608</v>
      </c>
      <c r="BI1" t="s">
        <v>608</v>
      </c>
      <c r="BJ1" t="s">
        <v>608</v>
      </c>
      <c r="BK1" t="s">
        <v>608</v>
      </c>
      <c r="BL1" t="s">
        <v>608</v>
      </c>
      <c r="BM1" t="s">
        <v>608</v>
      </c>
      <c r="BN1" t="s">
        <v>608</v>
      </c>
      <c r="BO1" t="s">
        <v>608</v>
      </c>
      <c r="BP1" t="s">
        <v>608</v>
      </c>
      <c r="BQ1" t="s">
        <v>608</v>
      </c>
      <c r="BR1" t="s">
        <v>608</v>
      </c>
      <c r="BS1" t="s">
        <v>608</v>
      </c>
      <c r="BT1" t="s">
        <v>608</v>
      </c>
      <c r="BU1" t="s">
        <v>608</v>
      </c>
      <c r="BV1" t="s">
        <v>608</v>
      </c>
      <c r="BW1" t="s">
        <v>608</v>
      </c>
      <c r="BX1" t="s">
        <v>608</v>
      </c>
      <c r="BY1" t="s">
        <v>608</v>
      </c>
      <c r="BZ1" t="s">
        <v>608</v>
      </c>
      <c r="CA1" t="s">
        <v>608</v>
      </c>
      <c r="CB1" t="s">
        <v>608</v>
      </c>
      <c r="CC1" t="s">
        <v>608</v>
      </c>
      <c r="CD1" t="s">
        <v>608</v>
      </c>
      <c r="CE1" t="s">
        <v>608</v>
      </c>
      <c r="CF1" t="s">
        <v>608</v>
      </c>
      <c r="CG1" t="s">
        <v>608</v>
      </c>
      <c r="CH1" t="s">
        <v>608</v>
      </c>
      <c r="CI1" t="s">
        <v>608</v>
      </c>
      <c r="CJ1" t="s">
        <v>608</v>
      </c>
    </row>
    <row r="2" spans="1:88">
      <c r="A2" t="s">
        <v>188</v>
      </c>
      <c r="B2">
        <v>1</v>
      </c>
      <c r="C2" t="str">
        <f>CONCATENATE(A2, "_",B2,"_")</f>
        <v>test.BallonFactory_1_</v>
      </c>
      <c r="D2">
        <v>1</v>
      </c>
      <c r="E2" s="4">
        <v>0.90196078431372551</v>
      </c>
      <c r="F2" s="4">
        <v>0.98298162014976176</v>
      </c>
      <c r="G2" s="4" t="str">
        <f>IF($F2 &lt;= 0.2,$E2,"")</f>
        <v/>
      </c>
      <c r="H2" s="4" t="str">
        <f>IF(AND($F2 &gt; 0.2,$F2 &lt;= 0.4),$E2,"")</f>
        <v/>
      </c>
      <c r="I2" s="4" t="str">
        <f>IF(AND($F2 &gt; 0.4,$F2 &lt;= 0.6),$E2,"")</f>
        <v/>
      </c>
      <c r="J2" s="4" t="str">
        <f>IF(AND($F2 &gt; 0.6,$F2 &lt;= 0.8),$E2,"")</f>
        <v/>
      </c>
      <c r="K2" s="4">
        <f>IF(AND($F2 &gt; 0.8, $F2 &lt;=1.1),$E2,"")</f>
        <v>0.90196078431372551</v>
      </c>
      <c r="L2" s="4" t="str">
        <f>IF(AND($F2 &gt; 1.1),$E2,"")</f>
        <v/>
      </c>
      <c r="M2" s="4"/>
      <c r="N2" s="4" t="s">
        <v>683</v>
      </c>
      <c r="O2" s="4" t="s">
        <v>614</v>
      </c>
      <c r="P2" s="4" t="s">
        <v>679</v>
      </c>
      <c r="Q2" s="4">
        <v>0</v>
      </c>
      <c r="R2" s="4" t="s">
        <v>613</v>
      </c>
      <c r="S2" s="4" t="s">
        <v>612</v>
      </c>
      <c r="T2" s="4" t="s">
        <v>611</v>
      </c>
      <c r="U2" s="4" t="s">
        <v>610</v>
      </c>
      <c r="V2" t="s">
        <v>609</v>
      </c>
      <c r="W2">
        <f>COUNTA(X2:CJ2)</f>
        <v>65</v>
      </c>
      <c r="X2" t="s">
        <v>619</v>
      </c>
      <c r="Y2" t="s">
        <v>620</v>
      </c>
      <c r="Z2" t="s">
        <v>621</v>
      </c>
      <c r="AA2" t="s">
        <v>622</v>
      </c>
      <c r="AB2" t="s">
        <v>623</v>
      </c>
      <c r="AC2" t="s">
        <v>624</v>
      </c>
      <c r="AD2" t="s">
        <v>625</v>
      </c>
      <c r="AE2" t="s">
        <v>626</v>
      </c>
      <c r="AF2" t="s">
        <v>627</v>
      </c>
      <c r="AG2" t="s">
        <v>628</v>
      </c>
      <c r="AH2" t="s">
        <v>629</v>
      </c>
      <c r="AI2" t="s">
        <v>615</v>
      </c>
      <c r="AJ2" t="s">
        <v>617</v>
      </c>
      <c r="AK2" t="s">
        <v>616</v>
      </c>
      <c r="AL2" t="s">
        <v>684</v>
      </c>
      <c r="AM2" t="s">
        <v>618</v>
      </c>
      <c r="AN2" t="s">
        <v>630</v>
      </c>
      <c r="AO2" t="s">
        <v>631</v>
      </c>
      <c r="AP2" t="s">
        <v>632</v>
      </c>
      <c r="AQ2" t="s">
        <v>633</v>
      </c>
      <c r="AR2" t="s">
        <v>634</v>
      </c>
      <c r="AS2" t="s">
        <v>635</v>
      </c>
      <c r="AT2" t="s">
        <v>636</v>
      </c>
      <c r="AU2" t="s">
        <v>637</v>
      </c>
      <c r="AV2" t="s">
        <v>638</v>
      </c>
      <c r="AW2" t="s">
        <v>639</v>
      </c>
      <c r="AX2" t="s">
        <v>640</v>
      </c>
      <c r="AY2" t="s">
        <v>641</v>
      </c>
      <c r="AZ2" t="s">
        <v>642</v>
      </c>
      <c r="BA2" t="s">
        <v>643</v>
      </c>
      <c r="BB2" t="s">
        <v>644</v>
      </c>
      <c r="BC2" t="s">
        <v>645</v>
      </c>
      <c r="BD2" t="s">
        <v>646</v>
      </c>
      <c r="BE2" t="s">
        <v>647</v>
      </c>
      <c r="BF2" t="s">
        <v>648</v>
      </c>
      <c r="BG2" t="s">
        <v>649</v>
      </c>
      <c r="BH2" t="s">
        <v>650</v>
      </c>
      <c r="BI2" t="s">
        <v>651</v>
      </c>
      <c r="BJ2" t="s">
        <v>652</v>
      </c>
      <c r="BK2" t="s">
        <v>653</v>
      </c>
      <c r="BL2" t="s">
        <v>654</v>
      </c>
      <c r="BM2" t="s">
        <v>655</v>
      </c>
      <c r="BN2" t="s">
        <v>656</v>
      </c>
      <c r="BO2" t="s">
        <v>657</v>
      </c>
      <c r="BP2" t="s">
        <v>658</v>
      </c>
      <c r="BQ2" t="s">
        <v>659</v>
      </c>
      <c r="BR2" t="s">
        <v>660</v>
      </c>
      <c r="BS2" t="s">
        <v>661</v>
      </c>
      <c r="BT2" t="s">
        <v>662</v>
      </c>
      <c r="BU2" t="s">
        <v>663</v>
      </c>
      <c r="BV2" t="s">
        <v>664</v>
      </c>
      <c r="BW2" t="s">
        <v>665</v>
      </c>
      <c r="BX2" t="s">
        <v>666</v>
      </c>
      <c r="BY2" t="s">
        <v>667</v>
      </c>
      <c r="BZ2" t="s">
        <v>668</v>
      </c>
      <c r="CA2" t="s">
        <v>669</v>
      </c>
      <c r="CB2" t="s">
        <v>670</v>
      </c>
      <c r="CC2" t="s">
        <v>671</v>
      </c>
      <c r="CD2" t="s">
        <v>672</v>
      </c>
      <c r="CE2" t="s">
        <v>673</v>
      </c>
      <c r="CF2" t="s">
        <v>674</v>
      </c>
      <c r="CG2" t="s">
        <v>675</v>
      </c>
      <c r="CH2" t="s">
        <v>676</v>
      </c>
      <c r="CI2" t="s">
        <v>677</v>
      </c>
      <c r="CJ2" t="s">
        <v>678</v>
      </c>
    </row>
    <row r="3" spans="1:88">
      <c r="A3" t="s">
        <v>188</v>
      </c>
      <c r="B3">
        <v>1</v>
      </c>
      <c r="C3" t="str">
        <f t="shared" ref="C3:C66" si="0">CONCATENATE(A3, "_",B3,"_")</f>
        <v>test.BallonFactory_1_</v>
      </c>
      <c r="D3">
        <v>2</v>
      </c>
      <c r="E3" s="4">
        <v>0.96078431372549022</v>
      </c>
      <c r="F3" s="4">
        <v>0.98570456092579983</v>
      </c>
      <c r="G3" s="4" t="str">
        <f t="shared" ref="G3:G66" si="1">IF(F3 &lt;= 0.2,E3,"")</f>
        <v/>
      </c>
      <c r="H3" s="4" t="str">
        <f t="shared" ref="H3:H66" si="2">IF(AND($F3 &gt; 0.2,$F3 &lt;= 0.4),$E3,"")</f>
        <v/>
      </c>
      <c r="I3" s="4" t="str">
        <f t="shared" ref="I3:I66" si="3">IF(AND($F3 &gt; 0.4,$F3 &lt;= 0.6),$E3,"")</f>
        <v/>
      </c>
      <c r="J3" s="4" t="str">
        <f t="shared" ref="J3:J66" si="4">IF(AND($F3 &gt; 0.6,$F3 &lt;= 0.8),$E3,"")</f>
        <v/>
      </c>
      <c r="K3" s="4">
        <f t="shared" ref="K3:K66" si="5">IF(AND($F3 &gt; 0.8, $F3 &lt;=1.1),$E3,"")</f>
        <v>0.96078431372549022</v>
      </c>
      <c r="L3" s="4" t="str">
        <f t="shared" ref="L3:L66" si="6">IF(AND($F3 &gt; 1.1),$E3,"")</f>
        <v/>
      </c>
      <c r="M3" s="4"/>
      <c r="N3" s="4">
        <f>SUM(T3:V3)/64</f>
        <v>9.375E-2</v>
      </c>
      <c r="O3" s="4">
        <f>SUM(Q3:V3)</f>
        <v>65</v>
      </c>
      <c r="P3" t="s">
        <v>604</v>
      </c>
      <c r="Q3" s="8">
        <f>COUNTIF($X3:$CJ3,"=0")</f>
        <v>31</v>
      </c>
      <c r="R3" s="8">
        <f>COUNTIFS($X3:$CJ3,"&gt;0",$X3:$CJ3,"&lt;0.25")</f>
        <v>21</v>
      </c>
      <c r="S3" s="8">
        <f>COUNTIFS($X3:$CJ3,"&gt;=0.25",$X3:$CJ3,"&lt;0.5")</f>
        <v>7</v>
      </c>
      <c r="T3" s="8">
        <f>COUNTIFS($X3:$CJ3,"&gt;=0.5",$X3:$CJ3,"&lt;0.75")</f>
        <v>5</v>
      </c>
      <c r="U3" s="8">
        <f>COUNTIFS($X3:$CJ3,"&gt;=0.75",$X3:$CJ3,"&lt;1")</f>
        <v>1</v>
      </c>
      <c r="V3" s="8">
        <f>COUNTIF($X3:$CJ3,"=1")</f>
        <v>0</v>
      </c>
      <c r="W3" t="s">
        <v>604</v>
      </c>
      <c r="X3">
        <f t="shared" ref="X3:BC3" si="7">DMAX($A$1:$L$540,$W3,X$1:X$2)</f>
        <v>0</v>
      </c>
      <c r="Y3">
        <f t="shared" si="7"/>
        <v>0</v>
      </c>
      <c r="Z3">
        <f t="shared" si="7"/>
        <v>0.22222222222222221</v>
      </c>
      <c r="AA3">
        <f t="shared" si="7"/>
        <v>0.2391304347826087</v>
      </c>
      <c r="AB3">
        <f t="shared" si="7"/>
        <v>0</v>
      </c>
      <c r="AC3">
        <f t="shared" si="7"/>
        <v>0</v>
      </c>
      <c r="AD3">
        <f t="shared" si="7"/>
        <v>0</v>
      </c>
      <c r="AE3">
        <f t="shared" si="7"/>
        <v>3.2786885245901641E-2</v>
      </c>
      <c r="AF3">
        <f t="shared" si="7"/>
        <v>0.75886524822695034</v>
      </c>
      <c r="AG3">
        <f t="shared" si="7"/>
        <v>4.7244094488188976E-2</v>
      </c>
      <c r="AH3">
        <f t="shared" si="7"/>
        <v>0.70297029702970293</v>
      </c>
      <c r="AI3">
        <f t="shared" si="7"/>
        <v>0</v>
      </c>
      <c r="AJ3">
        <f t="shared" si="7"/>
        <v>4.4642857142857144E-2</v>
      </c>
      <c r="AK3">
        <f t="shared" si="7"/>
        <v>0</v>
      </c>
      <c r="AL3">
        <f t="shared" si="7"/>
        <v>0</v>
      </c>
      <c r="AM3">
        <f t="shared" si="7"/>
        <v>0.58620689655172409</v>
      </c>
      <c r="AN3">
        <f t="shared" si="7"/>
        <v>0.11979166666666667</v>
      </c>
      <c r="AO3">
        <f t="shared" si="7"/>
        <v>8.4745762711864406E-3</v>
      </c>
      <c r="AP3">
        <f t="shared" si="7"/>
        <v>0</v>
      </c>
      <c r="AQ3">
        <f t="shared" si="7"/>
        <v>0.24848484848484848</v>
      </c>
      <c r="AR3">
        <f t="shared" si="7"/>
        <v>0</v>
      </c>
      <c r="AS3">
        <f t="shared" si="7"/>
        <v>0</v>
      </c>
      <c r="AT3">
        <f t="shared" si="7"/>
        <v>0</v>
      </c>
      <c r="AU3">
        <f t="shared" si="7"/>
        <v>7.3170731707317069E-2</v>
      </c>
      <c r="AV3">
        <f t="shared" si="7"/>
        <v>9.6774193548387094E-2</v>
      </c>
      <c r="AW3">
        <f t="shared" si="7"/>
        <v>0.5178571428571429</v>
      </c>
      <c r="AX3">
        <f t="shared" si="7"/>
        <v>0.36046511627906974</v>
      </c>
      <c r="AY3">
        <f t="shared" si="7"/>
        <v>0.19565217391304349</v>
      </c>
      <c r="AZ3">
        <f t="shared" si="7"/>
        <v>3.3333333333333333E-2</v>
      </c>
      <c r="BA3">
        <f t="shared" si="7"/>
        <v>0</v>
      </c>
      <c r="BB3">
        <f t="shared" si="7"/>
        <v>0.23214285714285715</v>
      </c>
      <c r="BC3">
        <f t="shared" si="7"/>
        <v>0.2</v>
      </c>
      <c r="BD3">
        <f t="shared" ref="BD3:CJ3" si="8">DMAX($A$1:$L$540,$W3,BD$1:BD$2)</f>
        <v>0.56617647058823528</v>
      </c>
      <c r="BE3">
        <f t="shared" si="8"/>
        <v>0</v>
      </c>
      <c r="BF3">
        <f t="shared" si="8"/>
        <v>0.2857142857142857</v>
      </c>
      <c r="BG3">
        <f t="shared" si="8"/>
        <v>0</v>
      </c>
      <c r="BH3">
        <f t="shared" si="8"/>
        <v>0.3888888888888889</v>
      </c>
      <c r="BI3">
        <f t="shared" si="8"/>
        <v>0.63953488372093026</v>
      </c>
      <c r="BJ3">
        <f t="shared" si="8"/>
        <v>0</v>
      </c>
      <c r="BK3">
        <f t="shared" si="8"/>
        <v>0.33962264150943394</v>
      </c>
      <c r="BL3">
        <f t="shared" si="8"/>
        <v>6.7842605156037995E-3</v>
      </c>
      <c r="BM3">
        <f t="shared" si="8"/>
        <v>8.4210526315789472E-3</v>
      </c>
      <c r="BN3">
        <f t="shared" si="8"/>
        <v>8.2372322899505763E-3</v>
      </c>
      <c r="BO3">
        <f t="shared" si="8"/>
        <v>0</v>
      </c>
      <c r="BP3">
        <f t="shared" si="8"/>
        <v>0</v>
      </c>
      <c r="BQ3">
        <f t="shared" si="8"/>
        <v>0</v>
      </c>
      <c r="BR3">
        <f t="shared" si="8"/>
        <v>0.20408163265306123</v>
      </c>
      <c r="BS3">
        <f t="shared" si="8"/>
        <v>0</v>
      </c>
      <c r="BT3">
        <f t="shared" si="8"/>
        <v>0.26548672566371684</v>
      </c>
      <c r="BU3">
        <f t="shared" si="8"/>
        <v>0.18085106382978725</v>
      </c>
      <c r="BV3">
        <f t="shared" si="8"/>
        <v>0</v>
      </c>
      <c r="BW3">
        <f t="shared" si="8"/>
        <v>0</v>
      </c>
      <c r="BX3">
        <f t="shared" si="8"/>
        <v>0.27397260273972601</v>
      </c>
      <c r="BY3">
        <f t="shared" si="8"/>
        <v>0.31707317073170732</v>
      </c>
      <c r="BZ3">
        <f t="shared" si="8"/>
        <v>0</v>
      </c>
      <c r="CA3">
        <f t="shared" si="8"/>
        <v>0</v>
      </c>
      <c r="CB3">
        <f t="shared" si="8"/>
        <v>0</v>
      </c>
      <c r="CC3">
        <f t="shared" si="8"/>
        <v>0</v>
      </c>
      <c r="CD3">
        <f t="shared" si="8"/>
        <v>7.9545454545454544E-2</v>
      </c>
      <c r="CE3">
        <f t="shared" si="8"/>
        <v>0.125</v>
      </c>
      <c r="CF3">
        <f t="shared" si="8"/>
        <v>0</v>
      </c>
      <c r="CG3">
        <f t="shared" si="8"/>
        <v>0</v>
      </c>
      <c r="CH3">
        <f t="shared" si="8"/>
        <v>0</v>
      </c>
      <c r="CI3">
        <f t="shared" si="8"/>
        <v>0</v>
      </c>
      <c r="CJ3">
        <f t="shared" si="8"/>
        <v>0</v>
      </c>
    </row>
    <row r="4" spans="1:88">
      <c r="A4" t="s">
        <v>188</v>
      </c>
      <c r="B4">
        <v>1</v>
      </c>
      <c r="C4" t="str">
        <f t="shared" si="0"/>
        <v>test.BallonFactory_1_</v>
      </c>
      <c r="D4">
        <v>3</v>
      </c>
      <c r="E4" s="4">
        <v>1</v>
      </c>
      <c r="F4" s="4">
        <v>0.98584070796460177</v>
      </c>
      <c r="G4" s="4" t="str">
        <f t="shared" si="1"/>
        <v/>
      </c>
      <c r="H4" s="4" t="str">
        <f t="shared" si="2"/>
        <v/>
      </c>
      <c r="I4" s="4" t="str">
        <f t="shared" si="3"/>
        <v/>
      </c>
      <c r="J4" s="4" t="str">
        <f t="shared" si="4"/>
        <v/>
      </c>
      <c r="K4" s="4">
        <f t="shared" si="5"/>
        <v>1</v>
      </c>
      <c r="L4" s="4" t="str">
        <f t="shared" si="6"/>
        <v/>
      </c>
      <c r="M4" s="4"/>
      <c r="N4" s="4">
        <f t="shared" ref="N4:N7" si="9">SUM(T4:V4)/64</f>
        <v>0.296875</v>
      </c>
      <c r="O4" s="4">
        <f t="shared" ref="O4:O7" si="10">SUM(Q4:V4)</f>
        <v>65</v>
      </c>
      <c r="P4" t="s">
        <v>605</v>
      </c>
      <c r="Q4" s="8">
        <f t="shared" ref="Q4:Q8" si="11">COUNTIF($X4:$CJ4,"=0")</f>
        <v>20</v>
      </c>
      <c r="R4" s="8">
        <f t="shared" ref="R4:R8" si="12">COUNTIFS($X4:$CJ4,"&gt;0",$X4:$CJ4,"&lt;0.25")</f>
        <v>17</v>
      </c>
      <c r="S4" s="8">
        <f t="shared" ref="S4:S8" si="13">COUNTIFS($X4:$CJ4,"&gt;=0.25",$X4:$CJ4,"&lt;0.5")</f>
        <v>9</v>
      </c>
      <c r="T4" s="8">
        <f t="shared" ref="T4:T8" si="14">COUNTIFS($X4:$CJ4,"&gt;=0.5",$X4:$CJ4,"&lt;0.75")</f>
        <v>10</v>
      </c>
      <c r="U4" s="8">
        <f t="shared" ref="U4:U8" si="15">COUNTIFS($X4:$CJ4,"&gt;=0.75",$X4:$CJ4,"&lt;1")</f>
        <v>3</v>
      </c>
      <c r="V4" s="8">
        <f t="shared" ref="V4:V8" si="16">COUNTIF($X4:$CJ4,"=1")</f>
        <v>6</v>
      </c>
      <c r="W4" t="s">
        <v>605</v>
      </c>
      <c r="X4">
        <f t="shared" ref="X4:AG8" si="17">IF(X3&lt;DMAX($A$1:$L$540,$W4,X$1:X$2),DMAX($A$1:$L$540,$W4,X$1:X$2),X3)</f>
        <v>0</v>
      </c>
      <c r="Y4">
        <f t="shared" si="17"/>
        <v>0</v>
      </c>
      <c r="Z4">
        <f t="shared" si="17"/>
        <v>0.22222222222222221</v>
      </c>
      <c r="AA4">
        <f t="shared" si="17"/>
        <v>0.91304347826086951</v>
      </c>
      <c r="AB4">
        <f t="shared" si="17"/>
        <v>0.19354838709677419</v>
      </c>
      <c r="AC4">
        <f t="shared" si="17"/>
        <v>0.19354838709677419</v>
      </c>
      <c r="AD4">
        <f t="shared" si="17"/>
        <v>0.125</v>
      </c>
      <c r="AE4">
        <f t="shared" si="17"/>
        <v>3.2786885245901641E-2</v>
      </c>
      <c r="AF4">
        <f t="shared" si="17"/>
        <v>0.75886524822695034</v>
      </c>
      <c r="AG4">
        <f t="shared" si="17"/>
        <v>0.69291338582677164</v>
      </c>
      <c r="AH4">
        <f t="shared" ref="AH4:AQ8" si="18">IF(AH3&lt;DMAX($A$1:$L$540,$W4,AH$1:AH$2),DMAX($A$1:$L$540,$W4,AH$1:AH$2),AH3)</f>
        <v>0.70297029702970293</v>
      </c>
      <c r="AI4">
        <f t="shared" si="18"/>
        <v>0.6470588235294118</v>
      </c>
      <c r="AJ4">
        <f t="shared" si="18"/>
        <v>4.4642857142857144E-2</v>
      </c>
      <c r="AK4">
        <f t="shared" si="18"/>
        <v>0</v>
      </c>
      <c r="AL4">
        <f t="shared" si="18"/>
        <v>0</v>
      </c>
      <c r="AM4">
        <f t="shared" si="18"/>
        <v>1</v>
      </c>
      <c r="AN4">
        <f t="shared" si="18"/>
        <v>0.68229166666666663</v>
      </c>
      <c r="AO4">
        <f t="shared" si="18"/>
        <v>8.4745762711864406E-3</v>
      </c>
      <c r="AP4">
        <f t="shared" si="18"/>
        <v>0.20454545454545456</v>
      </c>
      <c r="AQ4">
        <f t="shared" si="18"/>
        <v>0.24848484848484848</v>
      </c>
      <c r="AR4">
        <f t="shared" ref="AR4:BA8" si="19">IF(AR3&lt;DMAX($A$1:$L$540,$W4,AR$1:AR$2),DMAX($A$1:$L$540,$W4,AR$1:AR$2),AR3)</f>
        <v>0</v>
      </c>
      <c r="AS4">
        <f t="shared" si="19"/>
        <v>0</v>
      </c>
      <c r="AT4">
        <f t="shared" si="19"/>
        <v>0</v>
      </c>
      <c r="AU4">
        <f t="shared" si="19"/>
        <v>0.14634146341463414</v>
      </c>
      <c r="AV4">
        <f t="shared" si="19"/>
        <v>9.6774193548387094E-2</v>
      </c>
      <c r="AW4">
        <f t="shared" si="19"/>
        <v>0.5178571428571429</v>
      </c>
      <c r="AX4">
        <f t="shared" si="19"/>
        <v>0.36046511627906974</v>
      </c>
      <c r="AY4">
        <f t="shared" si="19"/>
        <v>0.45652173913043476</v>
      </c>
      <c r="AZ4">
        <f t="shared" si="19"/>
        <v>0.2</v>
      </c>
      <c r="BA4">
        <f t="shared" si="19"/>
        <v>0</v>
      </c>
      <c r="BB4">
        <f t="shared" ref="BB4:BK8" si="20">IF(BB3&lt;DMAX($A$1:$L$540,$W4,BB$1:BB$2),DMAX($A$1:$L$540,$W4,BB$1:BB$2),BB3)</f>
        <v>1</v>
      </c>
      <c r="BC4">
        <f t="shared" si="20"/>
        <v>0.8571428571428571</v>
      </c>
      <c r="BD4">
        <f t="shared" si="20"/>
        <v>1</v>
      </c>
      <c r="BE4">
        <f t="shared" si="20"/>
        <v>0</v>
      </c>
      <c r="BF4">
        <f t="shared" si="20"/>
        <v>0.47619047619047616</v>
      </c>
      <c r="BG4">
        <f t="shared" si="20"/>
        <v>0.73333333333333328</v>
      </c>
      <c r="BH4">
        <f t="shared" si="20"/>
        <v>0.66049382716049387</v>
      </c>
      <c r="BI4">
        <f t="shared" si="20"/>
        <v>1</v>
      </c>
      <c r="BJ4">
        <f t="shared" si="20"/>
        <v>0</v>
      </c>
      <c r="BK4">
        <f t="shared" si="20"/>
        <v>0.33962264150943394</v>
      </c>
      <c r="BL4">
        <f t="shared" ref="BL4:BU8" si="21">IF(BL3&lt;DMAX($A$1:$L$540,$W4,BL$1:BL$2),DMAX($A$1:$L$540,$W4,BL$1:BL$2),BL3)</f>
        <v>6.7842605156037995E-3</v>
      </c>
      <c r="BM4">
        <f t="shared" si="21"/>
        <v>8.4210526315789472E-3</v>
      </c>
      <c r="BN4">
        <f t="shared" si="21"/>
        <v>8.2372322899505763E-3</v>
      </c>
      <c r="BO4">
        <f t="shared" si="21"/>
        <v>0</v>
      </c>
      <c r="BP4">
        <f t="shared" si="21"/>
        <v>0</v>
      </c>
      <c r="BQ4">
        <f t="shared" si="21"/>
        <v>0</v>
      </c>
      <c r="BR4">
        <f t="shared" si="21"/>
        <v>0.34693877551020408</v>
      </c>
      <c r="BS4">
        <f t="shared" si="21"/>
        <v>0</v>
      </c>
      <c r="BT4">
        <f t="shared" si="21"/>
        <v>0.51327433628318586</v>
      </c>
      <c r="BU4">
        <f t="shared" si="21"/>
        <v>1</v>
      </c>
      <c r="BV4">
        <f t="shared" ref="BV4:CE8" si="22">IF(BV3&lt;DMAX($A$1:$L$540,$W4,BV$1:BV$2),DMAX($A$1:$L$540,$W4,BV$1:BV$2),BV3)</f>
        <v>0</v>
      </c>
      <c r="BW4">
        <f t="shared" si="22"/>
        <v>1</v>
      </c>
      <c r="BX4">
        <f t="shared" si="22"/>
        <v>0.65753424657534243</v>
      </c>
      <c r="BY4">
        <f t="shared" si="22"/>
        <v>0.44715447154471544</v>
      </c>
      <c r="BZ4">
        <f t="shared" si="22"/>
        <v>0.30303030303030304</v>
      </c>
      <c r="CA4">
        <f t="shared" si="22"/>
        <v>0.38</v>
      </c>
      <c r="CB4">
        <f t="shared" si="22"/>
        <v>0.66666666666666663</v>
      </c>
      <c r="CC4">
        <f t="shared" si="22"/>
        <v>0</v>
      </c>
      <c r="CD4">
        <f t="shared" si="22"/>
        <v>7.9545454545454544E-2</v>
      </c>
      <c r="CE4">
        <f t="shared" si="22"/>
        <v>0.125</v>
      </c>
      <c r="CF4">
        <f t="shared" ref="CF4:CJ8" si="23">IF(CF3&lt;DMAX($A$1:$L$540,$W4,CF$1:CF$2),DMAX($A$1:$L$540,$W4,CF$1:CF$2),CF3)</f>
        <v>0</v>
      </c>
      <c r="CG4">
        <f t="shared" si="23"/>
        <v>0.352112676056338</v>
      </c>
      <c r="CH4">
        <f t="shared" si="23"/>
        <v>0</v>
      </c>
      <c r="CI4">
        <f t="shared" si="23"/>
        <v>0</v>
      </c>
      <c r="CJ4">
        <f t="shared" si="23"/>
        <v>0</v>
      </c>
    </row>
    <row r="5" spans="1:88">
      <c r="A5" t="s">
        <v>188</v>
      </c>
      <c r="B5">
        <v>1</v>
      </c>
      <c r="C5" t="str">
        <f t="shared" si="0"/>
        <v>test.BallonFactory_1_</v>
      </c>
      <c r="D5">
        <v>4</v>
      </c>
      <c r="E5" s="4">
        <v>1</v>
      </c>
      <c r="F5" s="4">
        <v>0.99496255956432944</v>
      </c>
      <c r="G5" s="4" t="str">
        <f t="shared" si="1"/>
        <v/>
      </c>
      <c r="H5" s="4" t="str">
        <f t="shared" si="2"/>
        <v/>
      </c>
      <c r="I5" s="4" t="str">
        <f t="shared" si="3"/>
        <v/>
      </c>
      <c r="J5" s="4" t="str">
        <f t="shared" si="4"/>
        <v/>
      </c>
      <c r="K5" s="4">
        <f t="shared" si="5"/>
        <v>1</v>
      </c>
      <c r="L5" s="4" t="str">
        <f t="shared" si="6"/>
        <v/>
      </c>
      <c r="M5" s="4">
        <f>SUM(R5:V5)/64</f>
        <v>0.796875</v>
      </c>
      <c r="N5" s="4">
        <f t="shared" si="9"/>
        <v>0.5</v>
      </c>
      <c r="O5" s="4">
        <f t="shared" si="10"/>
        <v>65</v>
      </c>
      <c r="P5" t="s">
        <v>606</v>
      </c>
      <c r="Q5" s="8">
        <f t="shared" si="11"/>
        <v>14</v>
      </c>
      <c r="R5" s="8">
        <f t="shared" si="12"/>
        <v>10</v>
      </c>
      <c r="S5" s="8">
        <f t="shared" si="13"/>
        <v>9</v>
      </c>
      <c r="T5" s="8">
        <f t="shared" si="14"/>
        <v>12</v>
      </c>
      <c r="U5" s="8">
        <f t="shared" si="15"/>
        <v>5</v>
      </c>
      <c r="V5" s="8">
        <f>COUNTIF($X5:$CJ5,"=1")</f>
        <v>15</v>
      </c>
      <c r="W5" t="s">
        <v>606</v>
      </c>
      <c r="X5">
        <f t="shared" si="17"/>
        <v>0</v>
      </c>
      <c r="Y5">
        <f t="shared" si="17"/>
        <v>0.5757575757575758</v>
      </c>
      <c r="Z5">
        <f t="shared" si="17"/>
        <v>0.22222222222222221</v>
      </c>
      <c r="AA5">
        <f t="shared" si="17"/>
        <v>1</v>
      </c>
      <c r="AB5">
        <f t="shared" si="17"/>
        <v>0.19354838709677419</v>
      </c>
      <c r="AC5">
        <f t="shared" si="17"/>
        <v>0.19354838709677419</v>
      </c>
      <c r="AD5">
        <f t="shared" si="17"/>
        <v>0.375</v>
      </c>
      <c r="AE5">
        <f t="shared" si="17"/>
        <v>3.2786885245901641E-2</v>
      </c>
      <c r="AF5">
        <f t="shared" si="17"/>
        <v>0.75886524822695034</v>
      </c>
      <c r="AG5">
        <f t="shared" si="17"/>
        <v>0.69291338582677164</v>
      </c>
      <c r="AH5">
        <f t="shared" si="18"/>
        <v>0.70297029702970293</v>
      </c>
      <c r="AI5">
        <f t="shared" si="18"/>
        <v>0.70588235294117652</v>
      </c>
      <c r="AJ5">
        <f t="shared" si="18"/>
        <v>0.5</v>
      </c>
      <c r="AK5">
        <f t="shared" si="18"/>
        <v>0</v>
      </c>
      <c r="AL5">
        <f t="shared" si="18"/>
        <v>0</v>
      </c>
      <c r="AM5">
        <f t="shared" si="18"/>
        <v>1</v>
      </c>
      <c r="AN5">
        <f t="shared" si="18"/>
        <v>0.68229166666666663</v>
      </c>
      <c r="AO5">
        <f t="shared" si="18"/>
        <v>0.52542372881355937</v>
      </c>
      <c r="AP5">
        <f t="shared" si="18"/>
        <v>0.38636363636363635</v>
      </c>
      <c r="AQ5">
        <f t="shared" si="18"/>
        <v>0.24848484848484848</v>
      </c>
      <c r="AR5">
        <f t="shared" si="19"/>
        <v>0</v>
      </c>
      <c r="AS5">
        <f t="shared" si="19"/>
        <v>0</v>
      </c>
      <c r="AT5">
        <f t="shared" si="19"/>
        <v>0</v>
      </c>
      <c r="AU5">
        <f t="shared" si="19"/>
        <v>0.14634146341463414</v>
      </c>
      <c r="AV5">
        <f t="shared" si="19"/>
        <v>1</v>
      </c>
      <c r="AW5">
        <f t="shared" si="19"/>
        <v>0.5178571428571429</v>
      </c>
      <c r="AX5">
        <f t="shared" si="19"/>
        <v>0.36046511627906974</v>
      </c>
      <c r="AY5">
        <f t="shared" si="19"/>
        <v>0.45652173913043476</v>
      </c>
      <c r="AZ5">
        <f t="shared" si="19"/>
        <v>0.43333333333333335</v>
      </c>
      <c r="BA5">
        <f t="shared" si="19"/>
        <v>0</v>
      </c>
      <c r="BB5">
        <f t="shared" si="20"/>
        <v>1</v>
      </c>
      <c r="BC5">
        <f t="shared" si="20"/>
        <v>1</v>
      </c>
      <c r="BD5">
        <f t="shared" si="20"/>
        <v>1</v>
      </c>
      <c r="BE5">
        <f t="shared" si="20"/>
        <v>0.36363636363636365</v>
      </c>
      <c r="BF5">
        <f t="shared" si="20"/>
        <v>0.47619047619047616</v>
      </c>
      <c r="BG5">
        <f t="shared" si="20"/>
        <v>1</v>
      </c>
      <c r="BH5">
        <f t="shared" si="20"/>
        <v>1</v>
      </c>
      <c r="BI5">
        <f t="shared" si="20"/>
        <v>1</v>
      </c>
      <c r="BJ5">
        <f t="shared" si="20"/>
        <v>0</v>
      </c>
      <c r="BK5">
        <f t="shared" si="20"/>
        <v>0.33962264150943394</v>
      </c>
      <c r="BL5">
        <f t="shared" si="21"/>
        <v>6.7842605156037995E-3</v>
      </c>
      <c r="BM5">
        <f t="shared" si="21"/>
        <v>8.4210526315789472E-3</v>
      </c>
      <c r="BN5">
        <f t="shared" si="21"/>
        <v>8.2372322899505763E-3</v>
      </c>
      <c r="BO5">
        <f t="shared" si="21"/>
        <v>1</v>
      </c>
      <c r="BP5">
        <f t="shared" si="21"/>
        <v>1</v>
      </c>
      <c r="BQ5">
        <f t="shared" si="21"/>
        <v>0.74603174603174605</v>
      </c>
      <c r="BR5">
        <f t="shared" si="21"/>
        <v>0.34693877551020408</v>
      </c>
      <c r="BS5">
        <f t="shared" si="21"/>
        <v>0.1</v>
      </c>
      <c r="BT5">
        <f t="shared" si="21"/>
        <v>1</v>
      </c>
      <c r="BU5">
        <f t="shared" si="21"/>
        <v>1</v>
      </c>
      <c r="BV5">
        <f t="shared" si="22"/>
        <v>0</v>
      </c>
      <c r="BW5">
        <f t="shared" si="22"/>
        <v>1</v>
      </c>
      <c r="BX5">
        <f t="shared" si="22"/>
        <v>0.78082191780821919</v>
      </c>
      <c r="BY5">
        <f t="shared" si="22"/>
        <v>0.57723577235772361</v>
      </c>
      <c r="BZ5">
        <f t="shared" si="22"/>
        <v>0.66666666666666663</v>
      </c>
      <c r="CA5">
        <f t="shared" si="22"/>
        <v>0.88</v>
      </c>
      <c r="CB5">
        <f t="shared" si="22"/>
        <v>0.77777777777777779</v>
      </c>
      <c r="CC5">
        <f t="shared" si="22"/>
        <v>0</v>
      </c>
      <c r="CD5">
        <f t="shared" si="22"/>
        <v>1</v>
      </c>
      <c r="CE5">
        <f t="shared" si="22"/>
        <v>0.7678571428571429</v>
      </c>
      <c r="CF5">
        <f t="shared" si="23"/>
        <v>0</v>
      </c>
      <c r="CG5">
        <f t="shared" si="23"/>
        <v>0.70422535211267601</v>
      </c>
      <c r="CH5">
        <f t="shared" si="23"/>
        <v>0</v>
      </c>
      <c r="CI5">
        <f t="shared" si="23"/>
        <v>0</v>
      </c>
      <c r="CJ5">
        <f t="shared" si="23"/>
        <v>0</v>
      </c>
    </row>
    <row r="6" spans="1:88">
      <c r="A6" t="s">
        <v>188</v>
      </c>
      <c r="B6">
        <v>2</v>
      </c>
      <c r="C6" t="str">
        <f t="shared" si="0"/>
        <v>test.BallonFactory_2_</v>
      </c>
      <c r="D6">
        <v>1</v>
      </c>
      <c r="E6" s="4">
        <v>0.33333333333333331</v>
      </c>
      <c r="F6" s="4">
        <v>0.4226618705035971</v>
      </c>
      <c r="G6" s="4" t="str">
        <f t="shared" si="1"/>
        <v/>
      </c>
      <c r="H6" s="4" t="str">
        <f t="shared" si="2"/>
        <v/>
      </c>
      <c r="I6" s="4">
        <f t="shared" si="3"/>
        <v>0.33333333333333331</v>
      </c>
      <c r="J6" s="4" t="str">
        <f t="shared" si="4"/>
        <v/>
      </c>
      <c r="K6" s="4" t="str">
        <f t="shared" si="5"/>
        <v/>
      </c>
      <c r="L6" s="4" t="str">
        <f t="shared" si="6"/>
        <v/>
      </c>
      <c r="M6" s="4">
        <f>25/64</f>
        <v>0.390625</v>
      </c>
      <c r="N6" s="4">
        <f>SUM(T6:V6)/64</f>
        <v>0.6875</v>
      </c>
      <c r="O6" s="4">
        <f t="shared" si="10"/>
        <v>65</v>
      </c>
      <c r="P6" t="s">
        <v>681</v>
      </c>
      <c r="Q6" s="8">
        <f t="shared" si="11"/>
        <v>10</v>
      </c>
      <c r="R6" s="8">
        <f t="shared" si="12"/>
        <v>6</v>
      </c>
      <c r="S6" s="8">
        <f t="shared" si="13"/>
        <v>5</v>
      </c>
      <c r="T6" s="8">
        <f t="shared" si="14"/>
        <v>12</v>
      </c>
      <c r="U6" s="8">
        <f t="shared" si="15"/>
        <v>7</v>
      </c>
      <c r="V6" s="8">
        <f t="shared" si="16"/>
        <v>25</v>
      </c>
      <c r="W6" t="s">
        <v>681</v>
      </c>
      <c r="X6">
        <f t="shared" si="17"/>
        <v>0</v>
      </c>
      <c r="Y6">
        <f t="shared" si="17"/>
        <v>0.93939393939393945</v>
      </c>
      <c r="Z6">
        <f t="shared" si="17"/>
        <v>0.55555555555555558</v>
      </c>
      <c r="AA6">
        <f t="shared" si="17"/>
        <v>1</v>
      </c>
      <c r="AB6">
        <f t="shared" si="17"/>
        <v>0.93548387096774188</v>
      </c>
      <c r="AC6">
        <f t="shared" si="17"/>
        <v>0.93548387096774188</v>
      </c>
      <c r="AD6">
        <f t="shared" si="17"/>
        <v>0.625</v>
      </c>
      <c r="AE6">
        <f t="shared" si="17"/>
        <v>3.2786885245901641E-2</v>
      </c>
      <c r="AF6">
        <f t="shared" si="17"/>
        <v>0.75886524822695034</v>
      </c>
      <c r="AG6">
        <f t="shared" si="17"/>
        <v>0.73228346456692917</v>
      </c>
      <c r="AH6">
        <f t="shared" si="18"/>
        <v>0.70297029702970293</v>
      </c>
      <c r="AI6">
        <f t="shared" si="18"/>
        <v>1</v>
      </c>
      <c r="AJ6">
        <f t="shared" si="18"/>
        <v>0.5</v>
      </c>
      <c r="AK6">
        <f t="shared" si="18"/>
        <v>0</v>
      </c>
      <c r="AL6">
        <f t="shared" si="18"/>
        <v>0</v>
      </c>
      <c r="AM6">
        <f t="shared" si="18"/>
        <v>1</v>
      </c>
      <c r="AN6">
        <f t="shared" si="18"/>
        <v>0.68229166666666663</v>
      </c>
      <c r="AO6">
        <f t="shared" si="18"/>
        <v>1</v>
      </c>
      <c r="AP6">
        <f t="shared" si="18"/>
        <v>0.38636363636363635</v>
      </c>
      <c r="AQ6">
        <f t="shared" si="18"/>
        <v>0.24848484848484848</v>
      </c>
      <c r="AR6">
        <f t="shared" si="19"/>
        <v>0.84036144578313254</v>
      </c>
      <c r="AS6">
        <f t="shared" si="19"/>
        <v>0</v>
      </c>
      <c r="AT6">
        <f t="shared" si="19"/>
        <v>1</v>
      </c>
      <c r="AU6">
        <f t="shared" si="19"/>
        <v>0.17073170731707318</v>
      </c>
      <c r="AV6">
        <f t="shared" si="19"/>
        <v>1</v>
      </c>
      <c r="AW6">
        <f t="shared" si="19"/>
        <v>0.5178571428571429</v>
      </c>
      <c r="AX6">
        <f t="shared" si="19"/>
        <v>0.81395348837209303</v>
      </c>
      <c r="AY6">
        <f t="shared" si="19"/>
        <v>0.45652173913043476</v>
      </c>
      <c r="AZ6">
        <f t="shared" si="19"/>
        <v>0.93333333333333335</v>
      </c>
      <c r="BA6">
        <f t="shared" si="19"/>
        <v>0</v>
      </c>
      <c r="BB6">
        <f t="shared" si="20"/>
        <v>1</v>
      </c>
      <c r="BC6">
        <f t="shared" si="20"/>
        <v>1</v>
      </c>
      <c r="BD6">
        <f t="shared" si="20"/>
        <v>1</v>
      </c>
      <c r="BE6">
        <f t="shared" si="20"/>
        <v>0.54545454545454541</v>
      </c>
      <c r="BF6">
        <f t="shared" si="20"/>
        <v>1</v>
      </c>
      <c r="BG6">
        <f t="shared" si="20"/>
        <v>1</v>
      </c>
      <c r="BH6">
        <f t="shared" si="20"/>
        <v>1</v>
      </c>
      <c r="BI6">
        <f t="shared" si="20"/>
        <v>1</v>
      </c>
      <c r="BJ6">
        <f t="shared" si="20"/>
        <v>0</v>
      </c>
      <c r="BK6">
        <f t="shared" si="20"/>
        <v>0.33962264150943394</v>
      </c>
      <c r="BL6">
        <f t="shared" si="21"/>
        <v>6.7842605156037995E-3</v>
      </c>
      <c r="BM6">
        <f t="shared" si="21"/>
        <v>8.4210526315789472E-3</v>
      </c>
      <c r="BN6">
        <f t="shared" si="21"/>
        <v>8.2372322899505763E-3</v>
      </c>
      <c r="BO6">
        <f t="shared" si="21"/>
        <v>1</v>
      </c>
      <c r="BP6">
        <f t="shared" si="21"/>
        <v>1</v>
      </c>
      <c r="BQ6">
        <f t="shared" si="21"/>
        <v>0.74603174603174605</v>
      </c>
      <c r="BR6">
        <f t="shared" si="21"/>
        <v>0.34693877551020408</v>
      </c>
      <c r="BS6">
        <f t="shared" si="21"/>
        <v>0.6</v>
      </c>
      <c r="BT6">
        <f t="shared" si="21"/>
        <v>1</v>
      </c>
      <c r="BU6">
        <f t="shared" si="21"/>
        <v>1</v>
      </c>
      <c r="BV6">
        <f t="shared" si="22"/>
        <v>0</v>
      </c>
      <c r="BW6">
        <f t="shared" si="22"/>
        <v>1</v>
      </c>
      <c r="BX6">
        <f t="shared" si="22"/>
        <v>1</v>
      </c>
      <c r="BY6">
        <f t="shared" si="22"/>
        <v>1</v>
      </c>
      <c r="BZ6">
        <f t="shared" si="22"/>
        <v>0.66666666666666663</v>
      </c>
      <c r="CA6">
        <f t="shared" si="22"/>
        <v>1</v>
      </c>
      <c r="CB6">
        <f t="shared" si="22"/>
        <v>1</v>
      </c>
      <c r="CC6">
        <f t="shared" si="22"/>
        <v>0</v>
      </c>
      <c r="CD6">
        <f t="shared" si="22"/>
        <v>1</v>
      </c>
      <c r="CE6">
        <f t="shared" si="22"/>
        <v>1</v>
      </c>
      <c r="CF6">
        <f t="shared" si="23"/>
        <v>0.42857142857142855</v>
      </c>
      <c r="CG6">
        <f t="shared" si="23"/>
        <v>1</v>
      </c>
      <c r="CH6">
        <f t="shared" si="23"/>
        <v>0.74193548387096775</v>
      </c>
      <c r="CI6">
        <f t="shared" si="23"/>
        <v>0</v>
      </c>
      <c r="CJ6">
        <f t="shared" si="23"/>
        <v>0</v>
      </c>
    </row>
    <row r="7" spans="1:88">
      <c r="A7" t="s">
        <v>188</v>
      </c>
      <c r="B7">
        <v>2</v>
      </c>
      <c r="C7" t="str">
        <f t="shared" si="0"/>
        <v>test.BallonFactory_2_</v>
      </c>
      <c r="D7">
        <v>2</v>
      </c>
      <c r="E7" s="4">
        <v>0.5757575757575758</v>
      </c>
      <c r="F7" s="4">
        <v>0.58992805755395683</v>
      </c>
      <c r="G7" s="4" t="str">
        <f t="shared" si="1"/>
        <v/>
      </c>
      <c r="H7" s="4" t="str">
        <f t="shared" si="2"/>
        <v/>
      </c>
      <c r="I7" s="4">
        <f t="shared" si="3"/>
        <v>0.5757575757575758</v>
      </c>
      <c r="J7" s="4" t="str">
        <f t="shared" si="4"/>
        <v/>
      </c>
      <c r="K7" s="4" t="str">
        <f t="shared" si="5"/>
        <v/>
      </c>
      <c r="L7" s="4" t="str">
        <f t="shared" si="6"/>
        <v/>
      </c>
      <c r="M7" s="4"/>
      <c r="N7" s="4">
        <f t="shared" si="9"/>
        <v>0.984375</v>
      </c>
      <c r="O7" s="4">
        <f t="shared" si="10"/>
        <v>65</v>
      </c>
      <c r="P7" s="7" t="s">
        <v>607</v>
      </c>
      <c r="Q7" s="8">
        <f t="shared" si="11"/>
        <v>1</v>
      </c>
      <c r="R7" s="8">
        <f t="shared" si="12"/>
        <v>0</v>
      </c>
      <c r="S7" s="8">
        <f t="shared" si="13"/>
        <v>1</v>
      </c>
      <c r="T7" s="8">
        <f t="shared" si="14"/>
        <v>1</v>
      </c>
      <c r="U7" s="8">
        <f t="shared" si="15"/>
        <v>1</v>
      </c>
      <c r="V7" s="8">
        <f t="shared" si="16"/>
        <v>61</v>
      </c>
      <c r="W7" s="7" t="s">
        <v>607</v>
      </c>
      <c r="X7">
        <f t="shared" si="17"/>
        <v>1</v>
      </c>
      <c r="Y7">
        <f t="shared" si="17"/>
        <v>1</v>
      </c>
      <c r="Z7">
        <f t="shared" si="17"/>
        <v>1</v>
      </c>
      <c r="AA7">
        <f t="shared" si="17"/>
        <v>1</v>
      </c>
      <c r="AB7">
        <f t="shared" si="17"/>
        <v>1</v>
      </c>
      <c r="AC7">
        <f t="shared" si="17"/>
        <v>1</v>
      </c>
      <c r="AD7">
        <f t="shared" si="17"/>
        <v>1</v>
      </c>
      <c r="AE7">
        <f t="shared" si="17"/>
        <v>1</v>
      </c>
      <c r="AF7">
        <f t="shared" si="17"/>
        <v>1</v>
      </c>
      <c r="AG7">
        <f t="shared" si="17"/>
        <v>1</v>
      </c>
      <c r="AH7">
        <f t="shared" si="18"/>
        <v>1</v>
      </c>
      <c r="AI7">
        <f t="shared" si="18"/>
        <v>1</v>
      </c>
      <c r="AJ7">
        <f t="shared" si="18"/>
        <v>1</v>
      </c>
      <c r="AK7">
        <f t="shared" si="18"/>
        <v>1</v>
      </c>
      <c r="AL7">
        <f t="shared" si="18"/>
        <v>1</v>
      </c>
      <c r="AM7">
        <f t="shared" si="18"/>
        <v>1</v>
      </c>
      <c r="AN7">
        <f t="shared" si="18"/>
        <v>1</v>
      </c>
      <c r="AO7">
        <f t="shared" si="18"/>
        <v>1</v>
      </c>
      <c r="AP7">
        <f t="shared" si="18"/>
        <v>1</v>
      </c>
      <c r="AQ7">
        <f t="shared" si="18"/>
        <v>1</v>
      </c>
      <c r="AR7">
        <f t="shared" si="19"/>
        <v>1</v>
      </c>
      <c r="AS7">
        <f t="shared" si="19"/>
        <v>0.99224806201550386</v>
      </c>
      <c r="AT7">
        <f t="shared" si="19"/>
        <v>1</v>
      </c>
      <c r="AU7">
        <f t="shared" si="19"/>
        <v>0.26829268292682928</v>
      </c>
      <c r="AV7">
        <f t="shared" si="19"/>
        <v>1</v>
      </c>
      <c r="AW7">
        <f t="shared" si="19"/>
        <v>1</v>
      </c>
      <c r="AX7">
        <f t="shared" si="19"/>
        <v>1</v>
      </c>
      <c r="AY7">
        <f t="shared" si="19"/>
        <v>1</v>
      </c>
      <c r="AZ7">
        <f t="shared" si="19"/>
        <v>1</v>
      </c>
      <c r="BA7">
        <f t="shared" si="19"/>
        <v>1</v>
      </c>
      <c r="BB7">
        <f t="shared" si="20"/>
        <v>1</v>
      </c>
      <c r="BC7">
        <f t="shared" si="20"/>
        <v>1</v>
      </c>
      <c r="BD7">
        <f t="shared" si="20"/>
        <v>1</v>
      </c>
      <c r="BE7">
        <f t="shared" si="20"/>
        <v>1</v>
      </c>
      <c r="BF7">
        <f t="shared" si="20"/>
        <v>1</v>
      </c>
      <c r="BG7">
        <f t="shared" si="20"/>
        <v>1</v>
      </c>
      <c r="BH7">
        <f t="shared" si="20"/>
        <v>1</v>
      </c>
      <c r="BI7">
        <f t="shared" si="20"/>
        <v>1</v>
      </c>
      <c r="BJ7">
        <f t="shared" si="20"/>
        <v>0</v>
      </c>
      <c r="BK7">
        <f t="shared" si="20"/>
        <v>1</v>
      </c>
      <c r="BL7">
        <f t="shared" si="21"/>
        <v>1</v>
      </c>
      <c r="BM7">
        <f t="shared" si="21"/>
        <v>1</v>
      </c>
      <c r="BN7">
        <f t="shared" si="21"/>
        <v>1</v>
      </c>
      <c r="BO7">
        <f t="shared" si="21"/>
        <v>1</v>
      </c>
      <c r="BP7">
        <f t="shared" si="21"/>
        <v>1</v>
      </c>
      <c r="BQ7">
        <f t="shared" si="21"/>
        <v>0.74603174603174605</v>
      </c>
      <c r="BR7">
        <f t="shared" si="21"/>
        <v>1</v>
      </c>
      <c r="BS7">
        <f t="shared" si="21"/>
        <v>1</v>
      </c>
      <c r="BT7">
        <f t="shared" si="21"/>
        <v>1</v>
      </c>
      <c r="BU7">
        <f t="shared" si="21"/>
        <v>1</v>
      </c>
      <c r="BV7">
        <f t="shared" si="22"/>
        <v>1</v>
      </c>
      <c r="BW7">
        <f t="shared" si="22"/>
        <v>1</v>
      </c>
      <c r="BX7">
        <f t="shared" si="22"/>
        <v>1</v>
      </c>
      <c r="BY7">
        <f t="shared" si="22"/>
        <v>1</v>
      </c>
      <c r="BZ7">
        <f t="shared" si="22"/>
        <v>1</v>
      </c>
      <c r="CA7">
        <f t="shared" si="22"/>
        <v>1</v>
      </c>
      <c r="CB7">
        <f t="shared" si="22"/>
        <v>1</v>
      </c>
      <c r="CC7">
        <f t="shared" si="22"/>
        <v>1</v>
      </c>
      <c r="CD7">
        <f t="shared" si="22"/>
        <v>1</v>
      </c>
      <c r="CE7">
        <f t="shared" si="22"/>
        <v>1</v>
      </c>
      <c r="CF7">
        <f t="shared" si="23"/>
        <v>1</v>
      </c>
      <c r="CG7">
        <f t="shared" si="23"/>
        <v>1</v>
      </c>
      <c r="CH7">
        <f t="shared" si="23"/>
        <v>1</v>
      </c>
      <c r="CI7">
        <f t="shared" si="23"/>
        <v>1</v>
      </c>
      <c r="CJ7">
        <f t="shared" si="23"/>
        <v>1</v>
      </c>
    </row>
    <row r="8" spans="1:88">
      <c r="A8" t="s">
        <v>188</v>
      </c>
      <c r="B8">
        <v>2</v>
      </c>
      <c r="C8" t="str">
        <f t="shared" si="0"/>
        <v>test.BallonFactory_2_</v>
      </c>
      <c r="D8">
        <v>3</v>
      </c>
      <c r="E8" s="4">
        <v>0.60606060606060608</v>
      </c>
      <c r="F8" s="4">
        <v>0.66007194244604317</v>
      </c>
      <c r="G8" s="4" t="str">
        <f t="shared" si="1"/>
        <v/>
      </c>
      <c r="H8" s="4" t="str">
        <f t="shared" si="2"/>
        <v/>
      </c>
      <c r="I8" s="4" t="str">
        <f t="shared" si="3"/>
        <v/>
      </c>
      <c r="J8" s="4">
        <f t="shared" si="4"/>
        <v>0.60606060606060608</v>
      </c>
      <c r="K8" s="4" t="str">
        <f t="shared" si="5"/>
        <v/>
      </c>
      <c r="L8" s="4" t="str">
        <f t="shared" si="6"/>
        <v/>
      </c>
      <c r="M8" s="4"/>
      <c r="N8" s="4">
        <f>SUM(T8:V8)/64</f>
        <v>1</v>
      </c>
      <c r="O8" s="4"/>
      <c r="P8" s="4" t="s">
        <v>682</v>
      </c>
      <c r="Q8" s="8">
        <f t="shared" si="11"/>
        <v>1</v>
      </c>
      <c r="R8" s="8">
        <f t="shared" si="12"/>
        <v>0</v>
      </c>
      <c r="S8" s="8">
        <f t="shared" si="13"/>
        <v>0</v>
      </c>
      <c r="T8" s="8">
        <f t="shared" si="14"/>
        <v>1</v>
      </c>
      <c r="U8" s="8">
        <f t="shared" si="15"/>
        <v>0</v>
      </c>
      <c r="V8" s="8">
        <f t="shared" si="16"/>
        <v>63</v>
      </c>
      <c r="W8" s="7" t="s">
        <v>682</v>
      </c>
      <c r="X8">
        <f t="shared" si="17"/>
        <v>1</v>
      </c>
      <c r="Y8">
        <f t="shared" si="17"/>
        <v>1</v>
      </c>
      <c r="Z8">
        <f t="shared" si="17"/>
        <v>1</v>
      </c>
      <c r="AA8">
        <f t="shared" si="17"/>
        <v>1</v>
      </c>
      <c r="AB8">
        <f t="shared" si="17"/>
        <v>1</v>
      </c>
      <c r="AC8">
        <f t="shared" si="17"/>
        <v>1</v>
      </c>
      <c r="AD8">
        <f t="shared" si="17"/>
        <v>1</v>
      </c>
      <c r="AE8">
        <f t="shared" si="17"/>
        <v>1</v>
      </c>
      <c r="AF8">
        <f t="shared" si="17"/>
        <v>1</v>
      </c>
      <c r="AG8">
        <f t="shared" si="17"/>
        <v>1</v>
      </c>
      <c r="AH8">
        <f t="shared" si="18"/>
        <v>1</v>
      </c>
      <c r="AI8">
        <f t="shared" si="18"/>
        <v>1</v>
      </c>
      <c r="AJ8">
        <f t="shared" si="18"/>
        <v>1</v>
      </c>
      <c r="AK8">
        <f t="shared" si="18"/>
        <v>1</v>
      </c>
      <c r="AL8">
        <f t="shared" si="18"/>
        <v>1</v>
      </c>
      <c r="AM8">
        <f t="shared" si="18"/>
        <v>1</v>
      </c>
      <c r="AN8">
        <f t="shared" si="18"/>
        <v>1</v>
      </c>
      <c r="AO8">
        <f t="shared" si="18"/>
        <v>1</v>
      </c>
      <c r="AP8">
        <f t="shared" si="18"/>
        <v>1</v>
      </c>
      <c r="AQ8">
        <f t="shared" si="18"/>
        <v>1</v>
      </c>
      <c r="AR8">
        <f t="shared" si="19"/>
        <v>1</v>
      </c>
      <c r="AS8">
        <f t="shared" si="19"/>
        <v>1</v>
      </c>
      <c r="AT8">
        <f t="shared" si="19"/>
        <v>1</v>
      </c>
      <c r="AU8">
        <f t="shared" si="19"/>
        <v>1</v>
      </c>
      <c r="AV8">
        <f t="shared" si="19"/>
        <v>1</v>
      </c>
      <c r="AW8">
        <f t="shared" si="19"/>
        <v>1</v>
      </c>
      <c r="AX8">
        <f t="shared" si="19"/>
        <v>1</v>
      </c>
      <c r="AY8">
        <f t="shared" si="19"/>
        <v>1</v>
      </c>
      <c r="AZ8">
        <f t="shared" si="19"/>
        <v>1</v>
      </c>
      <c r="BA8">
        <f t="shared" si="19"/>
        <v>1</v>
      </c>
      <c r="BB8">
        <f t="shared" si="20"/>
        <v>1</v>
      </c>
      <c r="BC8">
        <f t="shared" si="20"/>
        <v>1</v>
      </c>
      <c r="BD8">
        <f t="shared" si="20"/>
        <v>1</v>
      </c>
      <c r="BE8">
        <f t="shared" si="20"/>
        <v>1</v>
      </c>
      <c r="BF8">
        <f t="shared" si="20"/>
        <v>1</v>
      </c>
      <c r="BG8">
        <f t="shared" si="20"/>
        <v>1</v>
      </c>
      <c r="BH8">
        <f t="shared" si="20"/>
        <v>1</v>
      </c>
      <c r="BI8">
        <f t="shared" si="20"/>
        <v>1</v>
      </c>
      <c r="BJ8">
        <f t="shared" si="20"/>
        <v>0</v>
      </c>
      <c r="BK8">
        <f t="shared" si="20"/>
        <v>1</v>
      </c>
      <c r="BL8">
        <f t="shared" si="21"/>
        <v>1</v>
      </c>
      <c r="BM8">
        <f t="shared" si="21"/>
        <v>1</v>
      </c>
      <c r="BN8">
        <f t="shared" si="21"/>
        <v>1</v>
      </c>
      <c r="BO8">
        <f t="shared" si="21"/>
        <v>1</v>
      </c>
      <c r="BP8">
        <f t="shared" si="21"/>
        <v>1</v>
      </c>
      <c r="BQ8">
        <f t="shared" si="21"/>
        <v>0.74603174603174605</v>
      </c>
      <c r="BR8">
        <f t="shared" si="21"/>
        <v>1</v>
      </c>
      <c r="BS8">
        <f t="shared" si="21"/>
        <v>1</v>
      </c>
      <c r="BT8">
        <f t="shared" si="21"/>
        <v>1</v>
      </c>
      <c r="BU8">
        <f t="shared" si="21"/>
        <v>1</v>
      </c>
      <c r="BV8">
        <f t="shared" si="22"/>
        <v>1</v>
      </c>
      <c r="BW8">
        <f t="shared" si="22"/>
        <v>1</v>
      </c>
      <c r="BX8">
        <f t="shared" si="22"/>
        <v>1</v>
      </c>
      <c r="BY8">
        <f t="shared" si="22"/>
        <v>1</v>
      </c>
      <c r="BZ8">
        <f t="shared" si="22"/>
        <v>1</v>
      </c>
      <c r="CA8">
        <f t="shared" si="22"/>
        <v>1</v>
      </c>
      <c r="CB8">
        <f t="shared" si="22"/>
        <v>1</v>
      </c>
      <c r="CC8">
        <f t="shared" si="22"/>
        <v>1</v>
      </c>
      <c r="CD8">
        <f t="shared" si="22"/>
        <v>1</v>
      </c>
      <c r="CE8">
        <f t="shared" si="22"/>
        <v>1</v>
      </c>
      <c r="CF8">
        <f t="shared" si="23"/>
        <v>1</v>
      </c>
      <c r="CG8">
        <f t="shared" si="23"/>
        <v>1</v>
      </c>
      <c r="CH8">
        <f t="shared" si="23"/>
        <v>1</v>
      </c>
      <c r="CI8">
        <f t="shared" si="23"/>
        <v>1</v>
      </c>
      <c r="CJ8">
        <f t="shared" si="23"/>
        <v>1</v>
      </c>
    </row>
    <row r="9" spans="1:88">
      <c r="A9" t="s">
        <v>188</v>
      </c>
      <c r="B9">
        <v>2</v>
      </c>
      <c r="C9" t="str">
        <f t="shared" si="0"/>
        <v>test.BallonFactory_2_</v>
      </c>
      <c r="D9">
        <v>4</v>
      </c>
      <c r="E9" s="4">
        <v>0.78787878787878785</v>
      </c>
      <c r="F9" s="4">
        <v>0.69964028776978415</v>
      </c>
      <c r="G9" s="4" t="str">
        <f t="shared" si="1"/>
        <v/>
      </c>
      <c r="H9" s="4" t="str">
        <f t="shared" si="2"/>
        <v/>
      </c>
      <c r="I9" s="4" t="str">
        <f t="shared" si="3"/>
        <v/>
      </c>
      <c r="J9" s="4">
        <f t="shared" si="4"/>
        <v>0.78787878787878785</v>
      </c>
      <c r="K9" s="4" t="str">
        <f t="shared" si="5"/>
        <v/>
      </c>
      <c r="L9" s="4" t="str">
        <f t="shared" si="6"/>
        <v/>
      </c>
      <c r="M9" s="4"/>
      <c r="N9" s="4"/>
      <c r="O9" s="4"/>
      <c r="P9" s="4"/>
      <c r="Q9" s="4"/>
      <c r="R9" s="4"/>
      <c r="S9" s="4"/>
      <c r="T9" s="4"/>
      <c r="U9" s="4"/>
    </row>
    <row r="10" spans="1:88">
      <c r="A10" t="s">
        <v>188</v>
      </c>
      <c r="B10">
        <v>2</v>
      </c>
      <c r="C10" t="str">
        <f t="shared" si="0"/>
        <v>test.BallonFactory_2_</v>
      </c>
      <c r="D10">
        <v>5</v>
      </c>
      <c r="E10" s="4">
        <v>0.78787878787878785</v>
      </c>
      <c r="F10" s="4">
        <v>0.77517985611510787</v>
      </c>
      <c r="G10" s="4" t="str">
        <f t="shared" si="1"/>
        <v/>
      </c>
      <c r="H10" s="4" t="str">
        <f t="shared" si="2"/>
        <v/>
      </c>
      <c r="I10" s="4" t="str">
        <f t="shared" si="3"/>
        <v/>
      </c>
      <c r="J10" s="4">
        <f t="shared" si="4"/>
        <v>0.78787878787878785</v>
      </c>
      <c r="K10" s="4" t="str">
        <f t="shared" si="5"/>
        <v/>
      </c>
      <c r="L10" s="4" t="str">
        <f t="shared" si="6"/>
        <v/>
      </c>
      <c r="M10" s="4"/>
      <c r="N10" s="4"/>
      <c r="O10" s="4"/>
      <c r="P10" s="4"/>
      <c r="Q10" s="4"/>
      <c r="R10" s="4"/>
      <c r="S10" s="4"/>
      <c r="T10" s="4"/>
      <c r="U10" s="4"/>
    </row>
    <row r="11" spans="1:88">
      <c r="A11" t="s">
        <v>188</v>
      </c>
      <c r="B11">
        <v>2</v>
      </c>
      <c r="C11" t="str">
        <f t="shared" si="0"/>
        <v>test.BallonFactory_2_</v>
      </c>
      <c r="D11">
        <v>6</v>
      </c>
      <c r="E11" s="4">
        <v>0.93939393939393945</v>
      </c>
      <c r="F11" s="4">
        <v>0.79046762589928055</v>
      </c>
      <c r="G11" s="4" t="str">
        <f t="shared" si="1"/>
        <v/>
      </c>
      <c r="H11" s="4" t="str">
        <f t="shared" si="2"/>
        <v/>
      </c>
      <c r="I11" s="4" t="str">
        <f t="shared" si="3"/>
        <v/>
      </c>
      <c r="J11" s="4">
        <f t="shared" si="4"/>
        <v>0.93939393939393945</v>
      </c>
      <c r="K11" s="4" t="str">
        <f t="shared" si="5"/>
        <v/>
      </c>
      <c r="L11" s="4" t="str">
        <f t="shared" si="6"/>
        <v/>
      </c>
      <c r="M11" s="4"/>
      <c r="N11" s="4"/>
      <c r="O11" s="4"/>
      <c r="P11" s="4"/>
      <c r="Q11" s="4"/>
      <c r="R11" s="4"/>
      <c r="S11" s="4"/>
      <c r="T11" s="4"/>
      <c r="U11" s="4"/>
    </row>
    <row r="12" spans="1:88">
      <c r="A12" t="s">
        <v>188</v>
      </c>
      <c r="B12">
        <v>2</v>
      </c>
      <c r="C12" t="str">
        <f t="shared" si="0"/>
        <v>test.BallonFactory_2_</v>
      </c>
      <c r="D12">
        <v>7</v>
      </c>
      <c r="E12" s="4">
        <v>0.96969696969696972</v>
      </c>
      <c r="F12" s="4">
        <v>0.80215827338129497</v>
      </c>
      <c r="G12" s="4" t="str">
        <f t="shared" si="1"/>
        <v/>
      </c>
      <c r="H12" s="4" t="str">
        <f t="shared" si="2"/>
        <v/>
      </c>
      <c r="I12" s="4" t="str">
        <f t="shared" si="3"/>
        <v/>
      </c>
      <c r="J12" s="4" t="str">
        <f t="shared" si="4"/>
        <v/>
      </c>
      <c r="K12" s="4">
        <f t="shared" si="5"/>
        <v>0.96969696969696972</v>
      </c>
      <c r="L12" s="4" t="str">
        <f t="shared" si="6"/>
        <v/>
      </c>
      <c r="M12" s="4"/>
      <c r="N12" s="4"/>
      <c r="O12" s="4"/>
      <c r="P12" s="4"/>
      <c r="Q12" s="4"/>
      <c r="R12" s="4"/>
      <c r="S12" s="4"/>
      <c r="T12" s="4"/>
      <c r="U12" s="4"/>
    </row>
    <row r="13" spans="1:88">
      <c r="A13" t="s">
        <v>188</v>
      </c>
      <c r="B13">
        <v>2</v>
      </c>
      <c r="C13" t="str">
        <f t="shared" si="0"/>
        <v>test.BallonFactory_2_</v>
      </c>
      <c r="D13">
        <v>8</v>
      </c>
      <c r="E13" s="4">
        <v>0.96969696969696972</v>
      </c>
      <c r="F13" s="4">
        <v>0.84892086330935257</v>
      </c>
      <c r="G13" s="4" t="str">
        <f t="shared" si="1"/>
        <v/>
      </c>
      <c r="H13" s="4" t="str">
        <f t="shared" si="2"/>
        <v/>
      </c>
      <c r="I13" s="4" t="str">
        <f t="shared" si="3"/>
        <v/>
      </c>
      <c r="J13" s="4" t="str">
        <f t="shared" si="4"/>
        <v/>
      </c>
      <c r="K13" s="4">
        <f t="shared" si="5"/>
        <v>0.96969696969696972</v>
      </c>
      <c r="L13" s="4" t="str">
        <f t="shared" si="6"/>
        <v/>
      </c>
      <c r="M13" s="4"/>
      <c r="N13" t="s">
        <v>619</v>
      </c>
      <c r="O13" s="4"/>
      <c r="P13" s="4"/>
      <c r="Q13" s="4"/>
      <c r="R13" s="4"/>
      <c r="S13" s="4"/>
      <c r="T13" s="4"/>
      <c r="U13" s="4"/>
    </row>
    <row r="14" spans="1:88">
      <c r="A14" t="s">
        <v>188</v>
      </c>
      <c r="B14">
        <v>2</v>
      </c>
      <c r="C14" t="str">
        <f t="shared" si="0"/>
        <v>test.BallonFactory_2_</v>
      </c>
      <c r="D14">
        <v>9</v>
      </c>
      <c r="E14" s="4">
        <v>1</v>
      </c>
      <c r="F14" s="4">
        <v>0.86330935251798557</v>
      </c>
      <c r="G14" s="4" t="str">
        <f t="shared" si="1"/>
        <v/>
      </c>
      <c r="H14" s="4" t="str">
        <f t="shared" si="2"/>
        <v/>
      </c>
      <c r="I14" s="4" t="str">
        <f t="shared" si="3"/>
        <v/>
      </c>
      <c r="J14" s="4" t="str">
        <f t="shared" si="4"/>
        <v/>
      </c>
      <c r="K14" s="4">
        <f t="shared" si="5"/>
        <v>1</v>
      </c>
      <c r="L14" s="4" t="str">
        <f t="shared" si="6"/>
        <v/>
      </c>
      <c r="M14" s="4"/>
      <c r="N14" t="s">
        <v>620</v>
      </c>
      <c r="O14" s="4"/>
      <c r="P14" s="4"/>
      <c r="Q14" s="4"/>
      <c r="R14" s="4"/>
      <c r="S14" s="4"/>
      <c r="T14" s="4"/>
      <c r="U14" s="4"/>
    </row>
    <row r="15" spans="1:88">
      <c r="A15" t="s">
        <v>188</v>
      </c>
      <c r="B15">
        <v>2</v>
      </c>
      <c r="C15" t="str">
        <f t="shared" si="0"/>
        <v>test.BallonFactory_2_</v>
      </c>
      <c r="D15">
        <v>10</v>
      </c>
      <c r="E15" s="4">
        <v>1</v>
      </c>
      <c r="F15" s="4">
        <v>0.87589928057553956</v>
      </c>
      <c r="G15" s="4" t="str">
        <f t="shared" si="1"/>
        <v/>
      </c>
      <c r="H15" s="4" t="str">
        <f t="shared" si="2"/>
        <v/>
      </c>
      <c r="I15" s="4" t="str">
        <f t="shared" si="3"/>
        <v/>
      </c>
      <c r="J15" s="4" t="str">
        <f t="shared" si="4"/>
        <v/>
      </c>
      <c r="K15" s="4">
        <f t="shared" si="5"/>
        <v>1</v>
      </c>
      <c r="L15" s="4" t="str">
        <f t="shared" si="6"/>
        <v/>
      </c>
      <c r="M15" s="4"/>
      <c r="N15" t="s">
        <v>621</v>
      </c>
      <c r="O15" s="4"/>
      <c r="P15" s="4"/>
      <c r="Q15" s="4"/>
      <c r="R15" s="4"/>
      <c r="S15" s="4"/>
      <c r="T15" s="4"/>
      <c r="U15" s="4"/>
    </row>
    <row r="16" spans="1:88">
      <c r="A16" t="s">
        <v>188</v>
      </c>
      <c r="B16">
        <v>2</v>
      </c>
      <c r="C16" t="str">
        <f t="shared" si="0"/>
        <v>test.BallonFactory_2_</v>
      </c>
      <c r="D16">
        <v>11</v>
      </c>
      <c r="E16" s="4">
        <v>1</v>
      </c>
      <c r="F16" s="4">
        <v>0.88039568345323738</v>
      </c>
      <c r="G16" s="4" t="str">
        <f t="shared" si="1"/>
        <v/>
      </c>
      <c r="H16" s="4" t="str">
        <f t="shared" si="2"/>
        <v/>
      </c>
      <c r="I16" s="4" t="str">
        <f t="shared" si="3"/>
        <v/>
      </c>
      <c r="J16" s="4" t="str">
        <f t="shared" si="4"/>
        <v/>
      </c>
      <c r="K16" s="4">
        <f t="shared" si="5"/>
        <v>1</v>
      </c>
      <c r="L16" s="4" t="str">
        <f t="shared" si="6"/>
        <v/>
      </c>
      <c r="M16" s="4"/>
      <c r="N16" t="s">
        <v>622</v>
      </c>
      <c r="O16" s="4"/>
      <c r="P16" s="4"/>
      <c r="Q16" s="4"/>
      <c r="R16" s="4"/>
      <c r="S16" s="4"/>
      <c r="T16" s="4"/>
      <c r="U16" s="4"/>
    </row>
    <row r="17" spans="1:21">
      <c r="A17" t="s">
        <v>188</v>
      </c>
      <c r="B17">
        <v>2</v>
      </c>
      <c r="C17" t="str">
        <f t="shared" si="0"/>
        <v>test.BallonFactory_2_</v>
      </c>
      <c r="D17">
        <v>12</v>
      </c>
      <c r="E17" s="4">
        <v>1</v>
      </c>
      <c r="F17" s="4">
        <v>0.93345323741007191</v>
      </c>
      <c r="G17" s="4" t="str">
        <f t="shared" si="1"/>
        <v/>
      </c>
      <c r="H17" s="4" t="str">
        <f t="shared" si="2"/>
        <v/>
      </c>
      <c r="I17" s="4" t="str">
        <f t="shared" si="3"/>
        <v/>
      </c>
      <c r="J17" s="4" t="str">
        <f t="shared" si="4"/>
        <v/>
      </c>
      <c r="K17" s="4">
        <f t="shared" si="5"/>
        <v>1</v>
      </c>
      <c r="L17" s="4" t="str">
        <f t="shared" si="6"/>
        <v/>
      </c>
      <c r="M17" s="4"/>
      <c r="N17" t="s">
        <v>623</v>
      </c>
      <c r="O17" s="4"/>
      <c r="P17" s="4"/>
      <c r="Q17" s="4"/>
      <c r="R17" s="4"/>
      <c r="S17" s="4"/>
      <c r="T17" s="4"/>
      <c r="U17" s="4"/>
    </row>
    <row r="18" spans="1:21">
      <c r="A18" t="s">
        <v>188</v>
      </c>
      <c r="B18">
        <v>2</v>
      </c>
      <c r="C18" t="str">
        <f t="shared" si="0"/>
        <v>test.BallonFactory_2_</v>
      </c>
      <c r="D18">
        <v>13</v>
      </c>
      <c r="E18" s="4">
        <v>1</v>
      </c>
      <c r="F18" s="4">
        <v>0.9361510791366906</v>
      </c>
      <c r="G18" s="4" t="str">
        <f t="shared" si="1"/>
        <v/>
      </c>
      <c r="H18" s="4" t="str">
        <f t="shared" si="2"/>
        <v/>
      </c>
      <c r="I18" s="4" t="str">
        <f t="shared" si="3"/>
        <v/>
      </c>
      <c r="J18" s="4" t="str">
        <f t="shared" si="4"/>
        <v/>
      </c>
      <c r="K18" s="4">
        <f t="shared" si="5"/>
        <v>1</v>
      </c>
      <c r="L18" s="4" t="str">
        <f t="shared" si="6"/>
        <v/>
      </c>
      <c r="M18" s="4"/>
      <c r="N18" t="s">
        <v>624</v>
      </c>
      <c r="O18" s="4"/>
      <c r="P18" s="4"/>
      <c r="Q18" s="4"/>
      <c r="R18" s="4"/>
      <c r="S18" s="4"/>
      <c r="T18" s="4"/>
      <c r="U18" s="4"/>
    </row>
    <row r="19" spans="1:21">
      <c r="A19" t="s">
        <v>188</v>
      </c>
      <c r="B19">
        <v>2</v>
      </c>
      <c r="C19" t="str">
        <f t="shared" si="0"/>
        <v>test.BallonFactory_2_</v>
      </c>
      <c r="D19">
        <v>14</v>
      </c>
      <c r="E19" s="4">
        <v>1</v>
      </c>
      <c r="F19" s="4">
        <v>0.94784172661870503</v>
      </c>
      <c r="G19" s="4" t="str">
        <f t="shared" si="1"/>
        <v/>
      </c>
      <c r="H19" s="4" t="str">
        <f t="shared" si="2"/>
        <v/>
      </c>
      <c r="I19" s="4" t="str">
        <f t="shared" si="3"/>
        <v/>
      </c>
      <c r="J19" s="4" t="str">
        <f t="shared" si="4"/>
        <v/>
      </c>
      <c r="K19" s="4">
        <f t="shared" si="5"/>
        <v>1</v>
      </c>
      <c r="L19" s="4" t="str">
        <f t="shared" si="6"/>
        <v/>
      </c>
      <c r="M19" s="4"/>
      <c r="N19" t="s">
        <v>625</v>
      </c>
      <c r="O19" s="4"/>
      <c r="P19" s="4"/>
      <c r="Q19" s="4"/>
      <c r="R19" s="4"/>
      <c r="S19" s="4"/>
      <c r="T19" s="4"/>
      <c r="U19" s="4"/>
    </row>
    <row r="20" spans="1:21">
      <c r="A20" t="s">
        <v>188</v>
      </c>
      <c r="B20">
        <v>2</v>
      </c>
      <c r="C20" t="str">
        <f t="shared" si="0"/>
        <v>test.BallonFactory_2_</v>
      </c>
      <c r="D20">
        <v>15</v>
      </c>
      <c r="E20" s="4">
        <v>1</v>
      </c>
      <c r="F20" s="4">
        <v>1.0152877697841727</v>
      </c>
      <c r="G20" s="4" t="str">
        <f t="shared" si="1"/>
        <v/>
      </c>
      <c r="H20" s="4" t="str">
        <f t="shared" si="2"/>
        <v/>
      </c>
      <c r="I20" s="4" t="str">
        <f t="shared" si="3"/>
        <v/>
      </c>
      <c r="J20" s="4" t="str">
        <f t="shared" si="4"/>
        <v/>
      </c>
      <c r="K20" s="4">
        <f t="shared" si="5"/>
        <v>1</v>
      </c>
      <c r="L20" s="4" t="str">
        <f t="shared" si="6"/>
        <v/>
      </c>
      <c r="M20" s="4"/>
      <c r="N20" t="s">
        <v>626</v>
      </c>
      <c r="O20" s="4"/>
      <c r="P20" s="4"/>
      <c r="Q20" s="4"/>
      <c r="R20" s="4"/>
      <c r="S20" s="4"/>
      <c r="T20" s="4"/>
      <c r="U20" s="4"/>
    </row>
    <row r="21" spans="1:21">
      <c r="A21" t="s">
        <v>188</v>
      </c>
      <c r="B21">
        <v>6</v>
      </c>
      <c r="C21" t="str">
        <f t="shared" si="0"/>
        <v>test.BallonFactory_6_</v>
      </c>
      <c r="D21">
        <v>1</v>
      </c>
      <c r="E21" s="4">
        <v>0.22222222222222221</v>
      </c>
      <c r="F21" s="4">
        <v>9.8411071245515125E-2</v>
      </c>
      <c r="G21" s="4">
        <f t="shared" si="1"/>
        <v>0.22222222222222221</v>
      </c>
      <c r="H21" s="4" t="str">
        <f t="shared" si="2"/>
        <v/>
      </c>
      <c r="I21" s="4" t="str">
        <f t="shared" si="3"/>
        <v/>
      </c>
      <c r="J21" s="4" t="str">
        <f t="shared" si="4"/>
        <v/>
      </c>
      <c r="K21" s="4" t="str">
        <f t="shared" si="5"/>
        <v/>
      </c>
      <c r="L21" s="4" t="str">
        <f t="shared" si="6"/>
        <v/>
      </c>
      <c r="M21" s="4"/>
      <c r="N21" t="s">
        <v>627</v>
      </c>
      <c r="O21" s="4"/>
      <c r="P21" s="4"/>
      <c r="Q21" s="4"/>
      <c r="R21" s="4"/>
      <c r="S21" s="4"/>
      <c r="T21" s="4"/>
      <c r="U21" s="4"/>
    </row>
    <row r="22" spans="1:21">
      <c r="A22" t="s">
        <v>188</v>
      </c>
      <c r="B22">
        <v>6</v>
      </c>
      <c r="C22" t="str">
        <f t="shared" si="0"/>
        <v>test.BallonFactory_6_</v>
      </c>
      <c r="D22">
        <v>2</v>
      </c>
      <c r="E22" s="4">
        <v>0.55555555555555558</v>
      </c>
      <c r="F22" s="4">
        <v>0.73295745771399279</v>
      </c>
      <c r="G22" s="4" t="str">
        <f t="shared" si="1"/>
        <v/>
      </c>
      <c r="H22" s="4" t="str">
        <f t="shared" si="2"/>
        <v/>
      </c>
      <c r="I22" s="4" t="str">
        <f t="shared" si="3"/>
        <v/>
      </c>
      <c r="J22" s="4">
        <f t="shared" si="4"/>
        <v>0.55555555555555558</v>
      </c>
      <c r="K22" s="4" t="str">
        <f t="shared" si="5"/>
        <v/>
      </c>
      <c r="L22" s="4" t="str">
        <f t="shared" si="6"/>
        <v/>
      </c>
      <c r="M22" s="4"/>
      <c r="N22" t="s">
        <v>628</v>
      </c>
      <c r="O22" s="4"/>
      <c r="P22" s="4"/>
      <c r="Q22" s="4"/>
      <c r="R22" s="4"/>
      <c r="S22" s="4"/>
      <c r="T22" s="4"/>
      <c r="U22" s="4"/>
    </row>
    <row r="23" spans="1:21">
      <c r="A23" t="s">
        <v>188</v>
      </c>
      <c r="B23">
        <v>6</v>
      </c>
      <c r="C23" t="str">
        <f t="shared" si="0"/>
        <v>test.BallonFactory_6_</v>
      </c>
      <c r="D23">
        <v>3</v>
      </c>
      <c r="E23" s="4">
        <v>0.61111111111111116</v>
      </c>
      <c r="F23" s="4">
        <v>0.83546899026140442</v>
      </c>
      <c r="G23" s="4" t="str">
        <f t="shared" si="1"/>
        <v/>
      </c>
      <c r="H23" s="4" t="str">
        <f t="shared" si="2"/>
        <v/>
      </c>
      <c r="I23" s="4" t="str">
        <f t="shared" si="3"/>
        <v/>
      </c>
      <c r="J23" s="4" t="str">
        <f t="shared" si="4"/>
        <v/>
      </c>
      <c r="K23" s="4">
        <f t="shared" si="5"/>
        <v>0.61111111111111116</v>
      </c>
      <c r="L23" s="4" t="str">
        <f t="shared" si="6"/>
        <v/>
      </c>
      <c r="M23" s="4"/>
      <c r="N23" t="s">
        <v>629</v>
      </c>
      <c r="O23" s="4"/>
      <c r="P23" s="4"/>
      <c r="Q23" s="4"/>
      <c r="R23" s="4"/>
      <c r="S23" s="4"/>
      <c r="T23" s="4"/>
      <c r="U23" s="4"/>
    </row>
    <row r="24" spans="1:21">
      <c r="A24" t="s">
        <v>188</v>
      </c>
      <c r="B24">
        <v>6</v>
      </c>
      <c r="C24" t="str">
        <f t="shared" si="0"/>
        <v>test.BallonFactory_6_</v>
      </c>
      <c r="D24">
        <v>4</v>
      </c>
      <c r="E24" s="4">
        <v>0.88888888888888884</v>
      </c>
      <c r="F24" s="4">
        <v>0.90773962070732961</v>
      </c>
      <c r="G24" s="4" t="str">
        <f t="shared" si="1"/>
        <v/>
      </c>
      <c r="H24" s="4" t="str">
        <f t="shared" si="2"/>
        <v/>
      </c>
      <c r="I24" s="4" t="str">
        <f t="shared" si="3"/>
        <v/>
      </c>
      <c r="J24" s="4" t="str">
        <f t="shared" si="4"/>
        <v/>
      </c>
      <c r="K24" s="4">
        <f t="shared" si="5"/>
        <v>0.88888888888888884</v>
      </c>
      <c r="L24" s="4" t="str">
        <f t="shared" si="6"/>
        <v/>
      </c>
      <c r="M24" s="4"/>
      <c r="N24" t="s">
        <v>617</v>
      </c>
      <c r="O24" s="4"/>
      <c r="P24" s="4"/>
      <c r="Q24" s="4"/>
      <c r="R24" s="4"/>
      <c r="S24" s="4"/>
      <c r="T24" s="4"/>
      <c r="U24" s="4"/>
    </row>
    <row r="25" spans="1:21">
      <c r="A25" t="s">
        <v>188</v>
      </c>
      <c r="B25">
        <v>6</v>
      </c>
      <c r="C25" t="str">
        <f t="shared" si="0"/>
        <v>test.BallonFactory_6_</v>
      </c>
      <c r="D25">
        <v>5</v>
      </c>
      <c r="E25" s="4">
        <v>1</v>
      </c>
      <c r="F25" s="4">
        <v>1.0015376729882113</v>
      </c>
      <c r="G25" s="4" t="str">
        <f t="shared" si="1"/>
        <v/>
      </c>
      <c r="H25" s="4" t="str">
        <f t="shared" si="2"/>
        <v/>
      </c>
      <c r="I25" s="4" t="str">
        <f t="shared" si="3"/>
        <v/>
      </c>
      <c r="J25" s="4" t="str">
        <f t="shared" si="4"/>
        <v/>
      </c>
      <c r="K25" s="4">
        <f t="shared" si="5"/>
        <v>1</v>
      </c>
      <c r="L25" s="4" t="str">
        <f t="shared" si="6"/>
        <v/>
      </c>
      <c r="M25" s="4"/>
      <c r="N25" t="s">
        <v>616</v>
      </c>
      <c r="O25" s="4"/>
      <c r="P25" s="4"/>
      <c r="Q25" s="4"/>
      <c r="R25" s="4"/>
      <c r="S25" s="4"/>
      <c r="T25" s="4"/>
      <c r="U25" s="4"/>
    </row>
    <row r="26" spans="1:21">
      <c r="A26" t="s">
        <v>188</v>
      </c>
      <c r="B26">
        <v>9</v>
      </c>
      <c r="C26" t="str">
        <f t="shared" si="0"/>
        <v>test.BallonFactory_9_</v>
      </c>
      <c r="D26">
        <v>1</v>
      </c>
      <c r="E26" s="4">
        <v>6.5217391304347824E-2</v>
      </c>
      <c r="F26" s="4">
        <v>7.6476282671829626E-2</v>
      </c>
      <c r="G26" s="4">
        <f t="shared" si="1"/>
        <v>6.5217391304347824E-2</v>
      </c>
      <c r="H26" s="4" t="str">
        <f t="shared" si="2"/>
        <v/>
      </c>
      <c r="I26" s="4" t="str">
        <f t="shared" si="3"/>
        <v/>
      </c>
      <c r="J26" s="4" t="str">
        <f t="shared" si="4"/>
        <v/>
      </c>
      <c r="K26" s="4" t="str">
        <f t="shared" si="5"/>
        <v/>
      </c>
      <c r="L26" s="4" t="str">
        <f t="shared" si="6"/>
        <v/>
      </c>
      <c r="M26" s="4"/>
      <c r="N26" t="s">
        <v>684</v>
      </c>
      <c r="O26" s="4"/>
      <c r="P26" s="4"/>
      <c r="Q26" s="4"/>
      <c r="R26" s="4"/>
      <c r="S26" s="4"/>
      <c r="T26" s="4"/>
      <c r="U26" s="4"/>
    </row>
    <row r="27" spans="1:21">
      <c r="A27" t="s">
        <v>188</v>
      </c>
      <c r="B27">
        <v>9</v>
      </c>
      <c r="C27" t="str">
        <f t="shared" si="0"/>
        <v>test.BallonFactory_9_</v>
      </c>
      <c r="D27">
        <v>2</v>
      </c>
      <c r="E27" s="4">
        <v>6.5217391304347824E-2</v>
      </c>
      <c r="F27" s="4">
        <v>7.6960309777347538E-2</v>
      </c>
      <c r="G27" s="4">
        <f t="shared" si="1"/>
        <v>6.5217391304347824E-2</v>
      </c>
      <c r="H27" s="4" t="str">
        <f t="shared" si="2"/>
        <v/>
      </c>
      <c r="I27" s="4" t="str">
        <f t="shared" si="3"/>
        <v/>
      </c>
      <c r="J27" s="4" t="str">
        <f t="shared" si="4"/>
        <v/>
      </c>
      <c r="K27" s="4" t="str">
        <f t="shared" si="5"/>
        <v/>
      </c>
      <c r="L27" s="4" t="str">
        <f t="shared" si="6"/>
        <v/>
      </c>
      <c r="M27" s="4"/>
      <c r="N27" t="s">
        <v>618</v>
      </c>
      <c r="O27" s="4"/>
      <c r="P27" s="4"/>
      <c r="Q27" s="4"/>
      <c r="R27" s="4"/>
      <c r="S27" s="4"/>
      <c r="T27" s="4"/>
      <c r="U27" s="4"/>
    </row>
    <row r="28" spans="1:21">
      <c r="A28" t="s">
        <v>188</v>
      </c>
      <c r="B28">
        <v>9</v>
      </c>
      <c r="C28" t="str">
        <f t="shared" si="0"/>
        <v>test.BallonFactory_9_</v>
      </c>
      <c r="D28">
        <v>3</v>
      </c>
      <c r="E28" s="4">
        <v>6.5217391304347824E-2</v>
      </c>
      <c r="F28" s="4">
        <v>7.9380445304937083E-2</v>
      </c>
      <c r="G28" s="4">
        <f t="shared" si="1"/>
        <v>6.5217391304347824E-2</v>
      </c>
      <c r="H28" s="4" t="str">
        <f t="shared" si="2"/>
        <v/>
      </c>
      <c r="I28" s="4" t="str">
        <f t="shared" si="3"/>
        <v/>
      </c>
      <c r="J28" s="4" t="str">
        <f t="shared" si="4"/>
        <v/>
      </c>
      <c r="K28" s="4" t="str">
        <f t="shared" si="5"/>
        <v/>
      </c>
      <c r="L28" s="4" t="str">
        <f t="shared" si="6"/>
        <v/>
      </c>
      <c r="M28" s="4"/>
      <c r="N28" t="s">
        <v>630</v>
      </c>
      <c r="O28" s="4"/>
      <c r="P28" s="4"/>
      <c r="Q28" s="4"/>
      <c r="R28" s="4"/>
      <c r="S28" s="4"/>
      <c r="T28" s="4"/>
      <c r="U28" s="4"/>
    </row>
    <row r="29" spans="1:21">
      <c r="A29" t="s">
        <v>188</v>
      </c>
      <c r="B29">
        <v>9</v>
      </c>
      <c r="C29" t="str">
        <f t="shared" si="0"/>
        <v>test.BallonFactory_9_</v>
      </c>
      <c r="D29">
        <v>4</v>
      </c>
      <c r="E29" s="4">
        <v>0.15217391304347827</v>
      </c>
      <c r="F29" s="4">
        <v>0.16069699903194579</v>
      </c>
      <c r="G29" s="4">
        <f t="shared" si="1"/>
        <v>0.15217391304347827</v>
      </c>
      <c r="H29" s="4" t="str">
        <f t="shared" si="2"/>
        <v/>
      </c>
      <c r="I29" s="4" t="str">
        <f t="shared" si="3"/>
        <v/>
      </c>
      <c r="J29" s="4" t="str">
        <f t="shared" si="4"/>
        <v/>
      </c>
      <c r="K29" s="4" t="str">
        <f t="shared" si="5"/>
        <v/>
      </c>
      <c r="L29" s="4" t="str">
        <f t="shared" si="6"/>
        <v/>
      </c>
      <c r="M29" s="4"/>
      <c r="N29" t="s">
        <v>631</v>
      </c>
      <c r="O29" s="4"/>
      <c r="P29" s="4"/>
      <c r="Q29" s="4"/>
      <c r="R29" s="4"/>
      <c r="S29" s="4"/>
      <c r="T29" s="4"/>
      <c r="U29" s="4"/>
    </row>
    <row r="30" spans="1:21">
      <c r="A30" t="s">
        <v>188</v>
      </c>
      <c r="B30">
        <v>9</v>
      </c>
      <c r="C30" t="str">
        <f t="shared" si="0"/>
        <v>test.BallonFactory_9_</v>
      </c>
      <c r="D30">
        <v>5</v>
      </c>
      <c r="E30" s="4">
        <v>0.2391304347826087</v>
      </c>
      <c r="F30" s="4">
        <v>0.16263310745401743</v>
      </c>
      <c r="G30" s="4">
        <f t="shared" si="1"/>
        <v>0.2391304347826087</v>
      </c>
      <c r="H30" s="4" t="str">
        <f t="shared" si="2"/>
        <v/>
      </c>
      <c r="I30" s="4" t="str">
        <f t="shared" si="3"/>
        <v/>
      </c>
      <c r="J30" s="4" t="str">
        <f t="shared" si="4"/>
        <v/>
      </c>
      <c r="K30" s="4" t="str">
        <f t="shared" si="5"/>
        <v/>
      </c>
      <c r="L30" s="4" t="str">
        <f t="shared" si="6"/>
        <v/>
      </c>
      <c r="M30" s="4"/>
      <c r="N30" t="s">
        <v>632</v>
      </c>
      <c r="O30" s="4"/>
      <c r="P30" s="4"/>
      <c r="Q30" s="4"/>
      <c r="R30" s="4"/>
      <c r="S30" s="4"/>
      <c r="T30" s="4"/>
      <c r="U30" s="4"/>
    </row>
    <row r="31" spans="1:21">
      <c r="A31" t="s">
        <v>188</v>
      </c>
      <c r="B31">
        <v>9</v>
      </c>
      <c r="C31" t="str">
        <f t="shared" si="0"/>
        <v>test.BallonFactory_9_</v>
      </c>
      <c r="D31">
        <v>6</v>
      </c>
      <c r="E31" s="4">
        <v>0.5</v>
      </c>
      <c r="F31" s="4">
        <v>0.33591481122942884</v>
      </c>
      <c r="G31" s="4" t="str">
        <f t="shared" si="1"/>
        <v/>
      </c>
      <c r="H31" s="4">
        <f t="shared" si="2"/>
        <v>0.5</v>
      </c>
      <c r="I31" s="4" t="str">
        <f t="shared" si="3"/>
        <v/>
      </c>
      <c r="J31" s="4" t="str">
        <f t="shared" si="4"/>
        <v/>
      </c>
      <c r="K31" s="4" t="str">
        <f t="shared" si="5"/>
        <v/>
      </c>
      <c r="L31" s="4" t="str">
        <f t="shared" si="6"/>
        <v/>
      </c>
      <c r="M31" s="4"/>
      <c r="N31" t="s">
        <v>633</v>
      </c>
      <c r="O31" s="4"/>
      <c r="P31" s="4"/>
      <c r="Q31" s="4"/>
      <c r="R31" s="4"/>
      <c r="S31" s="4"/>
      <c r="T31" s="4"/>
      <c r="U31" s="4"/>
    </row>
    <row r="32" spans="1:21">
      <c r="A32" t="s">
        <v>188</v>
      </c>
      <c r="B32">
        <v>9</v>
      </c>
      <c r="C32" t="str">
        <f t="shared" si="0"/>
        <v>test.BallonFactory_9_</v>
      </c>
      <c r="D32">
        <v>7</v>
      </c>
      <c r="E32" s="4">
        <v>0.65217391304347827</v>
      </c>
      <c r="F32" s="4">
        <v>0.34075508228460794</v>
      </c>
      <c r="G32" s="4" t="str">
        <f t="shared" si="1"/>
        <v/>
      </c>
      <c r="H32" s="4">
        <f t="shared" si="2"/>
        <v>0.65217391304347827</v>
      </c>
      <c r="I32" s="4" t="str">
        <f t="shared" si="3"/>
        <v/>
      </c>
      <c r="J32" s="4" t="str">
        <f t="shared" si="4"/>
        <v/>
      </c>
      <c r="K32" s="4" t="str">
        <f t="shared" si="5"/>
        <v/>
      </c>
      <c r="L32" s="4" t="str">
        <f t="shared" si="6"/>
        <v/>
      </c>
      <c r="M32" s="4"/>
      <c r="N32" t="s">
        <v>634</v>
      </c>
      <c r="O32" s="4"/>
      <c r="P32" s="4"/>
      <c r="Q32" s="4"/>
      <c r="R32" s="4"/>
      <c r="S32" s="4"/>
      <c r="T32" s="4"/>
      <c r="U32" s="4"/>
    </row>
    <row r="33" spans="1:21">
      <c r="A33" t="s">
        <v>188</v>
      </c>
      <c r="B33">
        <v>9</v>
      </c>
      <c r="C33" t="str">
        <f t="shared" si="0"/>
        <v>test.BallonFactory_9_</v>
      </c>
      <c r="D33">
        <v>8</v>
      </c>
      <c r="E33" s="4">
        <v>0.91304347826086951</v>
      </c>
      <c r="F33" s="4">
        <v>0.3480154888673766</v>
      </c>
      <c r="G33" s="4" t="str">
        <f t="shared" si="1"/>
        <v/>
      </c>
      <c r="H33" s="4">
        <f t="shared" si="2"/>
        <v>0.91304347826086951</v>
      </c>
      <c r="I33" s="4" t="str">
        <f t="shared" si="3"/>
        <v/>
      </c>
      <c r="J33" s="4" t="str">
        <f t="shared" si="4"/>
        <v/>
      </c>
      <c r="K33" s="4" t="str">
        <f t="shared" si="5"/>
        <v/>
      </c>
      <c r="L33" s="4" t="str">
        <f t="shared" si="6"/>
        <v/>
      </c>
      <c r="M33" s="4"/>
      <c r="N33" t="s">
        <v>635</v>
      </c>
      <c r="O33" s="4"/>
      <c r="P33" s="4"/>
      <c r="Q33" s="4"/>
      <c r="R33" s="4"/>
      <c r="S33" s="4"/>
      <c r="T33" s="4"/>
      <c r="U33" s="4"/>
    </row>
    <row r="34" spans="1:21">
      <c r="A34" t="s">
        <v>188</v>
      </c>
      <c r="B34">
        <v>9</v>
      </c>
      <c r="C34" t="str">
        <f t="shared" si="0"/>
        <v>test.BallonFactory_9_</v>
      </c>
      <c r="D34">
        <v>9</v>
      </c>
      <c r="E34" s="4">
        <v>1</v>
      </c>
      <c r="F34" s="4">
        <v>0.40174249757986447</v>
      </c>
      <c r="G34" s="4" t="str">
        <f t="shared" si="1"/>
        <v/>
      </c>
      <c r="H34" s="4" t="str">
        <f t="shared" si="2"/>
        <v/>
      </c>
      <c r="I34" s="4">
        <f t="shared" si="3"/>
        <v>1</v>
      </c>
      <c r="J34" s="4" t="str">
        <f t="shared" si="4"/>
        <v/>
      </c>
      <c r="K34" s="4" t="str">
        <f t="shared" si="5"/>
        <v/>
      </c>
      <c r="L34" s="4" t="str">
        <f t="shared" si="6"/>
        <v/>
      </c>
      <c r="M34" s="4"/>
      <c r="N34" t="s">
        <v>636</v>
      </c>
      <c r="O34" s="4"/>
      <c r="P34" s="4"/>
      <c r="Q34" s="4"/>
      <c r="R34" s="4"/>
      <c r="S34" s="4"/>
      <c r="T34" s="4"/>
      <c r="U34" s="4"/>
    </row>
    <row r="35" spans="1:21">
      <c r="A35" t="s">
        <v>188</v>
      </c>
      <c r="B35">
        <v>9</v>
      </c>
      <c r="C35" t="str">
        <f t="shared" si="0"/>
        <v>test.BallonFactory_9_</v>
      </c>
      <c r="D35">
        <v>10</v>
      </c>
      <c r="E35" s="4">
        <v>1</v>
      </c>
      <c r="F35" s="4">
        <v>0.41190706679574057</v>
      </c>
      <c r="G35" s="4" t="str">
        <f t="shared" si="1"/>
        <v/>
      </c>
      <c r="H35" s="4" t="str">
        <f t="shared" si="2"/>
        <v/>
      </c>
      <c r="I35" s="4">
        <f t="shared" si="3"/>
        <v>1</v>
      </c>
      <c r="J35" s="4" t="str">
        <f t="shared" si="4"/>
        <v/>
      </c>
      <c r="K35" s="4" t="str">
        <f t="shared" si="5"/>
        <v/>
      </c>
      <c r="L35" s="4" t="str">
        <f t="shared" si="6"/>
        <v/>
      </c>
      <c r="M35" s="4"/>
      <c r="N35" t="s">
        <v>637</v>
      </c>
      <c r="O35" s="4"/>
      <c r="P35" s="4"/>
      <c r="Q35" s="4"/>
      <c r="R35" s="4"/>
      <c r="S35" s="4"/>
      <c r="T35" s="4"/>
      <c r="U35" s="4"/>
    </row>
    <row r="36" spans="1:21">
      <c r="A36" t="s">
        <v>219</v>
      </c>
      <c r="B36">
        <v>2</v>
      </c>
      <c r="C36" t="str">
        <f t="shared" si="0"/>
        <v>test.Base64_2_</v>
      </c>
      <c r="D36">
        <v>1</v>
      </c>
      <c r="E36" s="4">
        <v>0.19354838709677419</v>
      </c>
      <c r="F36" s="4">
        <v>0.31512981199641898</v>
      </c>
      <c r="G36" s="4" t="str">
        <f t="shared" si="1"/>
        <v/>
      </c>
      <c r="H36" s="4">
        <f t="shared" si="2"/>
        <v>0.19354838709677419</v>
      </c>
      <c r="I36" s="4" t="str">
        <f t="shared" si="3"/>
        <v/>
      </c>
      <c r="J36" s="4" t="str">
        <f t="shared" si="4"/>
        <v/>
      </c>
      <c r="K36" s="4" t="str">
        <f t="shared" si="5"/>
        <v/>
      </c>
      <c r="L36" s="4" t="str">
        <f t="shared" si="6"/>
        <v/>
      </c>
      <c r="M36" s="4"/>
      <c r="N36" t="s">
        <v>638</v>
      </c>
      <c r="O36" s="4"/>
      <c r="P36" s="4"/>
      <c r="Q36" s="4"/>
      <c r="R36" s="4"/>
      <c r="S36" s="4"/>
      <c r="T36" s="4"/>
      <c r="U36" s="4"/>
    </row>
    <row r="37" spans="1:21">
      <c r="A37" t="s">
        <v>219</v>
      </c>
      <c r="B37">
        <v>2</v>
      </c>
      <c r="C37" t="str">
        <f t="shared" si="0"/>
        <v>test.Base64_2_</v>
      </c>
      <c r="D37">
        <v>2</v>
      </c>
      <c r="E37" s="4">
        <v>0.70967741935483875</v>
      </c>
      <c r="F37" s="4">
        <v>0.68666069829901522</v>
      </c>
      <c r="G37" s="4" t="str">
        <f t="shared" si="1"/>
        <v/>
      </c>
      <c r="H37" s="4" t="str">
        <f t="shared" si="2"/>
        <v/>
      </c>
      <c r="I37" s="4" t="str">
        <f t="shared" si="3"/>
        <v/>
      </c>
      <c r="J37" s="4">
        <f t="shared" si="4"/>
        <v>0.70967741935483875</v>
      </c>
      <c r="K37" s="4" t="str">
        <f t="shared" si="5"/>
        <v/>
      </c>
      <c r="L37" s="4" t="str">
        <f t="shared" si="6"/>
        <v/>
      </c>
      <c r="M37" s="4"/>
      <c r="N37" t="s">
        <v>639</v>
      </c>
      <c r="O37" s="4"/>
      <c r="P37" s="4"/>
      <c r="Q37" s="4"/>
      <c r="R37" s="4"/>
      <c r="S37" s="4"/>
      <c r="T37" s="4"/>
      <c r="U37" s="4"/>
    </row>
    <row r="38" spans="1:21">
      <c r="A38" t="s">
        <v>219</v>
      </c>
      <c r="B38">
        <v>2</v>
      </c>
      <c r="C38" t="str">
        <f t="shared" si="0"/>
        <v>test.Base64_2_</v>
      </c>
      <c r="D38">
        <v>3</v>
      </c>
      <c r="E38" s="4">
        <v>0.93548387096774188</v>
      </c>
      <c r="F38" s="4">
        <v>0.69471799462846906</v>
      </c>
      <c r="G38" s="4" t="str">
        <f t="shared" si="1"/>
        <v/>
      </c>
      <c r="H38" s="4" t="str">
        <f t="shared" si="2"/>
        <v/>
      </c>
      <c r="I38" s="4" t="str">
        <f t="shared" si="3"/>
        <v/>
      </c>
      <c r="J38" s="4">
        <f t="shared" si="4"/>
        <v>0.93548387096774188</v>
      </c>
      <c r="K38" s="4" t="str">
        <f t="shared" si="5"/>
        <v/>
      </c>
      <c r="L38" s="4" t="str">
        <f t="shared" si="6"/>
        <v/>
      </c>
      <c r="M38" s="4"/>
      <c r="N38" t="s">
        <v>640</v>
      </c>
      <c r="O38" s="4"/>
      <c r="P38" s="4"/>
      <c r="Q38" s="4"/>
      <c r="R38" s="4"/>
      <c r="S38" s="4"/>
      <c r="T38" s="4"/>
      <c r="U38" s="4"/>
    </row>
    <row r="39" spans="1:21">
      <c r="A39" t="s">
        <v>219</v>
      </c>
      <c r="B39">
        <v>2</v>
      </c>
      <c r="C39" t="str">
        <f t="shared" si="0"/>
        <v>test.Base64_2_</v>
      </c>
      <c r="D39">
        <v>4</v>
      </c>
      <c r="E39" s="4">
        <v>1</v>
      </c>
      <c r="F39" s="4">
        <v>0.9946284691136974</v>
      </c>
      <c r="G39" s="4" t="str">
        <f t="shared" si="1"/>
        <v/>
      </c>
      <c r="H39" s="4" t="str">
        <f t="shared" si="2"/>
        <v/>
      </c>
      <c r="I39" s="4" t="str">
        <f t="shared" si="3"/>
        <v/>
      </c>
      <c r="J39" s="4" t="str">
        <f t="shared" si="4"/>
        <v/>
      </c>
      <c r="K39" s="4">
        <f t="shared" si="5"/>
        <v>1</v>
      </c>
      <c r="L39" s="4" t="str">
        <f t="shared" si="6"/>
        <v/>
      </c>
      <c r="M39" s="4"/>
      <c r="N39" t="s">
        <v>641</v>
      </c>
      <c r="O39" s="4"/>
      <c r="P39" s="4"/>
      <c r="Q39" s="4"/>
      <c r="R39" s="4"/>
      <c r="S39" s="4"/>
      <c r="T39" s="4"/>
      <c r="U39" s="4"/>
    </row>
    <row r="40" spans="1:21">
      <c r="A40" t="s">
        <v>219</v>
      </c>
      <c r="B40">
        <v>4</v>
      </c>
      <c r="C40" t="str">
        <f t="shared" si="0"/>
        <v>test.Base64_4_</v>
      </c>
      <c r="D40">
        <v>1</v>
      </c>
      <c r="E40" s="4">
        <v>0.19354838709677419</v>
      </c>
      <c r="F40" s="4">
        <v>0.3224932249322493</v>
      </c>
      <c r="G40" s="4" t="str">
        <f t="shared" si="1"/>
        <v/>
      </c>
      <c r="H40" s="4">
        <f t="shared" si="2"/>
        <v>0.19354838709677419</v>
      </c>
      <c r="I40" s="4" t="str">
        <f t="shared" si="3"/>
        <v/>
      </c>
      <c r="J40" s="4" t="str">
        <f t="shared" si="4"/>
        <v/>
      </c>
      <c r="K40" s="4" t="str">
        <f t="shared" si="5"/>
        <v/>
      </c>
      <c r="L40" s="4" t="str">
        <f t="shared" si="6"/>
        <v/>
      </c>
      <c r="M40" s="4"/>
      <c r="N40" t="s">
        <v>642</v>
      </c>
      <c r="O40" s="4"/>
      <c r="P40" s="4"/>
      <c r="Q40" s="4"/>
      <c r="R40" s="4"/>
      <c r="S40" s="4"/>
      <c r="T40" s="4"/>
      <c r="U40" s="4"/>
    </row>
    <row r="41" spans="1:21">
      <c r="A41" t="s">
        <v>219</v>
      </c>
      <c r="B41">
        <v>4</v>
      </c>
      <c r="C41" t="str">
        <f t="shared" si="0"/>
        <v>test.Base64_4_</v>
      </c>
      <c r="D41">
        <v>2</v>
      </c>
      <c r="E41" s="4">
        <v>0.54838709677419351</v>
      </c>
      <c r="F41" s="4">
        <v>0.69105691056910568</v>
      </c>
      <c r="G41" s="4" t="str">
        <f t="shared" si="1"/>
        <v/>
      </c>
      <c r="H41" s="4" t="str">
        <f t="shared" si="2"/>
        <v/>
      </c>
      <c r="I41" s="4" t="str">
        <f t="shared" si="3"/>
        <v/>
      </c>
      <c r="J41" s="4">
        <f t="shared" si="4"/>
        <v>0.54838709677419351</v>
      </c>
      <c r="K41" s="4" t="str">
        <f t="shared" si="5"/>
        <v/>
      </c>
      <c r="L41" s="4" t="str">
        <f t="shared" si="6"/>
        <v/>
      </c>
      <c r="M41" s="4"/>
      <c r="N41" t="s">
        <v>643</v>
      </c>
      <c r="O41" s="4"/>
      <c r="P41" s="4"/>
      <c r="Q41" s="4"/>
      <c r="R41" s="4"/>
      <c r="S41" s="4"/>
      <c r="T41" s="4"/>
      <c r="U41" s="4"/>
    </row>
    <row r="42" spans="1:21">
      <c r="A42" t="s">
        <v>219</v>
      </c>
      <c r="B42">
        <v>4</v>
      </c>
      <c r="C42" t="str">
        <f t="shared" si="0"/>
        <v>test.Base64_4_</v>
      </c>
      <c r="D42">
        <v>3</v>
      </c>
      <c r="E42" s="4">
        <v>0.93548387096774188</v>
      </c>
      <c r="F42" s="4">
        <v>0.69557362240289067</v>
      </c>
      <c r="G42" s="4" t="str">
        <f t="shared" si="1"/>
        <v/>
      </c>
      <c r="H42" s="4" t="str">
        <f t="shared" si="2"/>
        <v/>
      </c>
      <c r="I42" s="4" t="str">
        <f t="shared" si="3"/>
        <v/>
      </c>
      <c r="J42" s="4">
        <f t="shared" si="4"/>
        <v>0.93548387096774188</v>
      </c>
      <c r="K42" s="4" t="str">
        <f t="shared" si="5"/>
        <v/>
      </c>
      <c r="L42" s="4" t="str">
        <f t="shared" si="6"/>
        <v/>
      </c>
      <c r="M42" s="4"/>
      <c r="N42" t="s">
        <v>644</v>
      </c>
      <c r="O42" s="4"/>
      <c r="P42" s="4"/>
      <c r="Q42" s="4"/>
      <c r="R42" s="4"/>
      <c r="S42" s="4"/>
      <c r="T42" s="4"/>
      <c r="U42" s="4"/>
    </row>
    <row r="43" spans="1:21">
      <c r="A43" t="s">
        <v>219</v>
      </c>
      <c r="B43">
        <v>4</v>
      </c>
      <c r="C43" t="str">
        <f t="shared" si="0"/>
        <v>test.Base64_4_</v>
      </c>
      <c r="D43">
        <v>4</v>
      </c>
      <c r="E43" s="4">
        <v>1</v>
      </c>
      <c r="F43" s="4">
        <v>1.0063233965672991</v>
      </c>
      <c r="G43" s="4" t="str">
        <f t="shared" si="1"/>
        <v/>
      </c>
      <c r="H43" s="4" t="str">
        <f t="shared" si="2"/>
        <v/>
      </c>
      <c r="I43" s="4" t="str">
        <f t="shared" si="3"/>
        <v/>
      </c>
      <c r="J43" s="4" t="str">
        <f t="shared" si="4"/>
        <v/>
      </c>
      <c r="K43" s="4">
        <f t="shared" si="5"/>
        <v>1</v>
      </c>
      <c r="L43" s="4" t="str">
        <f t="shared" si="6"/>
        <v/>
      </c>
      <c r="M43" s="4"/>
      <c r="N43" t="s">
        <v>645</v>
      </c>
      <c r="O43" s="4"/>
      <c r="P43" s="4"/>
      <c r="Q43" s="4"/>
      <c r="R43" s="4"/>
      <c r="S43" s="4"/>
      <c r="T43" s="4"/>
      <c r="U43" s="4"/>
    </row>
    <row r="44" spans="1:21">
      <c r="A44" t="s">
        <v>219</v>
      </c>
      <c r="B44">
        <v>13</v>
      </c>
      <c r="C44" t="str">
        <f t="shared" si="0"/>
        <v>test.Base64_13_</v>
      </c>
      <c r="D44">
        <v>1</v>
      </c>
      <c r="E44" s="4">
        <v>0.125</v>
      </c>
      <c r="F44" s="4">
        <v>0.28530259365994237</v>
      </c>
      <c r="G44" s="4" t="str">
        <f t="shared" si="1"/>
        <v/>
      </c>
      <c r="H44" s="4">
        <f t="shared" si="2"/>
        <v>0.125</v>
      </c>
      <c r="I44" s="4" t="str">
        <f t="shared" si="3"/>
        <v/>
      </c>
      <c r="J44" s="4" t="str">
        <f t="shared" si="4"/>
        <v/>
      </c>
      <c r="K44" s="4" t="str">
        <f t="shared" si="5"/>
        <v/>
      </c>
      <c r="L44" s="4" t="str">
        <f t="shared" si="6"/>
        <v/>
      </c>
      <c r="M44" s="4"/>
      <c r="N44" t="s">
        <v>646</v>
      </c>
      <c r="O44" s="4"/>
      <c r="P44" s="4"/>
      <c r="Q44" s="4"/>
      <c r="R44" s="4"/>
      <c r="S44" s="4"/>
      <c r="T44" s="4"/>
      <c r="U44" s="4"/>
    </row>
    <row r="45" spans="1:21">
      <c r="A45" t="s">
        <v>219</v>
      </c>
      <c r="B45">
        <v>13</v>
      </c>
      <c r="C45" t="str">
        <f t="shared" si="0"/>
        <v>test.Base64_13_</v>
      </c>
      <c r="D45">
        <v>2</v>
      </c>
      <c r="E45" s="4">
        <v>0.375</v>
      </c>
      <c r="F45" s="4">
        <v>0.53025936599423629</v>
      </c>
      <c r="G45" s="4" t="str">
        <f t="shared" si="1"/>
        <v/>
      </c>
      <c r="H45" s="4" t="str">
        <f t="shared" si="2"/>
        <v/>
      </c>
      <c r="I45" s="4">
        <f t="shared" si="3"/>
        <v>0.375</v>
      </c>
      <c r="J45" s="4" t="str">
        <f t="shared" si="4"/>
        <v/>
      </c>
      <c r="K45" s="4" t="str">
        <f t="shared" si="5"/>
        <v/>
      </c>
      <c r="L45" s="4" t="str">
        <f t="shared" si="6"/>
        <v/>
      </c>
      <c r="M45" s="4"/>
      <c r="N45" t="s">
        <v>647</v>
      </c>
      <c r="O45" s="4"/>
      <c r="P45" s="4"/>
      <c r="Q45" s="4"/>
      <c r="R45" s="4"/>
      <c r="S45" s="4"/>
      <c r="T45" s="4"/>
      <c r="U45" s="4"/>
    </row>
    <row r="46" spans="1:21">
      <c r="A46" t="s">
        <v>219</v>
      </c>
      <c r="B46">
        <v>13</v>
      </c>
      <c r="C46" t="str">
        <f t="shared" si="0"/>
        <v>test.Base64_13_</v>
      </c>
      <c r="D46">
        <v>3</v>
      </c>
      <c r="E46" s="4">
        <v>0.625</v>
      </c>
      <c r="F46" s="4">
        <v>0.7694524495677233</v>
      </c>
      <c r="G46" s="4" t="str">
        <f t="shared" si="1"/>
        <v/>
      </c>
      <c r="H46" s="4" t="str">
        <f t="shared" si="2"/>
        <v/>
      </c>
      <c r="I46" s="4" t="str">
        <f t="shared" si="3"/>
        <v/>
      </c>
      <c r="J46" s="4">
        <f t="shared" si="4"/>
        <v>0.625</v>
      </c>
      <c r="K46" s="4" t="str">
        <f t="shared" si="5"/>
        <v/>
      </c>
      <c r="L46" s="4" t="str">
        <f t="shared" si="6"/>
        <v/>
      </c>
      <c r="M46" s="4"/>
      <c r="N46" t="s">
        <v>648</v>
      </c>
      <c r="O46" s="4"/>
      <c r="P46" s="4"/>
      <c r="Q46" s="4"/>
      <c r="R46" s="4"/>
      <c r="S46" s="4"/>
      <c r="T46" s="4"/>
      <c r="U46" s="4"/>
    </row>
    <row r="47" spans="1:21">
      <c r="A47" t="s">
        <v>219</v>
      </c>
      <c r="B47">
        <v>13</v>
      </c>
      <c r="C47" t="str">
        <f t="shared" si="0"/>
        <v>test.Base64_13_</v>
      </c>
      <c r="D47">
        <v>4</v>
      </c>
      <c r="E47" s="4">
        <v>0.875</v>
      </c>
      <c r="F47" s="4">
        <v>1.0028818443804035</v>
      </c>
      <c r="G47" s="4" t="str">
        <f t="shared" si="1"/>
        <v/>
      </c>
      <c r="H47" s="4" t="str">
        <f t="shared" si="2"/>
        <v/>
      </c>
      <c r="I47" s="4" t="str">
        <f t="shared" si="3"/>
        <v/>
      </c>
      <c r="J47" s="4" t="str">
        <f t="shared" si="4"/>
        <v/>
      </c>
      <c r="K47" s="4">
        <f t="shared" si="5"/>
        <v>0.875</v>
      </c>
      <c r="L47" s="4" t="str">
        <f t="shared" si="6"/>
        <v/>
      </c>
      <c r="M47" s="4"/>
      <c r="N47" t="s">
        <v>649</v>
      </c>
      <c r="O47" s="4"/>
      <c r="P47" s="4"/>
      <c r="Q47" s="4"/>
      <c r="R47" s="4"/>
      <c r="S47" s="4"/>
      <c r="T47" s="4"/>
      <c r="U47" s="4"/>
    </row>
    <row r="48" spans="1:21">
      <c r="A48" t="s">
        <v>219</v>
      </c>
      <c r="B48">
        <v>13</v>
      </c>
      <c r="C48" t="str">
        <f t="shared" si="0"/>
        <v>test.Base64_13_</v>
      </c>
      <c r="D48">
        <v>5</v>
      </c>
      <c r="E48" s="4">
        <v>1</v>
      </c>
      <c r="F48" s="4">
        <v>1.0115273775216138</v>
      </c>
      <c r="G48" s="4" t="str">
        <f t="shared" si="1"/>
        <v/>
      </c>
      <c r="H48" s="4" t="str">
        <f t="shared" si="2"/>
        <v/>
      </c>
      <c r="I48" s="4" t="str">
        <f t="shared" si="3"/>
        <v/>
      </c>
      <c r="J48" s="4" t="str">
        <f t="shared" si="4"/>
        <v/>
      </c>
      <c r="K48" s="4">
        <f t="shared" si="5"/>
        <v>1</v>
      </c>
      <c r="L48" s="4" t="str">
        <f t="shared" si="6"/>
        <v/>
      </c>
      <c r="M48" s="4"/>
      <c r="N48" t="s">
        <v>650</v>
      </c>
      <c r="O48" s="4"/>
      <c r="P48" s="4"/>
      <c r="Q48" s="4"/>
      <c r="R48" s="4"/>
      <c r="S48" s="4"/>
      <c r="T48" s="4"/>
      <c r="U48" s="4"/>
    </row>
    <row r="49" spans="1:21">
      <c r="A49" t="s">
        <v>219</v>
      </c>
      <c r="B49">
        <v>16</v>
      </c>
      <c r="C49" t="str">
        <f t="shared" si="0"/>
        <v>test.Base64_16_</v>
      </c>
      <c r="D49">
        <v>1</v>
      </c>
      <c r="E49" s="4">
        <v>1.6393442622950821E-2</v>
      </c>
      <c r="F49" s="4">
        <v>1.0341726618705036E-2</v>
      </c>
      <c r="G49" s="4">
        <f t="shared" si="1"/>
        <v>1.6393442622950821E-2</v>
      </c>
      <c r="H49" s="4" t="str">
        <f t="shared" si="2"/>
        <v/>
      </c>
      <c r="I49" s="4" t="str">
        <f t="shared" si="3"/>
        <v/>
      </c>
      <c r="J49" s="4" t="str">
        <f t="shared" si="4"/>
        <v/>
      </c>
      <c r="K49" s="4" t="str">
        <f t="shared" si="5"/>
        <v/>
      </c>
      <c r="L49" s="4" t="str">
        <f t="shared" si="6"/>
        <v/>
      </c>
      <c r="M49" s="4"/>
      <c r="N49" t="s">
        <v>651</v>
      </c>
      <c r="O49" s="4"/>
      <c r="P49" s="4"/>
      <c r="Q49" s="4"/>
      <c r="R49" s="4"/>
      <c r="S49" s="4"/>
      <c r="T49" s="4"/>
      <c r="U49" s="4"/>
    </row>
    <row r="50" spans="1:21">
      <c r="A50" t="s">
        <v>219</v>
      </c>
      <c r="B50">
        <v>16</v>
      </c>
      <c r="C50" t="str">
        <f t="shared" si="0"/>
        <v>test.Base64_16_</v>
      </c>
      <c r="D50">
        <v>2</v>
      </c>
      <c r="E50" s="4">
        <v>3.2786885245901641E-2</v>
      </c>
      <c r="F50" s="4">
        <v>1.5107913669064749E-2</v>
      </c>
      <c r="G50" s="4">
        <f t="shared" si="1"/>
        <v>3.2786885245901641E-2</v>
      </c>
      <c r="H50" s="4" t="str">
        <f t="shared" si="2"/>
        <v/>
      </c>
      <c r="I50" s="4" t="str">
        <f t="shared" si="3"/>
        <v/>
      </c>
      <c r="J50" s="4" t="str">
        <f t="shared" si="4"/>
        <v/>
      </c>
      <c r="K50" s="4" t="str">
        <f t="shared" si="5"/>
        <v/>
      </c>
      <c r="L50" s="4" t="str">
        <f t="shared" si="6"/>
        <v/>
      </c>
      <c r="M50" s="4"/>
      <c r="N50" t="s">
        <v>653</v>
      </c>
      <c r="O50" s="4"/>
      <c r="P50" s="4"/>
      <c r="Q50" s="4"/>
      <c r="R50" s="4"/>
      <c r="S50" s="4"/>
      <c r="T50" s="4"/>
      <c r="U50" s="4"/>
    </row>
    <row r="51" spans="1:21">
      <c r="A51" t="s">
        <v>219</v>
      </c>
      <c r="B51">
        <v>16</v>
      </c>
      <c r="C51" t="str">
        <f t="shared" si="0"/>
        <v>test.Base64_16_</v>
      </c>
      <c r="D51">
        <v>3</v>
      </c>
      <c r="E51" s="4">
        <v>0.90710382513661203</v>
      </c>
      <c r="F51" s="4">
        <v>0.91677158273381298</v>
      </c>
      <c r="G51" s="4" t="str">
        <f t="shared" si="1"/>
        <v/>
      </c>
      <c r="H51" s="4" t="str">
        <f t="shared" si="2"/>
        <v/>
      </c>
      <c r="I51" s="4" t="str">
        <f t="shared" si="3"/>
        <v/>
      </c>
      <c r="J51" s="4" t="str">
        <f t="shared" si="4"/>
        <v/>
      </c>
      <c r="K51" s="4">
        <f t="shared" si="5"/>
        <v>0.90710382513661203</v>
      </c>
      <c r="L51" s="4" t="str">
        <f t="shared" si="6"/>
        <v/>
      </c>
      <c r="M51" s="4"/>
      <c r="N51" t="s">
        <v>654</v>
      </c>
      <c r="O51" s="4"/>
      <c r="P51" s="4"/>
      <c r="Q51" s="4"/>
      <c r="R51" s="4"/>
      <c r="S51" s="4"/>
      <c r="T51" s="4"/>
      <c r="U51" s="4"/>
    </row>
    <row r="52" spans="1:21">
      <c r="A52" t="s">
        <v>219</v>
      </c>
      <c r="B52">
        <v>16</v>
      </c>
      <c r="C52" t="str">
        <f t="shared" si="0"/>
        <v>test.Base64_16_</v>
      </c>
      <c r="D52">
        <v>4</v>
      </c>
      <c r="E52" s="4">
        <v>1</v>
      </c>
      <c r="F52" s="4">
        <v>1.0012140287769784</v>
      </c>
      <c r="G52" s="4" t="str">
        <f t="shared" si="1"/>
        <v/>
      </c>
      <c r="H52" s="4" t="str">
        <f t="shared" si="2"/>
        <v/>
      </c>
      <c r="I52" s="4" t="str">
        <f t="shared" si="3"/>
        <v/>
      </c>
      <c r="J52" s="4" t="str">
        <f t="shared" si="4"/>
        <v/>
      </c>
      <c r="K52" s="4">
        <f t="shared" si="5"/>
        <v>1</v>
      </c>
      <c r="L52" s="4" t="str">
        <f t="shared" si="6"/>
        <v/>
      </c>
      <c r="M52" s="4"/>
      <c r="N52" t="s">
        <v>696</v>
      </c>
      <c r="O52" s="4"/>
      <c r="P52" s="4"/>
      <c r="Q52" s="4"/>
      <c r="R52" s="4"/>
      <c r="S52" s="4"/>
      <c r="T52" s="4"/>
      <c r="U52" s="4"/>
    </row>
    <row r="53" spans="1:21">
      <c r="A53" t="s">
        <v>219</v>
      </c>
      <c r="B53">
        <v>18</v>
      </c>
      <c r="C53" t="str">
        <f t="shared" si="0"/>
        <v>test.Base64_18_</v>
      </c>
      <c r="D53">
        <v>1</v>
      </c>
      <c r="E53" s="4">
        <v>2.1276595744680851E-2</v>
      </c>
      <c r="F53" s="4">
        <v>1.5058305022495638E-2</v>
      </c>
      <c r="G53" s="4">
        <f t="shared" si="1"/>
        <v>2.1276595744680851E-2</v>
      </c>
      <c r="H53" s="4" t="str">
        <f t="shared" si="2"/>
        <v/>
      </c>
      <c r="I53" s="4" t="str">
        <f t="shared" si="3"/>
        <v/>
      </c>
      <c r="J53" s="4" t="str">
        <f t="shared" si="4"/>
        <v/>
      </c>
      <c r="K53" s="4" t="str">
        <f t="shared" si="5"/>
        <v/>
      </c>
      <c r="L53" s="4" t="str">
        <f t="shared" si="6"/>
        <v/>
      </c>
      <c r="M53" s="4"/>
      <c r="N53" t="s">
        <v>655</v>
      </c>
      <c r="O53" s="4"/>
      <c r="P53" s="4"/>
      <c r="Q53" s="4"/>
      <c r="R53" s="4"/>
      <c r="S53" s="4"/>
      <c r="T53" s="4"/>
      <c r="U53" s="4"/>
    </row>
    <row r="54" spans="1:21">
      <c r="A54" t="s">
        <v>219</v>
      </c>
      <c r="B54">
        <v>18</v>
      </c>
      <c r="C54" t="str">
        <f t="shared" si="0"/>
        <v>test.Base64_18_</v>
      </c>
      <c r="D54">
        <v>2</v>
      </c>
      <c r="E54" s="4">
        <v>4.2553191489361701E-2</v>
      </c>
      <c r="F54" s="4">
        <v>2.589293912404738E-2</v>
      </c>
      <c r="G54" s="4">
        <f t="shared" si="1"/>
        <v>4.2553191489361701E-2</v>
      </c>
      <c r="H54" s="4" t="str">
        <f t="shared" si="2"/>
        <v/>
      </c>
      <c r="I54" s="4" t="str">
        <f t="shared" si="3"/>
        <v/>
      </c>
      <c r="J54" s="4" t="str">
        <f t="shared" si="4"/>
        <v/>
      </c>
      <c r="K54" s="4" t="str">
        <f t="shared" si="5"/>
        <v/>
      </c>
      <c r="L54" s="4" t="str">
        <f t="shared" si="6"/>
        <v/>
      </c>
      <c r="M54" s="4"/>
      <c r="N54" t="s">
        <v>656</v>
      </c>
      <c r="O54" s="4"/>
      <c r="P54" s="4"/>
      <c r="Q54" s="4"/>
      <c r="R54" s="4"/>
      <c r="S54" s="4"/>
      <c r="T54" s="4"/>
      <c r="U54" s="4"/>
    </row>
    <row r="55" spans="1:21">
      <c r="A55" t="s">
        <v>219</v>
      </c>
      <c r="B55">
        <v>18</v>
      </c>
      <c r="C55" t="str">
        <f t="shared" si="0"/>
        <v>test.Base64_18_</v>
      </c>
      <c r="D55">
        <v>3</v>
      </c>
      <c r="E55" s="4">
        <v>0.12056737588652482</v>
      </c>
      <c r="F55" s="4">
        <v>6.2528693416582501E-2</v>
      </c>
      <c r="G55" s="4">
        <f t="shared" si="1"/>
        <v>0.12056737588652482</v>
      </c>
      <c r="H55" s="4" t="str">
        <f t="shared" si="2"/>
        <v/>
      </c>
      <c r="I55" s="4" t="str">
        <f t="shared" si="3"/>
        <v/>
      </c>
      <c r="J55" s="4" t="str">
        <f t="shared" si="4"/>
        <v/>
      </c>
      <c r="K55" s="4" t="str">
        <f t="shared" si="5"/>
        <v/>
      </c>
      <c r="L55" s="4" t="str">
        <f t="shared" si="6"/>
        <v/>
      </c>
      <c r="M55" s="4"/>
      <c r="N55" t="s">
        <v>657</v>
      </c>
      <c r="O55" s="4"/>
      <c r="P55" s="4"/>
      <c r="Q55" s="4"/>
      <c r="R55" s="4"/>
      <c r="S55" s="4"/>
      <c r="T55" s="4"/>
      <c r="U55" s="4"/>
    </row>
    <row r="56" spans="1:21">
      <c r="A56" t="s">
        <v>219</v>
      </c>
      <c r="B56">
        <v>18</v>
      </c>
      <c r="C56" t="str">
        <f t="shared" si="0"/>
        <v>test.Base64_18_</v>
      </c>
      <c r="D56">
        <v>4</v>
      </c>
      <c r="E56" s="4">
        <v>0.16312056737588654</v>
      </c>
      <c r="F56" s="4">
        <v>7.7678817372142134E-2</v>
      </c>
      <c r="G56" s="4">
        <f t="shared" si="1"/>
        <v>0.16312056737588654</v>
      </c>
      <c r="H56" s="4" t="str">
        <f t="shared" si="2"/>
        <v/>
      </c>
      <c r="I56" s="4" t="str">
        <f t="shared" si="3"/>
        <v/>
      </c>
      <c r="J56" s="4" t="str">
        <f t="shared" si="4"/>
        <v/>
      </c>
      <c r="K56" s="4" t="str">
        <f t="shared" si="5"/>
        <v/>
      </c>
      <c r="L56" s="4" t="str">
        <f t="shared" si="6"/>
        <v/>
      </c>
      <c r="M56" s="4"/>
      <c r="N56" t="s">
        <v>658</v>
      </c>
      <c r="O56" s="4"/>
      <c r="P56" s="4"/>
      <c r="Q56" s="4"/>
      <c r="R56" s="4"/>
      <c r="S56" s="4"/>
      <c r="T56" s="4"/>
      <c r="U56" s="4"/>
    </row>
    <row r="57" spans="1:21">
      <c r="A57" t="s">
        <v>219</v>
      </c>
      <c r="B57">
        <v>18</v>
      </c>
      <c r="C57" t="str">
        <f t="shared" si="0"/>
        <v>test.Base64_18_</v>
      </c>
      <c r="D57">
        <v>5</v>
      </c>
      <c r="E57" s="4">
        <v>0.24822695035460993</v>
      </c>
      <c r="F57" s="4">
        <v>0.10283720503167754</v>
      </c>
      <c r="G57" s="4">
        <f t="shared" si="1"/>
        <v>0.24822695035460993</v>
      </c>
      <c r="H57" s="4" t="str">
        <f t="shared" si="2"/>
        <v/>
      </c>
      <c r="I57" s="4" t="str">
        <f t="shared" si="3"/>
        <v/>
      </c>
      <c r="J57" s="4" t="str">
        <f t="shared" si="4"/>
        <v/>
      </c>
      <c r="K57" s="4" t="str">
        <f t="shared" si="5"/>
        <v/>
      </c>
      <c r="L57" s="4" t="str">
        <f t="shared" si="6"/>
        <v/>
      </c>
      <c r="M57" s="4"/>
      <c r="N57" t="s">
        <v>661</v>
      </c>
      <c r="O57" s="4"/>
      <c r="P57" s="4"/>
      <c r="Q57" s="4"/>
      <c r="R57" s="4"/>
      <c r="S57" s="4"/>
      <c r="T57" s="4"/>
      <c r="U57" s="4"/>
    </row>
    <row r="58" spans="1:21">
      <c r="A58" t="s">
        <v>219</v>
      </c>
      <c r="B58">
        <v>18</v>
      </c>
      <c r="C58" t="str">
        <f t="shared" si="0"/>
        <v>test.Base64_18_</v>
      </c>
      <c r="D58">
        <v>6</v>
      </c>
      <c r="E58" s="4">
        <v>0.26950354609929078</v>
      </c>
      <c r="F58" s="4">
        <v>0.11009090074373336</v>
      </c>
      <c r="G58" s="4">
        <f t="shared" si="1"/>
        <v>0.26950354609929078</v>
      </c>
      <c r="H58" s="4" t="str">
        <f t="shared" si="2"/>
        <v/>
      </c>
      <c r="I58" s="4" t="str">
        <f t="shared" si="3"/>
        <v/>
      </c>
      <c r="J58" s="4" t="str">
        <f t="shared" si="4"/>
        <v/>
      </c>
      <c r="K58" s="4" t="str">
        <f t="shared" si="5"/>
        <v/>
      </c>
      <c r="L58" s="4" t="str">
        <f t="shared" si="6"/>
        <v/>
      </c>
      <c r="M58" s="4"/>
      <c r="N58" t="s">
        <v>662</v>
      </c>
      <c r="O58" s="4"/>
      <c r="P58" s="4"/>
      <c r="Q58" s="4"/>
      <c r="R58" s="4"/>
      <c r="S58" s="4"/>
      <c r="T58" s="4"/>
      <c r="U58" s="4"/>
    </row>
    <row r="59" spans="1:21">
      <c r="A59" t="s">
        <v>219</v>
      </c>
      <c r="B59">
        <v>18</v>
      </c>
      <c r="C59" t="str">
        <f t="shared" si="0"/>
        <v>test.Base64_18_</v>
      </c>
      <c r="D59">
        <v>7</v>
      </c>
      <c r="E59" s="4">
        <v>0.29078014184397161</v>
      </c>
      <c r="F59" s="4">
        <v>0.11110090900743734</v>
      </c>
      <c r="G59" s="4">
        <f t="shared" si="1"/>
        <v>0.29078014184397161</v>
      </c>
      <c r="H59" s="4" t="str">
        <f t="shared" si="2"/>
        <v/>
      </c>
      <c r="I59" s="4" t="str">
        <f t="shared" si="3"/>
        <v/>
      </c>
      <c r="J59" s="4" t="str">
        <f t="shared" si="4"/>
        <v/>
      </c>
      <c r="K59" s="4" t="str">
        <f t="shared" si="5"/>
        <v/>
      </c>
      <c r="L59" s="4" t="str">
        <f t="shared" si="6"/>
        <v/>
      </c>
      <c r="M59" s="4"/>
      <c r="N59" t="s">
        <v>663</v>
      </c>
      <c r="O59" s="4"/>
      <c r="P59" s="4"/>
      <c r="Q59" s="4"/>
      <c r="R59" s="4"/>
      <c r="S59" s="4"/>
      <c r="T59" s="4"/>
      <c r="U59" s="4"/>
    </row>
    <row r="60" spans="1:21">
      <c r="A60" t="s">
        <v>219</v>
      </c>
      <c r="B60">
        <v>18</v>
      </c>
      <c r="C60" t="str">
        <f t="shared" si="0"/>
        <v>test.Base64_18_</v>
      </c>
      <c r="D60">
        <v>8</v>
      </c>
      <c r="E60" s="4">
        <v>0.31205673758865249</v>
      </c>
      <c r="F60" s="4">
        <v>0.11183546047194931</v>
      </c>
      <c r="G60" s="4">
        <f t="shared" si="1"/>
        <v>0.31205673758865249</v>
      </c>
      <c r="H60" s="4" t="str">
        <f t="shared" si="2"/>
        <v/>
      </c>
      <c r="I60" s="4" t="str">
        <f t="shared" si="3"/>
        <v/>
      </c>
      <c r="J60" s="4" t="str">
        <f t="shared" si="4"/>
        <v/>
      </c>
      <c r="K60" s="4" t="str">
        <f t="shared" si="5"/>
        <v/>
      </c>
      <c r="L60" s="4" t="str">
        <f t="shared" si="6"/>
        <v/>
      </c>
      <c r="M60" s="4"/>
      <c r="N60" t="s">
        <v>665</v>
      </c>
      <c r="O60" s="4"/>
      <c r="P60" s="4"/>
      <c r="Q60" s="4"/>
      <c r="R60" s="4"/>
      <c r="S60" s="4"/>
      <c r="T60" s="4"/>
      <c r="U60" s="4"/>
    </row>
    <row r="61" spans="1:21">
      <c r="A61" t="s">
        <v>219</v>
      </c>
      <c r="B61">
        <v>18</v>
      </c>
      <c r="C61" t="str">
        <f t="shared" si="0"/>
        <v>test.Base64_18_</v>
      </c>
      <c r="D61">
        <v>9</v>
      </c>
      <c r="E61" s="4">
        <v>0.33333333333333331</v>
      </c>
      <c r="F61" s="4">
        <v>0.11633458819208521</v>
      </c>
      <c r="G61" s="4">
        <f t="shared" si="1"/>
        <v>0.33333333333333331</v>
      </c>
      <c r="H61" s="4" t="str">
        <f t="shared" si="2"/>
        <v/>
      </c>
      <c r="I61" s="4" t="str">
        <f t="shared" si="3"/>
        <v/>
      </c>
      <c r="J61" s="4" t="str">
        <f t="shared" si="4"/>
        <v/>
      </c>
      <c r="K61" s="4" t="str">
        <f t="shared" si="5"/>
        <v/>
      </c>
      <c r="L61" s="4" t="str">
        <f t="shared" si="6"/>
        <v/>
      </c>
      <c r="M61" s="4"/>
      <c r="N61" t="s">
        <v>667</v>
      </c>
      <c r="O61" s="4"/>
      <c r="P61" s="4"/>
      <c r="Q61" s="4"/>
      <c r="R61" s="4"/>
      <c r="S61" s="4"/>
      <c r="T61" s="4"/>
      <c r="U61" s="4"/>
    </row>
    <row r="62" spans="1:21">
      <c r="A62" t="s">
        <v>219</v>
      </c>
      <c r="B62">
        <v>18</v>
      </c>
      <c r="C62" t="str">
        <f t="shared" si="0"/>
        <v>test.Base64_18_</v>
      </c>
      <c r="D62">
        <v>10</v>
      </c>
      <c r="E62" s="4">
        <v>0.33333333333333331</v>
      </c>
      <c r="F62" s="4">
        <v>0.1167936828574052</v>
      </c>
      <c r="G62" s="4">
        <f t="shared" si="1"/>
        <v>0.33333333333333331</v>
      </c>
      <c r="H62" s="4" t="str">
        <f t="shared" si="2"/>
        <v/>
      </c>
      <c r="I62" s="4" t="str">
        <f t="shared" si="3"/>
        <v/>
      </c>
      <c r="J62" s="4" t="str">
        <f t="shared" si="4"/>
        <v/>
      </c>
      <c r="K62" s="4" t="str">
        <f t="shared" si="5"/>
        <v/>
      </c>
      <c r="L62" s="4" t="str">
        <f t="shared" si="6"/>
        <v/>
      </c>
      <c r="M62" s="4"/>
      <c r="N62" t="s">
        <v>668</v>
      </c>
      <c r="O62" s="4"/>
      <c r="P62" s="4"/>
      <c r="Q62" s="4"/>
      <c r="R62" s="4"/>
      <c r="S62" s="4"/>
      <c r="T62" s="4"/>
      <c r="U62" s="4"/>
    </row>
    <row r="63" spans="1:21">
      <c r="A63" t="s">
        <v>219</v>
      </c>
      <c r="B63">
        <v>18</v>
      </c>
      <c r="C63" t="str">
        <f t="shared" si="0"/>
        <v>test.Base64_18_</v>
      </c>
      <c r="D63">
        <v>11</v>
      </c>
      <c r="E63" s="4">
        <v>0.33333333333333331</v>
      </c>
      <c r="F63" s="4">
        <v>0.11743641538885319</v>
      </c>
      <c r="G63" s="4">
        <f t="shared" si="1"/>
        <v>0.33333333333333331</v>
      </c>
      <c r="H63" s="4" t="str">
        <f t="shared" si="2"/>
        <v/>
      </c>
      <c r="I63" s="4" t="str">
        <f t="shared" si="3"/>
        <v/>
      </c>
      <c r="J63" s="4" t="str">
        <f t="shared" si="4"/>
        <v/>
      </c>
      <c r="K63" s="4" t="str">
        <f t="shared" si="5"/>
        <v/>
      </c>
      <c r="L63" s="4" t="str">
        <f t="shared" si="6"/>
        <v/>
      </c>
      <c r="M63" s="4"/>
      <c r="N63" t="s">
        <v>670</v>
      </c>
      <c r="O63" s="4"/>
      <c r="P63" s="4"/>
      <c r="Q63" s="4"/>
      <c r="R63" s="4"/>
      <c r="S63" s="4"/>
      <c r="T63" s="4"/>
      <c r="U63" s="4"/>
    </row>
    <row r="64" spans="1:21">
      <c r="A64" t="s">
        <v>219</v>
      </c>
      <c r="B64">
        <v>18</v>
      </c>
      <c r="C64" t="str">
        <f t="shared" si="0"/>
        <v>test.Base64_18_</v>
      </c>
      <c r="D64">
        <v>12</v>
      </c>
      <c r="E64" s="4">
        <v>0.36170212765957449</v>
      </c>
      <c r="F64" s="4">
        <v>0.11890551831787714</v>
      </c>
      <c r="G64" s="4">
        <f t="shared" si="1"/>
        <v>0.36170212765957449</v>
      </c>
      <c r="H64" s="4" t="str">
        <f t="shared" si="2"/>
        <v/>
      </c>
      <c r="I64" s="4" t="str">
        <f t="shared" si="3"/>
        <v/>
      </c>
      <c r="J64" s="4" t="str">
        <f t="shared" si="4"/>
        <v/>
      </c>
      <c r="K64" s="4" t="str">
        <f t="shared" si="5"/>
        <v/>
      </c>
      <c r="L64" s="4" t="str">
        <f t="shared" si="6"/>
        <v/>
      </c>
      <c r="M64" s="4"/>
      <c r="N64" t="s">
        <v>671</v>
      </c>
      <c r="O64" s="4"/>
      <c r="P64" s="4"/>
      <c r="Q64" s="4"/>
      <c r="R64" s="4"/>
      <c r="S64" s="4"/>
      <c r="T64" s="4"/>
      <c r="U64" s="4"/>
    </row>
    <row r="65" spans="1:21">
      <c r="A65" t="s">
        <v>219</v>
      </c>
      <c r="B65">
        <v>18</v>
      </c>
      <c r="C65" t="str">
        <f t="shared" si="0"/>
        <v>test.Base64_18_</v>
      </c>
      <c r="D65">
        <v>13</v>
      </c>
      <c r="E65" s="4">
        <v>0.36170212765957449</v>
      </c>
      <c r="F65" s="4">
        <v>0.12046644017996511</v>
      </c>
      <c r="G65" s="4">
        <f t="shared" si="1"/>
        <v>0.36170212765957449</v>
      </c>
      <c r="H65" s="4" t="str">
        <f t="shared" si="2"/>
        <v/>
      </c>
      <c r="I65" s="4" t="str">
        <f t="shared" si="3"/>
        <v/>
      </c>
      <c r="J65" s="4" t="str">
        <f t="shared" si="4"/>
        <v/>
      </c>
      <c r="K65" s="4" t="str">
        <f t="shared" si="5"/>
        <v/>
      </c>
      <c r="L65" s="4" t="str">
        <f t="shared" si="6"/>
        <v/>
      </c>
      <c r="M65" s="4"/>
      <c r="N65" t="s">
        <v>672</v>
      </c>
      <c r="O65" s="4"/>
      <c r="P65" s="4"/>
      <c r="Q65" s="4"/>
      <c r="R65" s="4"/>
      <c r="S65" s="4"/>
      <c r="T65" s="4"/>
      <c r="U65" s="4"/>
    </row>
    <row r="66" spans="1:21">
      <c r="A66" t="s">
        <v>219</v>
      </c>
      <c r="B66">
        <v>18</v>
      </c>
      <c r="C66" t="str">
        <f t="shared" si="0"/>
        <v>test.Base64_18_</v>
      </c>
      <c r="D66">
        <v>14</v>
      </c>
      <c r="E66" s="4">
        <v>0.36170212765957449</v>
      </c>
      <c r="F66" s="4">
        <v>0.1207418969791571</v>
      </c>
      <c r="G66" s="4">
        <f t="shared" si="1"/>
        <v>0.36170212765957449</v>
      </c>
      <c r="H66" s="4" t="str">
        <f t="shared" si="2"/>
        <v/>
      </c>
      <c r="I66" s="4" t="str">
        <f t="shared" si="3"/>
        <v/>
      </c>
      <c r="J66" s="4" t="str">
        <f t="shared" si="4"/>
        <v/>
      </c>
      <c r="K66" s="4" t="str">
        <f t="shared" si="5"/>
        <v/>
      </c>
      <c r="L66" s="4" t="str">
        <f t="shared" si="6"/>
        <v/>
      </c>
      <c r="M66" s="4"/>
      <c r="N66" t="s">
        <v>673</v>
      </c>
      <c r="O66" s="4"/>
      <c r="P66" s="4"/>
      <c r="Q66" s="4"/>
      <c r="R66" s="4"/>
      <c r="S66" s="4"/>
      <c r="T66" s="4"/>
      <c r="U66" s="4"/>
    </row>
    <row r="67" spans="1:21">
      <c r="A67" t="s">
        <v>219</v>
      </c>
      <c r="B67">
        <v>18</v>
      </c>
      <c r="C67" t="str">
        <f t="shared" ref="C67:C130" si="24">CONCATENATE(A67, "_",B67,"_")</f>
        <v>test.Base64_18_</v>
      </c>
      <c r="D67">
        <v>15</v>
      </c>
      <c r="E67" s="4">
        <v>0.36170212765957449</v>
      </c>
      <c r="F67" s="4">
        <v>0.12423101643558902</v>
      </c>
      <c r="G67" s="4">
        <f t="shared" ref="G67:G130" si="25">IF(F67 &lt;= 0.2,E67,"")</f>
        <v>0.36170212765957449</v>
      </c>
      <c r="H67" s="4" t="str">
        <f t="shared" ref="H67:H130" si="26">IF(AND($F67 &gt; 0.2,$F67 &lt;= 0.4),$E67,"")</f>
        <v/>
      </c>
      <c r="I67" s="4" t="str">
        <f t="shared" ref="I67:I130" si="27">IF(AND($F67 &gt; 0.4,$F67 &lt;= 0.6),$E67,"")</f>
        <v/>
      </c>
      <c r="J67" s="4" t="str">
        <f t="shared" ref="J67:J130" si="28">IF(AND($F67 &gt; 0.6,$F67 &lt;= 0.8),$E67,"")</f>
        <v/>
      </c>
      <c r="K67" s="4" t="str">
        <f t="shared" ref="K67:K130" si="29">IF(AND($F67 &gt; 0.8, $F67 &lt;=1.1),$E67,"")</f>
        <v/>
      </c>
      <c r="L67" s="4" t="str">
        <f t="shared" ref="L67:L130" si="30">IF(AND($F67 &gt; 1.1),$E67,"")</f>
        <v/>
      </c>
      <c r="M67" s="4"/>
      <c r="N67" t="s">
        <v>674</v>
      </c>
      <c r="O67" s="4"/>
      <c r="P67" s="4"/>
      <c r="Q67" s="4"/>
      <c r="R67" s="4"/>
      <c r="S67" s="4"/>
      <c r="T67" s="4"/>
      <c r="U67" s="4"/>
    </row>
    <row r="68" spans="1:21">
      <c r="A68" t="s">
        <v>219</v>
      </c>
      <c r="B68">
        <v>18</v>
      </c>
      <c r="C68" t="str">
        <f t="shared" si="24"/>
        <v>test.Base64_18_</v>
      </c>
      <c r="D68">
        <v>16</v>
      </c>
      <c r="E68" s="4">
        <v>0.36170212765957449</v>
      </c>
      <c r="F68" s="4">
        <v>0.12570011936461298</v>
      </c>
      <c r="G68" s="4">
        <f t="shared" si="25"/>
        <v>0.36170212765957449</v>
      </c>
      <c r="H68" s="4" t="str">
        <f t="shared" si="26"/>
        <v/>
      </c>
      <c r="I68" s="4" t="str">
        <f t="shared" si="27"/>
        <v/>
      </c>
      <c r="J68" s="4" t="str">
        <f t="shared" si="28"/>
        <v/>
      </c>
      <c r="K68" s="4" t="str">
        <f t="shared" si="29"/>
        <v/>
      </c>
      <c r="L68" s="4" t="str">
        <f t="shared" si="30"/>
        <v/>
      </c>
      <c r="M68" s="4"/>
      <c r="N68" t="s">
        <v>675</v>
      </c>
      <c r="O68" s="4"/>
      <c r="P68" s="4"/>
      <c r="Q68" s="4"/>
      <c r="R68" s="4"/>
      <c r="S68" s="4"/>
      <c r="T68" s="4"/>
      <c r="U68" s="4"/>
    </row>
    <row r="69" spans="1:21">
      <c r="A69" t="s">
        <v>219</v>
      </c>
      <c r="B69">
        <v>18</v>
      </c>
      <c r="C69" t="str">
        <f t="shared" si="24"/>
        <v>test.Base64_18_</v>
      </c>
      <c r="D69">
        <v>17</v>
      </c>
      <c r="E69" s="4">
        <v>0.36170212765957449</v>
      </c>
      <c r="F69" s="4">
        <v>0.12597557616380498</v>
      </c>
      <c r="G69" s="4">
        <f t="shared" si="25"/>
        <v>0.36170212765957449</v>
      </c>
      <c r="H69" s="4" t="str">
        <f t="shared" si="26"/>
        <v/>
      </c>
      <c r="I69" s="4" t="str">
        <f t="shared" si="27"/>
        <v/>
      </c>
      <c r="J69" s="4" t="str">
        <f t="shared" si="28"/>
        <v/>
      </c>
      <c r="K69" s="4" t="str">
        <f t="shared" si="29"/>
        <v/>
      </c>
      <c r="L69" s="4" t="str">
        <f t="shared" si="30"/>
        <v/>
      </c>
      <c r="M69" s="4"/>
      <c r="N69" t="s">
        <v>676</v>
      </c>
      <c r="O69" s="4"/>
      <c r="P69" s="4"/>
      <c r="Q69" s="4"/>
      <c r="R69" s="4"/>
      <c r="S69" s="4"/>
      <c r="T69" s="4"/>
      <c r="U69" s="4"/>
    </row>
    <row r="70" spans="1:21">
      <c r="A70" t="s">
        <v>219</v>
      </c>
      <c r="B70">
        <v>18</v>
      </c>
      <c r="C70" t="str">
        <f t="shared" si="24"/>
        <v>test.Base64_18_</v>
      </c>
      <c r="D70">
        <v>18</v>
      </c>
      <c r="E70" s="4">
        <v>0.36170212765957449</v>
      </c>
      <c r="F70" s="4">
        <v>0.13249472041134883</v>
      </c>
      <c r="G70" s="4">
        <f t="shared" si="25"/>
        <v>0.36170212765957449</v>
      </c>
      <c r="H70" s="4" t="str">
        <f t="shared" si="26"/>
        <v/>
      </c>
      <c r="I70" s="4" t="str">
        <f t="shared" si="27"/>
        <v/>
      </c>
      <c r="J70" s="4" t="str">
        <f t="shared" si="28"/>
        <v/>
      </c>
      <c r="K70" s="4" t="str">
        <f t="shared" si="29"/>
        <v/>
      </c>
      <c r="L70" s="4" t="str">
        <f t="shared" si="30"/>
        <v/>
      </c>
      <c r="M70" s="4"/>
      <c r="N70" t="s">
        <v>677</v>
      </c>
      <c r="O70" s="4"/>
      <c r="P70" s="4"/>
      <c r="Q70" s="4"/>
      <c r="R70" s="4"/>
      <c r="S70" s="4"/>
      <c r="T70" s="4"/>
      <c r="U70" s="4"/>
    </row>
    <row r="71" spans="1:21">
      <c r="A71" t="s">
        <v>219</v>
      </c>
      <c r="B71">
        <v>18</v>
      </c>
      <c r="C71" t="str">
        <f t="shared" si="24"/>
        <v>test.Base64_18_</v>
      </c>
      <c r="D71">
        <v>19</v>
      </c>
      <c r="E71" s="4">
        <v>0.46099290780141844</v>
      </c>
      <c r="F71" s="4">
        <v>0.16095858966118815</v>
      </c>
      <c r="G71" s="4">
        <f t="shared" si="25"/>
        <v>0.46099290780141844</v>
      </c>
      <c r="H71" s="4" t="str">
        <f t="shared" si="26"/>
        <v/>
      </c>
      <c r="I71" s="4" t="str">
        <f t="shared" si="27"/>
        <v/>
      </c>
      <c r="J71" s="4" t="str">
        <f t="shared" si="28"/>
        <v/>
      </c>
      <c r="K71" s="4" t="str">
        <f t="shared" si="29"/>
        <v/>
      </c>
      <c r="L71" s="4" t="str">
        <f t="shared" si="30"/>
        <v/>
      </c>
      <c r="M71" s="4"/>
      <c r="N71" s="4">
        <f>COUNTA(N13:N70)</f>
        <v>58</v>
      </c>
      <c r="O71" s="4"/>
      <c r="P71" s="4"/>
      <c r="Q71" s="4"/>
      <c r="R71" s="4"/>
      <c r="S71" s="4"/>
      <c r="T71" s="4"/>
      <c r="U71" s="4"/>
    </row>
    <row r="72" spans="1:21">
      <c r="A72" t="s">
        <v>219</v>
      </c>
      <c r="B72">
        <v>18</v>
      </c>
      <c r="C72" t="str">
        <f t="shared" si="24"/>
        <v>test.Base64_18_</v>
      </c>
      <c r="D72">
        <v>20</v>
      </c>
      <c r="E72" s="4">
        <v>0.5957446808510638</v>
      </c>
      <c r="F72" s="4">
        <v>0.1709668533651639</v>
      </c>
      <c r="G72" s="4">
        <f t="shared" si="25"/>
        <v>0.5957446808510638</v>
      </c>
      <c r="H72" s="4" t="str">
        <f t="shared" si="26"/>
        <v/>
      </c>
      <c r="I72" s="4" t="str">
        <f t="shared" si="27"/>
        <v/>
      </c>
      <c r="J72" s="4" t="str">
        <f t="shared" si="28"/>
        <v/>
      </c>
      <c r="K72" s="4" t="str">
        <f t="shared" si="29"/>
        <v/>
      </c>
      <c r="L72" s="4" t="str">
        <f t="shared" si="30"/>
        <v/>
      </c>
      <c r="M72" s="4"/>
      <c r="N72" s="4"/>
      <c r="O72" s="4"/>
      <c r="P72" s="4"/>
      <c r="Q72" s="4"/>
      <c r="R72" s="4"/>
      <c r="S72" s="4"/>
      <c r="T72" s="4"/>
      <c r="U72" s="4"/>
    </row>
    <row r="73" spans="1:21">
      <c r="A73" t="s">
        <v>219</v>
      </c>
      <c r="B73">
        <v>18</v>
      </c>
      <c r="C73" t="str">
        <f t="shared" si="24"/>
        <v>test.Base64_18_</v>
      </c>
      <c r="D73">
        <v>21</v>
      </c>
      <c r="E73" s="4">
        <v>0.5957446808510638</v>
      </c>
      <c r="F73" s="4">
        <v>0.17243595629418787</v>
      </c>
      <c r="G73" s="4">
        <f t="shared" si="25"/>
        <v>0.5957446808510638</v>
      </c>
      <c r="H73" s="4" t="str">
        <f t="shared" si="26"/>
        <v/>
      </c>
      <c r="I73" s="4" t="str">
        <f t="shared" si="27"/>
        <v/>
      </c>
      <c r="J73" s="4" t="str">
        <f t="shared" si="28"/>
        <v/>
      </c>
      <c r="K73" s="4" t="str">
        <f t="shared" si="29"/>
        <v/>
      </c>
      <c r="L73" s="4" t="str">
        <f t="shared" si="30"/>
        <v/>
      </c>
      <c r="M73" s="4"/>
      <c r="N73" s="4"/>
      <c r="O73" s="4"/>
      <c r="P73" s="4"/>
      <c r="Q73" s="4"/>
      <c r="R73" s="4"/>
      <c r="S73" s="4"/>
      <c r="T73" s="4"/>
      <c r="U73" s="4"/>
    </row>
    <row r="74" spans="1:21">
      <c r="A74" t="s">
        <v>219</v>
      </c>
      <c r="B74">
        <v>18</v>
      </c>
      <c r="C74" t="str">
        <f t="shared" si="24"/>
        <v>test.Base64_18_</v>
      </c>
      <c r="D74">
        <v>22</v>
      </c>
      <c r="E74" s="4">
        <v>0.63120567375886527</v>
      </c>
      <c r="F74" s="4">
        <v>0.18051602240381967</v>
      </c>
      <c r="G74" s="4">
        <f t="shared" si="25"/>
        <v>0.63120567375886527</v>
      </c>
      <c r="H74" s="4" t="str">
        <f t="shared" si="26"/>
        <v/>
      </c>
      <c r="I74" s="4" t="str">
        <f t="shared" si="27"/>
        <v/>
      </c>
      <c r="J74" s="4" t="str">
        <f t="shared" si="28"/>
        <v/>
      </c>
      <c r="K74" s="4" t="str">
        <f t="shared" si="29"/>
        <v/>
      </c>
      <c r="L74" s="4" t="str">
        <f t="shared" si="30"/>
        <v/>
      </c>
      <c r="M74" s="4"/>
      <c r="N74" s="4"/>
      <c r="O74" s="4"/>
      <c r="P74" s="4"/>
      <c r="Q74" s="4"/>
      <c r="R74" s="4"/>
      <c r="S74" s="4"/>
      <c r="T74" s="4"/>
      <c r="U74" s="4"/>
    </row>
    <row r="75" spans="1:21">
      <c r="A75" t="s">
        <v>219</v>
      </c>
      <c r="B75">
        <v>18</v>
      </c>
      <c r="C75" t="str">
        <f t="shared" si="24"/>
        <v>test.Base64_18_</v>
      </c>
      <c r="D75">
        <v>23</v>
      </c>
      <c r="E75" s="4">
        <v>0.72340425531914898</v>
      </c>
      <c r="F75" s="4">
        <v>0.18106693600220367</v>
      </c>
      <c r="G75" s="4">
        <f t="shared" si="25"/>
        <v>0.72340425531914898</v>
      </c>
      <c r="H75" s="4" t="str">
        <f t="shared" si="26"/>
        <v/>
      </c>
      <c r="I75" s="4" t="str">
        <f t="shared" si="27"/>
        <v/>
      </c>
      <c r="J75" s="4" t="str">
        <f t="shared" si="28"/>
        <v/>
      </c>
      <c r="K75" s="4" t="str">
        <f t="shared" si="29"/>
        <v/>
      </c>
      <c r="L75" s="4" t="str">
        <f t="shared" si="30"/>
        <v/>
      </c>
      <c r="M75" s="4"/>
      <c r="N75" s="4"/>
      <c r="O75" s="4"/>
      <c r="P75" s="4"/>
      <c r="Q75" s="4"/>
      <c r="R75" s="4"/>
      <c r="S75" s="4"/>
      <c r="T75" s="4"/>
      <c r="U75" s="4"/>
    </row>
    <row r="76" spans="1:21">
      <c r="A76" t="s">
        <v>219</v>
      </c>
      <c r="B76">
        <v>18</v>
      </c>
      <c r="C76" t="str">
        <f t="shared" si="24"/>
        <v>test.Base64_18_</v>
      </c>
      <c r="D76">
        <v>24</v>
      </c>
      <c r="E76" s="4">
        <v>0.72340425531914898</v>
      </c>
      <c r="F76" s="4">
        <v>0.18271967679735562</v>
      </c>
      <c r="G76" s="4">
        <f t="shared" si="25"/>
        <v>0.72340425531914898</v>
      </c>
      <c r="H76" s="4" t="str">
        <f t="shared" si="26"/>
        <v/>
      </c>
      <c r="I76" s="4" t="str">
        <f t="shared" si="27"/>
        <v/>
      </c>
      <c r="J76" s="4" t="str">
        <f t="shared" si="28"/>
        <v/>
      </c>
      <c r="K76" s="4" t="str">
        <f t="shared" si="29"/>
        <v/>
      </c>
      <c r="L76" s="4" t="str">
        <f t="shared" si="30"/>
        <v/>
      </c>
      <c r="M76" s="4"/>
      <c r="N76" s="4"/>
      <c r="O76" s="4"/>
      <c r="P76" s="4"/>
      <c r="Q76" s="4"/>
      <c r="R76" s="4"/>
      <c r="S76" s="4"/>
      <c r="T76" s="4"/>
      <c r="U76" s="4"/>
    </row>
    <row r="77" spans="1:21">
      <c r="A77" t="s">
        <v>219</v>
      </c>
      <c r="B77">
        <v>18</v>
      </c>
      <c r="C77" t="str">
        <f t="shared" si="24"/>
        <v>test.Base64_18_</v>
      </c>
      <c r="D77">
        <v>25</v>
      </c>
      <c r="E77" s="4">
        <v>0.72340425531914898</v>
      </c>
      <c r="F77" s="4">
        <v>0.18584152052153155</v>
      </c>
      <c r="G77" s="4">
        <f t="shared" si="25"/>
        <v>0.72340425531914898</v>
      </c>
      <c r="H77" s="4" t="str">
        <f t="shared" si="26"/>
        <v/>
      </c>
      <c r="I77" s="4" t="str">
        <f t="shared" si="27"/>
        <v/>
      </c>
      <c r="J77" s="4" t="str">
        <f t="shared" si="28"/>
        <v/>
      </c>
      <c r="K77" s="4" t="str">
        <f t="shared" si="29"/>
        <v/>
      </c>
      <c r="L77" s="4" t="str">
        <f t="shared" si="30"/>
        <v/>
      </c>
      <c r="M77" s="4"/>
      <c r="N77" s="4"/>
      <c r="O77" s="4"/>
      <c r="P77" s="4"/>
      <c r="Q77" s="4"/>
      <c r="R77" s="4"/>
      <c r="S77" s="4"/>
      <c r="T77" s="4"/>
      <c r="U77" s="4"/>
    </row>
    <row r="78" spans="1:21">
      <c r="A78" t="s">
        <v>219</v>
      </c>
      <c r="B78">
        <v>18</v>
      </c>
      <c r="C78" t="str">
        <f t="shared" si="24"/>
        <v>test.Base64_18_</v>
      </c>
      <c r="D78">
        <v>26</v>
      </c>
      <c r="E78" s="4">
        <v>0.75886524822695034</v>
      </c>
      <c r="F78" s="4">
        <v>0.19061610504085943</v>
      </c>
      <c r="G78" s="4">
        <f t="shared" si="25"/>
        <v>0.75886524822695034</v>
      </c>
      <c r="H78" s="4" t="str">
        <f t="shared" si="26"/>
        <v/>
      </c>
      <c r="I78" s="4" t="str">
        <f t="shared" si="27"/>
        <v/>
      </c>
      <c r="J78" s="4" t="str">
        <f t="shared" si="28"/>
        <v/>
      </c>
      <c r="K78" s="4" t="str">
        <f t="shared" si="29"/>
        <v/>
      </c>
      <c r="L78" s="4" t="str">
        <f t="shared" si="30"/>
        <v/>
      </c>
      <c r="M78" s="4"/>
      <c r="N78" s="4"/>
      <c r="O78" s="4"/>
      <c r="P78" s="4"/>
      <c r="Q78" s="4"/>
      <c r="R78" s="4"/>
      <c r="S78" s="4"/>
      <c r="T78" s="4"/>
      <c r="U78" s="4"/>
    </row>
    <row r="79" spans="1:21">
      <c r="A79" t="s">
        <v>219</v>
      </c>
      <c r="B79">
        <v>18</v>
      </c>
      <c r="C79" t="str">
        <f t="shared" si="24"/>
        <v>test.Base64_18_</v>
      </c>
      <c r="D79">
        <v>27</v>
      </c>
      <c r="E79" s="4">
        <v>0.75886524822695034</v>
      </c>
      <c r="F79" s="4">
        <v>0.19704343035533928</v>
      </c>
      <c r="G79" s="4">
        <f t="shared" si="25"/>
        <v>0.75886524822695034</v>
      </c>
      <c r="H79" s="4" t="str">
        <f t="shared" si="26"/>
        <v/>
      </c>
      <c r="I79" s="4" t="str">
        <f t="shared" si="27"/>
        <v/>
      </c>
      <c r="J79" s="4" t="str">
        <f t="shared" si="28"/>
        <v/>
      </c>
      <c r="K79" s="4" t="str">
        <f t="shared" si="29"/>
        <v/>
      </c>
      <c r="L79" s="4" t="str">
        <f t="shared" si="30"/>
        <v/>
      </c>
      <c r="M79" s="4"/>
      <c r="N79" s="4"/>
      <c r="O79" s="4"/>
      <c r="P79" s="4"/>
      <c r="Q79" s="4"/>
      <c r="R79" s="4"/>
      <c r="S79" s="4"/>
      <c r="T79" s="4"/>
      <c r="U79" s="4"/>
    </row>
    <row r="80" spans="1:21">
      <c r="A80" t="s">
        <v>219</v>
      </c>
      <c r="B80">
        <v>18</v>
      </c>
      <c r="C80" t="str">
        <f t="shared" si="24"/>
        <v>test.Base64_18_</v>
      </c>
      <c r="D80">
        <v>28</v>
      </c>
      <c r="E80" s="4">
        <v>0.75886524822695034</v>
      </c>
      <c r="F80" s="4">
        <v>0.19988981728032321</v>
      </c>
      <c r="G80" s="4">
        <f t="shared" si="25"/>
        <v>0.75886524822695034</v>
      </c>
      <c r="H80" s="4" t="str">
        <f t="shared" si="26"/>
        <v/>
      </c>
      <c r="I80" s="4" t="str">
        <f t="shared" si="27"/>
        <v/>
      </c>
      <c r="J80" s="4" t="str">
        <f t="shared" si="28"/>
        <v/>
      </c>
      <c r="K80" s="4" t="str">
        <f t="shared" si="29"/>
        <v/>
      </c>
      <c r="L80" s="4" t="str">
        <f t="shared" si="30"/>
        <v/>
      </c>
      <c r="M80" s="4"/>
      <c r="N80" s="4"/>
      <c r="O80" s="4"/>
      <c r="P80" s="4"/>
      <c r="Q80" s="4"/>
      <c r="R80" s="4"/>
      <c r="S80" s="4"/>
      <c r="T80" s="4"/>
      <c r="U80" s="4"/>
    </row>
    <row r="81" spans="1:21">
      <c r="A81" t="s">
        <v>219</v>
      </c>
      <c r="B81">
        <v>18</v>
      </c>
      <c r="C81" t="str">
        <f t="shared" si="24"/>
        <v>test.Base64_18_</v>
      </c>
      <c r="D81">
        <v>29</v>
      </c>
      <c r="E81" s="4">
        <v>0.75886524822695034</v>
      </c>
      <c r="F81" s="4">
        <v>0.20227710953998715</v>
      </c>
      <c r="G81" s="4" t="str">
        <f t="shared" si="25"/>
        <v/>
      </c>
      <c r="H81" s="4">
        <f t="shared" si="26"/>
        <v>0.75886524822695034</v>
      </c>
      <c r="I81" s="4" t="str">
        <f t="shared" si="27"/>
        <v/>
      </c>
      <c r="J81" s="4" t="str">
        <f t="shared" si="28"/>
        <v/>
      </c>
      <c r="K81" s="4" t="str">
        <f t="shared" si="29"/>
        <v/>
      </c>
      <c r="L81" s="4" t="str">
        <f t="shared" si="30"/>
        <v/>
      </c>
      <c r="M81" s="4"/>
      <c r="N81" s="4"/>
      <c r="O81" s="4"/>
      <c r="P81" s="4"/>
      <c r="Q81" s="4"/>
      <c r="R81" s="4"/>
      <c r="S81" s="4"/>
      <c r="T81" s="4"/>
      <c r="U81" s="4"/>
    </row>
    <row r="82" spans="1:21">
      <c r="A82" t="s">
        <v>219</v>
      </c>
      <c r="B82">
        <v>18</v>
      </c>
      <c r="C82" t="str">
        <f t="shared" si="24"/>
        <v>test.Base64_18_</v>
      </c>
      <c r="D82">
        <v>30</v>
      </c>
      <c r="E82" s="4">
        <v>0.75886524822695034</v>
      </c>
      <c r="F82" s="4">
        <v>0.21834542282618677</v>
      </c>
      <c r="G82" s="4" t="str">
        <f t="shared" si="25"/>
        <v/>
      </c>
      <c r="H82" s="4">
        <f t="shared" si="26"/>
        <v>0.75886524822695034</v>
      </c>
      <c r="I82" s="4" t="str">
        <f t="shared" si="27"/>
        <v/>
      </c>
      <c r="J82" s="4" t="str">
        <f t="shared" si="28"/>
        <v/>
      </c>
      <c r="K82" s="4" t="str">
        <f t="shared" si="29"/>
        <v/>
      </c>
      <c r="L82" s="4" t="str">
        <f t="shared" si="30"/>
        <v/>
      </c>
      <c r="M82" s="4"/>
      <c r="N82" s="4"/>
      <c r="O82" s="4"/>
      <c r="P82" s="4"/>
      <c r="Q82" s="4"/>
      <c r="R82" s="4"/>
      <c r="S82" s="4"/>
      <c r="T82" s="4"/>
      <c r="U82" s="4"/>
    </row>
    <row r="83" spans="1:21">
      <c r="A83" t="s">
        <v>219</v>
      </c>
      <c r="B83">
        <v>18</v>
      </c>
      <c r="C83" t="str">
        <f t="shared" si="24"/>
        <v>test.Base64_18_</v>
      </c>
      <c r="D83">
        <v>31</v>
      </c>
      <c r="E83" s="4">
        <v>0.75886524822695034</v>
      </c>
      <c r="F83" s="4">
        <v>0.34340280965935177</v>
      </c>
      <c r="G83" s="4" t="str">
        <f t="shared" si="25"/>
        <v/>
      </c>
      <c r="H83" s="4">
        <f t="shared" si="26"/>
        <v>0.75886524822695034</v>
      </c>
      <c r="I83" s="4" t="str">
        <f t="shared" si="27"/>
        <v/>
      </c>
      <c r="J83" s="4" t="str">
        <f t="shared" si="28"/>
        <v/>
      </c>
      <c r="K83" s="4" t="str">
        <f t="shared" si="29"/>
        <v/>
      </c>
      <c r="L83" s="4" t="str">
        <f t="shared" si="30"/>
        <v/>
      </c>
      <c r="M83" s="4"/>
      <c r="N83" s="4"/>
      <c r="O83" s="4"/>
      <c r="P83" s="4"/>
      <c r="Q83" s="4"/>
      <c r="R83" s="4"/>
      <c r="S83" s="4"/>
      <c r="T83" s="4"/>
      <c r="U83" s="4"/>
    </row>
    <row r="84" spans="1:21">
      <c r="A84" t="s">
        <v>219</v>
      </c>
      <c r="B84">
        <v>18</v>
      </c>
      <c r="C84" t="str">
        <f t="shared" si="24"/>
        <v>test.Base64_18_</v>
      </c>
      <c r="D84">
        <v>32</v>
      </c>
      <c r="E84" s="4">
        <v>0.75886524822695034</v>
      </c>
      <c r="F84" s="4">
        <v>0.34927922137544759</v>
      </c>
      <c r="G84" s="4" t="str">
        <f t="shared" si="25"/>
        <v/>
      </c>
      <c r="H84" s="4">
        <f t="shared" si="26"/>
        <v>0.75886524822695034</v>
      </c>
      <c r="I84" s="4" t="str">
        <f t="shared" si="27"/>
        <v/>
      </c>
      <c r="J84" s="4" t="str">
        <f t="shared" si="28"/>
        <v/>
      </c>
      <c r="K84" s="4" t="str">
        <f t="shared" si="29"/>
        <v/>
      </c>
      <c r="L84" s="4" t="str">
        <f t="shared" si="30"/>
        <v/>
      </c>
      <c r="M84" s="4"/>
      <c r="N84" s="4"/>
      <c r="O84" s="4"/>
      <c r="P84" s="4"/>
      <c r="Q84" s="4"/>
      <c r="R84" s="4"/>
      <c r="S84" s="4"/>
      <c r="T84" s="4"/>
      <c r="U84" s="4"/>
    </row>
    <row r="85" spans="1:21">
      <c r="A85" t="s">
        <v>219</v>
      </c>
      <c r="B85">
        <v>18</v>
      </c>
      <c r="C85" t="str">
        <f t="shared" si="24"/>
        <v>test.Base64_18_</v>
      </c>
      <c r="D85">
        <v>33</v>
      </c>
      <c r="E85" s="4">
        <v>0.75886524822695034</v>
      </c>
      <c r="F85" s="4">
        <v>0.35065650537140758</v>
      </c>
      <c r="G85" s="4" t="str">
        <f t="shared" si="25"/>
        <v/>
      </c>
      <c r="H85" s="4">
        <f t="shared" si="26"/>
        <v>0.75886524822695034</v>
      </c>
      <c r="I85" s="4" t="str">
        <f t="shared" si="27"/>
        <v/>
      </c>
      <c r="J85" s="4" t="str">
        <f t="shared" si="28"/>
        <v/>
      </c>
      <c r="K85" s="4" t="str">
        <f t="shared" si="29"/>
        <v/>
      </c>
      <c r="L85" s="4" t="str">
        <f t="shared" si="30"/>
        <v/>
      </c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t="s">
        <v>219</v>
      </c>
      <c r="B86">
        <v>18</v>
      </c>
      <c r="C86" t="str">
        <f t="shared" si="24"/>
        <v>test.Base64_18_</v>
      </c>
      <c r="D86">
        <v>34</v>
      </c>
      <c r="E86" s="4">
        <v>0.75886524822695034</v>
      </c>
      <c r="F86" s="4">
        <v>0.3589202093471674</v>
      </c>
      <c r="G86" s="4" t="str">
        <f t="shared" si="25"/>
        <v/>
      </c>
      <c r="H86" s="4">
        <f t="shared" si="26"/>
        <v>0.75886524822695034</v>
      </c>
      <c r="I86" s="4" t="str">
        <f t="shared" si="27"/>
        <v/>
      </c>
      <c r="J86" s="4" t="str">
        <f t="shared" si="28"/>
        <v/>
      </c>
      <c r="K86" s="4" t="str">
        <f t="shared" si="29"/>
        <v/>
      </c>
      <c r="L86" s="4" t="str">
        <f t="shared" si="30"/>
        <v/>
      </c>
      <c r="M86" s="4"/>
      <c r="N86" s="4"/>
      <c r="O86" s="4"/>
      <c r="P86" s="4"/>
      <c r="Q86" s="4"/>
      <c r="R86" s="4"/>
      <c r="S86" s="4"/>
      <c r="T86" s="4"/>
      <c r="U86" s="4"/>
    </row>
    <row r="87" spans="1:21">
      <c r="A87" t="s">
        <v>219</v>
      </c>
      <c r="B87">
        <v>18</v>
      </c>
      <c r="C87" t="str">
        <f t="shared" si="24"/>
        <v>test.Base64_18_</v>
      </c>
      <c r="D87">
        <v>35</v>
      </c>
      <c r="E87" s="4">
        <v>0.75886524822695034</v>
      </c>
      <c r="F87" s="4">
        <v>0.36709209438986318</v>
      </c>
      <c r="G87" s="4" t="str">
        <f t="shared" si="25"/>
        <v/>
      </c>
      <c r="H87" s="4">
        <f t="shared" si="26"/>
        <v>0.75886524822695034</v>
      </c>
      <c r="I87" s="4" t="str">
        <f t="shared" si="27"/>
        <v/>
      </c>
      <c r="J87" s="4" t="str">
        <f t="shared" si="28"/>
        <v/>
      </c>
      <c r="K87" s="4" t="str">
        <f t="shared" si="29"/>
        <v/>
      </c>
      <c r="L87" s="4" t="str">
        <f t="shared" si="30"/>
        <v/>
      </c>
      <c r="M87" s="4"/>
      <c r="N87" s="4"/>
      <c r="O87" s="4"/>
      <c r="P87" s="4"/>
      <c r="Q87" s="4"/>
      <c r="R87" s="4"/>
      <c r="S87" s="4"/>
      <c r="T87" s="4"/>
      <c r="U87" s="4"/>
    </row>
    <row r="88" spans="1:21">
      <c r="A88" t="s">
        <v>219</v>
      </c>
      <c r="B88">
        <v>18</v>
      </c>
      <c r="C88" t="str">
        <f t="shared" si="24"/>
        <v>test.Base64_18_</v>
      </c>
      <c r="D88">
        <v>36</v>
      </c>
      <c r="E88" s="4">
        <v>0.75886524822695034</v>
      </c>
      <c r="F88" s="4">
        <v>0.37379487650353505</v>
      </c>
      <c r="G88" s="4" t="str">
        <f t="shared" si="25"/>
        <v/>
      </c>
      <c r="H88" s="4">
        <f t="shared" si="26"/>
        <v>0.75886524822695034</v>
      </c>
      <c r="I88" s="4" t="str">
        <f t="shared" si="27"/>
        <v/>
      </c>
      <c r="J88" s="4" t="str">
        <f t="shared" si="28"/>
        <v/>
      </c>
      <c r="K88" s="4" t="str">
        <f t="shared" si="29"/>
        <v/>
      </c>
      <c r="L88" s="4" t="str">
        <f t="shared" si="30"/>
        <v/>
      </c>
      <c r="M88" s="4"/>
      <c r="N88" s="4"/>
      <c r="O88" s="4"/>
      <c r="P88" s="4"/>
      <c r="Q88" s="4"/>
      <c r="R88" s="4"/>
      <c r="S88" s="4"/>
      <c r="T88" s="4"/>
      <c r="U88" s="4"/>
    </row>
    <row r="89" spans="1:21">
      <c r="A89" t="s">
        <v>219</v>
      </c>
      <c r="B89">
        <v>18</v>
      </c>
      <c r="C89" t="str">
        <f t="shared" si="24"/>
        <v>test.Base64_18_</v>
      </c>
      <c r="D89">
        <v>37</v>
      </c>
      <c r="E89" s="4">
        <v>0.75886524822695034</v>
      </c>
      <c r="F89" s="4">
        <v>0.4960976953447801</v>
      </c>
      <c r="G89" s="4" t="str">
        <f t="shared" si="25"/>
        <v/>
      </c>
      <c r="H89" s="4" t="str">
        <f t="shared" si="26"/>
        <v/>
      </c>
      <c r="I89" s="4">
        <f t="shared" si="27"/>
        <v>0.75886524822695034</v>
      </c>
      <c r="J89" s="4" t="str">
        <f t="shared" si="28"/>
        <v/>
      </c>
      <c r="K89" s="4" t="str">
        <f t="shared" si="29"/>
        <v/>
      </c>
      <c r="L89" s="4" t="str">
        <f t="shared" si="30"/>
        <v/>
      </c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t="s">
        <v>219</v>
      </c>
      <c r="B90">
        <v>18</v>
      </c>
      <c r="C90" t="str">
        <f t="shared" si="24"/>
        <v>test.Base64_18_</v>
      </c>
      <c r="D90">
        <v>38</v>
      </c>
      <c r="E90" s="4">
        <v>0.75886524822695034</v>
      </c>
      <c r="F90" s="4">
        <v>0.51620604168579565</v>
      </c>
      <c r="G90" s="4" t="str">
        <f t="shared" si="25"/>
        <v/>
      </c>
      <c r="H90" s="4" t="str">
        <f t="shared" si="26"/>
        <v/>
      </c>
      <c r="I90" s="4">
        <f t="shared" si="27"/>
        <v>0.75886524822695034</v>
      </c>
      <c r="J90" s="4" t="str">
        <f t="shared" si="28"/>
        <v/>
      </c>
      <c r="K90" s="4" t="str">
        <f t="shared" si="29"/>
        <v/>
      </c>
      <c r="L90" s="4" t="str">
        <f t="shared" si="30"/>
        <v/>
      </c>
      <c r="M90" s="4"/>
      <c r="N90" s="4"/>
      <c r="O90" s="4"/>
      <c r="P90" s="4"/>
      <c r="Q90" s="4"/>
      <c r="R90" s="4"/>
      <c r="S90" s="4"/>
      <c r="T90" s="4"/>
      <c r="U90" s="4"/>
    </row>
    <row r="91" spans="1:21">
      <c r="A91" t="s">
        <v>219</v>
      </c>
      <c r="B91">
        <v>18</v>
      </c>
      <c r="C91" t="str">
        <f t="shared" si="24"/>
        <v>test.Base64_18_</v>
      </c>
      <c r="D91">
        <v>39</v>
      </c>
      <c r="E91" s="4">
        <v>0.75886524822695034</v>
      </c>
      <c r="F91" s="4">
        <v>0.53144798457441922</v>
      </c>
      <c r="G91" s="4" t="str">
        <f t="shared" si="25"/>
        <v/>
      </c>
      <c r="H91" s="4" t="str">
        <f t="shared" si="26"/>
        <v/>
      </c>
      <c r="I91" s="4">
        <f t="shared" si="27"/>
        <v>0.75886524822695034</v>
      </c>
      <c r="J91" s="4" t="str">
        <f t="shared" si="28"/>
        <v/>
      </c>
      <c r="K91" s="4" t="str">
        <f t="shared" si="29"/>
        <v/>
      </c>
      <c r="L91" s="4" t="str">
        <f t="shared" si="30"/>
        <v/>
      </c>
      <c r="M91" s="4"/>
      <c r="N91" s="4"/>
      <c r="O91" s="4"/>
      <c r="P91" s="4"/>
      <c r="Q91" s="4"/>
      <c r="R91" s="4"/>
      <c r="S91" s="4"/>
      <c r="T91" s="4"/>
      <c r="U91" s="4"/>
    </row>
    <row r="92" spans="1:21">
      <c r="A92" t="s">
        <v>219</v>
      </c>
      <c r="B92">
        <v>18</v>
      </c>
      <c r="C92" t="str">
        <f t="shared" si="24"/>
        <v>test.Base64_18_</v>
      </c>
      <c r="D92">
        <v>40</v>
      </c>
      <c r="E92" s="4">
        <v>1</v>
      </c>
      <c r="F92" s="4">
        <v>0.90707923973923421</v>
      </c>
      <c r="G92" s="4" t="str">
        <f t="shared" si="25"/>
        <v/>
      </c>
      <c r="H92" s="4" t="str">
        <f t="shared" si="26"/>
        <v/>
      </c>
      <c r="I92" s="4" t="str">
        <f t="shared" si="27"/>
        <v/>
      </c>
      <c r="J92" s="4" t="str">
        <f t="shared" si="28"/>
        <v/>
      </c>
      <c r="K92" s="4">
        <f t="shared" si="29"/>
        <v>1</v>
      </c>
      <c r="L92" s="4" t="str">
        <f t="shared" si="30"/>
        <v/>
      </c>
      <c r="M92" s="4"/>
      <c r="N92" s="4"/>
      <c r="O92" s="4"/>
      <c r="P92" s="4"/>
      <c r="Q92" s="4"/>
      <c r="R92" s="4"/>
      <c r="S92" s="4"/>
      <c r="T92" s="4"/>
      <c r="U92" s="4"/>
    </row>
    <row r="93" spans="1:21">
      <c r="A93" t="s">
        <v>219</v>
      </c>
      <c r="B93">
        <v>18</v>
      </c>
      <c r="C93" t="str">
        <f t="shared" si="24"/>
        <v>test.Base64_18_</v>
      </c>
      <c r="D93">
        <v>41</v>
      </c>
      <c r="E93" s="4">
        <v>1</v>
      </c>
      <c r="F93" s="4">
        <v>0.90955835093196213</v>
      </c>
      <c r="G93" s="4" t="str">
        <f t="shared" si="25"/>
        <v/>
      </c>
      <c r="H93" s="4" t="str">
        <f t="shared" si="26"/>
        <v/>
      </c>
      <c r="I93" s="4" t="str">
        <f t="shared" si="27"/>
        <v/>
      </c>
      <c r="J93" s="4" t="str">
        <f t="shared" si="28"/>
        <v/>
      </c>
      <c r="K93" s="4">
        <f t="shared" si="29"/>
        <v>1</v>
      </c>
      <c r="L93" s="4" t="str">
        <f t="shared" si="30"/>
        <v/>
      </c>
      <c r="M93" s="4"/>
      <c r="N93" s="4"/>
      <c r="O93" s="4"/>
      <c r="P93" s="4"/>
      <c r="Q93" s="4"/>
      <c r="R93" s="4"/>
      <c r="S93" s="4"/>
      <c r="T93" s="4"/>
      <c r="U93" s="4"/>
    </row>
    <row r="94" spans="1:21">
      <c r="A94" t="s">
        <v>219</v>
      </c>
      <c r="B94">
        <v>18</v>
      </c>
      <c r="C94" t="str">
        <f t="shared" si="24"/>
        <v>test.Base64_18_</v>
      </c>
      <c r="D94">
        <v>42</v>
      </c>
      <c r="E94" s="4">
        <v>1</v>
      </c>
      <c r="F94" s="4">
        <v>0.91304747038839407</v>
      </c>
      <c r="G94" s="4" t="str">
        <f t="shared" si="25"/>
        <v/>
      </c>
      <c r="H94" s="4" t="str">
        <f t="shared" si="26"/>
        <v/>
      </c>
      <c r="I94" s="4" t="str">
        <f t="shared" si="27"/>
        <v/>
      </c>
      <c r="J94" s="4" t="str">
        <f t="shared" si="28"/>
        <v/>
      </c>
      <c r="K94" s="4">
        <f t="shared" si="29"/>
        <v>1</v>
      </c>
      <c r="L94" s="4" t="str">
        <f t="shared" si="30"/>
        <v/>
      </c>
      <c r="M94" s="4"/>
      <c r="N94" s="4"/>
      <c r="O94" s="4"/>
      <c r="P94" s="4"/>
      <c r="Q94" s="4"/>
      <c r="R94" s="4"/>
      <c r="S94" s="4"/>
      <c r="T94" s="4"/>
      <c r="U94" s="4"/>
    </row>
    <row r="95" spans="1:21">
      <c r="A95" t="s">
        <v>219</v>
      </c>
      <c r="B95">
        <v>18</v>
      </c>
      <c r="C95" t="str">
        <f t="shared" si="24"/>
        <v>test.Base64_18_</v>
      </c>
      <c r="D95">
        <v>43</v>
      </c>
      <c r="E95" s="4">
        <v>1</v>
      </c>
      <c r="F95" s="4">
        <v>0.93802222018180148</v>
      </c>
      <c r="G95" s="4" t="str">
        <f t="shared" si="25"/>
        <v/>
      </c>
      <c r="H95" s="4" t="str">
        <f t="shared" si="26"/>
        <v/>
      </c>
      <c r="I95" s="4" t="str">
        <f t="shared" si="27"/>
        <v/>
      </c>
      <c r="J95" s="4" t="str">
        <f t="shared" si="28"/>
        <v/>
      </c>
      <c r="K95" s="4">
        <f t="shared" si="29"/>
        <v>1</v>
      </c>
      <c r="L95" s="4" t="str">
        <f t="shared" si="30"/>
        <v/>
      </c>
      <c r="M95" s="4"/>
      <c r="N95" s="4"/>
      <c r="O95" s="4"/>
      <c r="P95" s="4"/>
      <c r="Q95" s="4"/>
      <c r="R95" s="4"/>
      <c r="S95" s="4"/>
      <c r="T95" s="4"/>
      <c r="U95" s="4"/>
    </row>
    <row r="96" spans="1:21">
      <c r="A96" t="s">
        <v>219</v>
      </c>
      <c r="B96">
        <v>18</v>
      </c>
      <c r="C96" t="str">
        <f t="shared" si="24"/>
        <v>test.Base64_18_</v>
      </c>
      <c r="D96">
        <v>44</v>
      </c>
      <c r="E96" s="4">
        <v>1</v>
      </c>
      <c r="F96" s="4">
        <v>1.0893398218712698</v>
      </c>
      <c r="G96" s="4" t="str">
        <f t="shared" si="25"/>
        <v/>
      </c>
      <c r="H96" s="4" t="str">
        <f t="shared" si="26"/>
        <v/>
      </c>
      <c r="I96" s="4" t="str">
        <f t="shared" si="27"/>
        <v/>
      </c>
      <c r="J96" s="4" t="str">
        <f t="shared" si="28"/>
        <v/>
      </c>
      <c r="K96" s="4">
        <f t="shared" si="29"/>
        <v>1</v>
      </c>
      <c r="L96" s="4" t="str">
        <f t="shared" si="30"/>
        <v/>
      </c>
      <c r="M96" s="4"/>
      <c r="N96" s="4"/>
      <c r="O96" s="4"/>
      <c r="P96" s="4"/>
      <c r="Q96" s="4"/>
      <c r="R96" s="4"/>
      <c r="S96" s="4"/>
      <c r="T96" s="4"/>
      <c r="U96" s="4"/>
    </row>
    <row r="97" spans="1:21">
      <c r="A97" t="s">
        <v>219</v>
      </c>
      <c r="B97">
        <v>18</v>
      </c>
      <c r="C97" t="str">
        <f t="shared" si="24"/>
        <v>test.Base64_18_</v>
      </c>
      <c r="D97">
        <v>45</v>
      </c>
      <c r="E97" s="4">
        <v>1</v>
      </c>
      <c r="F97" s="4">
        <v>1.0961344229180057</v>
      </c>
      <c r="G97" s="4" t="str">
        <f t="shared" si="25"/>
        <v/>
      </c>
      <c r="H97" s="4" t="str">
        <f t="shared" si="26"/>
        <v/>
      </c>
      <c r="I97" s="4" t="str">
        <f t="shared" si="27"/>
        <v/>
      </c>
      <c r="J97" s="4" t="str">
        <f t="shared" si="28"/>
        <v/>
      </c>
      <c r="K97" s="4">
        <f t="shared" si="29"/>
        <v>1</v>
      </c>
      <c r="L97" s="4" t="str">
        <f t="shared" si="30"/>
        <v/>
      </c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t="s">
        <v>219</v>
      </c>
      <c r="B98">
        <v>18</v>
      </c>
      <c r="C98" t="str">
        <f t="shared" si="24"/>
        <v>test.Base64_18_</v>
      </c>
      <c r="D98">
        <v>46</v>
      </c>
      <c r="E98" s="4">
        <v>1</v>
      </c>
      <c r="F98" s="4">
        <v>1.2300982462583785</v>
      </c>
      <c r="G98" s="4" t="str">
        <f t="shared" si="25"/>
        <v/>
      </c>
      <c r="H98" s="4" t="str">
        <f t="shared" si="26"/>
        <v/>
      </c>
      <c r="I98" s="4" t="str">
        <f t="shared" si="27"/>
        <v/>
      </c>
      <c r="J98" s="4" t="str">
        <f t="shared" si="28"/>
        <v/>
      </c>
      <c r="K98" s="4" t="str">
        <f t="shared" si="29"/>
        <v/>
      </c>
      <c r="L98" s="4">
        <f t="shared" si="30"/>
        <v>1</v>
      </c>
      <c r="M98" s="4"/>
      <c r="N98" s="4"/>
      <c r="O98" s="4"/>
      <c r="P98" s="4"/>
      <c r="Q98" s="4"/>
      <c r="R98" s="4"/>
      <c r="S98" s="4"/>
      <c r="T98" s="4"/>
      <c r="U98" s="4"/>
    </row>
    <row r="99" spans="1:21">
      <c r="A99" t="s">
        <v>219</v>
      </c>
      <c r="B99">
        <v>19</v>
      </c>
      <c r="C99" t="str">
        <f t="shared" si="24"/>
        <v>test.Base64_19_</v>
      </c>
      <c r="D99">
        <v>1</v>
      </c>
      <c r="E99" s="4">
        <v>2.3622047244094488E-2</v>
      </c>
      <c r="F99" s="4">
        <v>1.5465544450289321E-2</v>
      </c>
      <c r="G99" s="4">
        <f t="shared" si="25"/>
        <v>2.3622047244094488E-2</v>
      </c>
      <c r="H99" s="4" t="str">
        <f t="shared" si="26"/>
        <v/>
      </c>
      <c r="I99" s="4" t="str">
        <f t="shared" si="27"/>
        <v/>
      </c>
      <c r="J99" s="4" t="str">
        <f t="shared" si="28"/>
        <v/>
      </c>
      <c r="K99" s="4" t="str">
        <f t="shared" si="29"/>
        <v/>
      </c>
      <c r="L99" s="4" t="str">
        <f t="shared" si="30"/>
        <v/>
      </c>
      <c r="M99" s="4"/>
      <c r="N99" s="4"/>
      <c r="O99" s="4"/>
      <c r="P99" s="4"/>
      <c r="Q99" s="4"/>
      <c r="R99" s="4"/>
      <c r="S99" s="4"/>
      <c r="T99" s="4"/>
      <c r="U99" s="4"/>
    </row>
    <row r="100" spans="1:21">
      <c r="A100" t="s">
        <v>219</v>
      </c>
      <c r="B100">
        <v>19</v>
      </c>
      <c r="C100" t="str">
        <f t="shared" si="24"/>
        <v>test.Base64_19_</v>
      </c>
      <c r="D100">
        <v>2</v>
      </c>
      <c r="E100" s="4">
        <v>4.7244094488188976E-2</v>
      </c>
      <c r="F100" s="4">
        <v>2.9352972119936874E-2</v>
      </c>
      <c r="G100" s="4">
        <f t="shared" si="25"/>
        <v>4.7244094488188976E-2</v>
      </c>
      <c r="H100" s="4" t="str">
        <f t="shared" si="26"/>
        <v/>
      </c>
      <c r="I100" s="4" t="str">
        <f t="shared" si="27"/>
        <v/>
      </c>
      <c r="J100" s="4" t="str">
        <f t="shared" si="28"/>
        <v/>
      </c>
      <c r="K100" s="4" t="str">
        <f t="shared" si="29"/>
        <v/>
      </c>
      <c r="L100" s="4" t="str">
        <f t="shared" si="30"/>
        <v/>
      </c>
      <c r="M100" s="4"/>
      <c r="N100" s="4"/>
      <c r="O100" s="4"/>
      <c r="P100" s="4"/>
      <c r="Q100" s="4"/>
      <c r="R100" s="4"/>
      <c r="S100" s="4"/>
      <c r="T100" s="4"/>
      <c r="U100" s="4"/>
    </row>
    <row r="101" spans="1:21">
      <c r="A101" t="s">
        <v>219</v>
      </c>
      <c r="B101">
        <v>19</v>
      </c>
      <c r="C101" t="str">
        <f t="shared" si="24"/>
        <v>test.Base64_19_</v>
      </c>
      <c r="D101">
        <v>3</v>
      </c>
      <c r="E101" s="4">
        <v>0.65354330708661412</v>
      </c>
      <c r="F101" s="4">
        <v>0.23166754339821147</v>
      </c>
      <c r="G101" s="4" t="str">
        <f t="shared" si="25"/>
        <v/>
      </c>
      <c r="H101" s="4">
        <f t="shared" si="26"/>
        <v>0.65354330708661412</v>
      </c>
      <c r="I101" s="4" t="str">
        <f t="shared" si="27"/>
        <v/>
      </c>
      <c r="J101" s="4" t="str">
        <f t="shared" si="28"/>
        <v/>
      </c>
      <c r="K101" s="4" t="str">
        <f t="shared" si="29"/>
        <v/>
      </c>
      <c r="L101" s="4" t="str">
        <f t="shared" si="30"/>
        <v/>
      </c>
      <c r="M101" s="4"/>
      <c r="N101" s="4"/>
      <c r="O101" s="4"/>
      <c r="P101" s="4"/>
      <c r="Q101" s="4"/>
      <c r="R101" s="4"/>
      <c r="S101" s="4"/>
      <c r="T101" s="4"/>
      <c r="U101" s="4"/>
    </row>
    <row r="102" spans="1:21">
      <c r="A102" t="s">
        <v>219</v>
      </c>
      <c r="B102">
        <v>19</v>
      </c>
      <c r="C102" t="str">
        <f t="shared" si="24"/>
        <v>test.Base64_19_</v>
      </c>
      <c r="D102">
        <v>4</v>
      </c>
      <c r="E102" s="4">
        <v>0.69291338582677164</v>
      </c>
      <c r="F102" s="4">
        <v>0.24934245134139926</v>
      </c>
      <c r="G102" s="4" t="str">
        <f t="shared" si="25"/>
        <v/>
      </c>
      <c r="H102" s="4">
        <f t="shared" si="26"/>
        <v>0.69291338582677164</v>
      </c>
      <c r="I102" s="4" t="str">
        <f t="shared" si="27"/>
        <v/>
      </c>
      <c r="J102" s="4" t="str">
        <f t="shared" si="28"/>
        <v/>
      </c>
      <c r="K102" s="4" t="str">
        <f t="shared" si="29"/>
        <v/>
      </c>
      <c r="L102" s="4" t="str">
        <f t="shared" si="30"/>
        <v/>
      </c>
      <c r="M102" s="4"/>
      <c r="N102" s="4"/>
      <c r="O102" s="4"/>
      <c r="P102" s="4"/>
      <c r="Q102" s="4"/>
      <c r="R102" s="4"/>
      <c r="S102" s="4"/>
      <c r="T102" s="4"/>
      <c r="U102" s="4"/>
    </row>
    <row r="103" spans="1:21">
      <c r="A103" t="s">
        <v>219</v>
      </c>
      <c r="B103">
        <v>19</v>
      </c>
      <c r="C103" t="str">
        <f t="shared" si="24"/>
        <v>test.Base64_19_</v>
      </c>
      <c r="D103">
        <v>5</v>
      </c>
      <c r="E103" s="4">
        <v>0.73228346456692917</v>
      </c>
      <c r="F103" s="4">
        <v>0.79368753287743288</v>
      </c>
      <c r="G103" s="4" t="str">
        <f t="shared" si="25"/>
        <v/>
      </c>
      <c r="H103" s="4" t="str">
        <f t="shared" si="26"/>
        <v/>
      </c>
      <c r="I103" s="4" t="str">
        <f t="shared" si="27"/>
        <v/>
      </c>
      <c r="J103" s="4">
        <f t="shared" si="28"/>
        <v>0.73228346456692917</v>
      </c>
      <c r="K103" s="4" t="str">
        <f t="shared" si="29"/>
        <v/>
      </c>
      <c r="L103" s="4" t="str">
        <f t="shared" si="30"/>
        <v/>
      </c>
      <c r="M103" s="4"/>
      <c r="N103" s="4"/>
      <c r="O103" s="4"/>
      <c r="P103" s="4"/>
      <c r="Q103" s="4"/>
      <c r="R103" s="4"/>
      <c r="S103" s="4"/>
      <c r="T103" s="4"/>
      <c r="U103" s="4"/>
    </row>
    <row r="104" spans="1:21">
      <c r="A104" t="s">
        <v>219</v>
      </c>
      <c r="B104">
        <v>19</v>
      </c>
      <c r="C104" t="str">
        <f t="shared" si="24"/>
        <v>test.Base64_19_</v>
      </c>
      <c r="D104">
        <v>6</v>
      </c>
      <c r="E104" s="4">
        <v>0.99212598425196852</v>
      </c>
      <c r="F104" s="4">
        <v>0.88511309836927932</v>
      </c>
      <c r="G104" s="4" t="str">
        <f t="shared" si="25"/>
        <v/>
      </c>
      <c r="H104" s="4" t="str">
        <f t="shared" si="26"/>
        <v/>
      </c>
      <c r="I104" s="4" t="str">
        <f t="shared" si="27"/>
        <v/>
      </c>
      <c r="J104" s="4" t="str">
        <f t="shared" si="28"/>
        <v/>
      </c>
      <c r="K104" s="4">
        <f t="shared" si="29"/>
        <v>0.99212598425196852</v>
      </c>
      <c r="L104" s="4" t="str">
        <f t="shared" si="30"/>
        <v/>
      </c>
      <c r="M104" s="4"/>
      <c r="N104" s="4"/>
      <c r="O104" s="4"/>
      <c r="P104" s="4"/>
      <c r="Q104" s="4"/>
      <c r="R104" s="4"/>
      <c r="S104" s="4"/>
      <c r="T104" s="4"/>
      <c r="U104" s="4"/>
    </row>
    <row r="105" spans="1:21">
      <c r="A105" t="s">
        <v>219</v>
      </c>
      <c r="B105">
        <v>19</v>
      </c>
      <c r="C105" t="str">
        <f t="shared" si="24"/>
        <v>test.Base64_19_</v>
      </c>
      <c r="D105">
        <v>7</v>
      </c>
      <c r="E105" s="4">
        <v>1</v>
      </c>
      <c r="F105" s="4">
        <v>0.90741714886901625</v>
      </c>
      <c r="G105" s="4" t="str">
        <f t="shared" si="25"/>
        <v/>
      </c>
      <c r="H105" s="4" t="str">
        <f t="shared" si="26"/>
        <v/>
      </c>
      <c r="I105" s="4" t="str">
        <f t="shared" si="27"/>
        <v/>
      </c>
      <c r="J105" s="4" t="str">
        <f t="shared" si="28"/>
        <v/>
      </c>
      <c r="K105" s="4">
        <f t="shared" si="29"/>
        <v>1</v>
      </c>
      <c r="L105" s="4" t="str">
        <f t="shared" si="30"/>
        <v/>
      </c>
      <c r="M105" s="4"/>
      <c r="N105" s="4"/>
      <c r="O105" s="4"/>
      <c r="P105" s="4"/>
      <c r="Q105" s="4"/>
      <c r="R105" s="4"/>
      <c r="S105" s="4"/>
      <c r="T105" s="4"/>
      <c r="U105" s="4"/>
    </row>
    <row r="106" spans="1:21">
      <c r="A106" t="s">
        <v>219</v>
      </c>
      <c r="B106">
        <v>19</v>
      </c>
      <c r="C106" t="str">
        <f t="shared" si="24"/>
        <v>test.Base64_19_</v>
      </c>
      <c r="D106">
        <v>8</v>
      </c>
      <c r="E106" s="4">
        <v>1</v>
      </c>
      <c r="F106" s="4">
        <v>0.91036296685954765</v>
      </c>
      <c r="G106" s="4" t="str">
        <f t="shared" si="25"/>
        <v/>
      </c>
      <c r="H106" s="4" t="str">
        <f t="shared" si="26"/>
        <v/>
      </c>
      <c r="I106" s="4" t="str">
        <f t="shared" si="27"/>
        <v/>
      </c>
      <c r="J106" s="4" t="str">
        <f t="shared" si="28"/>
        <v/>
      </c>
      <c r="K106" s="4">
        <f t="shared" si="29"/>
        <v>1</v>
      </c>
      <c r="L106" s="4" t="str">
        <f t="shared" si="30"/>
        <v/>
      </c>
      <c r="M106" s="4"/>
      <c r="N106" s="4"/>
      <c r="O106" s="4"/>
      <c r="P106" s="4"/>
      <c r="Q106" s="4"/>
      <c r="R106" s="4"/>
      <c r="S106" s="4"/>
      <c r="T106" s="4"/>
      <c r="U106" s="4"/>
    </row>
    <row r="107" spans="1:21">
      <c r="A107" t="s">
        <v>219</v>
      </c>
      <c r="B107">
        <v>19</v>
      </c>
      <c r="C107" t="str">
        <f t="shared" si="24"/>
        <v>test.Base64_19_</v>
      </c>
      <c r="D107">
        <v>9</v>
      </c>
      <c r="E107" s="4">
        <v>1</v>
      </c>
      <c r="F107" s="4">
        <v>0.91467648605996843</v>
      </c>
      <c r="G107" s="4" t="str">
        <f t="shared" si="25"/>
        <v/>
      </c>
      <c r="H107" s="4" t="str">
        <f t="shared" si="26"/>
        <v/>
      </c>
      <c r="I107" s="4" t="str">
        <f t="shared" si="27"/>
        <v/>
      </c>
      <c r="J107" s="4" t="str">
        <f t="shared" si="28"/>
        <v/>
      </c>
      <c r="K107" s="4">
        <f t="shared" si="29"/>
        <v>1</v>
      </c>
      <c r="L107" s="4" t="str">
        <f t="shared" si="30"/>
        <v/>
      </c>
      <c r="M107" s="4"/>
      <c r="N107" s="4"/>
      <c r="O107" s="4"/>
      <c r="P107" s="4"/>
      <c r="Q107" s="4"/>
      <c r="R107" s="4"/>
      <c r="S107" s="4"/>
      <c r="T107" s="4"/>
      <c r="U107" s="4"/>
    </row>
    <row r="108" spans="1:21">
      <c r="A108" t="s">
        <v>219</v>
      </c>
      <c r="B108">
        <v>19</v>
      </c>
      <c r="C108" t="str">
        <f t="shared" si="24"/>
        <v>test.Base64_19_</v>
      </c>
      <c r="D108">
        <v>10</v>
      </c>
      <c r="E108" s="4">
        <v>1</v>
      </c>
      <c r="F108" s="4">
        <v>0.92004208311415048</v>
      </c>
      <c r="G108" s="4" t="str">
        <f t="shared" si="25"/>
        <v/>
      </c>
      <c r="H108" s="4" t="str">
        <f t="shared" si="26"/>
        <v/>
      </c>
      <c r="I108" s="4" t="str">
        <f t="shared" si="27"/>
        <v/>
      </c>
      <c r="J108" s="4" t="str">
        <f t="shared" si="28"/>
        <v/>
      </c>
      <c r="K108" s="4">
        <f t="shared" si="29"/>
        <v>1</v>
      </c>
      <c r="L108" s="4" t="str">
        <f t="shared" si="30"/>
        <v/>
      </c>
      <c r="M108" s="4"/>
      <c r="N108" s="4"/>
      <c r="O108" s="4"/>
      <c r="P108" s="4"/>
      <c r="Q108" s="4"/>
      <c r="R108" s="4"/>
      <c r="S108" s="4"/>
      <c r="T108" s="4"/>
      <c r="U108" s="4"/>
    </row>
    <row r="109" spans="1:21">
      <c r="A109" t="s">
        <v>219</v>
      </c>
      <c r="B109">
        <v>19</v>
      </c>
      <c r="C109" t="str">
        <f t="shared" si="24"/>
        <v>test.Base64_19_</v>
      </c>
      <c r="D109">
        <v>11</v>
      </c>
      <c r="E109" s="4">
        <v>1</v>
      </c>
      <c r="F109" s="4">
        <v>0.92014729089952652</v>
      </c>
      <c r="G109" s="4" t="str">
        <f t="shared" si="25"/>
        <v/>
      </c>
      <c r="H109" s="4" t="str">
        <f t="shared" si="26"/>
        <v/>
      </c>
      <c r="I109" s="4" t="str">
        <f t="shared" si="27"/>
        <v/>
      </c>
      <c r="J109" s="4" t="str">
        <f t="shared" si="28"/>
        <v/>
      </c>
      <c r="K109" s="4">
        <f t="shared" si="29"/>
        <v>1</v>
      </c>
      <c r="L109" s="4" t="str">
        <f t="shared" si="30"/>
        <v/>
      </c>
      <c r="M109" s="4"/>
      <c r="N109" s="4"/>
      <c r="O109" s="4"/>
      <c r="P109" s="4"/>
      <c r="Q109" s="4"/>
      <c r="R109" s="4"/>
      <c r="S109" s="4"/>
      <c r="T109" s="4"/>
      <c r="U109" s="4"/>
    </row>
    <row r="110" spans="1:21">
      <c r="A110" t="s">
        <v>219</v>
      </c>
      <c r="B110">
        <v>19</v>
      </c>
      <c r="C110" t="str">
        <f t="shared" si="24"/>
        <v>test.Base64_19_</v>
      </c>
      <c r="D110">
        <v>12</v>
      </c>
      <c r="E110" s="4">
        <v>1</v>
      </c>
      <c r="F110" s="4">
        <v>0.92340873224618625</v>
      </c>
      <c r="G110" s="4" t="str">
        <f t="shared" si="25"/>
        <v/>
      </c>
      <c r="H110" s="4" t="str">
        <f t="shared" si="26"/>
        <v/>
      </c>
      <c r="I110" s="4" t="str">
        <f t="shared" si="27"/>
        <v/>
      </c>
      <c r="J110" s="4" t="str">
        <f t="shared" si="28"/>
        <v/>
      </c>
      <c r="K110" s="4">
        <f t="shared" si="29"/>
        <v>1</v>
      </c>
      <c r="L110" s="4" t="str">
        <f t="shared" si="30"/>
        <v/>
      </c>
      <c r="M110" s="4"/>
      <c r="N110" s="4"/>
      <c r="O110" s="4"/>
      <c r="P110" s="4"/>
      <c r="Q110" s="4"/>
      <c r="R110" s="4"/>
      <c r="S110" s="4"/>
      <c r="T110" s="4"/>
      <c r="U110" s="4"/>
    </row>
    <row r="111" spans="1:21">
      <c r="A111" t="s">
        <v>219</v>
      </c>
      <c r="B111">
        <v>19</v>
      </c>
      <c r="C111" t="str">
        <f t="shared" si="24"/>
        <v>test.Base64_19_</v>
      </c>
      <c r="D111">
        <v>13</v>
      </c>
      <c r="E111" s="4">
        <v>1</v>
      </c>
      <c r="F111" s="4">
        <v>0.92624934245134138</v>
      </c>
      <c r="G111" s="4" t="str">
        <f t="shared" si="25"/>
        <v/>
      </c>
      <c r="H111" s="4" t="str">
        <f t="shared" si="26"/>
        <v/>
      </c>
      <c r="I111" s="4" t="str">
        <f t="shared" si="27"/>
        <v/>
      </c>
      <c r="J111" s="4" t="str">
        <f t="shared" si="28"/>
        <v/>
      </c>
      <c r="K111" s="4">
        <f t="shared" si="29"/>
        <v>1</v>
      </c>
      <c r="L111" s="4" t="str">
        <f t="shared" si="30"/>
        <v/>
      </c>
      <c r="M111" s="4"/>
      <c r="N111" s="4"/>
      <c r="O111" s="4"/>
      <c r="P111" s="4"/>
      <c r="Q111" s="4"/>
      <c r="R111" s="4"/>
      <c r="S111" s="4"/>
      <c r="T111" s="4"/>
      <c r="U111" s="4"/>
    </row>
    <row r="112" spans="1:21">
      <c r="A112" t="s">
        <v>219</v>
      </c>
      <c r="B112">
        <v>19</v>
      </c>
      <c r="C112" t="str">
        <f t="shared" si="24"/>
        <v>test.Base64_19_</v>
      </c>
      <c r="D112">
        <v>14</v>
      </c>
      <c r="E112" s="4">
        <v>1</v>
      </c>
      <c r="F112" s="4">
        <v>0.92740662809047869</v>
      </c>
      <c r="G112" s="4" t="str">
        <f t="shared" si="25"/>
        <v/>
      </c>
      <c r="H112" s="4" t="str">
        <f t="shared" si="26"/>
        <v/>
      </c>
      <c r="I112" s="4" t="str">
        <f t="shared" si="27"/>
        <v/>
      </c>
      <c r="J112" s="4" t="str">
        <f t="shared" si="28"/>
        <v/>
      </c>
      <c r="K112" s="4">
        <f t="shared" si="29"/>
        <v>1</v>
      </c>
      <c r="L112" s="4" t="str">
        <f t="shared" si="30"/>
        <v/>
      </c>
      <c r="M112" s="4"/>
      <c r="N112" s="4"/>
      <c r="O112" s="4"/>
      <c r="P112" s="4"/>
      <c r="Q112" s="4"/>
      <c r="R112" s="4"/>
      <c r="S112" s="4"/>
      <c r="T112" s="4"/>
      <c r="U112" s="4"/>
    </row>
    <row r="113" spans="1:21">
      <c r="A113" t="s">
        <v>219</v>
      </c>
      <c r="B113">
        <v>19</v>
      </c>
      <c r="C113" t="str">
        <f t="shared" si="24"/>
        <v>test.Base64_19_</v>
      </c>
      <c r="D113">
        <v>15</v>
      </c>
      <c r="E113" s="4">
        <v>1</v>
      </c>
      <c r="F113" s="4">
        <v>0.92751183587585484</v>
      </c>
      <c r="G113" s="4" t="str">
        <f t="shared" si="25"/>
        <v/>
      </c>
      <c r="H113" s="4" t="str">
        <f t="shared" si="26"/>
        <v/>
      </c>
      <c r="I113" s="4" t="str">
        <f t="shared" si="27"/>
        <v/>
      </c>
      <c r="J113" s="4" t="str">
        <f t="shared" si="28"/>
        <v/>
      </c>
      <c r="K113" s="4">
        <f t="shared" si="29"/>
        <v>1</v>
      </c>
      <c r="L113" s="4" t="str">
        <f t="shared" si="30"/>
        <v/>
      </c>
      <c r="M113" s="4"/>
      <c r="N113" s="4"/>
      <c r="O113" s="4"/>
      <c r="P113" s="4"/>
      <c r="Q113" s="4"/>
      <c r="R113" s="4"/>
      <c r="S113" s="4"/>
      <c r="T113" s="4"/>
      <c r="U113" s="4"/>
    </row>
    <row r="114" spans="1:21">
      <c r="A114" t="s">
        <v>219</v>
      </c>
      <c r="B114">
        <v>19</v>
      </c>
      <c r="C114" t="str">
        <f t="shared" si="24"/>
        <v>test.Base64_19_</v>
      </c>
      <c r="D114">
        <v>16</v>
      </c>
      <c r="E114" s="4">
        <v>1</v>
      </c>
      <c r="F114" s="4">
        <v>0.93456075749605472</v>
      </c>
      <c r="G114" s="4" t="str">
        <f t="shared" si="25"/>
        <v/>
      </c>
      <c r="H114" s="4" t="str">
        <f t="shared" si="26"/>
        <v/>
      </c>
      <c r="I114" s="4" t="str">
        <f t="shared" si="27"/>
        <v/>
      </c>
      <c r="J114" s="4" t="str">
        <f t="shared" si="28"/>
        <v/>
      </c>
      <c r="K114" s="4">
        <f t="shared" si="29"/>
        <v>1</v>
      </c>
      <c r="L114" s="4" t="str">
        <f t="shared" si="30"/>
        <v/>
      </c>
      <c r="M114" s="4"/>
      <c r="N114" s="4"/>
      <c r="O114" s="4"/>
      <c r="P114" s="4"/>
      <c r="Q114" s="4"/>
      <c r="R114" s="4"/>
      <c r="S114" s="4"/>
      <c r="T114" s="4"/>
      <c r="U114" s="4"/>
    </row>
    <row r="115" spans="1:21">
      <c r="A115" t="s">
        <v>219</v>
      </c>
      <c r="B115">
        <v>19</v>
      </c>
      <c r="C115" t="str">
        <f t="shared" si="24"/>
        <v>test.Base64_19_</v>
      </c>
      <c r="D115">
        <v>17</v>
      </c>
      <c r="E115" s="4">
        <v>1</v>
      </c>
      <c r="F115" s="4">
        <v>0.94876380852183062</v>
      </c>
      <c r="G115" s="4" t="str">
        <f t="shared" si="25"/>
        <v/>
      </c>
      <c r="H115" s="4" t="str">
        <f t="shared" si="26"/>
        <v/>
      </c>
      <c r="I115" s="4" t="str">
        <f t="shared" si="27"/>
        <v/>
      </c>
      <c r="J115" s="4" t="str">
        <f t="shared" si="28"/>
        <v/>
      </c>
      <c r="K115" s="4">
        <f t="shared" si="29"/>
        <v>1</v>
      </c>
      <c r="L115" s="4" t="str">
        <f t="shared" si="30"/>
        <v/>
      </c>
      <c r="M115" s="4"/>
      <c r="N115" s="4"/>
      <c r="O115" s="4"/>
      <c r="P115" s="4"/>
      <c r="Q115" s="4"/>
      <c r="R115" s="4"/>
      <c r="S115" s="4"/>
      <c r="T115" s="4"/>
      <c r="U115" s="4"/>
    </row>
    <row r="116" spans="1:21">
      <c r="A116" t="s">
        <v>219</v>
      </c>
      <c r="B116">
        <v>19</v>
      </c>
      <c r="C116" t="str">
        <f t="shared" si="24"/>
        <v>test.Base64_19_</v>
      </c>
      <c r="D116">
        <v>18</v>
      </c>
      <c r="E116" s="4">
        <v>1</v>
      </c>
      <c r="F116" s="4">
        <v>0.94928984744871125</v>
      </c>
      <c r="G116" s="4" t="str">
        <f t="shared" si="25"/>
        <v/>
      </c>
      <c r="H116" s="4" t="str">
        <f t="shared" si="26"/>
        <v/>
      </c>
      <c r="I116" s="4" t="str">
        <f t="shared" si="27"/>
        <v/>
      </c>
      <c r="J116" s="4" t="str">
        <f t="shared" si="28"/>
        <v/>
      </c>
      <c r="K116" s="4">
        <f t="shared" si="29"/>
        <v>1</v>
      </c>
      <c r="L116" s="4" t="str">
        <f t="shared" si="30"/>
        <v/>
      </c>
      <c r="M116" s="4"/>
      <c r="N116" s="4"/>
      <c r="O116" s="4"/>
      <c r="P116" s="4"/>
      <c r="Q116" s="4"/>
      <c r="R116" s="4"/>
      <c r="S116" s="4"/>
      <c r="T116" s="4"/>
      <c r="U116" s="4"/>
    </row>
    <row r="117" spans="1:21">
      <c r="A117" t="s">
        <v>219</v>
      </c>
      <c r="B117">
        <v>19</v>
      </c>
      <c r="C117" t="str">
        <f t="shared" si="24"/>
        <v>test.Base64_19_</v>
      </c>
      <c r="D117">
        <v>19</v>
      </c>
      <c r="E117" s="4">
        <v>1</v>
      </c>
      <c r="F117" s="4">
        <v>1.0452393477117308</v>
      </c>
      <c r="G117" s="4" t="str">
        <f t="shared" si="25"/>
        <v/>
      </c>
      <c r="H117" s="4" t="str">
        <f t="shared" si="26"/>
        <v/>
      </c>
      <c r="I117" s="4" t="str">
        <f t="shared" si="27"/>
        <v/>
      </c>
      <c r="J117" s="4" t="str">
        <f t="shared" si="28"/>
        <v/>
      </c>
      <c r="K117" s="4">
        <f t="shared" si="29"/>
        <v>1</v>
      </c>
      <c r="L117" s="4" t="str">
        <f t="shared" si="30"/>
        <v/>
      </c>
      <c r="M117" s="4"/>
      <c r="N117" s="4"/>
      <c r="O117" s="4"/>
      <c r="P117" s="4"/>
      <c r="Q117" s="4"/>
      <c r="R117" s="4"/>
      <c r="S117" s="4"/>
      <c r="T117" s="4"/>
      <c r="U117" s="4"/>
    </row>
    <row r="118" spans="1:21">
      <c r="A118" t="s">
        <v>219</v>
      </c>
      <c r="B118">
        <v>19</v>
      </c>
      <c r="C118" t="str">
        <f t="shared" si="24"/>
        <v>test.Base64_19_</v>
      </c>
      <c r="D118">
        <v>20</v>
      </c>
      <c r="E118" s="4">
        <v>1</v>
      </c>
      <c r="F118" s="4">
        <v>1.1008942661756971</v>
      </c>
      <c r="G118" s="4" t="str">
        <f t="shared" si="25"/>
        <v/>
      </c>
      <c r="H118" s="4" t="str">
        <f t="shared" si="26"/>
        <v/>
      </c>
      <c r="I118" s="4" t="str">
        <f t="shared" si="27"/>
        <v/>
      </c>
      <c r="J118" s="4" t="str">
        <f t="shared" si="28"/>
        <v/>
      </c>
      <c r="K118" s="4" t="str">
        <f t="shared" si="29"/>
        <v/>
      </c>
      <c r="L118" s="4">
        <f t="shared" si="30"/>
        <v>1</v>
      </c>
      <c r="M118" s="4"/>
      <c r="N118" s="4"/>
      <c r="O118" s="4"/>
      <c r="P118" s="4"/>
      <c r="Q118" s="4"/>
      <c r="R118" s="4"/>
      <c r="S118" s="4"/>
      <c r="T118" s="4"/>
      <c r="U118" s="4"/>
    </row>
    <row r="119" spans="1:21">
      <c r="A119" t="s">
        <v>219</v>
      </c>
      <c r="B119">
        <v>19</v>
      </c>
      <c r="C119" t="str">
        <f t="shared" si="24"/>
        <v>test.Base64_19_</v>
      </c>
      <c r="D119">
        <v>21</v>
      </c>
      <c r="E119" s="4">
        <v>1</v>
      </c>
      <c r="F119" s="4">
        <v>1.1049973698053657</v>
      </c>
      <c r="G119" s="4" t="str">
        <f t="shared" si="25"/>
        <v/>
      </c>
      <c r="H119" s="4" t="str">
        <f t="shared" si="26"/>
        <v/>
      </c>
      <c r="I119" s="4" t="str">
        <f t="shared" si="27"/>
        <v/>
      </c>
      <c r="J119" s="4" t="str">
        <f t="shared" si="28"/>
        <v/>
      </c>
      <c r="K119" s="4" t="str">
        <f t="shared" si="29"/>
        <v/>
      </c>
      <c r="L119" s="4">
        <f t="shared" si="30"/>
        <v>1</v>
      </c>
      <c r="M119" s="4"/>
      <c r="N119" s="4"/>
      <c r="O119" s="4"/>
      <c r="P119" s="4"/>
      <c r="Q119" s="4"/>
      <c r="R119" s="4"/>
      <c r="S119" s="4"/>
      <c r="T119" s="4"/>
      <c r="U119" s="4"/>
    </row>
    <row r="120" spans="1:21">
      <c r="A120" t="s">
        <v>219</v>
      </c>
      <c r="B120">
        <v>19</v>
      </c>
      <c r="C120" t="str">
        <f t="shared" si="24"/>
        <v>test.Base64_19_</v>
      </c>
      <c r="D120">
        <v>22</v>
      </c>
      <c r="E120" s="4">
        <v>1</v>
      </c>
      <c r="F120" s="4">
        <v>1.10541820094687</v>
      </c>
      <c r="G120" s="4" t="str">
        <f t="shared" si="25"/>
        <v/>
      </c>
      <c r="H120" s="4" t="str">
        <f t="shared" si="26"/>
        <v/>
      </c>
      <c r="I120" s="4" t="str">
        <f t="shared" si="27"/>
        <v/>
      </c>
      <c r="J120" s="4" t="str">
        <f t="shared" si="28"/>
        <v/>
      </c>
      <c r="K120" s="4" t="str">
        <f t="shared" si="29"/>
        <v/>
      </c>
      <c r="L120" s="4">
        <f t="shared" si="30"/>
        <v>1</v>
      </c>
      <c r="M120" s="4"/>
      <c r="N120" s="4"/>
      <c r="O120" s="4"/>
      <c r="P120" s="4"/>
      <c r="Q120" s="4"/>
      <c r="R120" s="4"/>
      <c r="S120" s="4"/>
      <c r="T120" s="4"/>
      <c r="U120" s="4"/>
    </row>
    <row r="121" spans="1:21">
      <c r="A121" t="s">
        <v>219</v>
      </c>
      <c r="B121">
        <v>19</v>
      </c>
      <c r="C121" t="str">
        <f t="shared" si="24"/>
        <v>test.Base64_19_</v>
      </c>
      <c r="D121">
        <v>23</v>
      </c>
      <c r="E121" s="4">
        <v>1</v>
      </c>
      <c r="F121" s="4">
        <v>1.1068911099421357</v>
      </c>
      <c r="G121" s="4" t="str">
        <f t="shared" si="25"/>
        <v/>
      </c>
      <c r="H121" s="4" t="str">
        <f t="shared" si="26"/>
        <v/>
      </c>
      <c r="I121" s="4" t="str">
        <f t="shared" si="27"/>
        <v/>
      </c>
      <c r="J121" s="4" t="str">
        <f t="shared" si="28"/>
        <v/>
      </c>
      <c r="K121" s="4" t="str">
        <f t="shared" si="29"/>
        <v/>
      </c>
      <c r="L121" s="4">
        <f t="shared" si="30"/>
        <v>1</v>
      </c>
      <c r="M121" s="4"/>
      <c r="N121" s="4"/>
      <c r="O121" s="4"/>
      <c r="P121" s="4"/>
      <c r="Q121" s="4"/>
      <c r="R121" s="4"/>
      <c r="S121" s="4"/>
      <c r="T121" s="4"/>
      <c r="U121" s="4"/>
    </row>
    <row r="122" spans="1:21">
      <c r="A122" t="s">
        <v>219</v>
      </c>
      <c r="B122">
        <v>19</v>
      </c>
      <c r="C122" t="str">
        <f t="shared" si="24"/>
        <v>test.Base64_19_</v>
      </c>
      <c r="D122">
        <v>24</v>
      </c>
      <c r="E122" s="4">
        <v>1</v>
      </c>
      <c r="F122" s="4">
        <v>1.1129931614939506</v>
      </c>
      <c r="G122" s="4" t="str">
        <f t="shared" si="25"/>
        <v/>
      </c>
      <c r="H122" s="4" t="str">
        <f t="shared" si="26"/>
        <v/>
      </c>
      <c r="I122" s="4" t="str">
        <f t="shared" si="27"/>
        <v/>
      </c>
      <c r="J122" s="4" t="str">
        <f t="shared" si="28"/>
        <v/>
      </c>
      <c r="K122" s="4" t="str">
        <f t="shared" si="29"/>
        <v/>
      </c>
      <c r="L122" s="4">
        <f t="shared" si="30"/>
        <v>1</v>
      </c>
      <c r="M122" s="4"/>
      <c r="N122" s="4"/>
      <c r="O122" s="4"/>
      <c r="P122" s="4"/>
      <c r="Q122" s="4"/>
      <c r="R122" s="4"/>
      <c r="S122" s="4"/>
      <c r="T122" s="4"/>
      <c r="U122" s="4"/>
    </row>
    <row r="123" spans="1:21">
      <c r="A123" t="s">
        <v>219</v>
      </c>
      <c r="B123">
        <v>19</v>
      </c>
      <c r="C123" t="str">
        <f t="shared" si="24"/>
        <v>test.Base64_19_</v>
      </c>
      <c r="D123">
        <v>25</v>
      </c>
      <c r="E123" s="4">
        <v>1</v>
      </c>
      <c r="F123" s="4">
        <v>1.123198316675434</v>
      </c>
      <c r="G123" s="4" t="str">
        <f t="shared" si="25"/>
        <v/>
      </c>
      <c r="H123" s="4" t="str">
        <f t="shared" si="26"/>
        <v/>
      </c>
      <c r="I123" s="4" t="str">
        <f t="shared" si="27"/>
        <v/>
      </c>
      <c r="J123" s="4" t="str">
        <f t="shared" si="28"/>
        <v/>
      </c>
      <c r="K123" s="4" t="str">
        <f t="shared" si="29"/>
        <v/>
      </c>
      <c r="L123" s="4">
        <f t="shared" si="30"/>
        <v>1</v>
      </c>
      <c r="M123" s="4"/>
      <c r="N123" s="4"/>
      <c r="O123" s="4"/>
      <c r="P123" s="4"/>
      <c r="Q123" s="4"/>
      <c r="R123" s="4"/>
      <c r="S123" s="4"/>
      <c r="T123" s="4"/>
      <c r="U123" s="4"/>
    </row>
    <row r="124" spans="1:21">
      <c r="A124" t="s">
        <v>219</v>
      </c>
      <c r="B124">
        <v>19</v>
      </c>
      <c r="C124" t="str">
        <f t="shared" si="24"/>
        <v>test.Base64_19_</v>
      </c>
      <c r="D124">
        <v>26</v>
      </c>
      <c r="E124" s="4">
        <v>1</v>
      </c>
      <c r="F124" s="4">
        <v>1.1372961599158338</v>
      </c>
      <c r="G124" s="4" t="str">
        <f t="shared" si="25"/>
        <v/>
      </c>
      <c r="H124" s="4" t="str">
        <f t="shared" si="26"/>
        <v/>
      </c>
      <c r="I124" s="4" t="str">
        <f t="shared" si="27"/>
        <v/>
      </c>
      <c r="J124" s="4" t="str">
        <f t="shared" si="28"/>
        <v/>
      </c>
      <c r="K124" s="4" t="str">
        <f t="shared" si="29"/>
        <v/>
      </c>
      <c r="L124" s="4">
        <f t="shared" si="30"/>
        <v>1</v>
      </c>
      <c r="M124" s="4"/>
      <c r="N124" s="4"/>
      <c r="O124" s="4"/>
      <c r="P124" s="4"/>
      <c r="Q124" s="4"/>
      <c r="R124" s="4"/>
      <c r="S124" s="4"/>
      <c r="T124" s="4"/>
      <c r="U124" s="4"/>
    </row>
    <row r="125" spans="1:21">
      <c r="A125" t="s">
        <v>219</v>
      </c>
      <c r="B125">
        <v>19</v>
      </c>
      <c r="C125" t="str">
        <f t="shared" si="24"/>
        <v>test.Base64_19_</v>
      </c>
      <c r="D125">
        <v>27</v>
      </c>
      <c r="E125" s="4">
        <v>1</v>
      </c>
      <c r="F125" s="4">
        <v>1.1903208837453971</v>
      </c>
      <c r="G125" s="4" t="str">
        <f t="shared" si="25"/>
        <v/>
      </c>
      <c r="H125" s="4" t="str">
        <f t="shared" si="26"/>
        <v/>
      </c>
      <c r="I125" s="4" t="str">
        <f t="shared" si="27"/>
        <v/>
      </c>
      <c r="J125" s="4" t="str">
        <f t="shared" si="28"/>
        <v/>
      </c>
      <c r="K125" s="4" t="str">
        <f t="shared" si="29"/>
        <v/>
      </c>
      <c r="L125" s="4">
        <f t="shared" si="30"/>
        <v>1</v>
      </c>
      <c r="M125" s="4"/>
      <c r="N125" s="4"/>
      <c r="O125" s="4"/>
      <c r="P125" s="4"/>
      <c r="Q125" s="4"/>
      <c r="R125" s="4"/>
      <c r="S125" s="4"/>
      <c r="T125" s="4"/>
      <c r="U125" s="4"/>
    </row>
    <row r="126" spans="1:21">
      <c r="A126" t="s">
        <v>219</v>
      </c>
      <c r="B126">
        <v>19</v>
      </c>
      <c r="C126" t="str">
        <f t="shared" si="24"/>
        <v>test.Base64_19_</v>
      </c>
      <c r="D126">
        <v>28</v>
      </c>
      <c r="E126" s="4">
        <v>1</v>
      </c>
      <c r="F126" s="4">
        <v>1.2702788006312467</v>
      </c>
      <c r="G126" s="4" t="str">
        <f t="shared" si="25"/>
        <v/>
      </c>
      <c r="H126" s="4" t="str">
        <f t="shared" si="26"/>
        <v/>
      </c>
      <c r="I126" s="4" t="str">
        <f t="shared" si="27"/>
        <v/>
      </c>
      <c r="J126" s="4" t="str">
        <f t="shared" si="28"/>
        <v/>
      </c>
      <c r="K126" s="4" t="str">
        <f t="shared" si="29"/>
        <v/>
      </c>
      <c r="L126" s="4">
        <f t="shared" si="30"/>
        <v>1</v>
      </c>
      <c r="M126" s="4"/>
      <c r="N126" s="4"/>
      <c r="O126" s="4"/>
      <c r="P126" s="4"/>
      <c r="Q126" s="4"/>
      <c r="R126" s="4"/>
      <c r="S126" s="4"/>
      <c r="T126" s="4"/>
      <c r="U126" s="4"/>
    </row>
    <row r="127" spans="1:21">
      <c r="A127" t="s">
        <v>219</v>
      </c>
      <c r="B127">
        <v>20</v>
      </c>
      <c r="C127" t="str">
        <f t="shared" si="24"/>
        <v>test.Base64_20_</v>
      </c>
      <c r="D127">
        <v>1</v>
      </c>
      <c r="E127" s="4">
        <v>0.19801980198019803</v>
      </c>
      <c r="F127" s="4">
        <v>8.9820359281437126E-2</v>
      </c>
      <c r="G127" s="4">
        <f t="shared" si="25"/>
        <v>0.19801980198019803</v>
      </c>
      <c r="H127" s="4" t="str">
        <f t="shared" si="26"/>
        <v/>
      </c>
      <c r="I127" s="4" t="str">
        <f t="shared" si="27"/>
        <v/>
      </c>
      <c r="J127" s="4" t="str">
        <f t="shared" si="28"/>
        <v/>
      </c>
      <c r="K127" s="4" t="str">
        <f t="shared" si="29"/>
        <v/>
      </c>
      <c r="L127" s="4" t="str">
        <f t="shared" si="30"/>
        <v/>
      </c>
      <c r="M127" s="4"/>
      <c r="N127" s="4"/>
      <c r="O127" s="4"/>
      <c r="P127" s="4"/>
      <c r="Q127" s="4"/>
      <c r="R127" s="4"/>
      <c r="S127" s="4"/>
      <c r="T127" s="4"/>
      <c r="U127" s="4"/>
    </row>
    <row r="128" spans="1:21">
      <c r="A128" t="s">
        <v>219</v>
      </c>
      <c r="B128">
        <v>20</v>
      </c>
      <c r="C128" t="str">
        <f t="shared" si="24"/>
        <v>test.Base64_20_</v>
      </c>
      <c r="D128">
        <v>2</v>
      </c>
      <c r="E128" s="4">
        <v>0.22772277227722773</v>
      </c>
      <c r="F128" s="4">
        <v>0.10357663052273831</v>
      </c>
      <c r="G128" s="4">
        <f t="shared" si="25"/>
        <v>0.22772277227722773</v>
      </c>
      <c r="H128" s="4" t="str">
        <f t="shared" si="26"/>
        <v/>
      </c>
      <c r="I128" s="4" t="str">
        <f t="shared" si="27"/>
        <v/>
      </c>
      <c r="J128" s="4" t="str">
        <f t="shared" si="28"/>
        <v/>
      </c>
      <c r="K128" s="4" t="str">
        <f t="shared" si="29"/>
        <v/>
      </c>
      <c r="L128" s="4" t="str">
        <f t="shared" si="30"/>
        <v/>
      </c>
      <c r="M128" s="4"/>
      <c r="N128" s="4"/>
      <c r="O128" s="4"/>
      <c r="P128" s="4"/>
      <c r="Q128" s="4"/>
      <c r="R128" s="4"/>
      <c r="S128" s="4"/>
      <c r="T128" s="4"/>
      <c r="U128" s="4"/>
    </row>
    <row r="129" spans="1:21">
      <c r="A129" t="s">
        <v>219</v>
      </c>
      <c r="B129">
        <v>20</v>
      </c>
      <c r="C129" t="str">
        <f t="shared" si="24"/>
        <v>test.Base64_20_</v>
      </c>
      <c r="D129">
        <v>3</v>
      </c>
      <c r="E129" s="4">
        <v>0.25742574257425743</v>
      </c>
      <c r="F129" s="4">
        <v>0.10487133840427254</v>
      </c>
      <c r="G129" s="4">
        <f t="shared" si="25"/>
        <v>0.25742574257425743</v>
      </c>
      <c r="H129" s="4" t="str">
        <f t="shared" si="26"/>
        <v/>
      </c>
      <c r="I129" s="4" t="str">
        <f t="shared" si="27"/>
        <v/>
      </c>
      <c r="J129" s="4" t="str">
        <f t="shared" si="28"/>
        <v/>
      </c>
      <c r="K129" s="4" t="str">
        <f t="shared" si="29"/>
        <v/>
      </c>
      <c r="L129" s="4" t="str">
        <f t="shared" si="30"/>
        <v/>
      </c>
      <c r="M129" s="4"/>
      <c r="N129" s="4"/>
      <c r="O129" s="4"/>
      <c r="P129" s="4"/>
      <c r="Q129" s="4"/>
      <c r="R129" s="4"/>
      <c r="S129" s="4"/>
      <c r="T129" s="4"/>
      <c r="U129" s="4"/>
    </row>
    <row r="130" spans="1:21">
      <c r="A130" t="s">
        <v>219</v>
      </c>
      <c r="B130">
        <v>20</v>
      </c>
      <c r="C130" t="str">
        <f t="shared" si="24"/>
        <v>test.Base64_20_</v>
      </c>
      <c r="D130">
        <v>4</v>
      </c>
      <c r="E130" s="4">
        <v>0.28712871287128711</v>
      </c>
      <c r="F130" s="4">
        <v>0.10988833144521767</v>
      </c>
      <c r="G130" s="4">
        <f t="shared" si="25"/>
        <v>0.28712871287128711</v>
      </c>
      <c r="H130" s="4" t="str">
        <f t="shared" si="26"/>
        <v/>
      </c>
      <c r="I130" s="4" t="str">
        <f t="shared" si="27"/>
        <v/>
      </c>
      <c r="J130" s="4" t="str">
        <f t="shared" si="28"/>
        <v/>
      </c>
      <c r="K130" s="4" t="str">
        <f t="shared" si="29"/>
        <v/>
      </c>
      <c r="L130" s="4" t="str">
        <f t="shared" si="30"/>
        <v/>
      </c>
      <c r="M130" s="4"/>
      <c r="N130" s="4"/>
      <c r="O130" s="4"/>
      <c r="P130" s="4"/>
      <c r="Q130" s="4"/>
      <c r="R130" s="4"/>
      <c r="S130" s="4"/>
      <c r="T130" s="4"/>
      <c r="U130" s="4"/>
    </row>
    <row r="131" spans="1:21">
      <c r="A131" t="s">
        <v>219</v>
      </c>
      <c r="B131">
        <v>20</v>
      </c>
      <c r="C131" t="str">
        <f t="shared" ref="C131:C194" si="31">CONCATENATE(A131, "_",B131,"_")</f>
        <v>test.Base64_20_</v>
      </c>
      <c r="D131">
        <v>5</v>
      </c>
      <c r="E131" s="4">
        <v>0.44554455445544555</v>
      </c>
      <c r="F131" s="4">
        <v>0.11263958569347791</v>
      </c>
      <c r="G131" s="4">
        <f t="shared" ref="G131:G194" si="32">IF(F131 &lt;= 0.2,E131,"")</f>
        <v>0.44554455445544555</v>
      </c>
      <c r="H131" s="4" t="str">
        <f t="shared" ref="H131:H194" si="33">IF(AND($F131 &gt; 0.2,$F131 &lt;= 0.4),$E131,"")</f>
        <v/>
      </c>
      <c r="I131" s="4" t="str">
        <f t="shared" ref="I131:I194" si="34">IF(AND($F131 &gt; 0.4,$F131 &lt;= 0.6),$E131,"")</f>
        <v/>
      </c>
      <c r="J131" s="4" t="str">
        <f t="shared" ref="J131:J194" si="35">IF(AND($F131 &gt; 0.6,$F131 &lt;= 0.8),$E131,"")</f>
        <v/>
      </c>
      <c r="K131" s="4" t="str">
        <f t="shared" ref="K131:K194" si="36">IF(AND($F131 &gt; 0.8, $F131 &lt;=1.1),$E131,"")</f>
        <v/>
      </c>
      <c r="L131" s="4" t="str">
        <f t="shared" ref="L131:L194" si="37">IF(AND($F131 &gt; 1.1),$E131,"")</f>
        <v/>
      </c>
      <c r="M131" s="4"/>
      <c r="N131" s="4"/>
      <c r="O131" s="4"/>
      <c r="P131" s="4"/>
      <c r="Q131" s="4"/>
      <c r="R131" s="4"/>
      <c r="S131" s="4"/>
      <c r="T131" s="4"/>
      <c r="U131" s="4"/>
    </row>
    <row r="132" spans="1:21">
      <c r="A132" t="s">
        <v>219</v>
      </c>
      <c r="B132">
        <v>20</v>
      </c>
      <c r="C132" t="str">
        <f t="shared" si="31"/>
        <v>test.Base64_20_</v>
      </c>
      <c r="D132">
        <v>6</v>
      </c>
      <c r="E132" s="4">
        <v>0.44554455445544555</v>
      </c>
      <c r="F132" s="4">
        <v>0.11846577116038194</v>
      </c>
      <c r="G132" s="4">
        <f t="shared" si="32"/>
        <v>0.44554455445544555</v>
      </c>
      <c r="H132" s="4" t="str">
        <f t="shared" si="33"/>
        <v/>
      </c>
      <c r="I132" s="4" t="str">
        <f t="shared" si="34"/>
        <v/>
      </c>
      <c r="J132" s="4" t="str">
        <f t="shared" si="35"/>
        <v/>
      </c>
      <c r="K132" s="4" t="str">
        <f t="shared" si="36"/>
        <v/>
      </c>
      <c r="L132" s="4" t="str">
        <f t="shared" si="37"/>
        <v/>
      </c>
      <c r="M132" s="4"/>
      <c r="N132" s="4"/>
      <c r="O132" s="4"/>
      <c r="P132" s="4"/>
      <c r="Q132" s="4"/>
      <c r="R132" s="4"/>
      <c r="S132" s="4"/>
      <c r="T132" s="4"/>
      <c r="U132" s="4"/>
    </row>
    <row r="133" spans="1:21">
      <c r="A133" t="s">
        <v>219</v>
      </c>
      <c r="B133">
        <v>20</v>
      </c>
      <c r="C133" t="str">
        <f t="shared" si="31"/>
        <v>test.Base64_20_</v>
      </c>
      <c r="D133">
        <v>7</v>
      </c>
      <c r="E133" s="4">
        <v>0.52475247524752477</v>
      </c>
      <c r="F133" s="4">
        <v>0.1187894481307655</v>
      </c>
      <c r="G133" s="4">
        <f t="shared" si="32"/>
        <v>0.52475247524752477</v>
      </c>
      <c r="H133" s="4" t="str">
        <f t="shared" si="33"/>
        <v/>
      </c>
      <c r="I133" s="4" t="str">
        <f t="shared" si="34"/>
        <v/>
      </c>
      <c r="J133" s="4" t="str">
        <f t="shared" si="35"/>
        <v/>
      </c>
      <c r="K133" s="4" t="str">
        <f t="shared" si="36"/>
        <v/>
      </c>
      <c r="L133" s="4" t="str">
        <f t="shared" si="37"/>
        <v/>
      </c>
      <c r="M133" s="4"/>
      <c r="N133" s="4"/>
      <c r="O133" s="4"/>
      <c r="P133" s="4"/>
      <c r="Q133" s="4"/>
      <c r="R133" s="4"/>
      <c r="S133" s="4"/>
      <c r="T133" s="4"/>
      <c r="U133" s="4"/>
    </row>
    <row r="134" spans="1:21">
      <c r="A134" t="s">
        <v>219</v>
      </c>
      <c r="B134">
        <v>20</v>
      </c>
      <c r="C134" t="str">
        <f t="shared" si="31"/>
        <v>test.Base64_20_</v>
      </c>
      <c r="D134">
        <v>8</v>
      </c>
      <c r="E134" s="4">
        <v>0.52475247524752477</v>
      </c>
      <c r="F134" s="4">
        <v>0.12154070237902573</v>
      </c>
      <c r="G134" s="4">
        <f t="shared" si="32"/>
        <v>0.52475247524752477</v>
      </c>
      <c r="H134" s="4" t="str">
        <f t="shared" si="33"/>
        <v/>
      </c>
      <c r="I134" s="4" t="str">
        <f t="shared" si="34"/>
        <v/>
      </c>
      <c r="J134" s="4" t="str">
        <f t="shared" si="35"/>
        <v/>
      </c>
      <c r="K134" s="4" t="str">
        <f t="shared" si="36"/>
        <v/>
      </c>
      <c r="L134" s="4" t="str">
        <f t="shared" si="37"/>
        <v/>
      </c>
      <c r="M134" s="4"/>
      <c r="N134" s="4"/>
      <c r="O134" s="4"/>
      <c r="P134" s="4"/>
      <c r="Q134" s="4"/>
      <c r="R134" s="4"/>
      <c r="S134" s="4"/>
      <c r="T134" s="4"/>
      <c r="U134" s="4"/>
    </row>
    <row r="135" spans="1:21">
      <c r="A135" t="s">
        <v>219</v>
      </c>
      <c r="B135">
        <v>20</v>
      </c>
      <c r="C135" t="str">
        <f t="shared" si="31"/>
        <v>test.Base64_20_</v>
      </c>
      <c r="D135">
        <v>9</v>
      </c>
      <c r="E135" s="4">
        <v>0.52475247524752477</v>
      </c>
      <c r="F135" s="4">
        <v>0.12380644117171064</v>
      </c>
      <c r="G135" s="4">
        <f t="shared" si="32"/>
        <v>0.52475247524752477</v>
      </c>
      <c r="H135" s="4" t="str">
        <f t="shared" si="33"/>
        <v/>
      </c>
      <c r="I135" s="4" t="str">
        <f t="shared" si="34"/>
        <v/>
      </c>
      <c r="J135" s="4" t="str">
        <f t="shared" si="35"/>
        <v/>
      </c>
      <c r="K135" s="4" t="str">
        <f t="shared" si="36"/>
        <v/>
      </c>
      <c r="L135" s="4" t="str">
        <f t="shared" si="37"/>
        <v/>
      </c>
      <c r="M135" s="4"/>
      <c r="N135" s="4"/>
      <c r="O135" s="4"/>
      <c r="P135" s="4"/>
      <c r="Q135" s="4"/>
      <c r="R135" s="4"/>
      <c r="S135" s="4"/>
      <c r="T135" s="4"/>
      <c r="U135" s="4"/>
    </row>
    <row r="136" spans="1:21">
      <c r="A136" t="s">
        <v>219</v>
      </c>
      <c r="B136">
        <v>20</v>
      </c>
      <c r="C136" t="str">
        <f t="shared" si="31"/>
        <v>test.Base64_20_</v>
      </c>
      <c r="D136">
        <v>10</v>
      </c>
      <c r="E136" s="4">
        <v>0.52475247524752477</v>
      </c>
      <c r="F136" s="4">
        <v>0.13448778119436802</v>
      </c>
      <c r="G136" s="4">
        <f t="shared" si="32"/>
        <v>0.52475247524752477</v>
      </c>
      <c r="H136" s="4" t="str">
        <f t="shared" si="33"/>
        <v/>
      </c>
      <c r="I136" s="4" t="str">
        <f t="shared" si="34"/>
        <v/>
      </c>
      <c r="J136" s="4" t="str">
        <f t="shared" si="35"/>
        <v/>
      </c>
      <c r="K136" s="4" t="str">
        <f t="shared" si="36"/>
        <v/>
      </c>
      <c r="L136" s="4" t="str">
        <f t="shared" si="37"/>
        <v/>
      </c>
      <c r="M136" s="4"/>
      <c r="N136" s="4"/>
      <c r="O136" s="4"/>
      <c r="P136" s="4"/>
      <c r="Q136" s="4"/>
      <c r="R136" s="4"/>
      <c r="S136" s="4"/>
      <c r="T136" s="4"/>
      <c r="U136" s="4"/>
    </row>
    <row r="137" spans="1:21">
      <c r="A137" t="s">
        <v>219</v>
      </c>
      <c r="B137">
        <v>20</v>
      </c>
      <c r="C137" t="str">
        <f t="shared" si="31"/>
        <v>test.Base64_20_</v>
      </c>
      <c r="D137">
        <v>11</v>
      </c>
      <c r="E137" s="4">
        <v>0.52475247524752477</v>
      </c>
      <c r="F137" s="4">
        <v>0.1346496196795598</v>
      </c>
      <c r="G137" s="4">
        <f t="shared" si="32"/>
        <v>0.52475247524752477</v>
      </c>
      <c r="H137" s="4" t="str">
        <f t="shared" si="33"/>
        <v/>
      </c>
      <c r="I137" s="4" t="str">
        <f t="shared" si="34"/>
        <v/>
      </c>
      <c r="J137" s="4" t="str">
        <f t="shared" si="35"/>
        <v/>
      </c>
      <c r="K137" s="4" t="str">
        <f t="shared" si="36"/>
        <v/>
      </c>
      <c r="L137" s="4" t="str">
        <f t="shared" si="37"/>
        <v/>
      </c>
      <c r="M137" s="4"/>
      <c r="N137" s="4"/>
      <c r="O137" s="4"/>
      <c r="P137" s="4"/>
      <c r="Q137" s="4"/>
      <c r="R137" s="4"/>
      <c r="S137" s="4"/>
      <c r="T137" s="4"/>
      <c r="U137" s="4"/>
    </row>
    <row r="138" spans="1:21">
      <c r="A138" t="s">
        <v>219</v>
      </c>
      <c r="B138">
        <v>20</v>
      </c>
      <c r="C138" t="str">
        <f t="shared" si="31"/>
        <v>test.Base64_20_</v>
      </c>
      <c r="D138">
        <v>12</v>
      </c>
      <c r="E138" s="4">
        <v>0.52475247524752477</v>
      </c>
      <c r="F138" s="4">
        <v>0.13562065059071046</v>
      </c>
      <c r="G138" s="4">
        <f t="shared" si="32"/>
        <v>0.52475247524752477</v>
      </c>
      <c r="H138" s="4" t="str">
        <f t="shared" si="33"/>
        <v/>
      </c>
      <c r="I138" s="4" t="str">
        <f t="shared" si="34"/>
        <v/>
      </c>
      <c r="J138" s="4" t="str">
        <f t="shared" si="35"/>
        <v/>
      </c>
      <c r="K138" s="4" t="str">
        <f t="shared" si="36"/>
        <v/>
      </c>
      <c r="L138" s="4" t="str">
        <f t="shared" si="37"/>
        <v/>
      </c>
      <c r="M138" s="4"/>
      <c r="N138" s="4"/>
      <c r="O138" s="4"/>
      <c r="P138" s="4"/>
      <c r="Q138" s="4"/>
      <c r="R138" s="4"/>
      <c r="S138" s="4"/>
      <c r="T138" s="4"/>
      <c r="U138" s="4"/>
    </row>
    <row r="139" spans="1:21">
      <c r="A139" t="s">
        <v>219</v>
      </c>
      <c r="B139">
        <v>20</v>
      </c>
      <c r="C139" t="str">
        <f t="shared" si="31"/>
        <v>test.Base64_20_</v>
      </c>
      <c r="D139">
        <v>13</v>
      </c>
      <c r="E139" s="4">
        <v>0.52475247524752477</v>
      </c>
      <c r="F139" s="4">
        <v>0.13885742029454604</v>
      </c>
      <c r="G139" s="4">
        <f t="shared" si="32"/>
        <v>0.52475247524752477</v>
      </c>
      <c r="H139" s="4" t="str">
        <f t="shared" si="33"/>
        <v/>
      </c>
      <c r="I139" s="4" t="str">
        <f t="shared" si="34"/>
        <v/>
      </c>
      <c r="J139" s="4" t="str">
        <f t="shared" si="35"/>
        <v/>
      </c>
      <c r="K139" s="4" t="str">
        <f t="shared" si="36"/>
        <v/>
      </c>
      <c r="L139" s="4" t="str">
        <f t="shared" si="37"/>
        <v/>
      </c>
      <c r="M139" s="4"/>
      <c r="N139" s="4"/>
      <c r="O139" s="4"/>
      <c r="P139" s="4"/>
      <c r="Q139" s="4"/>
      <c r="R139" s="4"/>
      <c r="S139" s="4"/>
      <c r="T139" s="4"/>
      <c r="U139" s="4"/>
    </row>
    <row r="140" spans="1:21">
      <c r="A140" t="s">
        <v>219</v>
      </c>
      <c r="B140">
        <v>20</v>
      </c>
      <c r="C140" t="str">
        <f t="shared" si="31"/>
        <v>test.Base64_20_</v>
      </c>
      <c r="D140">
        <v>14</v>
      </c>
      <c r="E140" s="4">
        <v>0.70297029702970293</v>
      </c>
      <c r="F140" s="4">
        <v>0.14824405243566921</v>
      </c>
      <c r="G140" s="4">
        <f t="shared" si="32"/>
        <v>0.70297029702970293</v>
      </c>
      <c r="H140" s="4" t="str">
        <f t="shared" si="33"/>
        <v/>
      </c>
      <c r="I140" s="4" t="str">
        <f t="shared" si="34"/>
        <v/>
      </c>
      <c r="J140" s="4" t="str">
        <f t="shared" si="35"/>
        <v/>
      </c>
      <c r="K140" s="4" t="str">
        <f t="shared" si="36"/>
        <v/>
      </c>
      <c r="L140" s="4" t="str">
        <f t="shared" si="37"/>
        <v/>
      </c>
      <c r="M140" s="4"/>
      <c r="N140" s="4"/>
      <c r="O140" s="4"/>
      <c r="P140" s="4"/>
      <c r="Q140" s="4"/>
      <c r="R140" s="4"/>
      <c r="S140" s="4"/>
      <c r="T140" s="4"/>
      <c r="U140" s="4"/>
    </row>
    <row r="141" spans="1:21">
      <c r="A141" t="s">
        <v>219</v>
      </c>
      <c r="B141">
        <v>20</v>
      </c>
      <c r="C141" t="str">
        <f t="shared" si="31"/>
        <v>test.Base64_20_</v>
      </c>
      <c r="D141">
        <v>15</v>
      </c>
      <c r="E141" s="4">
        <v>0.70297029702970293</v>
      </c>
      <c r="F141" s="4">
        <v>0.15649781518044992</v>
      </c>
      <c r="G141" s="4">
        <f t="shared" si="32"/>
        <v>0.70297029702970293</v>
      </c>
      <c r="H141" s="4" t="str">
        <f t="shared" si="33"/>
        <v/>
      </c>
      <c r="I141" s="4" t="str">
        <f t="shared" si="34"/>
        <v/>
      </c>
      <c r="J141" s="4" t="str">
        <f t="shared" si="35"/>
        <v/>
      </c>
      <c r="K141" s="4" t="str">
        <f t="shared" si="36"/>
        <v/>
      </c>
      <c r="L141" s="4" t="str">
        <f t="shared" si="37"/>
        <v/>
      </c>
      <c r="M141" s="4"/>
      <c r="N141" s="4"/>
      <c r="O141" s="4"/>
      <c r="P141" s="4"/>
      <c r="Q141" s="4"/>
      <c r="R141" s="4"/>
      <c r="S141" s="4"/>
      <c r="T141" s="4"/>
      <c r="U141" s="4"/>
    </row>
    <row r="142" spans="1:21">
      <c r="A142" t="s">
        <v>219</v>
      </c>
      <c r="B142">
        <v>20</v>
      </c>
      <c r="C142" t="str">
        <f t="shared" si="31"/>
        <v>test.Base64_20_</v>
      </c>
      <c r="D142">
        <v>16</v>
      </c>
      <c r="E142" s="4">
        <v>0.70297029702970293</v>
      </c>
      <c r="F142" s="4">
        <v>0.15763068457679236</v>
      </c>
      <c r="G142" s="4">
        <f t="shared" si="32"/>
        <v>0.70297029702970293</v>
      </c>
      <c r="H142" s="4" t="str">
        <f t="shared" si="33"/>
        <v/>
      </c>
      <c r="I142" s="4" t="str">
        <f t="shared" si="34"/>
        <v/>
      </c>
      <c r="J142" s="4" t="str">
        <f t="shared" si="35"/>
        <v/>
      </c>
      <c r="K142" s="4" t="str">
        <f t="shared" si="36"/>
        <v/>
      </c>
      <c r="L142" s="4" t="str">
        <f t="shared" si="37"/>
        <v/>
      </c>
      <c r="M142" s="4"/>
      <c r="N142" s="4"/>
      <c r="O142" s="4"/>
      <c r="P142" s="4"/>
      <c r="Q142" s="4"/>
      <c r="R142" s="4"/>
      <c r="S142" s="4"/>
      <c r="T142" s="4"/>
      <c r="U142" s="4"/>
    </row>
    <row r="143" spans="1:21">
      <c r="A143" t="s">
        <v>219</v>
      </c>
      <c r="B143">
        <v>20</v>
      </c>
      <c r="C143" t="str">
        <f t="shared" si="31"/>
        <v>test.Base64_20_</v>
      </c>
      <c r="D143">
        <v>17</v>
      </c>
      <c r="E143" s="4">
        <v>0.70297029702970293</v>
      </c>
      <c r="F143" s="4">
        <v>0.16022010033986081</v>
      </c>
      <c r="G143" s="4">
        <f t="shared" si="32"/>
        <v>0.70297029702970293</v>
      </c>
      <c r="H143" s="4" t="str">
        <f t="shared" si="33"/>
        <v/>
      </c>
      <c r="I143" s="4" t="str">
        <f t="shared" si="34"/>
        <v/>
      </c>
      <c r="J143" s="4" t="str">
        <f t="shared" si="35"/>
        <v/>
      </c>
      <c r="K143" s="4" t="str">
        <f t="shared" si="36"/>
        <v/>
      </c>
      <c r="L143" s="4" t="str">
        <f t="shared" si="37"/>
        <v/>
      </c>
      <c r="M143" s="4"/>
      <c r="N143" s="4"/>
      <c r="O143" s="4"/>
      <c r="P143" s="4"/>
      <c r="Q143" s="4"/>
      <c r="R143" s="4"/>
      <c r="S143" s="4"/>
      <c r="T143" s="4"/>
      <c r="U143" s="4"/>
    </row>
    <row r="144" spans="1:21">
      <c r="A144" t="s">
        <v>219</v>
      </c>
      <c r="B144">
        <v>20</v>
      </c>
      <c r="C144" t="str">
        <f t="shared" si="31"/>
        <v>test.Base64_20_</v>
      </c>
      <c r="D144">
        <v>18</v>
      </c>
      <c r="E144" s="4">
        <v>0.70297029702970293</v>
      </c>
      <c r="F144" s="4">
        <v>0.17025408642175111</v>
      </c>
      <c r="G144" s="4">
        <f t="shared" si="32"/>
        <v>0.70297029702970293</v>
      </c>
      <c r="H144" s="4" t="str">
        <f t="shared" si="33"/>
        <v/>
      </c>
      <c r="I144" s="4" t="str">
        <f t="shared" si="34"/>
        <v/>
      </c>
      <c r="J144" s="4" t="str">
        <f t="shared" si="35"/>
        <v/>
      </c>
      <c r="K144" s="4" t="str">
        <f t="shared" si="36"/>
        <v/>
      </c>
      <c r="L144" s="4" t="str">
        <f t="shared" si="37"/>
        <v/>
      </c>
      <c r="M144" s="4"/>
      <c r="N144" s="4"/>
      <c r="O144" s="4"/>
      <c r="P144" s="4"/>
      <c r="Q144" s="4"/>
      <c r="R144" s="4"/>
      <c r="S144" s="4"/>
      <c r="T144" s="4"/>
      <c r="U144" s="4"/>
    </row>
    <row r="145" spans="1:21">
      <c r="A145" t="s">
        <v>219</v>
      </c>
      <c r="B145">
        <v>20</v>
      </c>
      <c r="C145" t="str">
        <f t="shared" si="31"/>
        <v>test.Base64_20_</v>
      </c>
      <c r="D145">
        <v>19</v>
      </c>
      <c r="E145" s="4">
        <v>0.70297029702970293</v>
      </c>
      <c r="F145" s="4">
        <v>0.17510924097750444</v>
      </c>
      <c r="G145" s="4">
        <f t="shared" si="32"/>
        <v>0.70297029702970293</v>
      </c>
      <c r="H145" s="4" t="str">
        <f t="shared" si="33"/>
        <v/>
      </c>
      <c r="I145" s="4" t="str">
        <f t="shared" si="34"/>
        <v/>
      </c>
      <c r="J145" s="4" t="str">
        <f t="shared" si="35"/>
        <v/>
      </c>
      <c r="K145" s="4" t="str">
        <f t="shared" si="36"/>
        <v/>
      </c>
      <c r="L145" s="4" t="str">
        <f t="shared" si="37"/>
        <v/>
      </c>
      <c r="M145" s="4"/>
      <c r="N145" s="4"/>
      <c r="O145" s="4"/>
      <c r="P145" s="4"/>
      <c r="Q145" s="4"/>
      <c r="R145" s="4"/>
      <c r="S145" s="4"/>
      <c r="T145" s="4"/>
      <c r="U145" s="4"/>
    </row>
    <row r="146" spans="1:21">
      <c r="A146" t="s">
        <v>219</v>
      </c>
      <c r="B146">
        <v>20</v>
      </c>
      <c r="C146" t="str">
        <f t="shared" si="31"/>
        <v>test.Base64_20_</v>
      </c>
      <c r="D146">
        <v>20</v>
      </c>
      <c r="E146" s="4">
        <v>0.70297029702970293</v>
      </c>
      <c r="F146" s="4">
        <v>0.18417219614824407</v>
      </c>
      <c r="G146" s="4">
        <f t="shared" si="32"/>
        <v>0.70297029702970293</v>
      </c>
      <c r="H146" s="4" t="str">
        <f t="shared" si="33"/>
        <v/>
      </c>
      <c r="I146" s="4" t="str">
        <f t="shared" si="34"/>
        <v/>
      </c>
      <c r="J146" s="4" t="str">
        <f t="shared" si="35"/>
        <v/>
      </c>
      <c r="K146" s="4" t="str">
        <f t="shared" si="36"/>
        <v/>
      </c>
      <c r="L146" s="4" t="str">
        <f t="shared" si="37"/>
        <v/>
      </c>
      <c r="M146" s="4"/>
      <c r="N146" s="4"/>
      <c r="O146" s="4"/>
      <c r="P146" s="4"/>
      <c r="Q146" s="4"/>
      <c r="R146" s="4"/>
      <c r="S146" s="4"/>
      <c r="T146" s="4"/>
      <c r="U146" s="4"/>
    </row>
    <row r="147" spans="1:21">
      <c r="A147" t="s">
        <v>219</v>
      </c>
      <c r="B147">
        <v>20</v>
      </c>
      <c r="C147" t="str">
        <f t="shared" si="31"/>
        <v>test.Base64_20_</v>
      </c>
      <c r="D147">
        <v>21</v>
      </c>
      <c r="E147" s="4">
        <v>0.70297029702970293</v>
      </c>
      <c r="F147" s="4">
        <v>0.18433403463343584</v>
      </c>
      <c r="G147" s="4">
        <f t="shared" si="32"/>
        <v>0.70297029702970293</v>
      </c>
      <c r="H147" s="4" t="str">
        <f t="shared" si="33"/>
        <v/>
      </c>
      <c r="I147" s="4" t="str">
        <f t="shared" si="34"/>
        <v/>
      </c>
      <c r="J147" s="4" t="str">
        <f t="shared" si="35"/>
        <v/>
      </c>
      <c r="K147" s="4" t="str">
        <f t="shared" si="36"/>
        <v/>
      </c>
      <c r="L147" s="4" t="str">
        <f t="shared" si="37"/>
        <v/>
      </c>
      <c r="M147" s="4"/>
      <c r="N147" s="4"/>
      <c r="O147" s="4"/>
      <c r="P147" s="4"/>
      <c r="Q147" s="4"/>
      <c r="R147" s="4"/>
      <c r="S147" s="4"/>
      <c r="T147" s="4"/>
      <c r="U147" s="4"/>
    </row>
    <row r="148" spans="1:21">
      <c r="A148" t="s">
        <v>219</v>
      </c>
      <c r="B148">
        <v>20</v>
      </c>
      <c r="C148" t="str">
        <f t="shared" si="31"/>
        <v>test.Base64_20_</v>
      </c>
      <c r="D148">
        <v>22</v>
      </c>
      <c r="E148" s="4">
        <v>0.70297029702970293</v>
      </c>
      <c r="F148" s="4">
        <v>0.19323515131898367</v>
      </c>
      <c r="G148" s="4">
        <f t="shared" si="32"/>
        <v>0.70297029702970293</v>
      </c>
      <c r="H148" s="4" t="str">
        <f t="shared" si="33"/>
        <v/>
      </c>
      <c r="I148" s="4" t="str">
        <f t="shared" si="34"/>
        <v/>
      </c>
      <c r="J148" s="4" t="str">
        <f t="shared" si="35"/>
        <v/>
      </c>
      <c r="K148" s="4" t="str">
        <f t="shared" si="36"/>
        <v/>
      </c>
      <c r="L148" s="4" t="str">
        <f t="shared" si="37"/>
        <v/>
      </c>
      <c r="M148" s="4"/>
      <c r="N148" s="4"/>
      <c r="O148" s="4"/>
      <c r="P148" s="4"/>
      <c r="Q148" s="4"/>
      <c r="R148" s="4"/>
      <c r="S148" s="4"/>
      <c r="T148" s="4"/>
      <c r="U148" s="4"/>
    </row>
    <row r="149" spans="1:21">
      <c r="A149" t="s">
        <v>219</v>
      </c>
      <c r="B149">
        <v>20</v>
      </c>
      <c r="C149" t="str">
        <f t="shared" si="31"/>
        <v>test.Base64_20_</v>
      </c>
      <c r="D149">
        <v>23</v>
      </c>
      <c r="E149" s="4">
        <v>1</v>
      </c>
      <c r="F149" s="4">
        <v>0.85062307816798832</v>
      </c>
      <c r="G149" s="4" t="str">
        <f t="shared" si="32"/>
        <v/>
      </c>
      <c r="H149" s="4" t="str">
        <f t="shared" si="33"/>
        <v/>
      </c>
      <c r="I149" s="4" t="str">
        <f t="shared" si="34"/>
        <v/>
      </c>
      <c r="J149" s="4" t="str">
        <f t="shared" si="35"/>
        <v/>
      </c>
      <c r="K149" s="4">
        <f t="shared" si="36"/>
        <v>1</v>
      </c>
      <c r="L149" s="4" t="str">
        <f t="shared" si="37"/>
        <v/>
      </c>
      <c r="M149" s="4"/>
      <c r="N149" s="4"/>
      <c r="O149" s="4"/>
      <c r="P149" s="4"/>
      <c r="Q149" s="4"/>
      <c r="R149" s="4"/>
      <c r="S149" s="4"/>
      <c r="T149" s="4"/>
      <c r="U149" s="4"/>
    </row>
    <row r="150" spans="1:21">
      <c r="A150" t="s">
        <v>219</v>
      </c>
      <c r="B150">
        <v>20</v>
      </c>
      <c r="C150" t="str">
        <f t="shared" si="31"/>
        <v>test.Base64_20_</v>
      </c>
      <c r="D150">
        <v>24</v>
      </c>
      <c r="E150" s="4">
        <v>1</v>
      </c>
      <c r="F150" s="4">
        <v>0.85677294060527598</v>
      </c>
      <c r="G150" s="4" t="str">
        <f t="shared" si="32"/>
        <v/>
      </c>
      <c r="H150" s="4" t="str">
        <f t="shared" si="33"/>
        <v/>
      </c>
      <c r="I150" s="4" t="str">
        <f t="shared" si="34"/>
        <v/>
      </c>
      <c r="J150" s="4" t="str">
        <f t="shared" si="35"/>
        <v/>
      </c>
      <c r="K150" s="4">
        <f t="shared" si="36"/>
        <v>1</v>
      </c>
      <c r="L150" s="4" t="str">
        <f t="shared" si="37"/>
        <v/>
      </c>
      <c r="M150" s="4"/>
      <c r="N150" s="4"/>
      <c r="O150" s="4"/>
      <c r="P150" s="4"/>
      <c r="Q150" s="4"/>
      <c r="R150" s="4"/>
      <c r="S150" s="4"/>
      <c r="T150" s="4"/>
      <c r="U150" s="4"/>
    </row>
    <row r="151" spans="1:21">
      <c r="A151" t="s">
        <v>219</v>
      </c>
      <c r="B151">
        <v>20</v>
      </c>
      <c r="C151" t="str">
        <f t="shared" si="31"/>
        <v>test.Base64_20_</v>
      </c>
      <c r="D151">
        <v>25</v>
      </c>
      <c r="E151" s="4">
        <v>1</v>
      </c>
      <c r="F151" s="4">
        <v>0.86033338727949504</v>
      </c>
      <c r="G151" s="4" t="str">
        <f t="shared" si="32"/>
        <v/>
      </c>
      <c r="H151" s="4" t="str">
        <f t="shared" si="33"/>
        <v/>
      </c>
      <c r="I151" s="4" t="str">
        <f t="shared" si="34"/>
        <v/>
      </c>
      <c r="J151" s="4" t="str">
        <f t="shared" si="35"/>
        <v/>
      </c>
      <c r="K151" s="4">
        <f t="shared" si="36"/>
        <v>1</v>
      </c>
      <c r="L151" s="4" t="str">
        <f t="shared" si="37"/>
        <v/>
      </c>
      <c r="M151" s="4"/>
      <c r="N151" s="4"/>
      <c r="O151" s="4"/>
      <c r="P151" s="4"/>
      <c r="Q151" s="4"/>
      <c r="R151" s="4"/>
      <c r="S151" s="4"/>
      <c r="T151" s="4"/>
      <c r="U151" s="4"/>
    </row>
    <row r="152" spans="1:21">
      <c r="A152" t="s">
        <v>219</v>
      </c>
      <c r="B152">
        <v>20</v>
      </c>
      <c r="C152" t="str">
        <f t="shared" si="31"/>
        <v>test.Base64_20_</v>
      </c>
      <c r="D152">
        <v>26</v>
      </c>
      <c r="E152" s="4">
        <v>1</v>
      </c>
      <c r="F152" s="4">
        <v>0.87117656578734426</v>
      </c>
      <c r="G152" s="4" t="str">
        <f t="shared" si="32"/>
        <v/>
      </c>
      <c r="H152" s="4" t="str">
        <f t="shared" si="33"/>
        <v/>
      </c>
      <c r="I152" s="4" t="str">
        <f t="shared" si="34"/>
        <v/>
      </c>
      <c r="J152" s="4" t="str">
        <f t="shared" si="35"/>
        <v/>
      </c>
      <c r="K152" s="4">
        <f t="shared" si="36"/>
        <v>1</v>
      </c>
      <c r="L152" s="4" t="str">
        <f t="shared" si="37"/>
        <v/>
      </c>
      <c r="M152" s="4"/>
      <c r="N152" s="4"/>
      <c r="O152" s="4"/>
      <c r="P152" s="4"/>
      <c r="Q152" s="4"/>
      <c r="R152" s="4"/>
      <c r="S152" s="4"/>
      <c r="T152" s="4"/>
      <c r="U152" s="4"/>
    </row>
    <row r="153" spans="1:21">
      <c r="A153" t="s">
        <v>219</v>
      </c>
      <c r="B153">
        <v>20</v>
      </c>
      <c r="C153" t="str">
        <f t="shared" si="31"/>
        <v>test.Base64_20_</v>
      </c>
      <c r="D153">
        <v>27</v>
      </c>
      <c r="E153" s="4">
        <v>1</v>
      </c>
      <c r="F153" s="4">
        <v>0.87150024275772775</v>
      </c>
      <c r="G153" s="4" t="str">
        <f t="shared" si="32"/>
        <v/>
      </c>
      <c r="H153" s="4" t="str">
        <f t="shared" si="33"/>
        <v/>
      </c>
      <c r="I153" s="4" t="str">
        <f t="shared" si="34"/>
        <v/>
      </c>
      <c r="J153" s="4" t="str">
        <f t="shared" si="35"/>
        <v/>
      </c>
      <c r="K153" s="4">
        <f t="shared" si="36"/>
        <v>1</v>
      </c>
      <c r="L153" s="4" t="str">
        <f t="shared" si="37"/>
        <v/>
      </c>
      <c r="M153" s="4"/>
      <c r="N153" s="4"/>
      <c r="O153" s="4"/>
      <c r="P153" s="4"/>
      <c r="Q153" s="4"/>
      <c r="R153" s="4"/>
      <c r="S153" s="4"/>
      <c r="T153" s="4"/>
      <c r="U153" s="4"/>
    </row>
    <row r="154" spans="1:21">
      <c r="A154" t="s">
        <v>219</v>
      </c>
      <c r="B154">
        <v>20</v>
      </c>
      <c r="C154" t="str">
        <f t="shared" si="31"/>
        <v>test.Base64_20_</v>
      </c>
      <c r="D154">
        <v>28</v>
      </c>
      <c r="E154" s="4">
        <v>1</v>
      </c>
      <c r="F154" s="4">
        <v>0.88218158278038517</v>
      </c>
      <c r="G154" s="4" t="str">
        <f t="shared" si="32"/>
        <v/>
      </c>
      <c r="H154" s="4" t="str">
        <f t="shared" si="33"/>
        <v/>
      </c>
      <c r="I154" s="4" t="str">
        <f t="shared" si="34"/>
        <v/>
      </c>
      <c r="J154" s="4" t="str">
        <f t="shared" si="35"/>
        <v/>
      </c>
      <c r="K154" s="4">
        <f t="shared" si="36"/>
        <v>1</v>
      </c>
      <c r="L154" s="4" t="str">
        <f t="shared" si="37"/>
        <v/>
      </c>
      <c r="M154" s="4"/>
      <c r="N154" s="4"/>
      <c r="O154" s="4"/>
      <c r="P154" s="4"/>
      <c r="Q154" s="4"/>
      <c r="R154" s="4"/>
      <c r="S154" s="4"/>
      <c r="T154" s="4"/>
      <c r="U154" s="4"/>
    </row>
    <row r="155" spans="1:21">
      <c r="A155" t="s">
        <v>219</v>
      </c>
      <c r="B155">
        <v>20</v>
      </c>
      <c r="C155" t="str">
        <f t="shared" si="31"/>
        <v>test.Base64_20_</v>
      </c>
      <c r="D155">
        <v>29</v>
      </c>
      <c r="E155" s="4">
        <v>1</v>
      </c>
      <c r="F155" s="4">
        <v>0.89707072341802885</v>
      </c>
      <c r="G155" s="4" t="str">
        <f t="shared" si="32"/>
        <v/>
      </c>
      <c r="H155" s="4" t="str">
        <f t="shared" si="33"/>
        <v/>
      </c>
      <c r="I155" s="4" t="str">
        <f t="shared" si="34"/>
        <v/>
      </c>
      <c r="J155" s="4" t="str">
        <f t="shared" si="35"/>
        <v/>
      </c>
      <c r="K155" s="4">
        <f t="shared" si="36"/>
        <v>1</v>
      </c>
      <c r="L155" s="4" t="str">
        <f t="shared" si="37"/>
        <v/>
      </c>
      <c r="M155" s="4"/>
      <c r="N155" s="4"/>
      <c r="O155" s="4"/>
      <c r="P155" s="4"/>
      <c r="Q155" s="4"/>
      <c r="R155" s="4"/>
      <c r="S155" s="4"/>
      <c r="T155" s="4"/>
      <c r="U155" s="4"/>
    </row>
    <row r="156" spans="1:21">
      <c r="A156" t="s">
        <v>219</v>
      </c>
      <c r="B156">
        <v>20</v>
      </c>
      <c r="C156" t="str">
        <f t="shared" si="31"/>
        <v>test.Base64_20_</v>
      </c>
      <c r="D156">
        <v>30</v>
      </c>
      <c r="E156" s="4">
        <v>1</v>
      </c>
      <c r="F156" s="4">
        <v>0.90839941738145336</v>
      </c>
      <c r="G156" s="4" t="str">
        <f t="shared" si="32"/>
        <v/>
      </c>
      <c r="H156" s="4" t="str">
        <f t="shared" si="33"/>
        <v/>
      </c>
      <c r="I156" s="4" t="str">
        <f t="shared" si="34"/>
        <v/>
      </c>
      <c r="J156" s="4" t="str">
        <f t="shared" si="35"/>
        <v/>
      </c>
      <c r="K156" s="4">
        <f t="shared" si="36"/>
        <v>1</v>
      </c>
      <c r="L156" s="4" t="str">
        <f t="shared" si="37"/>
        <v/>
      </c>
      <c r="M156" s="4"/>
      <c r="N156" s="4"/>
      <c r="O156" s="4"/>
      <c r="P156" s="4"/>
      <c r="Q156" s="4"/>
      <c r="R156" s="4"/>
      <c r="S156" s="4"/>
      <c r="T156" s="4"/>
      <c r="U156" s="4"/>
    </row>
    <row r="157" spans="1:21">
      <c r="A157" t="s">
        <v>219</v>
      </c>
      <c r="B157">
        <v>20</v>
      </c>
      <c r="C157" t="str">
        <f t="shared" si="31"/>
        <v>test.Base64_20_</v>
      </c>
      <c r="D157">
        <v>31</v>
      </c>
      <c r="E157" s="4">
        <v>1</v>
      </c>
      <c r="F157" s="4">
        <v>0.91195986405567242</v>
      </c>
      <c r="G157" s="4" t="str">
        <f t="shared" si="32"/>
        <v/>
      </c>
      <c r="H157" s="4" t="str">
        <f t="shared" si="33"/>
        <v/>
      </c>
      <c r="I157" s="4" t="str">
        <f t="shared" si="34"/>
        <v/>
      </c>
      <c r="J157" s="4" t="str">
        <f t="shared" si="35"/>
        <v/>
      </c>
      <c r="K157" s="4">
        <f t="shared" si="36"/>
        <v>1</v>
      </c>
      <c r="L157" s="4" t="str">
        <f t="shared" si="37"/>
        <v/>
      </c>
      <c r="M157" s="4"/>
      <c r="N157" s="4"/>
      <c r="O157" s="4"/>
      <c r="P157" s="4"/>
      <c r="Q157" s="4"/>
      <c r="R157" s="4"/>
      <c r="S157" s="4"/>
      <c r="T157" s="4"/>
      <c r="U157" s="4"/>
    </row>
    <row r="158" spans="1:21">
      <c r="A158" t="s">
        <v>219</v>
      </c>
      <c r="B158">
        <v>20</v>
      </c>
      <c r="C158" t="str">
        <f t="shared" si="31"/>
        <v>test.Base64_20_</v>
      </c>
      <c r="D158">
        <v>32</v>
      </c>
      <c r="E158" s="4">
        <v>1</v>
      </c>
      <c r="F158" s="4">
        <v>0.92361223498948053</v>
      </c>
      <c r="G158" s="4" t="str">
        <f t="shared" si="32"/>
        <v/>
      </c>
      <c r="H158" s="4" t="str">
        <f t="shared" si="33"/>
        <v/>
      </c>
      <c r="I158" s="4" t="str">
        <f t="shared" si="34"/>
        <v/>
      </c>
      <c r="J158" s="4" t="str">
        <f t="shared" si="35"/>
        <v/>
      </c>
      <c r="K158" s="4">
        <f t="shared" si="36"/>
        <v>1</v>
      </c>
      <c r="L158" s="4" t="str">
        <f t="shared" si="37"/>
        <v/>
      </c>
      <c r="M158" s="4"/>
      <c r="N158" s="4"/>
      <c r="O158" s="4"/>
      <c r="P158" s="4"/>
      <c r="Q158" s="4"/>
      <c r="R158" s="4"/>
      <c r="S158" s="4"/>
      <c r="T158" s="4"/>
      <c r="U158" s="4"/>
    </row>
    <row r="159" spans="1:21">
      <c r="A159" t="s">
        <v>219</v>
      </c>
      <c r="B159">
        <v>20</v>
      </c>
      <c r="C159" t="str">
        <f t="shared" si="31"/>
        <v>test.Base64_20_</v>
      </c>
      <c r="D159">
        <v>33</v>
      </c>
      <c r="E159" s="4">
        <v>1</v>
      </c>
      <c r="F159" s="4">
        <v>0.94092895290500078</v>
      </c>
      <c r="G159" s="4" t="str">
        <f t="shared" si="32"/>
        <v/>
      </c>
      <c r="H159" s="4" t="str">
        <f t="shared" si="33"/>
        <v/>
      </c>
      <c r="I159" s="4" t="str">
        <f t="shared" si="34"/>
        <v/>
      </c>
      <c r="J159" s="4" t="str">
        <f t="shared" si="35"/>
        <v/>
      </c>
      <c r="K159" s="4">
        <f t="shared" si="36"/>
        <v>1</v>
      </c>
      <c r="L159" s="4" t="str">
        <f t="shared" si="37"/>
        <v/>
      </c>
      <c r="M159" s="4"/>
      <c r="N159" s="4"/>
      <c r="O159" s="4"/>
      <c r="P159" s="4"/>
      <c r="Q159" s="4"/>
      <c r="R159" s="4"/>
      <c r="S159" s="4"/>
      <c r="T159" s="4"/>
      <c r="U159" s="4"/>
    </row>
    <row r="160" spans="1:21">
      <c r="A160" t="s">
        <v>220</v>
      </c>
      <c r="B160">
        <v>1</v>
      </c>
      <c r="C160" t="str">
        <f t="shared" si="31"/>
        <v>test.Class11_1_</v>
      </c>
      <c r="D160">
        <v>1</v>
      </c>
      <c r="E160" s="4">
        <v>0.6470588235294118</v>
      </c>
      <c r="F160" s="4">
        <v>0.36989385654551304</v>
      </c>
      <c r="G160" s="4" t="str">
        <f t="shared" si="32"/>
        <v/>
      </c>
      <c r="H160" s="4">
        <f t="shared" si="33"/>
        <v>0.6470588235294118</v>
      </c>
      <c r="I160" s="4" t="str">
        <f t="shared" si="34"/>
        <v/>
      </c>
      <c r="J160" s="4" t="str">
        <f t="shared" si="35"/>
        <v/>
      </c>
      <c r="K160" s="4" t="str">
        <f t="shared" si="36"/>
        <v/>
      </c>
      <c r="L160" s="4" t="str">
        <f t="shared" si="37"/>
        <v/>
      </c>
      <c r="M160" s="4"/>
      <c r="N160" s="4"/>
      <c r="O160" s="4"/>
      <c r="P160" s="4"/>
      <c r="Q160" s="4"/>
      <c r="R160" s="4"/>
      <c r="S160" s="4"/>
      <c r="T160" s="4"/>
      <c r="U160" s="4"/>
    </row>
    <row r="161" spans="1:21">
      <c r="A161" t="s">
        <v>220</v>
      </c>
      <c r="B161">
        <v>1</v>
      </c>
      <c r="C161" t="str">
        <f t="shared" si="31"/>
        <v>test.Class11_1_</v>
      </c>
      <c r="D161">
        <v>2</v>
      </c>
      <c r="E161" s="4">
        <v>0.6470588235294118</v>
      </c>
      <c r="F161" s="4">
        <v>0.3700546799614024</v>
      </c>
      <c r="G161" s="4" t="str">
        <f t="shared" si="32"/>
        <v/>
      </c>
      <c r="H161" s="4">
        <f t="shared" si="33"/>
        <v>0.6470588235294118</v>
      </c>
      <c r="I161" s="4" t="str">
        <f t="shared" si="34"/>
        <v/>
      </c>
      <c r="J161" s="4" t="str">
        <f t="shared" si="35"/>
        <v/>
      </c>
      <c r="K161" s="4" t="str">
        <f t="shared" si="36"/>
        <v/>
      </c>
      <c r="L161" s="4" t="str">
        <f t="shared" si="37"/>
        <v/>
      </c>
      <c r="M161" s="4"/>
      <c r="N161" s="4"/>
      <c r="O161" s="4"/>
      <c r="P161" s="4"/>
      <c r="Q161" s="4"/>
      <c r="R161" s="4"/>
      <c r="S161" s="4"/>
      <c r="T161" s="4"/>
      <c r="U161" s="4"/>
    </row>
    <row r="162" spans="1:21">
      <c r="A162" t="s">
        <v>220</v>
      </c>
      <c r="B162">
        <v>1</v>
      </c>
      <c r="C162" t="str">
        <f t="shared" si="31"/>
        <v>test.Class11_1_</v>
      </c>
      <c r="D162">
        <v>3</v>
      </c>
      <c r="E162" s="4">
        <v>0.6470588235294118</v>
      </c>
      <c r="F162" s="4">
        <v>0.37021550337729175</v>
      </c>
      <c r="G162" s="4" t="str">
        <f t="shared" si="32"/>
        <v/>
      </c>
      <c r="H162" s="4">
        <f t="shared" si="33"/>
        <v>0.6470588235294118</v>
      </c>
      <c r="I162" s="4" t="str">
        <f t="shared" si="34"/>
        <v/>
      </c>
      <c r="J162" s="4" t="str">
        <f t="shared" si="35"/>
        <v/>
      </c>
      <c r="K162" s="4" t="str">
        <f t="shared" si="36"/>
        <v/>
      </c>
      <c r="L162" s="4" t="str">
        <f t="shared" si="37"/>
        <v/>
      </c>
      <c r="M162" s="4"/>
      <c r="N162" s="4"/>
      <c r="O162" s="4"/>
      <c r="P162" s="4"/>
      <c r="Q162" s="4"/>
      <c r="R162" s="4"/>
      <c r="S162" s="4"/>
      <c r="T162" s="4"/>
      <c r="U162" s="4"/>
    </row>
    <row r="163" spans="1:21">
      <c r="A163" t="s">
        <v>220</v>
      </c>
      <c r="B163">
        <v>1</v>
      </c>
      <c r="C163" t="str">
        <f t="shared" si="31"/>
        <v>test.Class11_1_</v>
      </c>
      <c r="D163">
        <v>4</v>
      </c>
      <c r="E163" s="4">
        <v>0.70588235294117652</v>
      </c>
      <c r="F163" s="4">
        <v>0.44258604052750078</v>
      </c>
      <c r="G163" s="4" t="str">
        <f t="shared" si="32"/>
        <v/>
      </c>
      <c r="H163" s="4" t="str">
        <f t="shared" si="33"/>
        <v/>
      </c>
      <c r="I163" s="4">
        <f t="shared" si="34"/>
        <v>0.70588235294117652</v>
      </c>
      <c r="J163" s="4" t="str">
        <f t="shared" si="35"/>
        <v/>
      </c>
      <c r="K163" s="4" t="str">
        <f t="shared" si="36"/>
        <v/>
      </c>
      <c r="L163" s="4" t="str">
        <f t="shared" si="37"/>
        <v/>
      </c>
      <c r="M163" s="4"/>
      <c r="N163" s="4"/>
      <c r="O163" s="4"/>
      <c r="P163" s="4"/>
      <c r="Q163" s="4"/>
      <c r="R163" s="4"/>
      <c r="S163" s="4"/>
      <c r="T163" s="4"/>
      <c r="U163" s="4"/>
    </row>
    <row r="164" spans="1:21">
      <c r="A164" t="s">
        <v>220</v>
      </c>
      <c r="B164">
        <v>1</v>
      </c>
      <c r="C164" t="str">
        <f t="shared" si="31"/>
        <v>test.Class11_1_</v>
      </c>
      <c r="D164">
        <v>5</v>
      </c>
      <c r="E164" s="4">
        <v>1</v>
      </c>
      <c r="F164" s="4">
        <v>0.63686072692183981</v>
      </c>
      <c r="G164" s="4" t="str">
        <f t="shared" si="32"/>
        <v/>
      </c>
      <c r="H164" s="4" t="str">
        <f t="shared" si="33"/>
        <v/>
      </c>
      <c r="I164" s="4" t="str">
        <f t="shared" si="34"/>
        <v/>
      </c>
      <c r="J164" s="4">
        <f t="shared" si="35"/>
        <v>1</v>
      </c>
      <c r="K164" s="4" t="str">
        <f t="shared" si="36"/>
        <v/>
      </c>
      <c r="L164" s="4" t="str">
        <f t="shared" si="37"/>
        <v/>
      </c>
      <c r="M164" s="4"/>
      <c r="N164" s="4"/>
      <c r="O164" s="4"/>
      <c r="P164" s="4"/>
      <c r="Q164" s="4"/>
      <c r="R164" s="4"/>
      <c r="S164" s="4"/>
      <c r="T164" s="4"/>
      <c r="U164" s="4"/>
    </row>
    <row r="165" spans="1:21">
      <c r="A165" t="s">
        <v>220</v>
      </c>
      <c r="B165">
        <v>2</v>
      </c>
      <c r="C165" t="str">
        <f t="shared" si="31"/>
        <v>test.Class11_2_</v>
      </c>
      <c r="D165">
        <v>1</v>
      </c>
      <c r="E165" s="4">
        <v>4.4642857142857144E-2</v>
      </c>
      <c r="F165" s="4">
        <v>5.1843817787418658E-2</v>
      </c>
      <c r="G165" s="4">
        <f t="shared" si="32"/>
        <v>4.4642857142857144E-2</v>
      </c>
      <c r="H165" s="4" t="str">
        <f t="shared" si="33"/>
        <v/>
      </c>
      <c r="I165" s="4" t="str">
        <f t="shared" si="34"/>
        <v/>
      </c>
      <c r="J165" s="4" t="str">
        <f t="shared" si="35"/>
        <v/>
      </c>
      <c r="K165" s="4" t="str">
        <f t="shared" si="36"/>
        <v/>
      </c>
      <c r="L165" s="4" t="str">
        <f t="shared" si="37"/>
        <v/>
      </c>
      <c r="M165" s="4"/>
      <c r="N165" s="4"/>
      <c r="O165" s="4"/>
      <c r="P165" s="4"/>
      <c r="Q165" s="4"/>
      <c r="R165" s="4"/>
      <c r="S165" s="4"/>
      <c r="T165" s="4"/>
      <c r="U165" s="4"/>
    </row>
    <row r="166" spans="1:21">
      <c r="A166" t="s">
        <v>220</v>
      </c>
      <c r="B166">
        <v>2</v>
      </c>
      <c r="C166" t="str">
        <f t="shared" si="31"/>
        <v>test.Class11_2_</v>
      </c>
      <c r="D166">
        <v>2</v>
      </c>
      <c r="E166" s="4">
        <v>0.5</v>
      </c>
      <c r="F166" s="4">
        <v>0.50976138828633411</v>
      </c>
      <c r="G166" s="4" t="str">
        <f t="shared" si="32"/>
        <v/>
      </c>
      <c r="H166" s="4" t="str">
        <f t="shared" si="33"/>
        <v/>
      </c>
      <c r="I166" s="4">
        <f t="shared" si="34"/>
        <v>0.5</v>
      </c>
      <c r="J166" s="4" t="str">
        <f t="shared" si="35"/>
        <v/>
      </c>
      <c r="K166" s="4" t="str">
        <f t="shared" si="36"/>
        <v/>
      </c>
      <c r="L166" s="4" t="str">
        <f t="shared" si="37"/>
        <v/>
      </c>
      <c r="M166" s="4"/>
      <c r="N166" s="4"/>
      <c r="O166" s="4"/>
      <c r="P166" s="4"/>
      <c r="Q166" s="4"/>
      <c r="R166" s="4"/>
      <c r="S166" s="4"/>
      <c r="T166" s="4"/>
      <c r="U166" s="4"/>
    </row>
    <row r="167" spans="1:21">
      <c r="A167" t="s">
        <v>220</v>
      </c>
      <c r="B167">
        <v>2</v>
      </c>
      <c r="C167" t="str">
        <f t="shared" si="31"/>
        <v>test.Class11_2_</v>
      </c>
      <c r="D167">
        <v>3</v>
      </c>
      <c r="E167" s="4">
        <v>1</v>
      </c>
      <c r="F167" s="4">
        <v>0.9941431670281996</v>
      </c>
      <c r="G167" s="4" t="str">
        <f t="shared" si="32"/>
        <v/>
      </c>
      <c r="H167" s="4" t="str">
        <f t="shared" si="33"/>
        <v/>
      </c>
      <c r="I167" s="4" t="str">
        <f t="shared" si="34"/>
        <v/>
      </c>
      <c r="J167" s="4" t="str">
        <f t="shared" si="35"/>
        <v/>
      </c>
      <c r="K167" s="4">
        <f t="shared" si="36"/>
        <v>1</v>
      </c>
      <c r="L167" s="4" t="str">
        <f t="shared" si="37"/>
        <v/>
      </c>
      <c r="M167" s="4"/>
      <c r="N167" s="4"/>
      <c r="O167" s="4"/>
      <c r="P167" s="4"/>
      <c r="Q167" s="4"/>
      <c r="R167" s="4"/>
      <c r="S167" s="4"/>
      <c r="T167" s="4"/>
      <c r="U167" s="4"/>
    </row>
    <row r="168" spans="1:21">
      <c r="A168" t="s">
        <v>220</v>
      </c>
      <c r="B168">
        <v>3</v>
      </c>
      <c r="C168" t="str">
        <f t="shared" si="31"/>
        <v>test.Class11_3_</v>
      </c>
      <c r="D168">
        <v>1</v>
      </c>
      <c r="E168" s="4">
        <v>0.93181818181818177</v>
      </c>
      <c r="F168" s="4">
        <v>0.96553581044695747</v>
      </c>
      <c r="G168" s="4" t="str">
        <f t="shared" si="32"/>
        <v/>
      </c>
      <c r="H168" s="4" t="str">
        <f t="shared" si="33"/>
        <v/>
      </c>
      <c r="I168" s="4" t="str">
        <f t="shared" si="34"/>
        <v/>
      </c>
      <c r="J168" s="4" t="str">
        <f t="shared" si="35"/>
        <v/>
      </c>
      <c r="K168" s="4">
        <f t="shared" si="36"/>
        <v>0.93181818181818177</v>
      </c>
      <c r="L168" s="4" t="str">
        <f t="shared" si="37"/>
        <v/>
      </c>
      <c r="M168" s="4"/>
      <c r="N168" s="4"/>
      <c r="O168" s="4"/>
      <c r="P168" s="4"/>
      <c r="Q168" s="4"/>
      <c r="R168" s="4"/>
      <c r="S168" s="4"/>
      <c r="T168" s="4"/>
      <c r="U168" s="4"/>
    </row>
    <row r="169" spans="1:21">
      <c r="A169" t="s">
        <v>220</v>
      </c>
      <c r="B169">
        <v>3</v>
      </c>
      <c r="C169" t="str">
        <f t="shared" si="31"/>
        <v>test.Class11_3_</v>
      </c>
      <c r="D169">
        <v>2</v>
      </c>
      <c r="E169" s="4">
        <v>1</v>
      </c>
      <c r="F169" s="4">
        <v>1.0032310177705976</v>
      </c>
      <c r="G169" s="4" t="str">
        <f t="shared" si="32"/>
        <v/>
      </c>
      <c r="H169" s="4" t="str">
        <f t="shared" si="33"/>
        <v/>
      </c>
      <c r="I169" s="4" t="str">
        <f t="shared" si="34"/>
        <v/>
      </c>
      <c r="J169" s="4" t="str">
        <f t="shared" si="35"/>
        <v/>
      </c>
      <c r="K169" s="4">
        <f t="shared" si="36"/>
        <v>1</v>
      </c>
      <c r="L169" s="4" t="str">
        <f t="shared" si="37"/>
        <v/>
      </c>
      <c r="M169" s="4"/>
      <c r="N169" s="4"/>
      <c r="O169" s="4"/>
      <c r="P169" s="4"/>
      <c r="Q169" s="4"/>
      <c r="R169" s="4"/>
      <c r="S169" s="4"/>
      <c r="T169" s="4"/>
      <c r="U169" s="4"/>
    </row>
    <row r="170" spans="1:21">
      <c r="A170" t="s">
        <v>220</v>
      </c>
      <c r="B170">
        <v>7</v>
      </c>
      <c r="C170" t="str">
        <f t="shared" si="31"/>
        <v>test.Class11_7_</v>
      </c>
      <c r="D170">
        <v>1</v>
      </c>
      <c r="E170" s="4">
        <v>0.93023255813953487</v>
      </c>
      <c r="F170" s="4">
        <v>1.0140765765765767</v>
      </c>
      <c r="G170" s="4" t="str">
        <f t="shared" si="32"/>
        <v/>
      </c>
      <c r="H170" s="4" t="str">
        <f t="shared" si="33"/>
        <v/>
      </c>
      <c r="I170" s="4" t="str">
        <f t="shared" si="34"/>
        <v/>
      </c>
      <c r="J170" s="4" t="str">
        <f t="shared" si="35"/>
        <v/>
      </c>
      <c r="K170" s="4">
        <f t="shared" si="36"/>
        <v>0.93023255813953487</v>
      </c>
      <c r="L170" s="4" t="str">
        <f t="shared" si="37"/>
        <v/>
      </c>
      <c r="M170" s="4"/>
      <c r="N170" s="4"/>
      <c r="O170" s="4"/>
      <c r="P170" s="4"/>
      <c r="Q170" s="4"/>
      <c r="R170" s="4"/>
      <c r="S170" s="4"/>
      <c r="T170" s="4"/>
      <c r="U170" s="4"/>
    </row>
    <row r="171" spans="1:21">
      <c r="A171" t="s">
        <v>220</v>
      </c>
      <c r="B171">
        <v>7</v>
      </c>
      <c r="C171" t="str">
        <f t="shared" si="31"/>
        <v>test.Class11_7_</v>
      </c>
      <c r="D171">
        <v>2</v>
      </c>
      <c r="E171" s="4">
        <v>1</v>
      </c>
      <c r="F171" s="4">
        <v>1.0208333333333333</v>
      </c>
      <c r="G171" s="4" t="str">
        <f t="shared" si="32"/>
        <v/>
      </c>
      <c r="H171" s="4" t="str">
        <f t="shared" si="33"/>
        <v/>
      </c>
      <c r="I171" s="4" t="str">
        <f t="shared" si="34"/>
        <v/>
      </c>
      <c r="J171" s="4" t="str">
        <f t="shared" si="35"/>
        <v/>
      </c>
      <c r="K171" s="4">
        <f t="shared" si="36"/>
        <v>1</v>
      </c>
      <c r="L171" s="4" t="str">
        <f t="shared" si="37"/>
        <v/>
      </c>
      <c r="M171" s="4"/>
      <c r="N171" s="4"/>
      <c r="O171" s="4"/>
      <c r="P171" s="4"/>
      <c r="Q171" s="4"/>
      <c r="R171" s="4"/>
      <c r="S171" s="4"/>
      <c r="T171" s="4"/>
      <c r="U171" s="4"/>
    </row>
    <row r="172" spans="1:21">
      <c r="A172" t="s">
        <v>220</v>
      </c>
      <c r="B172">
        <v>10</v>
      </c>
      <c r="C172" t="str">
        <f t="shared" si="31"/>
        <v>test.Class11_10_</v>
      </c>
      <c r="D172">
        <v>1</v>
      </c>
      <c r="E172" s="4">
        <v>0.11576354679802955</v>
      </c>
      <c r="F172" s="4">
        <v>0.12648341002664085</v>
      </c>
      <c r="G172" s="4">
        <f t="shared" si="32"/>
        <v>0.11576354679802955</v>
      </c>
      <c r="H172" s="4" t="str">
        <f t="shared" si="33"/>
        <v/>
      </c>
      <c r="I172" s="4" t="str">
        <f t="shared" si="34"/>
        <v/>
      </c>
      <c r="J172" s="4" t="str">
        <f t="shared" si="35"/>
        <v/>
      </c>
      <c r="K172" s="4" t="str">
        <f t="shared" si="36"/>
        <v/>
      </c>
      <c r="L172" s="4" t="str">
        <f t="shared" si="37"/>
        <v/>
      </c>
      <c r="M172" s="4"/>
      <c r="N172" s="4"/>
      <c r="O172" s="4"/>
      <c r="P172" s="4"/>
      <c r="Q172" s="4"/>
      <c r="R172" s="4"/>
      <c r="S172" s="4"/>
      <c r="T172" s="4"/>
      <c r="U172" s="4"/>
    </row>
    <row r="173" spans="1:21">
      <c r="A173" t="s">
        <v>220</v>
      </c>
      <c r="B173">
        <v>10</v>
      </c>
      <c r="C173" t="str">
        <f t="shared" si="31"/>
        <v>test.Class11_10_</v>
      </c>
      <c r="D173">
        <v>2</v>
      </c>
      <c r="E173" s="4">
        <v>0.11576354679802955</v>
      </c>
      <c r="F173" s="4">
        <v>0.12666505207071929</v>
      </c>
      <c r="G173" s="4">
        <f t="shared" si="32"/>
        <v>0.11576354679802955</v>
      </c>
      <c r="H173" s="4" t="str">
        <f t="shared" si="33"/>
        <v/>
      </c>
      <c r="I173" s="4" t="str">
        <f t="shared" si="34"/>
        <v/>
      </c>
      <c r="J173" s="4" t="str">
        <f t="shared" si="35"/>
        <v/>
      </c>
      <c r="K173" s="4" t="str">
        <f t="shared" si="36"/>
        <v/>
      </c>
      <c r="L173" s="4" t="str">
        <f t="shared" si="37"/>
        <v/>
      </c>
      <c r="M173" s="4"/>
      <c r="N173" s="4"/>
      <c r="O173" s="4"/>
      <c r="P173" s="4"/>
      <c r="Q173" s="4"/>
      <c r="R173" s="4"/>
      <c r="S173" s="4"/>
      <c r="T173" s="4"/>
      <c r="U173" s="4"/>
    </row>
    <row r="174" spans="1:21">
      <c r="A174" t="s">
        <v>220</v>
      </c>
      <c r="B174">
        <v>10</v>
      </c>
      <c r="C174" t="str">
        <f t="shared" si="31"/>
        <v>test.Class11_10_</v>
      </c>
      <c r="D174">
        <v>3</v>
      </c>
      <c r="E174" s="4">
        <v>0.11576354679802955</v>
      </c>
      <c r="F174" s="4">
        <v>0.12684669411479776</v>
      </c>
      <c r="G174" s="4">
        <f t="shared" si="32"/>
        <v>0.11576354679802955</v>
      </c>
      <c r="H174" s="4" t="str">
        <f t="shared" si="33"/>
        <v/>
      </c>
      <c r="I174" s="4" t="str">
        <f t="shared" si="34"/>
        <v/>
      </c>
      <c r="J174" s="4" t="str">
        <f t="shared" si="35"/>
        <v/>
      </c>
      <c r="K174" s="4" t="str">
        <f t="shared" si="36"/>
        <v/>
      </c>
      <c r="L174" s="4" t="str">
        <f t="shared" si="37"/>
        <v/>
      </c>
      <c r="M174" s="4"/>
      <c r="N174" s="4"/>
      <c r="O174" s="4"/>
      <c r="P174" s="4"/>
      <c r="Q174" s="4"/>
      <c r="R174" s="4"/>
      <c r="S174" s="4"/>
      <c r="T174" s="4"/>
      <c r="U174" s="4"/>
    </row>
    <row r="175" spans="1:21">
      <c r="A175" t="s">
        <v>220</v>
      </c>
      <c r="B175">
        <v>10</v>
      </c>
      <c r="C175" t="str">
        <f t="shared" si="31"/>
        <v>test.Class11_10_</v>
      </c>
      <c r="D175">
        <v>4</v>
      </c>
      <c r="E175" s="4">
        <v>0.11576354679802955</v>
      </c>
      <c r="F175" s="4">
        <v>0.12769435698716397</v>
      </c>
      <c r="G175" s="4">
        <f t="shared" si="32"/>
        <v>0.11576354679802955</v>
      </c>
      <c r="H175" s="4" t="str">
        <f t="shared" si="33"/>
        <v/>
      </c>
      <c r="I175" s="4" t="str">
        <f t="shared" si="34"/>
        <v/>
      </c>
      <c r="J175" s="4" t="str">
        <f t="shared" si="35"/>
        <v/>
      </c>
      <c r="K175" s="4" t="str">
        <f t="shared" si="36"/>
        <v/>
      </c>
      <c r="L175" s="4" t="str">
        <f t="shared" si="37"/>
        <v/>
      </c>
      <c r="M175" s="4"/>
      <c r="N175" s="4"/>
      <c r="O175" s="4"/>
      <c r="P175" s="4"/>
      <c r="Q175" s="4"/>
      <c r="R175" s="4"/>
      <c r="S175" s="4"/>
      <c r="T175" s="4"/>
      <c r="U175" s="4"/>
    </row>
    <row r="176" spans="1:21">
      <c r="A176" t="s">
        <v>220</v>
      </c>
      <c r="B176">
        <v>10</v>
      </c>
      <c r="C176" t="str">
        <f t="shared" si="31"/>
        <v>test.Class11_10_</v>
      </c>
      <c r="D176">
        <v>5</v>
      </c>
      <c r="E176" s="4">
        <v>0.20689655172413793</v>
      </c>
      <c r="F176" s="4">
        <v>0.12987406151610559</v>
      </c>
      <c r="G176" s="4">
        <f t="shared" si="32"/>
        <v>0.20689655172413793</v>
      </c>
      <c r="H176" s="4" t="str">
        <f t="shared" si="33"/>
        <v/>
      </c>
      <c r="I176" s="4" t="str">
        <f t="shared" si="34"/>
        <v/>
      </c>
      <c r="J176" s="4" t="str">
        <f t="shared" si="35"/>
        <v/>
      </c>
      <c r="K176" s="4" t="str">
        <f t="shared" si="36"/>
        <v/>
      </c>
      <c r="L176" s="4" t="str">
        <f t="shared" si="37"/>
        <v/>
      </c>
      <c r="M176" s="4"/>
      <c r="N176" s="4"/>
      <c r="O176" s="4"/>
      <c r="P176" s="4"/>
      <c r="Q176" s="4"/>
      <c r="R176" s="4"/>
      <c r="S176" s="4"/>
      <c r="T176" s="4"/>
      <c r="U176" s="4"/>
    </row>
    <row r="177" spans="1:21">
      <c r="A177" t="s">
        <v>220</v>
      </c>
      <c r="B177">
        <v>10</v>
      </c>
      <c r="C177" t="str">
        <f t="shared" si="31"/>
        <v>test.Class11_10_</v>
      </c>
      <c r="D177">
        <v>6</v>
      </c>
      <c r="E177" s="4">
        <v>0.20689655172413793</v>
      </c>
      <c r="F177" s="4">
        <v>0.12993460886413175</v>
      </c>
      <c r="G177" s="4">
        <f t="shared" si="32"/>
        <v>0.20689655172413793</v>
      </c>
      <c r="H177" s="4" t="str">
        <f t="shared" si="33"/>
        <v/>
      </c>
      <c r="I177" s="4" t="str">
        <f t="shared" si="34"/>
        <v/>
      </c>
      <c r="J177" s="4" t="str">
        <f t="shared" si="35"/>
        <v/>
      </c>
      <c r="K177" s="4" t="str">
        <f t="shared" si="36"/>
        <v/>
      </c>
      <c r="L177" s="4" t="str">
        <f t="shared" si="37"/>
        <v/>
      </c>
      <c r="M177" s="4"/>
      <c r="N177" s="4"/>
      <c r="O177" s="4"/>
      <c r="P177" s="4"/>
      <c r="Q177" s="4"/>
      <c r="R177" s="4"/>
      <c r="S177" s="4"/>
      <c r="T177" s="4"/>
      <c r="U177" s="4"/>
    </row>
    <row r="178" spans="1:21">
      <c r="A178" t="s">
        <v>220</v>
      </c>
      <c r="B178">
        <v>10</v>
      </c>
      <c r="C178" t="str">
        <f t="shared" si="31"/>
        <v>test.Class11_10_</v>
      </c>
      <c r="D178">
        <v>7</v>
      </c>
      <c r="E178" s="4">
        <v>0.20689655172413793</v>
      </c>
      <c r="F178" s="4">
        <v>0.13162993460886413</v>
      </c>
      <c r="G178" s="4">
        <f t="shared" si="32"/>
        <v>0.20689655172413793</v>
      </c>
      <c r="H178" s="4" t="str">
        <f t="shared" si="33"/>
        <v/>
      </c>
      <c r="I178" s="4" t="str">
        <f t="shared" si="34"/>
        <v/>
      </c>
      <c r="J178" s="4" t="str">
        <f t="shared" si="35"/>
        <v/>
      </c>
      <c r="K178" s="4" t="str">
        <f t="shared" si="36"/>
        <v/>
      </c>
      <c r="L178" s="4" t="str">
        <f t="shared" si="37"/>
        <v/>
      </c>
      <c r="M178" s="4"/>
      <c r="N178" s="4"/>
      <c r="O178" s="4"/>
      <c r="P178" s="4"/>
      <c r="Q178" s="4"/>
      <c r="R178" s="4"/>
      <c r="S178" s="4"/>
      <c r="T178" s="4"/>
      <c r="U178" s="4"/>
    </row>
    <row r="179" spans="1:21">
      <c r="A179" t="s">
        <v>220</v>
      </c>
      <c r="B179">
        <v>10</v>
      </c>
      <c r="C179" t="str">
        <f t="shared" si="31"/>
        <v>test.Class11_10_</v>
      </c>
      <c r="D179">
        <v>8</v>
      </c>
      <c r="E179" s="4">
        <v>0.20689655172413793</v>
      </c>
      <c r="F179" s="4">
        <v>0.1318115766529426</v>
      </c>
      <c r="G179" s="4">
        <f t="shared" si="32"/>
        <v>0.20689655172413793</v>
      </c>
      <c r="H179" s="4" t="str">
        <f t="shared" si="33"/>
        <v/>
      </c>
      <c r="I179" s="4" t="str">
        <f t="shared" si="34"/>
        <v/>
      </c>
      <c r="J179" s="4" t="str">
        <f t="shared" si="35"/>
        <v/>
      </c>
      <c r="K179" s="4" t="str">
        <f t="shared" si="36"/>
        <v/>
      </c>
      <c r="L179" s="4" t="str">
        <f t="shared" si="37"/>
        <v/>
      </c>
      <c r="M179" s="4"/>
      <c r="N179" s="4"/>
      <c r="O179" s="4"/>
      <c r="P179" s="4"/>
      <c r="Q179" s="4"/>
      <c r="R179" s="4"/>
      <c r="S179" s="4"/>
      <c r="T179" s="4"/>
      <c r="U179" s="4"/>
    </row>
    <row r="180" spans="1:21">
      <c r="A180" t="s">
        <v>220</v>
      </c>
      <c r="B180">
        <v>10</v>
      </c>
      <c r="C180" t="str">
        <f t="shared" si="31"/>
        <v>test.Class11_10_</v>
      </c>
      <c r="D180">
        <v>9</v>
      </c>
      <c r="E180" s="4">
        <v>0.22167487684729065</v>
      </c>
      <c r="F180" s="4">
        <v>0.13732138532332283</v>
      </c>
      <c r="G180" s="4">
        <f t="shared" si="32"/>
        <v>0.22167487684729065</v>
      </c>
      <c r="H180" s="4" t="str">
        <f t="shared" si="33"/>
        <v/>
      </c>
      <c r="I180" s="4" t="str">
        <f t="shared" si="34"/>
        <v/>
      </c>
      <c r="J180" s="4" t="str">
        <f t="shared" si="35"/>
        <v/>
      </c>
      <c r="K180" s="4" t="str">
        <f t="shared" si="36"/>
        <v/>
      </c>
      <c r="L180" s="4" t="str">
        <f t="shared" si="37"/>
        <v/>
      </c>
      <c r="M180" s="4"/>
      <c r="N180" s="4"/>
      <c r="O180" s="4"/>
      <c r="P180" s="4"/>
      <c r="Q180" s="4"/>
      <c r="R180" s="4"/>
      <c r="S180" s="4"/>
      <c r="T180" s="4"/>
      <c r="U180" s="4"/>
    </row>
    <row r="181" spans="1:21">
      <c r="A181" t="s">
        <v>220</v>
      </c>
      <c r="B181">
        <v>10</v>
      </c>
      <c r="C181" t="str">
        <f t="shared" si="31"/>
        <v>test.Class11_10_</v>
      </c>
      <c r="D181">
        <v>10</v>
      </c>
      <c r="E181" s="4">
        <v>0.22167487684729065</v>
      </c>
      <c r="F181" s="4">
        <v>0.13816904819568904</v>
      </c>
      <c r="G181" s="4">
        <f t="shared" si="32"/>
        <v>0.22167487684729065</v>
      </c>
      <c r="H181" s="4" t="str">
        <f t="shared" si="33"/>
        <v/>
      </c>
      <c r="I181" s="4" t="str">
        <f t="shared" si="34"/>
        <v/>
      </c>
      <c r="J181" s="4" t="str">
        <f t="shared" si="35"/>
        <v/>
      </c>
      <c r="K181" s="4" t="str">
        <f t="shared" si="36"/>
        <v/>
      </c>
      <c r="L181" s="4" t="str">
        <f t="shared" si="37"/>
        <v/>
      </c>
      <c r="M181" s="4"/>
      <c r="N181" s="4"/>
      <c r="O181" s="4"/>
      <c r="P181" s="4"/>
      <c r="Q181" s="4"/>
      <c r="R181" s="4"/>
      <c r="S181" s="4"/>
      <c r="T181" s="4"/>
      <c r="U181" s="4"/>
    </row>
    <row r="182" spans="1:21">
      <c r="A182" t="s">
        <v>220</v>
      </c>
      <c r="B182">
        <v>10</v>
      </c>
      <c r="C182" t="str">
        <f t="shared" si="31"/>
        <v>test.Class11_10_</v>
      </c>
      <c r="D182">
        <v>11</v>
      </c>
      <c r="E182" s="4">
        <v>0.22167487684729065</v>
      </c>
      <c r="F182" s="4">
        <v>0.13998546863647371</v>
      </c>
      <c r="G182" s="4">
        <f t="shared" si="32"/>
        <v>0.22167487684729065</v>
      </c>
      <c r="H182" s="4" t="str">
        <f t="shared" si="33"/>
        <v/>
      </c>
      <c r="I182" s="4" t="str">
        <f t="shared" si="34"/>
        <v/>
      </c>
      <c r="J182" s="4" t="str">
        <f t="shared" si="35"/>
        <v/>
      </c>
      <c r="K182" s="4" t="str">
        <f t="shared" si="36"/>
        <v/>
      </c>
      <c r="L182" s="4" t="str">
        <f t="shared" si="37"/>
        <v/>
      </c>
      <c r="M182" s="4"/>
      <c r="N182" s="4"/>
      <c r="O182" s="4"/>
      <c r="P182" s="4"/>
      <c r="Q182" s="4"/>
      <c r="R182" s="4"/>
      <c r="S182" s="4"/>
      <c r="T182" s="4"/>
      <c r="U182" s="4"/>
    </row>
    <row r="183" spans="1:21">
      <c r="A183" t="s">
        <v>220</v>
      </c>
      <c r="B183">
        <v>10</v>
      </c>
      <c r="C183" t="str">
        <f t="shared" si="31"/>
        <v>test.Class11_10_</v>
      </c>
      <c r="D183">
        <v>12</v>
      </c>
      <c r="E183" s="4">
        <v>0.22167487684729065</v>
      </c>
      <c r="F183" s="4">
        <v>0.14059094211673528</v>
      </c>
      <c r="G183" s="4">
        <f t="shared" si="32"/>
        <v>0.22167487684729065</v>
      </c>
      <c r="H183" s="4" t="str">
        <f t="shared" si="33"/>
        <v/>
      </c>
      <c r="I183" s="4" t="str">
        <f t="shared" si="34"/>
        <v/>
      </c>
      <c r="J183" s="4" t="str">
        <f t="shared" si="35"/>
        <v/>
      </c>
      <c r="K183" s="4" t="str">
        <f t="shared" si="36"/>
        <v/>
      </c>
      <c r="L183" s="4" t="str">
        <f t="shared" si="37"/>
        <v/>
      </c>
      <c r="M183" s="4"/>
      <c r="N183" s="4"/>
      <c r="O183" s="4"/>
      <c r="P183" s="4"/>
      <c r="Q183" s="4"/>
      <c r="R183" s="4"/>
      <c r="S183" s="4"/>
      <c r="T183" s="4"/>
      <c r="U183" s="4"/>
    </row>
    <row r="184" spans="1:21">
      <c r="A184" t="s">
        <v>220</v>
      </c>
      <c r="B184">
        <v>10</v>
      </c>
      <c r="C184" t="str">
        <f t="shared" si="31"/>
        <v>test.Class11_10_</v>
      </c>
      <c r="D184">
        <v>13</v>
      </c>
      <c r="E184" s="4">
        <v>0.22167487684729065</v>
      </c>
      <c r="F184" s="4">
        <v>0.14192298377331072</v>
      </c>
      <c r="G184" s="4">
        <f t="shared" si="32"/>
        <v>0.22167487684729065</v>
      </c>
      <c r="H184" s="4" t="str">
        <f t="shared" si="33"/>
        <v/>
      </c>
      <c r="I184" s="4" t="str">
        <f t="shared" si="34"/>
        <v/>
      </c>
      <c r="J184" s="4" t="str">
        <f t="shared" si="35"/>
        <v/>
      </c>
      <c r="K184" s="4" t="str">
        <f t="shared" si="36"/>
        <v/>
      </c>
      <c r="L184" s="4" t="str">
        <f t="shared" si="37"/>
        <v/>
      </c>
      <c r="M184" s="4"/>
      <c r="N184" s="4"/>
      <c r="O184" s="4"/>
      <c r="P184" s="4"/>
      <c r="Q184" s="4"/>
      <c r="R184" s="4"/>
      <c r="S184" s="4"/>
      <c r="T184" s="4"/>
      <c r="U184" s="4"/>
    </row>
    <row r="185" spans="1:21">
      <c r="A185" t="s">
        <v>220</v>
      </c>
      <c r="B185">
        <v>10</v>
      </c>
      <c r="C185" t="str">
        <f t="shared" si="31"/>
        <v>test.Class11_10_</v>
      </c>
      <c r="D185">
        <v>14</v>
      </c>
      <c r="E185" s="4">
        <v>0.22167487684729065</v>
      </c>
      <c r="F185" s="4">
        <v>0.14277064664567693</v>
      </c>
      <c r="G185" s="4">
        <f t="shared" si="32"/>
        <v>0.22167487684729065</v>
      </c>
      <c r="H185" s="4" t="str">
        <f t="shared" si="33"/>
        <v/>
      </c>
      <c r="I185" s="4" t="str">
        <f t="shared" si="34"/>
        <v/>
      </c>
      <c r="J185" s="4" t="str">
        <f t="shared" si="35"/>
        <v/>
      </c>
      <c r="K185" s="4" t="str">
        <f t="shared" si="36"/>
        <v/>
      </c>
      <c r="L185" s="4" t="str">
        <f t="shared" si="37"/>
        <v/>
      </c>
      <c r="M185" s="4"/>
      <c r="N185" s="4"/>
      <c r="O185" s="4"/>
      <c r="P185" s="4"/>
      <c r="Q185" s="4"/>
      <c r="R185" s="4"/>
      <c r="S185" s="4"/>
      <c r="T185" s="4"/>
      <c r="U185" s="4"/>
    </row>
    <row r="186" spans="1:21">
      <c r="A186" t="s">
        <v>220</v>
      </c>
      <c r="B186">
        <v>10</v>
      </c>
      <c r="C186" t="str">
        <f t="shared" si="31"/>
        <v>test.Class11_10_</v>
      </c>
      <c r="D186">
        <v>15</v>
      </c>
      <c r="E186" s="4">
        <v>0.22167487684729065</v>
      </c>
      <c r="F186" s="4">
        <v>0.14319447808186</v>
      </c>
      <c r="G186" s="4">
        <f t="shared" si="32"/>
        <v>0.22167487684729065</v>
      </c>
      <c r="H186" s="4" t="str">
        <f t="shared" si="33"/>
        <v/>
      </c>
      <c r="I186" s="4" t="str">
        <f t="shared" si="34"/>
        <v/>
      </c>
      <c r="J186" s="4" t="str">
        <f t="shared" si="35"/>
        <v/>
      </c>
      <c r="K186" s="4" t="str">
        <f t="shared" si="36"/>
        <v/>
      </c>
      <c r="L186" s="4" t="str">
        <f t="shared" si="37"/>
        <v/>
      </c>
      <c r="M186" s="4"/>
      <c r="N186" s="4"/>
      <c r="O186" s="4"/>
      <c r="P186" s="4"/>
      <c r="Q186" s="4"/>
      <c r="R186" s="4"/>
      <c r="S186" s="4"/>
      <c r="T186" s="4"/>
      <c r="U186" s="4"/>
    </row>
    <row r="187" spans="1:21">
      <c r="A187" t="s">
        <v>220</v>
      </c>
      <c r="B187">
        <v>10</v>
      </c>
      <c r="C187" t="str">
        <f t="shared" si="31"/>
        <v>test.Class11_10_</v>
      </c>
      <c r="D187">
        <v>16</v>
      </c>
      <c r="E187" s="4">
        <v>0.22167487684729065</v>
      </c>
      <c r="F187" s="4">
        <v>0.14446597239040929</v>
      </c>
      <c r="G187" s="4">
        <f t="shared" si="32"/>
        <v>0.22167487684729065</v>
      </c>
      <c r="H187" s="4" t="str">
        <f t="shared" si="33"/>
        <v/>
      </c>
      <c r="I187" s="4" t="str">
        <f t="shared" si="34"/>
        <v/>
      </c>
      <c r="J187" s="4" t="str">
        <f t="shared" si="35"/>
        <v/>
      </c>
      <c r="K187" s="4" t="str">
        <f t="shared" si="36"/>
        <v/>
      </c>
      <c r="L187" s="4" t="str">
        <f t="shared" si="37"/>
        <v/>
      </c>
      <c r="M187" s="4"/>
      <c r="N187" s="4"/>
      <c r="O187" s="4"/>
      <c r="P187" s="4"/>
      <c r="Q187" s="4"/>
      <c r="R187" s="4"/>
      <c r="S187" s="4"/>
      <c r="T187" s="4"/>
      <c r="U187" s="4"/>
    </row>
    <row r="188" spans="1:21">
      <c r="A188" t="s">
        <v>220</v>
      </c>
      <c r="B188">
        <v>10</v>
      </c>
      <c r="C188" t="str">
        <f t="shared" si="31"/>
        <v>test.Class11_10_</v>
      </c>
      <c r="D188">
        <v>17</v>
      </c>
      <c r="E188" s="4">
        <v>0.33743842364532017</v>
      </c>
      <c r="F188" s="4">
        <v>0.15814967304432065</v>
      </c>
      <c r="G188" s="4">
        <f t="shared" si="32"/>
        <v>0.33743842364532017</v>
      </c>
      <c r="H188" s="4" t="str">
        <f t="shared" si="33"/>
        <v/>
      </c>
      <c r="I188" s="4" t="str">
        <f t="shared" si="34"/>
        <v/>
      </c>
      <c r="J188" s="4" t="str">
        <f t="shared" si="35"/>
        <v/>
      </c>
      <c r="K188" s="4" t="str">
        <f t="shared" si="36"/>
        <v/>
      </c>
      <c r="L188" s="4" t="str">
        <f t="shared" si="37"/>
        <v/>
      </c>
      <c r="M188" s="4"/>
      <c r="N188" s="4"/>
      <c r="O188" s="4"/>
      <c r="P188" s="4"/>
      <c r="Q188" s="4"/>
      <c r="R188" s="4"/>
      <c r="S188" s="4"/>
      <c r="T188" s="4"/>
      <c r="U188" s="4"/>
    </row>
    <row r="189" spans="1:21">
      <c r="A189" t="s">
        <v>220</v>
      </c>
      <c r="B189">
        <v>10</v>
      </c>
      <c r="C189" t="str">
        <f t="shared" si="31"/>
        <v>test.Class11_10_</v>
      </c>
      <c r="D189">
        <v>18</v>
      </c>
      <c r="E189" s="4">
        <v>0.45073891625615764</v>
      </c>
      <c r="F189" s="4">
        <v>0.15942116735286996</v>
      </c>
      <c r="G189" s="4">
        <f t="shared" si="32"/>
        <v>0.45073891625615764</v>
      </c>
      <c r="H189" s="4" t="str">
        <f t="shared" si="33"/>
        <v/>
      </c>
      <c r="I189" s="4" t="str">
        <f t="shared" si="34"/>
        <v/>
      </c>
      <c r="J189" s="4" t="str">
        <f t="shared" si="35"/>
        <v/>
      </c>
      <c r="K189" s="4" t="str">
        <f t="shared" si="36"/>
        <v/>
      </c>
      <c r="L189" s="4" t="str">
        <f t="shared" si="37"/>
        <v/>
      </c>
      <c r="M189" s="4"/>
      <c r="N189" s="4"/>
      <c r="O189" s="4"/>
      <c r="P189" s="4"/>
      <c r="Q189" s="4"/>
      <c r="R189" s="4"/>
      <c r="S189" s="4"/>
      <c r="T189" s="4"/>
      <c r="U189" s="4"/>
    </row>
    <row r="190" spans="1:21">
      <c r="A190" t="s">
        <v>220</v>
      </c>
      <c r="B190">
        <v>10</v>
      </c>
      <c r="C190" t="str">
        <f t="shared" si="31"/>
        <v>test.Class11_10_</v>
      </c>
      <c r="D190">
        <v>19</v>
      </c>
      <c r="E190" s="4">
        <v>0.58620689655172409</v>
      </c>
      <c r="F190" s="4">
        <v>0.16426495519496245</v>
      </c>
      <c r="G190" s="4">
        <f t="shared" si="32"/>
        <v>0.58620689655172409</v>
      </c>
      <c r="H190" s="4" t="str">
        <f t="shared" si="33"/>
        <v/>
      </c>
      <c r="I190" s="4" t="str">
        <f t="shared" si="34"/>
        <v/>
      </c>
      <c r="J190" s="4" t="str">
        <f t="shared" si="35"/>
        <v/>
      </c>
      <c r="K190" s="4" t="str">
        <f t="shared" si="36"/>
        <v/>
      </c>
      <c r="L190" s="4" t="str">
        <f t="shared" si="37"/>
        <v/>
      </c>
      <c r="M190" s="4"/>
      <c r="N190" s="4"/>
      <c r="O190" s="4"/>
      <c r="P190" s="4"/>
      <c r="Q190" s="4"/>
      <c r="R190" s="4"/>
      <c r="S190" s="4"/>
      <c r="T190" s="4"/>
      <c r="U190" s="4"/>
    </row>
    <row r="191" spans="1:21">
      <c r="A191" t="s">
        <v>220</v>
      </c>
      <c r="B191">
        <v>10</v>
      </c>
      <c r="C191" t="str">
        <f t="shared" si="31"/>
        <v>test.Class11_10_</v>
      </c>
      <c r="D191">
        <v>20</v>
      </c>
      <c r="E191" s="4">
        <v>0.58620689655172409</v>
      </c>
      <c r="F191" s="4">
        <v>0.16783724872850569</v>
      </c>
      <c r="G191" s="4">
        <f t="shared" si="32"/>
        <v>0.58620689655172409</v>
      </c>
      <c r="H191" s="4" t="str">
        <f t="shared" si="33"/>
        <v/>
      </c>
      <c r="I191" s="4" t="str">
        <f t="shared" si="34"/>
        <v/>
      </c>
      <c r="J191" s="4" t="str">
        <f t="shared" si="35"/>
        <v/>
      </c>
      <c r="K191" s="4" t="str">
        <f t="shared" si="36"/>
        <v/>
      </c>
      <c r="L191" s="4" t="str">
        <f t="shared" si="37"/>
        <v/>
      </c>
      <c r="M191" s="4"/>
      <c r="N191" s="4"/>
      <c r="O191" s="4"/>
      <c r="P191" s="4"/>
      <c r="Q191" s="4"/>
      <c r="R191" s="4"/>
      <c r="S191" s="4"/>
      <c r="T191" s="4"/>
      <c r="U191" s="4"/>
    </row>
    <row r="192" spans="1:21">
      <c r="A192" t="s">
        <v>220</v>
      </c>
      <c r="B192">
        <v>10</v>
      </c>
      <c r="C192" t="str">
        <f t="shared" si="31"/>
        <v>test.Class11_10_</v>
      </c>
      <c r="D192">
        <v>21</v>
      </c>
      <c r="E192" s="4">
        <v>0.58620689655172409</v>
      </c>
      <c r="F192" s="4">
        <v>0.17346815209493824</v>
      </c>
      <c r="G192" s="4">
        <f t="shared" si="32"/>
        <v>0.58620689655172409</v>
      </c>
      <c r="H192" s="4" t="str">
        <f t="shared" si="33"/>
        <v/>
      </c>
      <c r="I192" s="4" t="str">
        <f t="shared" si="34"/>
        <v/>
      </c>
      <c r="J192" s="4" t="str">
        <f t="shared" si="35"/>
        <v/>
      </c>
      <c r="K192" s="4" t="str">
        <f t="shared" si="36"/>
        <v/>
      </c>
      <c r="L192" s="4" t="str">
        <f t="shared" si="37"/>
        <v/>
      </c>
      <c r="M192" s="4"/>
      <c r="N192" s="4"/>
      <c r="O192" s="4"/>
      <c r="P192" s="4"/>
      <c r="Q192" s="4"/>
      <c r="R192" s="4"/>
      <c r="S192" s="4"/>
      <c r="T192" s="4"/>
      <c r="U192" s="4"/>
    </row>
    <row r="193" spans="1:21">
      <c r="A193" t="s">
        <v>220</v>
      </c>
      <c r="B193">
        <v>10</v>
      </c>
      <c r="C193" t="str">
        <f t="shared" si="31"/>
        <v>test.Class11_10_</v>
      </c>
      <c r="D193">
        <v>22</v>
      </c>
      <c r="E193" s="4">
        <v>0.58620689655172409</v>
      </c>
      <c r="F193" s="4">
        <v>0.17546621457980141</v>
      </c>
      <c r="G193" s="4">
        <f t="shared" si="32"/>
        <v>0.58620689655172409</v>
      </c>
      <c r="H193" s="4" t="str">
        <f t="shared" si="33"/>
        <v/>
      </c>
      <c r="I193" s="4" t="str">
        <f t="shared" si="34"/>
        <v/>
      </c>
      <c r="J193" s="4" t="str">
        <f t="shared" si="35"/>
        <v/>
      </c>
      <c r="K193" s="4" t="str">
        <f t="shared" si="36"/>
        <v/>
      </c>
      <c r="L193" s="4" t="str">
        <f t="shared" si="37"/>
        <v/>
      </c>
      <c r="M193" s="4"/>
      <c r="N193" s="4"/>
      <c r="O193" s="4"/>
      <c r="P193" s="4"/>
      <c r="Q193" s="4"/>
      <c r="R193" s="4"/>
      <c r="S193" s="4"/>
      <c r="T193" s="4"/>
      <c r="U193" s="4"/>
    </row>
    <row r="194" spans="1:21">
      <c r="A194" t="s">
        <v>220</v>
      </c>
      <c r="B194">
        <v>10</v>
      </c>
      <c r="C194" t="str">
        <f t="shared" si="31"/>
        <v>test.Class11_10_</v>
      </c>
      <c r="D194">
        <v>23</v>
      </c>
      <c r="E194" s="4">
        <v>0.77093596059113301</v>
      </c>
      <c r="F194" s="4">
        <v>0.22450956648098813</v>
      </c>
      <c r="G194" s="4" t="str">
        <f t="shared" si="32"/>
        <v/>
      </c>
      <c r="H194" s="4">
        <f t="shared" si="33"/>
        <v>0.77093596059113301</v>
      </c>
      <c r="I194" s="4" t="str">
        <f t="shared" si="34"/>
        <v/>
      </c>
      <c r="J194" s="4" t="str">
        <f t="shared" si="35"/>
        <v/>
      </c>
      <c r="K194" s="4" t="str">
        <f t="shared" si="36"/>
        <v/>
      </c>
      <c r="L194" s="4" t="str">
        <f t="shared" si="37"/>
        <v/>
      </c>
      <c r="M194" s="4"/>
      <c r="N194" s="4"/>
      <c r="O194" s="4"/>
      <c r="P194" s="4"/>
      <c r="Q194" s="4"/>
      <c r="R194" s="4"/>
      <c r="S194" s="4"/>
      <c r="T194" s="4"/>
      <c r="U194" s="4"/>
    </row>
    <row r="195" spans="1:21">
      <c r="A195" t="s">
        <v>220</v>
      </c>
      <c r="B195">
        <v>10</v>
      </c>
      <c r="C195" t="str">
        <f t="shared" ref="C195:C258" si="38">CONCATENATE(A195, "_",B195,"_")</f>
        <v>test.Class11_10_</v>
      </c>
      <c r="D195">
        <v>24</v>
      </c>
      <c r="E195" s="4">
        <v>0.77093596059113301</v>
      </c>
      <c r="F195" s="4">
        <v>0.22584160813756357</v>
      </c>
      <c r="G195" s="4" t="str">
        <f t="shared" ref="G195:G258" si="39">IF(F195 &lt;= 0.2,E195,"")</f>
        <v/>
      </c>
      <c r="H195" s="4">
        <f t="shared" ref="H195:H258" si="40">IF(AND($F195 &gt; 0.2,$F195 &lt;= 0.4),$E195,"")</f>
        <v>0.77093596059113301</v>
      </c>
      <c r="I195" s="4" t="str">
        <f t="shared" ref="I195:I258" si="41">IF(AND($F195 &gt; 0.4,$F195 &lt;= 0.6),$E195,"")</f>
        <v/>
      </c>
      <c r="J195" s="4" t="str">
        <f t="shared" ref="J195:J258" si="42">IF(AND($F195 &gt; 0.6,$F195 &lt;= 0.8),$E195,"")</f>
        <v/>
      </c>
      <c r="K195" s="4" t="str">
        <f t="shared" ref="K195:K258" si="43">IF(AND($F195 &gt; 0.8, $F195 &lt;=1.1),$E195,"")</f>
        <v/>
      </c>
      <c r="L195" s="4" t="str">
        <f t="shared" ref="L195:L258" si="44">IF(AND($F195 &gt; 1.1),$E195,"")</f>
        <v/>
      </c>
      <c r="M195" s="4"/>
      <c r="N195" s="4"/>
      <c r="O195" s="4"/>
      <c r="P195" s="4"/>
      <c r="Q195" s="4"/>
      <c r="R195" s="4"/>
      <c r="S195" s="4"/>
      <c r="T195" s="4"/>
      <c r="U195" s="4"/>
    </row>
    <row r="196" spans="1:21">
      <c r="A196" t="s">
        <v>220</v>
      </c>
      <c r="B196">
        <v>10</v>
      </c>
      <c r="C196" t="str">
        <f t="shared" si="38"/>
        <v>test.Class11_10_</v>
      </c>
      <c r="D196">
        <v>25</v>
      </c>
      <c r="E196" s="4">
        <v>0.77093596059113301</v>
      </c>
      <c r="F196" s="4">
        <v>0.22705255509808669</v>
      </c>
      <c r="G196" s="4" t="str">
        <f t="shared" si="39"/>
        <v/>
      </c>
      <c r="H196" s="4">
        <f t="shared" si="40"/>
        <v>0.77093596059113301</v>
      </c>
      <c r="I196" s="4" t="str">
        <f t="shared" si="41"/>
        <v/>
      </c>
      <c r="J196" s="4" t="str">
        <f t="shared" si="42"/>
        <v/>
      </c>
      <c r="K196" s="4" t="str">
        <f t="shared" si="43"/>
        <v/>
      </c>
      <c r="L196" s="4" t="str">
        <f t="shared" si="44"/>
        <v/>
      </c>
      <c r="M196" s="4"/>
      <c r="N196" s="4"/>
      <c r="O196" s="4"/>
      <c r="P196" s="4"/>
      <c r="Q196" s="4"/>
      <c r="R196" s="4"/>
      <c r="S196" s="4"/>
      <c r="T196" s="4"/>
      <c r="U196" s="4"/>
    </row>
    <row r="197" spans="1:21">
      <c r="A197" t="s">
        <v>220</v>
      </c>
      <c r="B197">
        <v>10</v>
      </c>
      <c r="C197" t="str">
        <f t="shared" si="38"/>
        <v>test.Class11_10_</v>
      </c>
      <c r="D197">
        <v>26</v>
      </c>
      <c r="E197" s="4">
        <v>0.77093596059113301</v>
      </c>
      <c r="F197" s="4">
        <v>0.22759748123032211</v>
      </c>
      <c r="G197" s="4" t="str">
        <f t="shared" si="39"/>
        <v/>
      </c>
      <c r="H197" s="4">
        <f t="shared" si="40"/>
        <v>0.77093596059113301</v>
      </c>
      <c r="I197" s="4" t="str">
        <f t="shared" si="41"/>
        <v/>
      </c>
      <c r="J197" s="4" t="str">
        <f t="shared" si="42"/>
        <v/>
      </c>
      <c r="K197" s="4" t="str">
        <f t="shared" si="43"/>
        <v/>
      </c>
      <c r="L197" s="4" t="str">
        <f t="shared" si="44"/>
        <v/>
      </c>
      <c r="M197" s="4"/>
      <c r="N197" s="4"/>
      <c r="O197" s="4"/>
      <c r="P197" s="4"/>
      <c r="Q197" s="4"/>
      <c r="R197" s="4"/>
      <c r="S197" s="4"/>
      <c r="T197" s="4"/>
      <c r="U197" s="4"/>
    </row>
    <row r="198" spans="1:21">
      <c r="A198" t="s">
        <v>220</v>
      </c>
      <c r="B198">
        <v>10</v>
      </c>
      <c r="C198" t="str">
        <f t="shared" si="38"/>
        <v>test.Class11_10_</v>
      </c>
      <c r="D198">
        <v>27</v>
      </c>
      <c r="E198" s="4">
        <v>0.77093596059113301</v>
      </c>
      <c r="F198" s="4">
        <v>0.23643739404214095</v>
      </c>
      <c r="G198" s="4" t="str">
        <f t="shared" si="39"/>
        <v/>
      </c>
      <c r="H198" s="4">
        <f t="shared" si="40"/>
        <v>0.77093596059113301</v>
      </c>
      <c r="I198" s="4" t="str">
        <f t="shared" si="41"/>
        <v/>
      </c>
      <c r="J198" s="4" t="str">
        <f t="shared" si="42"/>
        <v/>
      </c>
      <c r="K198" s="4" t="str">
        <f t="shared" si="43"/>
        <v/>
      </c>
      <c r="L198" s="4" t="str">
        <f t="shared" si="44"/>
        <v/>
      </c>
      <c r="M198" s="4"/>
      <c r="N198" s="4"/>
      <c r="O198" s="4"/>
      <c r="P198" s="4"/>
      <c r="Q198" s="4"/>
      <c r="R198" s="4"/>
      <c r="S198" s="4"/>
      <c r="T198" s="4"/>
      <c r="U198" s="4"/>
    </row>
    <row r="199" spans="1:21">
      <c r="A199" t="s">
        <v>220</v>
      </c>
      <c r="B199">
        <v>10</v>
      </c>
      <c r="C199" t="str">
        <f t="shared" si="38"/>
        <v>test.Class11_10_</v>
      </c>
      <c r="D199">
        <v>28</v>
      </c>
      <c r="E199" s="4">
        <v>0.77093596059113301</v>
      </c>
      <c r="F199" s="4">
        <v>0.23789053039476871</v>
      </c>
      <c r="G199" s="4" t="str">
        <f t="shared" si="39"/>
        <v/>
      </c>
      <c r="H199" s="4">
        <f t="shared" si="40"/>
        <v>0.77093596059113301</v>
      </c>
      <c r="I199" s="4" t="str">
        <f t="shared" si="41"/>
        <v/>
      </c>
      <c r="J199" s="4" t="str">
        <f t="shared" si="42"/>
        <v/>
      </c>
      <c r="K199" s="4" t="str">
        <f t="shared" si="43"/>
        <v/>
      </c>
      <c r="L199" s="4" t="str">
        <f t="shared" si="44"/>
        <v/>
      </c>
      <c r="M199" s="4"/>
      <c r="N199" s="4"/>
      <c r="O199" s="4"/>
      <c r="P199" s="4"/>
      <c r="Q199" s="4"/>
      <c r="R199" s="4"/>
      <c r="S199" s="4"/>
      <c r="T199" s="4"/>
      <c r="U199" s="4"/>
    </row>
    <row r="200" spans="1:21">
      <c r="A200" t="s">
        <v>220</v>
      </c>
      <c r="B200">
        <v>10</v>
      </c>
      <c r="C200" t="str">
        <f t="shared" si="38"/>
        <v>test.Class11_10_</v>
      </c>
      <c r="D200">
        <v>29</v>
      </c>
      <c r="E200" s="4">
        <v>0.77093596059113301</v>
      </c>
      <c r="F200" s="4">
        <v>0.2386170985710826</v>
      </c>
      <c r="G200" s="4" t="str">
        <f t="shared" si="39"/>
        <v/>
      </c>
      <c r="H200" s="4">
        <f t="shared" si="40"/>
        <v>0.77093596059113301</v>
      </c>
      <c r="I200" s="4" t="str">
        <f t="shared" si="41"/>
        <v/>
      </c>
      <c r="J200" s="4" t="str">
        <f t="shared" si="42"/>
        <v/>
      </c>
      <c r="K200" s="4" t="str">
        <f t="shared" si="43"/>
        <v/>
      </c>
      <c r="L200" s="4" t="str">
        <f t="shared" si="44"/>
        <v/>
      </c>
      <c r="M200" s="4"/>
      <c r="N200" s="4"/>
      <c r="O200" s="4"/>
      <c r="P200" s="4"/>
      <c r="Q200" s="4"/>
      <c r="R200" s="4"/>
      <c r="S200" s="4"/>
      <c r="T200" s="4"/>
      <c r="U200" s="4"/>
    </row>
    <row r="201" spans="1:21">
      <c r="A201" t="s">
        <v>220</v>
      </c>
      <c r="B201">
        <v>10</v>
      </c>
      <c r="C201" t="str">
        <f t="shared" si="38"/>
        <v>test.Class11_10_</v>
      </c>
      <c r="D201">
        <v>30</v>
      </c>
      <c r="E201" s="4">
        <v>0.77093596059113301</v>
      </c>
      <c r="F201" s="4">
        <v>0.24545894889803826</v>
      </c>
      <c r="G201" s="4" t="str">
        <f t="shared" si="39"/>
        <v/>
      </c>
      <c r="H201" s="4">
        <f t="shared" si="40"/>
        <v>0.77093596059113301</v>
      </c>
      <c r="I201" s="4" t="str">
        <f t="shared" si="41"/>
        <v/>
      </c>
      <c r="J201" s="4" t="str">
        <f t="shared" si="42"/>
        <v/>
      </c>
      <c r="K201" s="4" t="str">
        <f t="shared" si="43"/>
        <v/>
      </c>
      <c r="L201" s="4" t="str">
        <f t="shared" si="44"/>
        <v/>
      </c>
      <c r="M201" s="4"/>
      <c r="N201" s="4"/>
      <c r="O201" s="4"/>
      <c r="P201" s="4"/>
      <c r="Q201" s="4"/>
      <c r="R201" s="4"/>
      <c r="S201" s="4"/>
      <c r="T201" s="4"/>
      <c r="U201" s="4"/>
    </row>
    <row r="202" spans="1:21">
      <c r="A202" t="s">
        <v>220</v>
      </c>
      <c r="B202">
        <v>10</v>
      </c>
      <c r="C202" t="str">
        <f t="shared" si="38"/>
        <v>test.Class11_10_</v>
      </c>
      <c r="D202">
        <v>31</v>
      </c>
      <c r="E202" s="4">
        <v>1</v>
      </c>
      <c r="F202" s="4">
        <v>0.28045531605715668</v>
      </c>
      <c r="G202" s="4" t="str">
        <f t="shared" si="39"/>
        <v/>
      </c>
      <c r="H202" s="4">
        <f t="shared" si="40"/>
        <v>1</v>
      </c>
      <c r="I202" s="4" t="str">
        <f t="shared" si="41"/>
        <v/>
      </c>
      <c r="J202" s="4" t="str">
        <f t="shared" si="42"/>
        <v/>
      </c>
      <c r="K202" s="4" t="str">
        <f t="shared" si="43"/>
        <v/>
      </c>
      <c r="L202" s="4" t="str">
        <f t="shared" si="44"/>
        <v/>
      </c>
      <c r="M202" s="4"/>
      <c r="N202" s="4"/>
      <c r="O202" s="4"/>
      <c r="P202" s="4"/>
      <c r="Q202" s="4"/>
      <c r="R202" s="4"/>
      <c r="S202" s="4"/>
      <c r="T202" s="4"/>
      <c r="U202" s="4"/>
    </row>
    <row r="203" spans="1:21">
      <c r="A203" t="s">
        <v>220</v>
      </c>
      <c r="B203">
        <v>10</v>
      </c>
      <c r="C203" t="str">
        <f t="shared" si="38"/>
        <v>test.Class11_10_</v>
      </c>
      <c r="D203">
        <v>32</v>
      </c>
      <c r="E203" s="4">
        <v>1</v>
      </c>
      <c r="F203" s="4">
        <v>0.2943812061031727</v>
      </c>
      <c r="G203" s="4" t="str">
        <f t="shared" si="39"/>
        <v/>
      </c>
      <c r="H203" s="4">
        <f t="shared" si="40"/>
        <v>1</v>
      </c>
      <c r="I203" s="4" t="str">
        <f t="shared" si="41"/>
        <v/>
      </c>
      <c r="J203" s="4" t="str">
        <f t="shared" si="42"/>
        <v/>
      </c>
      <c r="K203" s="4" t="str">
        <f t="shared" si="43"/>
        <v/>
      </c>
      <c r="L203" s="4" t="str">
        <f t="shared" si="44"/>
        <v/>
      </c>
      <c r="M203" s="4"/>
      <c r="N203" s="4"/>
      <c r="O203" s="4"/>
      <c r="P203" s="4"/>
      <c r="Q203" s="4"/>
      <c r="R203" s="4"/>
      <c r="S203" s="4"/>
      <c r="T203" s="4"/>
      <c r="U203" s="4"/>
    </row>
    <row r="204" spans="1:21">
      <c r="A204" t="s">
        <v>220</v>
      </c>
      <c r="B204">
        <v>11</v>
      </c>
      <c r="C204" t="str">
        <f t="shared" si="38"/>
        <v>test.Class11_11_</v>
      </c>
      <c r="D204">
        <v>1</v>
      </c>
      <c r="E204" s="4">
        <v>5.208333333333333E-3</v>
      </c>
      <c r="F204" s="4">
        <v>1.7577588574567427E-2</v>
      </c>
      <c r="G204" s="4">
        <f t="shared" si="39"/>
        <v>5.208333333333333E-3</v>
      </c>
      <c r="H204" s="4" t="str">
        <f t="shared" si="40"/>
        <v/>
      </c>
      <c r="I204" s="4" t="str">
        <f t="shared" si="41"/>
        <v/>
      </c>
      <c r="J204" s="4" t="str">
        <f t="shared" si="42"/>
        <v/>
      </c>
      <c r="K204" s="4" t="str">
        <f t="shared" si="43"/>
        <v/>
      </c>
      <c r="L204" s="4" t="str">
        <f t="shared" si="44"/>
        <v/>
      </c>
      <c r="M204" s="4"/>
      <c r="N204" s="4"/>
      <c r="O204" s="4"/>
      <c r="P204" s="4"/>
      <c r="Q204" s="4"/>
      <c r="R204" s="4"/>
      <c r="S204" s="4"/>
      <c r="T204" s="4"/>
      <c r="U204" s="4"/>
    </row>
    <row r="205" spans="1:21">
      <c r="A205" t="s">
        <v>220</v>
      </c>
      <c r="B205">
        <v>11</v>
      </c>
      <c r="C205" t="str">
        <f t="shared" si="38"/>
        <v>test.Class11_11_</v>
      </c>
      <c r="D205">
        <v>2</v>
      </c>
      <c r="E205" s="4">
        <v>8.8541666666666671E-2</v>
      </c>
      <c r="F205" s="4">
        <v>0.12551496841527052</v>
      </c>
      <c r="G205" s="4">
        <f t="shared" si="39"/>
        <v>8.8541666666666671E-2</v>
      </c>
      <c r="H205" s="4" t="str">
        <f t="shared" si="40"/>
        <v/>
      </c>
      <c r="I205" s="4" t="str">
        <f t="shared" si="41"/>
        <v/>
      </c>
      <c r="J205" s="4" t="str">
        <f t="shared" si="42"/>
        <v/>
      </c>
      <c r="K205" s="4" t="str">
        <f t="shared" si="43"/>
        <v/>
      </c>
      <c r="L205" s="4" t="str">
        <f t="shared" si="44"/>
        <v/>
      </c>
      <c r="M205" s="4"/>
      <c r="N205" s="4"/>
      <c r="O205" s="4"/>
      <c r="P205" s="4"/>
      <c r="Q205" s="4"/>
      <c r="R205" s="4"/>
      <c r="S205" s="4"/>
      <c r="T205" s="4"/>
      <c r="U205" s="4"/>
    </row>
    <row r="206" spans="1:21">
      <c r="A206" t="s">
        <v>220</v>
      </c>
      <c r="B206">
        <v>11</v>
      </c>
      <c r="C206" t="str">
        <f t="shared" si="38"/>
        <v>test.Class11_11_</v>
      </c>
      <c r="D206">
        <v>3</v>
      </c>
      <c r="E206" s="4">
        <v>0.11979166666666667</v>
      </c>
      <c r="F206" s="4">
        <v>0.15023345234825597</v>
      </c>
      <c r="G206" s="4">
        <f t="shared" si="39"/>
        <v>0.11979166666666667</v>
      </c>
      <c r="H206" s="4" t="str">
        <f t="shared" si="40"/>
        <v/>
      </c>
      <c r="I206" s="4" t="str">
        <f t="shared" si="41"/>
        <v/>
      </c>
      <c r="J206" s="4" t="str">
        <f t="shared" si="42"/>
        <v/>
      </c>
      <c r="K206" s="4" t="str">
        <f t="shared" si="43"/>
        <v/>
      </c>
      <c r="L206" s="4" t="str">
        <f t="shared" si="44"/>
        <v/>
      </c>
      <c r="M206" s="4"/>
      <c r="N206" s="4"/>
      <c r="O206" s="4"/>
      <c r="P206" s="4"/>
      <c r="Q206" s="4"/>
      <c r="R206" s="4"/>
      <c r="S206" s="4"/>
      <c r="T206" s="4"/>
      <c r="U206" s="4"/>
    </row>
    <row r="207" spans="1:21">
      <c r="A207" t="s">
        <v>220</v>
      </c>
      <c r="B207">
        <v>11</v>
      </c>
      <c r="C207" t="str">
        <f t="shared" si="38"/>
        <v>test.Class11_11_</v>
      </c>
      <c r="D207">
        <v>4</v>
      </c>
      <c r="E207" s="4">
        <v>0.26041666666666669</v>
      </c>
      <c r="F207" s="4">
        <v>0.23249107388080198</v>
      </c>
      <c r="G207" s="4" t="str">
        <f t="shared" si="39"/>
        <v/>
      </c>
      <c r="H207" s="4">
        <f t="shared" si="40"/>
        <v>0.26041666666666669</v>
      </c>
      <c r="I207" s="4" t="str">
        <f t="shared" si="41"/>
        <v/>
      </c>
      <c r="J207" s="4" t="str">
        <f t="shared" si="42"/>
        <v/>
      </c>
      <c r="K207" s="4" t="str">
        <f t="shared" si="43"/>
        <v/>
      </c>
      <c r="L207" s="4" t="str">
        <f t="shared" si="44"/>
        <v/>
      </c>
      <c r="M207" s="4"/>
      <c r="N207" s="4"/>
      <c r="O207" s="4"/>
      <c r="P207" s="4"/>
      <c r="Q207" s="4"/>
      <c r="R207" s="4"/>
      <c r="S207" s="4"/>
      <c r="T207" s="4"/>
      <c r="U207" s="4"/>
    </row>
    <row r="208" spans="1:21">
      <c r="A208" t="s">
        <v>220</v>
      </c>
      <c r="B208">
        <v>11</v>
      </c>
      <c r="C208" t="str">
        <f t="shared" si="38"/>
        <v>test.Class11_11_</v>
      </c>
      <c r="D208">
        <v>5</v>
      </c>
      <c r="E208" s="4">
        <v>0.40104166666666669</v>
      </c>
      <c r="F208" s="4">
        <v>0.24951936281241416</v>
      </c>
      <c r="G208" s="4" t="str">
        <f t="shared" si="39"/>
        <v/>
      </c>
      <c r="H208" s="4">
        <f t="shared" si="40"/>
        <v>0.40104166666666669</v>
      </c>
      <c r="I208" s="4" t="str">
        <f t="shared" si="41"/>
        <v/>
      </c>
      <c r="J208" s="4" t="str">
        <f t="shared" si="42"/>
        <v/>
      </c>
      <c r="K208" s="4" t="str">
        <f t="shared" si="43"/>
        <v/>
      </c>
      <c r="L208" s="4" t="str">
        <f t="shared" si="44"/>
        <v/>
      </c>
      <c r="M208" s="4"/>
      <c r="N208" s="4"/>
      <c r="O208" s="4"/>
      <c r="P208" s="4"/>
      <c r="Q208" s="4"/>
      <c r="R208" s="4"/>
      <c r="S208" s="4"/>
      <c r="T208" s="4"/>
      <c r="U208" s="4"/>
    </row>
    <row r="209" spans="1:21">
      <c r="A209" t="s">
        <v>220</v>
      </c>
      <c r="B209">
        <v>11</v>
      </c>
      <c r="C209" t="str">
        <f t="shared" si="38"/>
        <v>test.Class11_11_</v>
      </c>
      <c r="D209">
        <v>6</v>
      </c>
      <c r="E209" s="4">
        <v>0.54166666666666663</v>
      </c>
      <c r="F209" s="4">
        <v>0.25611095852787696</v>
      </c>
      <c r="G209" s="4" t="str">
        <f t="shared" si="39"/>
        <v/>
      </c>
      <c r="H209" s="4">
        <f t="shared" si="40"/>
        <v>0.54166666666666663</v>
      </c>
      <c r="I209" s="4" t="str">
        <f t="shared" si="41"/>
        <v/>
      </c>
      <c r="J209" s="4" t="str">
        <f t="shared" si="42"/>
        <v/>
      </c>
      <c r="K209" s="4" t="str">
        <f t="shared" si="43"/>
        <v/>
      </c>
      <c r="L209" s="4" t="str">
        <f t="shared" si="44"/>
        <v/>
      </c>
      <c r="M209" s="4"/>
      <c r="N209" s="4"/>
      <c r="O209" s="4"/>
      <c r="P209" s="4"/>
      <c r="Q209" s="4"/>
      <c r="R209" s="4"/>
      <c r="S209" s="4"/>
      <c r="T209" s="4"/>
      <c r="U209" s="4"/>
    </row>
    <row r="210" spans="1:21">
      <c r="A210" t="s">
        <v>220</v>
      </c>
      <c r="B210">
        <v>11</v>
      </c>
      <c r="C210" t="str">
        <f t="shared" si="38"/>
        <v>test.Class11_11_</v>
      </c>
      <c r="D210">
        <v>7</v>
      </c>
      <c r="E210" s="4">
        <v>0.68229166666666663</v>
      </c>
      <c r="F210" s="4">
        <v>0.26091733040373521</v>
      </c>
      <c r="G210" s="4" t="str">
        <f t="shared" si="39"/>
        <v/>
      </c>
      <c r="H210" s="4">
        <f t="shared" si="40"/>
        <v>0.68229166666666663</v>
      </c>
      <c r="I210" s="4" t="str">
        <f t="shared" si="41"/>
        <v/>
      </c>
      <c r="J210" s="4" t="str">
        <f t="shared" si="42"/>
        <v/>
      </c>
      <c r="K210" s="4" t="str">
        <f t="shared" si="43"/>
        <v/>
      </c>
      <c r="L210" s="4" t="str">
        <f t="shared" si="44"/>
        <v/>
      </c>
      <c r="M210" s="4"/>
      <c r="N210" s="4"/>
      <c r="O210" s="4"/>
      <c r="P210" s="4"/>
      <c r="Q210" s="4"/>
      <c r="R210" s="4"/>
      <c r="S210" s="4"/>
      <c r="T210" s="4"/>
      <c r="U210" s="4"/>
    </row>
    <row r="211" spans="1:21">
      <c r="A211" t="s">
        <v>220</v>
      </c>
      <c r="B211">
        <v>11</v>
      </c>
      <c r="C211" t="str">
        <f t="shared" si="38"/>
        <v>test.Class11_11_</v>
      </c>
      <c r="D211">
        <v>8</v>
      </c>
      <c r="E211" s="4">
        <v>0.68229166666666663</v>
      </c>
      <c r="F211" s="4">
        <v>0.26242790442186215</v>
      </c>
      <c r="G211" s="4" t="str">
        <f t="shared" si="39"/>
        <v/>
      </c>
      <c r="H211" s="4">
        <f t="shared" si="40"/>
        <v>0.68229166666666663</v>
      </c>
      <c r="I211" s="4" t="str">
        <f t="shared" si="41"/>
        <v/>
      </c>
      <c r="J211" s="4" t="str">
        <f t="shared" si="42"/>
        <v/>
      </c>
      <c r="K211" s="4" t="str">
        <f t="shared" si="43"/>
        <v/>
      </c>
      <c r="L211" s="4" t="str">
        <f t="shared" si="44"/>
        <v/>
      </c>
      <c r="M211" s="4"/>
      <c r="N211" s="4"/>
      <c r="O211" s="4"/>
      <c r="P211" s="4"/>
      <c r="Q211" s="4"/>
      <c r="R211" s="4"/>
      <c r="S211" s="4"/>
      <c r="T211" s="4"/>
      <c r="U211" s="4"/>
    </row>
    <row r="212" spans="1:21">
      <c r="A212" t="s">
        <v>220</v>
      </c>
      <c r="B212">
        <v>11</v>
      </c>
      <c r="C212" t="str">
        <f t="shared" si="38"/>
        <v>test.Class11_11_</v>
      </c>
      <c r="D212">
        <v>9</v>
      </c>
      <c r="E212" s="4">
        <v>0.68229166666666663</v>
      </c>
      <c r="F212" s="4">
        <v>0.26737160120845921</v>
      </c>
      <c r="G212" s="4" t="str">
        <f t="shared" si="39"/>
        <v/>
      </c>
      <c r="H212" s="4">
        <f t="shared" si="40"/>
        <v>0.68229166666666663</v>
      </c>
      <c r="I212" s="4" t="str">
        <f t="shared" si="41"/>
        <v/>
      </c>
      <c r="J212" s="4" t="str">
        <f t="shared" si="42"/>
        <v/>
      </c>
      <c r="K212" s="4" t="str">
        <f t="shared" si="43"/>
        <v/>
      </c>
      <c r="L212" s="4" t="str">
        <f t="shared" si="44"/>
        <v/>
      </c>
      <c r="M212" s="4"/>
      <c r="N212" s="4"/>
      <c r="O212" s="4"/>
      <c r="P212" s="4"/>
      <c r="Q212" s="4"/>
      <c r="R212" s="4"/>
      <c r="S212" s="4"/>
      <c r="T212" s="4"/>
      <c r="U212" s="4"/>
    </row>
    <row r="213" spans="1:21">
      <c r="A213" t="s">
        <v>220</v>
      </c>
      <c r="B213">
        <v>11</v>
      </c>
      <c r="C213" t="str">
        <f t="shared" si="38"/>
        <v>test.Class11_11_</v>
      </c>
      <c r="D213">
        <v>10</v>
      </c>
      <c r="E213" s="4">
        <v>0.68229166666666663</v>
      </c>
      <c r="F213" s="4">
        <v>0.27931886844273551</v>
      </c>
      <c r="G213" s="4" t="str">
        <f t="shared" si="39"/>
        <v/>
      </c>
      <c r="H213" s="4">
        <f t="shared" si="40"/>
        <v>0.68229166666666663</v>
      </c>
      <c r="I213" s="4" t="str">
        <f t="shared" si="41"/>
        <v/>
      </c>
      <c r="J213" s="4" t="str">
        <f t="shared" si="42"/>
        <v/>
      </c>
      <c r="K213" s="4" t="str">
        <f t="shared" si="43"/>
        <v/>
      </c>
      <c r="L213" s="4" t="str">
        <f t="shared" si="44"/>
        <v/>
      </c>
      <c r="M213" s="4"/>
      <c r="N213" s="4"/>
      <c r="O213" s="4"/>
      <c r="P213" s="4"/>
      <c r="Q213" s="4"/>
      <c r="R213" s="4"/>
      <c r="S213" s="4"/>
      <c r="T213" s="4"/>
      <c r="U213" s="4"/>
    </row>
    <row r="214" spans="1:21">
      <c r="A214" t="s">
        <v>220</v>
      </c>
      <c r="B214">
        <v>11</v>
      </c>
      <c r="C214" t="str">
        <f t="shared" si="38"/>
        <v>test.Class11_11_</v>
      </c>
      <c r="D214">
        <v>11</v>
      </c>
      <c r="E214" s="4">
        <v>0.68229166666666663</v>
      </c>
      <c r="F214" s="4">
        <v>0.29552320790991488</v>
      </c>
      <c r="G214" s="4" t="str">
        <f t="shared" si="39"/>
        <v/>
      </c>
      <c r="H214" s="4">
        <f t="shared" si="40"/>
        <v>0.68229166666666663</v>
      </c>
      <c r="I214" s="4" t="str">
        <f t="shared" si="41"/>
        <v/>
      </c>
      <c r="J214" s="4" t="str">
        <f t="shared" si="42"/>
        <v/>
      </c>
      <c r="K214" s="4" t="str">
        <f t="shared" si="43"/>
        <v/>
      </c>
      <c r="L214" s="4" t="str">
        <f t="shared" si="44"/>
        <v/>
      </c>
      <c r="M214" s="4"/>
      <c r="N214" s="4"/>
      <c r="O214" s="4"/>
      <c r="P214" s="4"/>
      <c r="Q214" s="4"/>
      <c r="R214" s="4"/>
      <c r="S214" s="4"/>
      <c r="T214" s="4"/>
      <c r="U214" s="4"/>
    </row>
    <row r="215" spans="1:21">
      <c r="A215" t="s">
        <v>220</v>
      </c>
      <c r="B215">
        <v>11</v>
      </c>
      <c r="C215" t="str">
        <f t="shared" si="38"/>
        <v>test.Class11_11_</v>
      </c>
      <c r="D215">
        <v>12</v>
      </c>
      <c r="E215" s="4">
        <v>1</v>
      </c>
      <c r="F215" s="4">
        <v>0.96951386981598464</v>
      </c>
      <c r="G215" s="4" t="str">
        <f t="shared" si="39"/>
        <v/>
      </c>
      <c r="H215" s="4" t="str">
        <f t="shared" si="40"/>
        <v/>
      </c>
      <c r="I215" s="4" t="str">
        <f t="shared" si="41"/>
        <v/>
      </c>
      <c r="J215" s="4" t="str">
        <f t="shared" si="42"/>
        <v/>
      </c>
      <c r="K215" s="4">
        <f t="shared" si="43"/>
        <v>1</v>
      </c>
      <c r="L215" s="4" t="str">
        <f t="shared" si="44"/>
        <v/>
      </c>
      <c r="M215" s="4"/>
      <c r="N215" s="4"/>
      <c r="O215" s="4"/>
      <c r="P215" s="4"/>
      <c r="Q215" s="4"/>
      <c r="R215" s="4"/>
      <c r="S215" s="4"/>
      <c r="T215" s="4"/>
      <c r="U215" s="4"/>
    </row>
    <row r="216" spans="1:21">
      <c r="A216" t="s">
        <v>220</v>
      </c>
      <c r="B216">
        <v>11</v>
      </c>
      <c r="C216" t="str">
        <f t="shared" si="38"/>
        <v>test.Class11_11_</v>
      </c>
      <c r="D216">
        <v>13</v>
      </c>
      <c r="E216" s="4">
        <v>1</v>
      </c>
      <c r="F216" s="4">
        <v>1.0031584729469927</v>
      </c>
      <c r="G216" s="4" t="str">
        <f t="shared" si="39"/>
        <v/>
      </c>
      <c r="H216" s="4" t="str">
        <f t="shared" si="40"/>
        <v/>
      </c>
      <c r="I216" s="4" t="str">
        <f t="shared" si="41"/>
        <v/>
      </c>
      <c r="J216" s="4" t="str">
        <f t="shared" si="42"/>
        <v/>
      </c>
      <c r="K216" s="4">
        <f t="shared" si="43"/>
        <v>1</v>
      </c>
      <c r="L216" s="4" t="str">
        <f t="shared" si="44"/>
        <v/>
      </c>
      <c r="M216" s="4"/>
      <c r="N216" s="4"/>
      <c r="O216" s="4"/>
      <c r="P216" s="4"/>
      <c r="Q216" s="4"/>
      <c r="R216" s="4"/>
      <c r="S216" s="4"/>
      <c r="T216" s="4"/>
      <c r="U216" s="4"/>
    </row>
    <row r="217" spans="1:21">
      <c r="A217" t="s">
        <v>220</v>
      </c>
      <c r="B217">
        <v>12</v>
      </c>
      <c r="C217" t="str">
        <f t="shared" si="38"/>
        <v>test.Class11_12_</v>
      </c>
      <c r="D217">
        <v>1</v>
      </c>
      <c r="E217" s="4">
        <v>8.4745762711864406E-3</v>
      </c>
      <c r="F217" s="4">
        <v>2.6424983620877921E-2</v>
      </c>
      <c r="G217" s="4">
        <f t="shared" si="39"/>
        <v>8.4745762711864406E-3</v>
      </c>
      <c r="H217" s="4" t="str">
        <f t="shared" si="40"/>
        <v/>
      </c>
      <c r="I217" s="4" t="str">
        <f t="shared" si="41"/>
        <v/>
      </c>
      <c r="J217" s="4" t="str">
        <f t="shared" si="42"/>
        <v/>
      </c>
      <c r="K217" s="4" t="str">
        <f t="shared" si="43"/>
        <v/>
      </c>
      <c r="L217" s="4" t="str">
        <f t="shared" si="44"/>
        <v/>
      </c>
      <c r="M217" s="4"/>
      <c r="N217" s="4"/>
      <c r="O217" s="4"/>
      <c r="P217" s="4"/>
      <c r="Q217" s="4"/>
      <c r="R217" s="4"/>
      <c r="S217" s="4"/>
      <c r="T217" s="4"/>
      <c r="U217" s="4"/>
    </row>
    <row r="218" spans="1:21">
      <c r="A218" t="s">
        <v>220</v>
      </c>
      <c r="B218">
        <v>12</v>
      </c>
      <c r="C218" t="str">
        <f t="shared" si="38"/>
        <v>test.Class11_12_</v>
      </c>
      <c r="D218">
        <v>2</v>
      </c>
      <c r="E218" s="4">
        <v>0.52542372881355937</v>
      </c>
      <c r="F218" s="4">
        <v>0.59292421926184757</v>
      </c>
      <c r="G218" s="4" t="str">
        <f t="shared" si="39"/>
        <v/>
      </c>
      <c r="H218" s="4" t="str">
        <f t="shared" si="40"/>
        <v/>
      </c>
      <c r="I218" s="4">
        <f t="shared" si="41"/>
        <v>0.52542372881355937</v>
      </c>
      <c r="J218" s="4" t="str">
        <f t="shared" si="42"/>
        <v/>
      </c>
      <c r="K218" s="4" t="str">
        <f t="shared" si="43"/>
        <v/>
      </c>
      <c r="L218" s="4" t="str">
        <f t="shared" si="44"/>
        <v/>
      </c>
      <c r="M218" s="4"/>
      <c r="N218" s="4"/>
      <c r="O218" s="4"/>
      <c r="P218" s="4"/>
      <c r="Q218" s="4"/>
      <c r="R218" s="4"/>
      <c r="S218" s="4"/>
      <c r="T218" s="4"/>
      <c r="U218" s="4"/>
    </row>
    <row r="219" spans="1:21">
      <c r="A219" t="s">
        <v>220</v>
      </c>
      <c r="B219">
        <v>12</v>
      </c>
      <c r="C219" t="str">
        <f t="shared" si="38"/>
        <v>test.Class11_12_</v>
      </c>
      <c r="D219">
        <v>3</v>
      </c>
      <c r="E219" s="4">
        <v>0.55932203389830504</v>
      </c>
      <c r="F219" s="4">
        <v>0.62655601659751037</v>
      </c>
      <c r="G219" s="4" t="str">
        <f t="shared" si="39"/>
        <v/>
      </c>
      <c r="H219" s="4" t="str">
        <f t="shared" si="40"/>
        <v/>
      </c>
      <c r="I219" s="4" t="str">
        <f t="shared" si="41"/>
        <v/>
      </c>
      <c r="J219" s="4">
        <f t="shared" si="42"/>
        <v>0.55932203389830504</v>
      </c>
      <c r="K219" s="4" t="str">
        <f t="shared" si="43"/>
        <v/>
      </c>
      <c r="L219" s="4" t="str">
        <f t="shared" si="44"/>
        <v/>
      </c>
      <c r="M219" s="4"/>
      <c r="N219" s="4"/>
      <c r="O219" s="4"/>
      <c r="P219" s="4"/>
      <c r="Q219" s="4"/>
      <c r="R219" s="4"/>
      <c r="S219" s="4"/>
      <c r="T219" s="4"/>
      <c r="U219" s="4"/>
    </row>
    <row r="220" spans="1:21">
      <c r="A220" t="s">
        <v>220</v>
      </c>
      <c r="B220">
        <v>12</v>
      </c>
      <c r="C220" t="str">
        <f t="shared" si="38"/>
        <v>test.Class11_12_</v>
      </c>
      <c r="D220">
        <v>4</v>
      </c>
      <c r="E220" s="4">
        <v>0.59322033898305082</v>
      </c>
      <c r="F220" s="4">
        <v>0.67700371260100456</v>
      </c>
      <c r="G220" s="4" t="str">
        <f t="shared" si="39"/>
        <v/>
      </c>
      <c r="H220" s="4" t="str">
        <f t="shared" si="40"/>
        <v/>
      </c>
      <c r="I220" s="4" t="str">
        <f t="shared" si="41"/>
        <v/>
      </c>
      <c r="J220" s="4">
        <f t="shared" si="42"/>
        <v>0.59322033898305082</v>
      </c>
      <c r="K220" s="4" t="str">
        <f t="shared" si="43"/>
        <v/>
      </c>
      <c r="L220" s="4" t="str">
        <f t="shared" si="44"/>
        <v/>
      </c>
      <c r="M220" s="4"/>
      <c r="N220" s="4"/>
      <c r="O220" s="4"/>
      <c r="P220" s="4"/>
      <c r="Q220" s="4"/>
      <c r="R220" s="4"/>
      <c r="S220" s="4"/>
      <c r="T220" s="4"/>
      <c r="U220" s="4"/>
    </row>
    <row r="221" spans="1:21">
      <c r="A221" t="s">
        <v>220</v>
      </c>
      <c r="B221">
        <v>12</v>
      </c>
      <c r="C221" t="str">
        <f t="shared" si="38"/>
        <v>test.Class11_12_</v>
      </c>
      <c r="D221">
        <v>5</v>
      </c>
      <c r="E221" s="4">
        <v>0.71186440677966101</v>
      </c>
      <c r="F221" s="4">
        <v>0.71806071194583976</v>
      </c>
      <c r="G221" s="4" t="str">
        <f t="shared" si="39"/>
        <v/>
      </c>
      <c r="H221" s="4" t="str">
        <f t="shared" si="40"/>
        <v/>
      </c>
      <c r="I221" s="4" t="str">
        <f t="shared" si="41"/>
        <v/>
      </c>
      <c r="J221" s="4">
        <f t="shared" si="42"/>
        <v>0.71186440677966101</v>
      </c>
      <c r="K221" s="4" t="str">
        <f t="shared" si="43"/>
        <v/>
      </c>
      <c r="L221" s="4" t="str">
        <f t="shared" si="44"/>
        <v/>
      </c>
      <c r="M221" s="4"/>
      <c r="N221" s="4"/>
      <c r="O221" s="4"/>
      <c r="P221" s="4"/>
      <c r="Q221" s="4"/>
      <c r="R221" s="4"/>
      <c r="S221" s="4"/>
      <c r="T221" s="4"/>
      <c r="U221" s="4"/>
    </row>
    <row r="222" spans="1:21">
      <c r="A222" t="s">
        <v>220</v>
      </c>
      <c r="B222">
        <v>12</v>
      </c>
      <c r="C222" t="str">
        <f t="shared" si="38"/>
        <v>test.Class11_12_</v>
      </c>
      <c r="D222">
        <v>6</v>
      </c>
      <c r="E222" s="4">
        <v>0.88983050847457623</v>
      </c>
      <c r="F222" s="4">
        <v>0.73138239790347237</v>
      </c>
      <c r="G222" s="4" t="str">
        <f t="shared" si="39"/>
        <v/>
      </c>
      <c r="H222" s="4" t="str">
        <f t="shared" si="40"/>
        <v/>
      </c>
      <c r="I222" s="4" t="str">
        <f t="shared" si="41"/>
        <v/>
      </c>
      <c r="J222" s="4">
        <f t="shared" si="42"/>
        <v>0.88983050847457623</v>
      </c>
      <c r="K222" s="4" t="str">
        <f t="shared" si="43"/>
        <v/>
      </c>
      <c r="L222" s="4" t="str">
        <f t="shared" si="44"/>
        <v/>
      </c>
      <c r="M222" s="4"/>
      <c r="N222" s="4"/>
      <c r="O222" s="4"/>
      <c r="P222" s="4"/>
      <c r="Q222" s="4"/>
      <c r="R222" s="4"/>
      <c r="S222" s="4"/>
      <c r="T222" s="4"/>
      <c r="U222" s="4"/>
    </row>
    <row r="223" spans="1:21">
      <c r="A223" t="s">
        <v>220</v>
      </c>
      <c r="B223">
        <v>12</v>
      </c>
      <c r="C223" t="str">
        <f t="shared" si="38"/>
        <v>test.Class11_12_</v>
      </c>
      <c r="D223">
        <v>7</v>
      </c>
      <c r="E223" s="4">
        <v>1</v>
      </c>
      <c r="F223" s="4">
        <v>0.73225595108102204</v>
      </c>
      <c r="G223" s="4" t="str">
        <f t="shared" si="39"/>
        <v/>
      </c>
      <c r="H223" s="4" t="str">
        <f t="shared" si="40"/>
        <v/>
      </c>
      <c r="I223" s="4" t="str">
        <f t="shared" si="41"/>
        <v/>
      </c>
      <c r="J223" s="4">
        <f t="shared" si="42"/>
        <v>1</v>
      </c>
      <c r="K223" s="4" t="str">
        <f t="shared" si="43"/>
        <v/>
      </c>
      <c r="L223" s="4" t="str">
        <f t="shared" si="44"/>
        <v/>
      </c>
      <c r="M223" s="4"/>
      <c r="N223" s="4"/>
      <c r="O223" s="4"/>
      <c r="P223" s="4"/>
      <c r="Q223" s="4"/>
      <c r="R223" s="4"/>
      <c r="S223" s="4"/>
      <c r="T223" s="4"/>
      <c r="U223" s="4"/>
    </row>
    <row r="224" spans="1:21">
      <c r="A224" t="s">
        <v>220</v>
      </c>
      <c r="B224">
        <v>12</v>
      </c>
      <c r="C224" t="str">
        <f t="shared" si="38"/>
        <v>test.Class11_12_</v>
      </c>
      <c r="D224">
        <v>8</v>
      </c>
      <c r="E224" s="4">
        <v>1</v>
      </c>
      <c r="F224" s="4">
        <v>0.75496833369731386</v>
      </c>
      <c r="G224" s="4" t="str">
        <f t="shared" si="39"/>
        <v/>
      </c>
      <c r="H224" s="4" t="str">
        <f t="shared" si="40"/>
        <v/>
      </c>
      <c r="I224" s="4" t="str">
        <f t="shared" si="41"/>
        <v/>
      </c>
      <c r="J224" s="4">
        <f t="shared" si="42"/>
        <v>1</v>
      </c>
      <c r="K224" s="4" t="str">
        <f t="shared" si="43"/>
        <v/>
      </c>
      <c r="L224" s="4" t="str">
        <f t="shared" si="44"/>
        <v/>
      </c>
      <c r="M224" s="4"/>
      <c r="N224" s="4"/>
      <c r="O224" s="4"/>
      <c r="P224" s="4"/>
      <c r="Q224" s="4"/>
      <c r="R224" s="4"/>
      <c r="S224" s="4"/>
      <c r="T224" s="4"/>
      <c r="U224" s="4"/>
    </row>
    <row r="225" spans="1:21">
      <c r="A225" t="s">
        <v>220</v>
      </c>
      <c r="B225">
        <v>12</v>
      </c>
      <c r="C225" t="str">
        <f t="shared" si="38"/>
        <v>test.Class11_12_</v>
      </c>
      <c r="D225">
        <v>9</v>
      </c>
      <c r="E225" s="4">
        <v>1</v>
      </c>
      <c r="F225" s="4">
        <v>0.79689888621969862</v>
      </c>
      <c r="G225" s="4" t="str">
        <f t="shared" si="39"/>
        <v/>
      </c>
      <c r="H225" s="4" t="str">
        <f t="shared" si="40"/>
        <v/>
      </c>
      <c r="I225" s="4" t="str">
        <f t="shared" si="41"/>
        <v/>
      </c>
      <c r="J225" s="4">
        <f t="shared" si="42"/>
        <v>1</v>
      </c>
      <c r="K225" s="4" t="str">
        <f t="shared" si="43"/>
        <v/>
      </c>
      <c r="L225" s="4" t="str">
        <f t="shared" si="44"/>
        <v/>
      </c>
      <c r="M225" s="4"/>
      <c r="N225" s="4"/>
      <c r="O225" s="4"/>
      <c r="P225" s="4"/>
      <c r="Q225" s="4"/>
      <c r="R225" s="4"/>
      <c r="S225" s="4"/>
      <c r="T225" s="4"/>
      <c r="U225" s="4"/>
    </row>
    <row r="226" spans="1:21">
      <c r="A226" t="s">
        <v>220</v>
      </c>
      <c r="B226">
        <v>12</v>
      </c>
      <c r="C226" t="str">
        <f t="shared" si="38"/>
        <v>test.Class11_12_</v>
      </c>
      <c r="D226">
        <v>10</v>
      </c>
      <c r="E226" s="4">
        <v>1</v>
      </c>
      <c r="F226" s="4">
        <v>0.81961126883599034</v>
      </c>
      <c r="G226" s="4" t="str">
        <f t="shared" si="39"/>
        <v/>
      </c>
      <c r="H226" s="4" t="str">
        <f t="shared" si="40"/>
        <v/>
      </c>
      <c r="I226" s="4" t="str">
        <f t="shared" si="41"/>
        <v/>
      </c>
      <c r="J226" s="4" t="str">
        <f t="shared" si="42"/>
        <v/>
      </c>
      <c r="K226" s="4">
        <f t="shared" si="43"/>
        <v>1</v>
      </c>
      <c r="L226" s="4" t="str">
        <f t="shared" si="44"/>
        <v/>
      </c>
      <c r="M226" s="4"/>
      <c r="N226" s="4"/>
      <c r="O226" s="4"/>
      <c r="P226" s="4"/>
      <c r="Q226" s="4"/>
      <c r="R226" s="4"/>
      <c r="S226" s="4"/>
      <c r="T226" s="4"/>
      <c r="U226" s="4"/>
    </row>
    <row r="227" spans="1:21">
      <c r="A227" t="s">
        <v>220</v>
      </c>
      <c r="B227">
        <v>12</v>
      </c>
      <c r="C227" t="str">
        <f t="shared" si="38"/>
        <v>test.Class11_12_</v>
      </c>
      <c r="D227">
        <v>11</v>
      </c>
      <c r="E227" s="4">
        <v>1</v>
      </c>
      <c r="F227" s="4">
        <v>0.86066826818082554</v>
      </c>
      <c r="G227" s="4" t="str">
        <f t="shared" si="39"/>
        <v/>
      </c>
      <c r="H227" s="4" t="str">
        <f t="shared" si="40"/>
        <v/>
      </c>
      <c r="I227" s="4" t="str">
        <f t="shared" si="41"/>
        <v/>
      </c>
      <c r="J227" s="4" t="str">
        <f t="shared" si="42"/>
        <v/>
      </c>
      <c r="K227" s="4">
        <f t="shared" si="43"/>
        <v>1</v>
      </c>
      <c r="L227" s="4" t="str">
        <f t="shared" si="44"/>
        <v/>
      </c>
      <c r="M227" s="4"/>
      <c r="N227" s="4"/>
      <c r="O227" s="4"/>
      <c r="P227" s="4"/>
      <c r="Q227" s="4"/>
      <c r="R227" s="4"/>
      <c r="S227" s="4"/>
      <c r="T227" s="4"/>
      <c r="U227" s="4"/>
    </row>
    <row r="228" spans="1:21">
      <c r="A228" t="s">
        <v>220</v>
      </c>
      <c r="B228">
        <v>12</v>
      </c>
      <c r="C228" t="str">
        <f t="shared" si="38"/>
        <v>test.Class11_12_</v>
      </c>
      <c r="D228">
        <v>12</v>
      </c>
      <c r="E228" s="4">
        <v>1</v>
      </c>
      <c r="F228" s="4">
        <v>0.86547281065734871</v>
      </c>
      <c r="G228" s="4" t="str">
        <f t="shared" si="39"/>
        <v/>
      </c>
      <c r="H228" s="4" t="str">
        <f t="shared" si="40"/>
        <v/>
      </c>
      <c r="I228" s="4" t="str">
        <f t="shared" si="41"/>
        <v/>
      </c>
      <c r="J228" s="4" t="str">
        <f t="shared" si="42"/>
        <v/>
      </c>
      <c r="K228" s="4">
        <f t="shared" si="43"/>
        <v>1</v>
      </c>
      <c r="L228" s="4" t="str">
        <f t="shared" si="44"/>
        <v/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1">
      <c r="A229" t="s">
        <v>220</v>
      </c>
      <c r="B229">
        <v>12</v>
      </c>
      <c r="C229" t="str">
        <f t="shared" si="38"/>
        <v>test.Class11_12_</v>
      </c>
      <c r="D229">
        <v>13</v>
      </c>
      <c r="E229" s="4">
        <v>1</v>
      </c>
      <c r="F229" s="4">
        <v>0.86590958724612366</v>
      </c>
      <c r="G229" s="4" t="str">
        <f t="shared" si="39"/>
        <v/>
      </c>
      <c r="H229" s="4" t="str">
        <f t="shared" si="40"/>
        <v/>
      </c>
      <c r="I229" s="4" t="str">
        <f t="shared" si="41"/>
        <v/>
      </c>
      <c r="J229" s="4" t="str">
        <f t="shared" si="42"/>
        <v/>
      </c>
      <c r="K229" s="4">
        <f t="shared" si="43"/>
        <v>1</v>
      </c>
      <c r="L229" s="4" t="str">
        <f t="shared" si="44"/>
        <v/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1">
      <c r="A230" t="s">
        <v>220</v>
      </c>
      <c r="B230">
        <v>12</v>
      </c>
      <c r="C230" t="str">
        <f t="shared" si="38"/>
        <v>test.Class11_12_</v>
      </c>
      <c r="D230">
        <v>14</v>
      </c>
      <c r="E230" s="4">
        <v>1</v>
      </c>
      <c r="F230" s="4">
        <v>0.89255295916138899</v>
      </c>
      <c r="G230" s="4" t="str">
        <f t="shared" si="39"/>
        <v/>
      </c>
      <c r="H230" s="4" t="str">
        <f t="shared" si="40"/>
        <v/>
      </c>
      <c r="I230" s="4" t="str">
        <f t="shared" si="41"/>
        <v/>
      </c>
      <c r="J230" s="4" t="str">
        <f t="shared" si="42"/>
        <v/>
      </c>
      <c r="K230" s="4">
        <f t="shared" si="43"/>
        <v>1</v>
      </c>
      <c r="L230" s="4" t="str">
        <f t="shared" si="44"/>
        <v/>
      </c>
      <c r="M230" s="4"/>
      <c r="N230" s="4"/>
      <c r="O230" s="4"/>
      <c r="P230" s="4"/>
      <c r="Q230" s="4"/>
      <c r="R230" s="4"/>
      <c r="S230" s="4"/>
      <c r="T230" s="4"/>
      <c r="U230" s="4"/>
    </row>
    <row r="231" spans="1:21">
      <c r="A231" t="s">
        <v>220</v>
      </c>
      <c r="B231">
        <v>12</v>
      </c>
      <c r="C231" t="str">
        <f t="shared" si="38"/>
        <v>test.Class11_12_</v>
      </c>
      <c r="D231">
        <v>15</v>
      </c>
      <c r="E231" s="4">
        <v>1</v>
      </c>
      <c r="F231" s="4">
        <v>0.92094343743175366</v>
      </c>
      <c r="G231" s="4" t="str">
        <f t="shared" si="39"/>
        <v/>
      </c>
      <c r="H231" s="4" t="str">
        <f t="shared" si="40"/>
        <v/>
      </c>
      <c r="I231" s="4" t="str">
        <f t="shared" si="41"/>
        <v/>
      </c>
      <c r="J231" s="4" t="str">
        <f t="shared" si="42"/>
        <v/>
      </c>
      <c r="K231" s="4">
        <f t="shared" si="43"/>
        <v>1</v>
      </c>
      <c r="L231" s="4" t="str">
        <f t="shared" si="44"/>
        <v/>
      </c>
      <c r="M231" s="4"/>
      <c r="N231" s="4"/>
      <c r="O231" s="4"/>
      <c r="P231" s="4"/>
      <c r="Q231" s="4"/>
      <c r="R231" s="4"/>
      <c r="S231" s="4"/>
      <c r="T231" s="4"/>
      <c r="U231" s="4"/>
    </row>
    <row r="232" spans="1:21">
      <c r="A232" t="s">
        <v>220</v>
      </c>
      <c r="B232">
        <v>12</v>
      </c>
      <c r="C232" t="str">
        <f t="shared" si="38"/>
        <v>test.Class11_12_</v>
      </c>
      <c r="D232">
        <v>16</v>
      </c>
      <c r="E232" s="4">
        <v>1</v>
      </c>
      <c r="F232" s="4">
        <v>0.93863288927713473</v>
      </c>
      <c r="G232" s="4" t="str">
        <f t="shared" si="39"/>
        <v/>
      </c>
      <c r="H232" s="4" t="str">
        <f t="shared" si="40"/>
        <v/>
      </c>
      <c r="I232" s="4" t="str">
        <f t="shared" si="41"/>
        <v/>
      </c>
      <c r="J232" s="4" t="str">
        <f t="shared" si="42"/>
        <v/>
      </c>
      <c r="K232" s="4">
        <f t="shared" si="43"/>
        <v>1</v>
      </c>
      <c r="L232" s="4" t="str">
        <f t="shared" si="44"/>
        <v/>
      </c>
      <c r="M232" s="4"/>
      <c r="N232" s="4"/>
      <c r="O232" s="4"/>
      <c r="P232" s="4"/>
      <c r="Q232" s="4"/>
      <c r="R232" s="4"/>
      <c r="S232" s="4"/>
      <c r="T232" s="4"/>
      <c r="U232" s="4"/>
    </row>
    <row r="233" spans="1:21">
      <c r="A233" t="s">
        <v>220</v>
      </c>
      <c r="B233">
        <v>12</v>
      </c>
      <c r="C233" t="str">
        <f t="shared" si="38"/>
        <v>test.Class11_12_</v>
      </c>
      <c r="D233">
        <v>17</v>
      </c>
      <c r="E233" s="4">
        <v>1</v>
      </c>
      <c r="F233" s="4">
        <v>0.99737934046735099</v>
      </c>
      <c r="G233" s="4" t="str">
        <f t="shared" si="39"/>
        <v/>
      </c>
      <c r="H233" s="4" t="str">
        <f t="shared" si="40"/>
        <v/>
      </c>
      <c r="I233" s="4" t="str">
        <f t="shared" si="41"/>
        <v/>
      </c>
      <c r="J233" s="4" t="str">
        <f t="shared" si="42"/>
        <v/>
      </c>
      <c r="K233" s="4">
        <f t="shared" si="43"/>
        <v>1</v>
      </c>
      <c r="L233" s="4" t="str">
        <f t="shared" si="44"/>
        <v/>
      </c>
      <c r="M233" s="4"/>
      <c r="N233" s="4"/>
      <c r="O233" s="4"/>
      <c r="P233" s="4"/>
      <c r="Q233" s="4"/>
      <c r="R233" s="4"/>
      <c r="S233" s="4"/>
      <c r="T233" s="4"/>
      <c r="U233" s="4"/>
    </row>
    <row r="234" spans="1:21">
      <c r="A234" t="s">
        <v>221</v>
      </c>
      <c r="B234">
        <v>1</v>
      </c>
      <c r="C234" t="str">
        <f t="shared" si="38"/>
        <v>test.Class13_1_</v>
      </c>
      <c r="D234">
        <v>1</v>
      </c>
      <c r="E234" s="4">
        <v>0.20454545454545456</v>
      </c>
      <c r="F234" s="4">
        <v>0.3858579701310576</v>
      </c>
      <c r="G234" s="4" t="str">
        <f t="shared" si="39"/>
        <v/>
      </c>
      <c r="H234" s="4">
        <f t="shared" si="40"/>
        <v>0.20454545454545456</v>
      </c>
      <c r="I234" s="4" t="str">
        <f t="shared" si="41"/>
        <v/>
      </c>
      <c r="J234" s="4" t="str">
        <f t="shared" si="42"/>
        <v/>
      </c>
      <c r="K234" s="4" t="str">
        <f t="shared" si="43"/>
        <v/>
      </c>
      <c r="L234" s="4" t="str">
        <f t="shared" si="44"/>
        <v/>
      </c>
      <c r="M234" s="4"/>
      <c r="N234" s="4"/>
      <c r="O234" s="4"/>
      <c r="P234" s="4"/>
      <c r="Q234" s="4"/>
      <c r="R234" s="4"/>
      <c r="S234" s="4"/>
      <c r="T234" s="4"/>
      <c r="U234" s="4"/>
    </row>
    <row r="235" spans="1:21">
      <c r="A235" t="s">
        <v>221</v>
      </c>
      <c r="B235">
        <v>1</v>
      </c>
      <c r="C235" t="str">
        <f t="shared" si="38"/>
        <v>test.Class13_1_</v>
      </c>
      <c r="D235">
        <v>2</v>
      </c>
      <c r="E235" s="4">
        <v>0.38636363636363635</v>
      </c>
      <c r="F235" s="4">
        <v>0.47851264858274917</v>
      </c>
      <c r="G235" s="4" t="str">
        <f t="shared" si="39"/>
        <v/>
      </c>
      <c r="H235" s="4" t="str">
        <f t="shared" si="40"/>
        <v/>
      </c>
      <c r="I235" s="4">
        <f t="shared" si="41"/>
        <v>0.38636363636363635</v>
      </c>
      <c r="J235" s="4" t="str">
        <f t="shared" si="42"/>
        <v/>
      </c>
      <c r="K235" s="4" t="str">
        <f t="shared" si="43"/>
        <v/>
      </c>
      <c r="L235" s="4" t="str">
        <f t="shared" si="44"/>
        <v/>
      </c>
      <c r="M235" s="4"/>
      <c r="N235" s="4"/>
      <c r="O235" s="4"/>
      <c r="P235" s="4"/>
      <c r="Q235" s="4"/>
      <c r="R235" s="4"/>
      <c r="S235" s="4"/>
      <c r="T235" s="4"/>
      <c r="U235" s="4"/>
    </row>
    <row r="236" spans="1:21">
      <c r="A236" t="s">
        <v>221</v>
      </c>
      <c r="B236">
        <v>1</v>
      </c>
      <c r="C236" t="str">
        <f t="shared" si="38"/>
        <v>test.Class13_1_</v>
      </c>
      <c r="D236">
        <v>3</v>
      </c>
      <c r="E236" s="4">
        <v>0.38636363636363635</v>
      </c>
      <c r="F236" s="4">
        <v>0.49710454129838466</v>
      </c>
      <c r="G236" s="4" t="str">
        <f t="shared" si="39"/>
        <v/>
      </c>
      <c r="H236" s="4" t="str">
        <f t="shared" si="40"/>
        <v/>
      </c>
      <c r="I236" s="4">
        <f t="shared" si="41"/>
        <v>0.38636363636363635</v>
      </c>
      <c r="J236" s="4" t="str">
        <f t="shared" si="42"/>
        <v/>
      </c>
      <c r="K236" s="4" t="str">
        <f t="shared" si="43"/>
        <v/>
      </c>
      <c r="L236" s="4" t="str">
        <f t="shared" si="44"/>
        <v/>
      </c>
      <c r="M236" s="4"/>
      <c r="N236" s="4"/>
      <c r="O236" s="4"/>
      <c r="P236" s="4"/>
      <c r="Q236" s="4"/>
      <c r="R236" s="4"/>
      <c r="S236" s="4"/>
      <c r="T236" s="4"/>
      <c r="U236" s="4"/>
    </row>
    <row r="237" spans="1:21">
      <c r="A237" t="s">
        <v>221</v>
      </c>
      <c r="B237">
        <v>1</v>
      </c>
      <c r="C237" t="str">
        <f t="shared" si="38"/>
        <v>test.Class13_1_</v>
      </c>
      <c r="D237">
        <v>4</v>
      </c>
      <c r="E237" s="4">
        <v>0.38636363636363635</v>
      </c>
      <c r="F237" s="4">
        <v>0.5160012191405059</v>
      </c>
      <c r="G237" s="4" t="str">
        <f t="shared" si="39"/>
        <v/>
      </c>
      <c r="H237" s="4" t="str">
        <f t="shared" si="40"/>
        <v/>
      </c>
      <c r="I237" s="4">
        <f t="shared" si="41"/>
        <v>0.38636363636363635</v>
      </c>
      <c r="J237" s="4" t="str">
        <f t="shared" si="42"/>
        <v/>
      </c>
      <c r="K237" s="4" t="str">
        <f t="shared" si="43"/>
        <v/>
      </c>
      <c r="L237" s="4" t="str">
        <f t="shared" si="44"/>
        <v/>
      </c>
      <c r="M237" s="4"/>
      <c r="N237" s="4"/>
      <c r="O237" s="4"/>
      <c r="P237" s="4"/>
      <c r="Q237" s="4"/>
      <c r="R237" s="4"/>
      <c r="S237" s="4"/>
      <c r="T237" s="4"/>
      <c r="U237" s="4"/>
    </row>
    <row r="238" spans="1:21">
      <c r="A238" t="s">
        <v>221</v>
      </c>
      <c r="B238">
        <v>1</v>
      </c>
      <c r="C238" t="str">
        <f t="shared" si="38"/>
        <v>test.Class13_1_</v>
      </c>
      <c r="D238">
        <v>5</v>
      </c>
      <c r="E238" s="4">
        <v>1</v>
      </c>
      <c r="F238" s="4">
        <v>0.85857970131057604</v>
      </c>
      <c r="G238" s="4" t="str">
        <f t="shared" si="39"/>
        <v/>
      </c>
      <c r="H238" s="4" t="str">
        <f t="shared" si="40"/>
        <v/>
      </c>
      <c r="I238" s="4" t="str">
        <f t="shared" si="41"/>
        <v/>
      </c>
      <c r="J238" s="4" t="str">
        <f t="shared" si="42"/>
        <v/>
      </c>
      <c r="K238" s="4">
        <f t="shared" si="43"/>
        <v>1</v>
      </c>
      <c r="L238" s="4" t="str">
        <f t="shared" si="44"/>
        <v/>
      </c>
      <c r="M238" s="4"/>
      <c r="N238" s="4"/>
      <c r="O238" s="4"/>
      <c r="P238" s="4"/>
      <c r="Q238" s="4"/>
      <c r="R238" s="4"/>
      <c r="S238" s="4"/>
      <c r="T238" s="4"/>
      <c r="U238" s="4"/>
    </row>
    <row r="239" spans="1:21">
      <c r="A239" t="s">
        <v>221</v>
      </c>
      <c r="B239">
        <v>1</v>
      </c>
      <c r="C239" t="str">
        <f t="shared" si="38"/>
        <v>test.Class13_1_</v>
      </c>
      <c r="D239">
        <v>6</v>
      </c>
      <c r="E239" s="4">
        <v>1</v>
      </c>
      <c r="F239" s="4">
        <v>0.87442852788783909</v>
      </c>
      <c r="G239" s="4" t="str">
        <f t="shared" si="39"/>
        <v/>
      </c>
      <c r="H239" s="4" t="str">
        <f t="shared" si="40"/>
        <v/>
      </c>
      <c r="I239" s="4" t="str">
        <f t="shared" si="41"/>
        <v/>
      </c>
      <c r="J239" s="4" t="str">
        <f t="shared" si="42"/>
        <v/>
      </c>
      <c r="K239" s="4">
        <f t="shared" si="43"/>
        <v>1</v>
      </c>
      <c r="L239" s="4" t="str">
        <f t="shared" si="44"/>
        <v/>
      </c>
      <c r="M239" s="4"/>
      <c r="N239" s="4"/>
      <c r="O239" s="4"/>
      <c r="P239" s="4"/>
      <c r="Q239" s="4"/>
      <c r="R239" s="4"/>
      <c r="S239" s="4"/>
      <c r="T239" s="4"/>
      <c r="U239" s="4"/>
    </row>
    <row r="240" spans="1:21">
      <c r="A240" t="s">
        <v>221</v>
      </c>
      <c r="B240">
        <v>1</v>
      </c>
      <c r="C240" t="str">
        <f t="shared" si="38"/>
        <v>test.Class13_1_</v>
      </c>
      <c r="D240">
        <v>7</v>
      </c>
      <c r="E240" s="4">
        <v>1</v>
      </c>
      <c r="F240" s="4">
        <v>0.89119170984455953</v>
      </c>
      <c r="G240" s="4" t="str">
        <f t="shared" si="39"/>
        <v/>
      </c>
      <c r="H240" s="4" t="str">
        <f t="shared" si="40"/>
        <v/>
      </c>
      <c r="I240" s="4" t="str">
        <f t="shared" si="41"/>
        <v/>
      </c>
      <c r="J240" s="4" t="str">
        <f t="shared" si="42"/>
        <v/>
      </c>
      <c r="K240" s="4">
        <f t="shared" si="43"/>
        <v>1</v>
      </c>
      <c r="L240" s="4" t="str">
        <f t="shared" si="44"/>
        <v/>
      </c>
      <c r="M240" s="4"/>
      <c r="N240" s="4"/>
      <c r="O240" s="4"/>
      <c r="P240" s="4"/>
      <c r="Q240" s="4"/>
      <c r="R240" s="4"/>
      <c r="S240" s="4"/>
      <c r="T240" s="4"/>
      <c r="U240" s="4"/>
    </row>
    <row r="241" spans="1:21">
      <c r="A241" t="s">
        <v>222</v>
      </c>
      <c r="B241">
        <v>1</v>
      </c>
      <c r="C241" t="str">
        <f t="shared" si="38"/>
        <v>test.client_1_</v>
      </c>
      <c r="D241">
        <v>1</v>
      </c>
      <c r="E241" s="4">
        <v>7.8787878787878782E-2</v>
      </c>
      <c r="F241" s="4">
        <v>3.3182311275604622E-2</v>
      </c>
      <c r="G241" s="4">
        <f t="shared" si="39"/>
        <v>7.8787878787878782E-2</v>
      </c>
      <c r="H241" s="4" t="str">
        <f t="shared" si="40"/>
        <v/>
      </c>
      <c r="I241" s="4" t="str">
        <f t="shared" si="41"/>
        <v/>
      </c>
      <c r="J241" s="4" t="str">
        <f t="shared" si="42"/>
        <v/>
      </c>
      <c r="K241" s="4" t="str">
        <f t="shared" si="43"/>
        <v/>
      </c>
      <c r="L241" s="4" t="str">
        <f t="shared" si="44"/>
        <v/>
      </c>
      <c r="M241" s="4"/>
      <c r="N241" s="4"/>
      <c r="O241" s="4"/>
      <c r="P241" s="4"/>
      <c r="Q241" s="4"/>
      <c r="R241" s="4"/>
      <c r="S241" s="4"/>
      <c r="T241" s="4"/>
      <c r="U241" s="4"/>
    </row>
    <row r="242" spans="1:21">
      <c r="A242" t="s">
        <v>222</v>
      </c>
      <c r="B242">
        <v>1</v>
      </c>
      <c r="C242" t="str">
        <f t="shared" si="38"/>
        <v>test.client_1_</v>
      </c>
      <c r="D242">
        <v>2</v>
      </c>
      <c r="E242" s="4">
        <v>9.0909090909090912E-2</v>
      </c>
      <c r="F242" s="4">
        <v>3.784059728160296E-2</v>
      </c>
      <c r="G242" s="4">
        <f t="shared" si="39"/>
        <v>9.0909090909090912E-2</v>
      </c>
      <c r="H242" s="4" t="str">
        <f t="shared" si="40"/>
        <v/>
      </c>
      <c r="I242" s="4" t="str">
        <f t="shared" si="41"/>
        <v/>
      </c>
      <c r="J242" s="4" t="str">
        <f t="shared" si="42"/>
        <v/>
      </c>
      <c r="K242" s="4" t="str">
        <f t="shared" si="43"/>
        <v/>
      </c>
      <c r="L242" s="4" t="str">
        <f t="shared" si="44"/>
        <v/>
      </c>
      <c r="M242" s="4"/>
      <c r="N242" s="4"/>
      <c r="O242" s="4"/>
      <c r="P242" s="4"/>
      <c r="Q242" s="4"/>
      <c r="R242" s="4"/>
      <c r="S242" s="4"/>
      <c r="T242" s="4"/>
      <c r="U242" s="4"/>
    </row>
    <row r="243" spans="1:21">
      <c r="A243" t="s">
        <v>222</v>
      </c>
      <c r="B243">
        <v>1</v>
      </c>
      <c r="C243" t="str">
        <f t="shared" si="38"/>
        <v>test.client_1_</v>
      </c>
      <c r="D243">
        <v>3</v>
      </c>
      <c r="E243" s="4">
        <v>0.12727272727272726</v>
      </c>
      <c r="F243" s="4">
        <v>4.1222640546231891E-2</v>
      </c>
      <c r="G243" s="4">
        <f t="shared" si="39"/>
        <v>0.12727272727272726</v>
      </c>
      <c r="H243" s="4" t="str">
        <f t="shared" si="40"/>
        <v/>
      </c>
      <c r="I243" s="4" t="str">
        <f t="shared" si="41"/>
        <v/>
      </c>
      <c r="J243" s="4" t="str">
        <f t="shared" si="42"/>
        <v/>
      </c>
      <c r="K243" s="4" t="str">
        <f t="shared" si="43"/>
        <v/>
      </c>
      <c r="L243" s="4" t="str">
        <f t="shared" si="44"/>
        <v/>
      </c>
      <c r="M243" s="4"/>
      <c r="N243" s="4"/>
      <c r="O243" s="4"/>
      <c r="P243" s="4"/>
      <c r="Q243" s="4"/>
      <c r="R243" s="4"/>
      <c r="S243" s="4"/>
      <c r="T243" s="4"/>
      <c r="U243" s="4"/>
    </row>
    <row r="244" spans="1:21">
      <c r="A244" t="s">
        <v>222</v>
      </c>
      <c r="B244">
        <v>1</v>
      </c>
      <c r="C244" t="str">
        <f t="shared" si="38"/>
        <v>test.client_1_</v>
      </c>
      <c r="D244">
        <v>4</v>
      </c>
      <c r="E244" s="4">
        <v>0.13333333333333333</v>
      </c>
      <c r="F244" s="4">
        <v>4.3775126028970712E-2</v>
      </c>
      <c r="G244" s="4">
        <f t="shared" si="39"/>
        <v>0.13333333333333333</v>
      </c>
      <c r="H244" s="4" t="str">
        <f t="shared" si="40"/>
        <v/>
      </c>
      <c r="I244" s="4" t="str">
        <f t="shared" si="41"/>
        <v/>
      </c>
      <c r="J244" s="4" t="str">
        <f t="shared" si="42"/>
        <v/>
      </c>
      <c r="K244" s="4" t="str">
        <f t="shared" si="43"/>
        <v/>
      </c>
      <c r="L244" s="4" t="str">
        <f t="shared" si="44"/>
        <v/>
      </c>
      <c r="M244" s="4"/>
      <c r="N244" s="4"/>
      <c r="O244" s="4"/>
      <c r="P244" s="4"/>
      <c r="Q244" s="4"/>
      <c r="R244" s="4"/>
      <c r="S244" s="4"/>
      <c r="T244" s="4"/>
      <c r="U244" s="4"/>
    </row>
    <row r="245" spans="1:21">
      <c r="A245" t="s">
        <v>222</v>
      </c>
      <c r="B245">
        <v>1</v>
      </c>
      <c r="C245" t="str">
        <f t="shared" si="38"/>
        <v>test.client_1_</v>
      </c>
      <c r="D245">
        <v>5</v>
      </c>
      <c r="E245" s="4">
        <v>0.14545454545454545</v>
      </c>
      <c r="F245" s="4">
        <v>4.5434241592750939E-2</v>
      </c>
      <c r="G245" s="4">
        <f t="shared" si="39"/>
        <v>0.14545454545454545</v>
      </c>
      <c r="H245" s="4" t="str">
        <f t="shared" si="40"/>
        <v/>
      </c>
      <c r="I245" s="4" t="str">
        <f t="shared" si="41"/>
        <v/>
      </c>
      <c r="J245" s="4" t="str">
        <f t="shared" si="42"/>
        <v/>
      </c>
      <c r="K245" s="4" t="str">
        <f t="shared" si="43"/>
        <v/>
      </c>
      <c r="L245" s="4" t="str">
        <f t="shared" si="44"/>
        <v/>
      </c>
      <c r="M245" s="4"/>
      <c r="N245" s="4"/>
      <c r="O245" s="4"/>
      <c r="P245" s="4"/>
      <c r="Q245" s="4"/>
      <c r="R245" s="4"/>
      <c r="S245" s="4"/>
      <c r="T245" s="4"/>
      <c r="U245" s="4"/>
    </row>
    <row r="246" spans="1:21">
      <c r="A246" t="s">
        <v>222</v>
      </c>
      <c r="B246">
        <v>1</v>
      </c>
      <c r="C246" t="str">
        <f t="shared" si="38"/>
        <v>test.client_1_</v>
      </c>
      <c r="D246">
        <v>6</v>
      </c>
      <c r="E246" s="4">
        <v>0.15757575757575756</v>
      </c>
      <c r="F246" s="4">
        <v>4.5880926552230236E-2</v>
      </c>
      <c r="G246" s="4">
        <f t="shared" si="39"/>
        <v>0.15757575757575756</v>
      </c>
      <c r="H246" s="4" t="str">
        <f t="shared" si="40"/>
        <v/>
      </c>
      <c r="I246" s="4" t="str">
        <f t="shared" si="41"/>
        <v/>
      </c>
      <c r="J246" s="4" t="str">
        <f t="shared" si="42"/>
        <v/>
      </c>
      <c r="K246" s="4" t="str">
        <f t="shared" si="43"/>
        <v/>
      </c>
      <c r="L246" s="4" t="str">
        <f t="shared" si="44"/>
        <v/>
      </c>
      <c r="M246" s="4"/>
      <c r="N246" s="4"/>
      <c r="O246" s="4"/>
      <c r="P246" s="4"/>
      <c r="Q246" s="4"/>
      <c r="R246" s="4"/>
      <c r="S246" s="4"/>
      <c r="T246" s="4"/>
      <c r="U246" s="4"/>
    </row>
    <row r="247" spans="1:21">
      <c r="A247" t="s">
        <v>222</v>
      </c>
      <c r="B247">
        <v>1</v>
      </c>
      <c r="C247" t="str">
        <f t="shared" si="38"/>
        <v>test.client_1_</v>
      </c>
      <c r="D247">
        <v>7</v>
      </c>
      <c r="E247" s="4">
        <v>0.16363636363636364</v>
      </c>
      <c r="F247" s="4">
        <v>4.6008550826367178E-2</v>
      </c>
      <c r="G247" s="4">
        <f t="shared" si="39"/>
        <v>0.16363636363636364</v>
      </c>
      <c r="H247" s="4" t="str">
        <f t="shared" si="40"/>
        <v/>
      </c>
      <c r="I247" s="4" t="str">
        <f t="shared" si="41"/>
        <v/>
      </c>
      <c r="J247" s="4" t="str">
        <f t="shared" si="42"/>
        <v/>
      </c>
      <c r="K247" s="4" t="str">
        <f t="shared" si="43"/>
        <v/>
      </c>
      <c r="L247" s="4" t="str">
        <f t="shared" si="44"/>
        <v/>
      </c>
      <c r="M247" s="4"/>
      <c r="N247" s="4"/>
      <c r="O247" s="4"/>
      <c r="P247" s="4"/>
      <c r="Q247" s="4"/>
      <c r="R247" s="4"/>
      <c r="S247" s="4"/>
      <c r="T247" s="4"/>
      <c r="U247" s="4"/>
    </row>
    <row r="248" spans="1:21">
      <c r="A248" t="s">
        <v>222</v>
      </c>
      <c r="B248">
        <v>1</v>
      </c>
      <c r="C248" t="str">
        <f t="shared" si="38"/>
        <v>test.client_1_</v>
      </c>
      <c r="D248">
        <v>8</v>
      </c>
      <c r="E248" s="4">
        <v>0.16969696969696971</v>
      </c>
      <c r="F248" s="4">
        <v>4.7220981430668114E-2</v>
      </c>
      <c r="G248" s="4">
        <f t="shared" si="39"/>
        <v>0.16969696969696971</v>
      </c>
      <c r="H248" s="4" t="str">
        <f t="shared" si="40"/>
        <v/>
      </c>
      <c r="I248" s="4" t="str">
        <f t="shared" si="41"/>
        <v/>
      </c>
      <c r="J248" s="4" t="str">
        <f t="shared" si="42"/>
        <v/>
      </c>
      <c r="K248" s="4" t="str">
        <f t="shared" si="43"/>
        <v/>
      </c>
      <c r="L248" s="4" t="str">
        <f t="shared" si="44"/>
        <v/>
      </c>
      <c r="M248" s="4"/>
      <c r="N248" s="4"/>
      <c r="O248" s="4"/>
      <c r="P248" s="4"/>
      <c r="Q248" s="4"/>
      <c r="R248" s="4"/>
      <c r="S248" s="4"/>
      <c r="T248" s="4"/>
      <c r="U248" s="4"/>
    </row>
    <row r="249" spans="1:21">
      <c r="A249" t="s">
        <v>222</v>
      </c>
      <c r="B249">
        <v>1</v>
      </c>
      <c r="C249" t="str">
        <f t="shared" si="38"/>
        <v>test.client_1_</v>
      </c>
      <c r="D249">
        <v>9</v>
      </c>
      <c r="E249" s="4">
        <v>0.18181818181818182</v>
      </c>
      <c r="F249" s="4">
        <v>4.836959989790058E-2</v>
      </c>
      <c r="G249" s="4">
        <f t="shared" si="39"/>
        <v>0.18181818181818182</v>
      </c>
      <c r="H249" s="4" t="str">
        <f t="shared" si="40"/>
        <v/>
      </c>
      <c r="I249" s="4" t="str">
        <f t="shared" si="41"/>
        <v/>
      </c>
      <c r="J249" s="4" t="str">
        <f t="shared" si="42"/>
        <v/>
      </c>
      <c r="K249" s="4" t="str">
        <f t="shared" si="43"/>
        <v/>
      </c>
      <c r="L249" s="4" t="str">
        <f t="shared" si="44"/>
        <v/>
      </c>
      <c r="M249" s="4"/>
      <c r="N249" s="4"/>
      <c r="O249" s="4"/>
      <c r="P249" s="4"/>
      <c r="Q249" s="4"/>
      <c r="R249" s="4"/>
      <c r="S249" s="4"/>
      <c r="T249" s="4"/>
      <c r="U249" s="4"/>
    </row>
    <row r="250" spans="1:21">
      <c r="A250" t="s">
        <v>222</v>
      </c>
      <c r="B250">
        <v>1</v>
      </c>
      <c r="C250" t="str">
        <f t="shared" si="38"/>
        <v>test.client_1_</v>
      </c>
      <c r="D250">
        <v>10</v>
      </c>
      <c r="E250" s="4">
        <v>0.19393939393939394</v>
      </c>
      <c r="F250" s="4">
        <v>5.0475400421160103E-2</v>
      </c>
      <c r="G250" s="4">
        <f t="shared" si="39"/>
        <v>0.19393939393939394</v>
      </c>
      <c r="H250" s="4" t="str">
        <f t="shared" si="40"/>
        <v/>
      </c>
      <c r="I250" s="4" t="str">
        <f t="shared" si="41"/>
        <v/>
      </c>
      <c r="J250" s="4" t="str">
        <f t="shared" si="42"/>
        <v/>
      </c>
      <c r="K250" s="4" t="str">
        <f t="shared" si="43"/>
        <v/>
      </c>
      <c r="L250" s="4" t="str">
        <f t="shared" si="44"/>
        <v/>
      </c>
      <c r="M250" s="4"/>
      <c r="N250" s="4"/>
      <c r="O250" s="4"/>
      <c r="P250" s="4"/>
      <c r="Q250" s="4"/>
      <c r="R250" s="4"/>
      <c r="S250" s="4"/>
      <c r="T250" s="4"/>
      <c r="U250" s="4"/>
    </row>
    <row r="251" spans="1:21">
      <c r="A251" t="s">
        <v>222</v>
      </c>
      <c r="B251">
        <v>1</v>
      </c>
      <c r="C251" t="str">
        <f t="shared" si="38"/>
        <v>test.client_1_</v>
      </c>
      <c r="D251">
        <v>11</v>
      </c>
      <c r="E251" s="4">
        <v>0.21212121212121213</v>
      </c>
      <c r="F251" s="4">
        <v>5.1943079573734924E-2</v>
      </c>
      <c r="G251" s="4">
        <f t="shared" si="39"/>
        <v>0.21212121212121213</v>
      </c>
      <c r="H251" s="4" t="str">
        <f t="shared" si="40"/>
        <v/>
      </c>
      <c r="I251" s="4" t="str">
        <f t="shared" si="41"/>
        <v/>
      </c>
      <c r="J251" s="4" t="str">
        <f t="shared" si="42"/>
        <v/>
      </c>
      <c r="K251" s="4" t="str">
        <f t="shared" si="43"/>
        <v/>
      </c>
      <c r="L251" s="4" t="str">
        <f t="shared" si="44"/>
        <v/>
      </c>
      <c r="M251" s="4"/>
      <c r="N251" s="4"/>
      <c r="O251" s="4"/>
      <c r="P251" s="4"/>
      <c r="Q251" s="4"/>
      <c r="R251" s="4"/>
      <c r="S251" s="4"/>
      <c r="T251" s="4"/>
      <c r="U251" s="4"/>
    </row>
    <row r="252" spans="1:21">
      <c r="A252" t="s">
        <v>222</v>
      </c>
      <c r="B252">
        <v>1</v>
      </c>
      <c r="C252" t="str">
        <f t="shared" si="38"/>
        <v>test.client_1_</v>
      </c>
      <c r="D252">
        <v>12</v>
      </c>
      <c r="E252" s="4">
        <v>0.21818181818181817</v>
      </c>
      <c r="F252" s="4">
        <v>5.2389764533214214E-2</v>
      </c>
      <c r="G252" s="4">
        <f t="shared" si="39"/>
        <v>0.21818181818181817</v>
      </c>
      <c r="H252" s="4" t="str">
        <f t="shared" si="40"/>
        <v/>
      </c>
      <c r="I252" s="4" t="str">
        <f t="shared" si="41"/>
        <v/>
      </c>
      <c r="J252" s="4" t="str">
        <f t="shared" si="42"/>
        <v/>
      </c>
      <c r="K252" s="4" t="str">
        <f t="shared" si="43"/>
        <v/>
      </c>
      <c r="L252" s="4" t="str">
        <f t="shared" si="44"/>
        <v/>
      </c>
      <c r="M252" s="4"/>
      <c r="N252" s="4"/>
      <c r="O252" s="4"/>
      <c r="P252" s="4"/>
      <c r="Q252" s="4"/>
      <c r="R252" s="4"/>
      <c r="S252" s="4"/>
      <c r="T252" s="4"/>
      <c r="U252" s="4"/>
    </row>
    <row r="253" spans="1:21">
      <c r="A253" t="s">
        <v>222</v>
      </c>
      <c r="B253">
        <v>1</v>
      </c>
      <c r="C253" t="str">
        <f t="shared" si="38"/>
        <v>test.client_1_</v>
      </c>
      <c r="D253">
        <v>13</v>
      </c>
      <c r="E253" s="4">
        <v>0.23636363636363636</v>
      </c>
      <c r="F253" s="4">
        <v>5.3729819411652099E-2</v>
      </c>
      <c r="G253" s="4">
        <f t="shared" si="39"/>
        <v>0.23636363636363636</v>
      </c>
      <c r="H253" s="4" t="str">
        <f t="shared" si="40"/>
        <v/>
      </c>
      <c r="I253" s="4" t="str">
        <f t="shared" si="41"/>
        <v/>
      </c>
      <c r="J253" s="4" t="str">
        <f t="shared" si="42"/>
        <v/>
      </c>
      <c r="K253" s="4" t="str">
        <f t="shared" si="43"/>
        <v/>
      </c>
      <c r="L253" s="4" t="str">
        <f t="shared" si="44"/>
        <v/>
      </c>
      <c r="M253" s="4"/>
      <c r="N253" s="4"/>
      <c r="O253" s="4"/>
      <c r="P253" s="4"/>
      <c r="Q253" s="4"/>
      <c r="R253" s="4"/>
      <c r="S253" s="4"/>
      <c r="T253" s="4"/>
      <c r="U253" s="4"/>
    </row>
    <row r="254" spans="1:21">
      <c r="A254" t="s">
        <v>222</v>
      </c>
      <c r="B254">
        <v>1</v>
      </c>
      <c r="C254" t="str">
        <f t="shared" si="38"/>
        <v>test.client_1_</v>
      </c>
      <c r="D254">
        <v>14</v>
      </c>
      <c r="E254" s="4">
        <v>0.24242424242424243</v>
      </c>
      <c r="F254" s="4">
        <v>5.4750813604747622E-2</v>
      </c>
      <c r="G254" s="4">
        <f t="shared" si="39"/>
        <v>0.24242424242424243</v>
      </c>
      <c r="H254" s="4" t="str">
        <f t="shared" si="40"/>
        <v/>
      </c>
      <c r="I254" s="4" t="str">
        <f t="shared" si="41"/>
        <v/>
      </c>
      <c r="J254" s="4" t="str">
        <f t="shared" si="42"/>
        <v/>
      </c>
      <c r="K254" s="4" t="str">
        <f t="shared" si="43"/>
        <v/>
      </c>
      <c r="L254" s="4" t="str">
        <f t="shared" si="44"/>
        <v/>
      </c>
      <c r="M254" s="4"/>
      <c r="N254" s="4"/>
      <c r="O254" s="4"/>
      <c r="P254" s="4"/>
      <c r="Q254" s="4"/>
      <c r="R254" s="4"/>
      <c r="S254" s="4"/>
      <c r="T254" s="4"/>
      <c r="U254" s="4"/>
    </row>
    <row r="255" spans="1:21">
      <c r="A255" t="s">
        <v>222</v>
      </c>
      <c r="B255">
        <v>1</v>
      </c>
      <c r="C255" t="str">
        <f t="shared" si="38"/>
        <v>test.client_1_</v>
      </c>
      <c r="D255">
        <v>15</v>
      </c>
      <c r="E255" s="4">
        <v>0.24848484848484848</v>
      </c>
      <c r="F255" s="4">
        <v>5.5707995660774681E-2</v>
      </c>
      <c r="G255" s="4">
        <f t="shared" si="39"/>
        <v>0.24848484848484848</v>
      </c>
      <c r="H255" s="4" t="str">
        <f t="shared" si="40"/>
        <v/>
      </c>
      <c r="I255" s="4" t="str">
        <f t="shared" si="41"/>
        <v/>
      </c>
      <c r="J255" s="4" t="str">
        <f t="shared" si="42"/>
        <v/>
      </c>
      <c r="K255" s="4" t="str">
        <f t="shared" si="43"/>
        <v/>
      </c>
      <c r="L255" s="4" t="str">
        <f t="shared" si="44"/>
        <v/>
      </c>
      <c r="M255" s="4"/>
      <c r="N255" s="4"/>
      <c r="O255" s="4"/>
      <c r="P255" s="4"/>
      <c r="Q255" s="4"/>
      <c r="R255" s="4"/>
      <c r="S255" s="4"/>
      <c r="T255" s="4"/>
      <c r="U255" s="4"/>
    </row>
    <row r="256" spans="1:21">
      <c r="A256" t="s">
        <v>222</v>
      </c>
      <c r="B256">
        <v>1</v>
      </c>
      <c r="C256" t="str">
        <f t="shared" si="38"/>
        <v>test.client_1_</v>
      </c>
      <c r="D256">
        <v>16</v>
      </c>
      <c r="E256" s="4">
        <v>1</v>
      </c>
      <c r="F256" s="4">
        <v>0.9631803969114926</v>
      </c>
      <c r="G256" s="4" t="str">
        <f t="shared" si="39"/>
        <v/>
      </c>
      <c r="H256" s="4" t="str">
        <f t="shared" si="40"/>
        <v/>
      </c>
      <c r="I256" s="4" t="str">
        <f t="shared" si="41"/>
        <v/>
      </c>
      <c r="J256" s="4" t="str">
        <f t="shared" si="42"/>
        <v/>
      </c>
      <c r="K256" s="4">
        <f t="shared" si="43"/>
        <v>1</v>
      </c>
      <c r="L256" s="4" t="str">
        <f t="shared" si="44"/>
        <v/>
      </c>
      <c r="M256" s="4"/>
      <c r="N256" s="4"/>
      <c r="O256" s="4"/>
      <c r="P256" s="4"/>
      <c r="Q256" s="4"/>
      <c r="R256" s="4"/>
      <c r="S256" s="4"/>
      <c r="T256" s="4"/>
      <c r="U256" s="4"/>
    </row>
    <row r="257" spans="1:21">
      <c r="A257" t="s">
        <v>222</v>
      </c>
      <c r="B257">
        <v>3</v>
      </c>
      <c r="C257" t="str">
        <f t="shared" si="38"/>
        <v>test.client_3_</v>
      </c>
      <c r="D257">
        <v>1</v>
      </c>
      <c r="E257" s="4">
        <v>0.84036144578313254</v>
      </c>
      <c r="F257" s="4">
        <v>0.76360321800816389</v>
      </c>
      <c r="G257" s="4" t="str">
        <f t="shared" si="39"/>
        <v/>
      </c>
      <c r="H257" s="4" t="str">
        <f t="shared" si="40"/>
        <v/>
      </c>
      <c r="I257" s="4" t="str">
        <f t="shared" si="41"/>
        <v/>
      </c>
      <c r="J257" s="4">
        <f t="shared" si="42"/>
        <v>0.84036144578313254</v>
      </c>
      <c r="K257" s="4" t="str">
        <f t="shared" si="43"/>
        <v/>
      </c>
      <c r="L257" s="4" t="str">
        <f t="shared" si="44"/>
        <v/>
      </c>
      <c r="M257" s="4"/>
      <c r="N257" s="4"/>
      <c r="O257" s="4"/>
      <c r="P257" s="4"/>
      <c r="Q257" s="4"/>
      <c r="R257" s="4"/>
      <c r="S257" s="4"/>
      <c r="T257" s="4"/>
      <c r="U257" s="4"/>
    </row>
    <row r="258" spans="1:21">
      <c r="A258" t="s">
        <v>222</v>
      </c>
      <c r="B258">
        <v>3</v>
      </c>
      <c r="C258" t="str">
        <f t="shared" si="38"/>
        <v>test.client_3_</v>
      </c>
      <c r="D258">
        <v>2</v>
      </c>
      <c r="E258" s="4">
        <v>0.99698795180722888</v>
      </c>
      <c r="F258" s="4">
        <v>0.89866444735069151</v>
      </c>
      <c r="G258" s="4" t="str">
        <f t="shared" si="39"/>
        <v/>
      </c>
      <c r="H258" s="4" t="str">
        <f t="shared" si="40"/>
        <v/>
      </c>
      <c r="I258" s="4" t="str">
        <f t="shared" si="41"/>
        <v/>
      </c>
      <c r="J258" s="4" t="str">
        <f t="shared" si="42"/>
        <v/>
      </c>
      <c r="K258" s="4">
        <f t="shared" si="43"/>
        <v>0.99698795180722888</v>
      </c>
      <c r="L258" s="4" t="str">
        <f t="shared" si="44"/>
        <v/>
      </c>
      <c r="M258" s="4"/>
      <c r="N258" s="4"/>
      <c r="O258" s="4"/>
      <c r="P258" s="4"/>
      <c r="Q258" s="4"/>
      <c r="R258" s="4"/>
      <c r="S258" s="4"/>
      <c r="T258" s="4"/>
      <c r="U258" s="4"/>
    </row>
    <row r="259" spans="1:21">
      <c r="A259" t="s">
        <v>222</v>
      </c>
      <c r="B259">
        <v>3</v>
      </c>
      <c r="C259" t="str">
        <f t="shared" ref="C259:C322" si="45">CONCATENATE(A259, "_",B259,"_")</f>
        <v>test.client_3_</v>
      </c>
      <c r="D259">
        <v>3</v>
      </c>
      <c r="E259" s="4">
        <v>1</v>
      </c>
      <c r="F259" s="4">
        <v>0.99675028732215754</v>
      </c>
      <c r="G259" s="4" t="str">
        <f t="shared" ref="G259:G322" si="46">IF(F259 &lt;= 0.2,E259,"")</f>
        <v/>
      </c>
      <c r="H259" s="4" t="str">
        <f t="shared" ref="H259:H322" si="47">IF(AND($F259 &gt; 0.2,$F259 &lt;= 0.4),$E259,"")</f>
        <v/>
      </c>
      <c r="I259" s="4" t="str">
        <f t="shared" ref="I259:I322" si="48">IF(AND($F259 &gt; 0.4,$F259 &lt;= 0.6),$E259,"")</f>
        <v/>
      </c>
      <c r="J259" s="4" t="str">
        <f t="shared" ref="J259:J322" si="49">IF(AND($F259 &gt; 0.6,$F259 &lt;= 0.8),$E259,"")</f>
        <v/>
      </c>
      <c r="K259" s="4">
        <f t="shared" ref="K259:K322" si="50">IF(AND($F259 &gt; 0.8, $F259 &lt;=1.1),$E259,"")</f>
        <v>1</v>
      </c>
      <c r="L259" s="4" t="str">
        <f t="shared" ref="L259:L322" si="51">IF(AND($F259 &gt; 1.1),$E259,"")</f>
        <v/>
      </c>
      <c r="M259" s="4"/>
      <c r="N259" s="4"/>
      <c r="O259" s="4"/>
      <c r="P259" s="4"/>
      <c r="Q259" s="4"/>
      <c r="R259" s="4"/>
      <c r="S259" s="4"/>
      <c r="T259" s="4"/>
      <c r="U259" s="4"/>
    </row>
    <row r="260" spans="1:21">
      <c r="A260" t="s">
        <v>222</v>
      </c>
      <c r="B260">
        <v>4</v>
      </c>
      <c r="C260" t="str">
        <f t="shared" si="45"/>
        <v>test.client_4_</v>
      </c>
      <c r="D260">
        <v>1</v>
      </c>
      <c r="E260" s="4">
        <v>0.86821705426356588</v>
      </c>
      <c r="F260" s="4">
        <v>0.86994760479041922</v>
      </c>
      <c r="G260" s="4" t="str">
        <f t="shared" si="46"/>
        <v/>
      </c>
      <c r="H260" s="4" t="str">
        <f t="shared" si="47"/>
        <v/>
      </c>
      <c r="I260" s="4" t="str">
        <f t="shared" si="48"/>
        <v/>
      </c>
      <c r="J260" s="4" t="str">
        <f t="shared" si="49"/>
        <v/>
      </c>
      <c r="K260" s="4">
        <f t="shared" si="50"/>
        <v>0.86821705426356588</v>
      </c>
      <c r="L260" s="4" t="str">
        <f t="shared" si="51"/>
        <v/>
      </c>
      <c r="M260" s="4"/>
      <c r="N260" s="4"/>
      <c r="O260" s="4"/>
      <c r="P260" s="4"/>
      <c r="Q260" s="4"/>
      <c r="R260" s="4"/>
      <c r="S260" s="4"/>
      <c r="T260" s="4"/>
      <c r="U260" s="4"/>
    </row>
    <row r="261" spans="1:21">
      <c r="A261" t="s">
        <v>222</v>
      </c>
      <c r="B261">
        <v>4</v>
      </c>
      <c r="C261" t="str">
        <f t="shared" si="45"/>
        <v>test.client_4_</v>
      </c>
      <c r="D261">
        <v>2</v>
      </c>
      <c r="E261" s="4">
        <v>0.89922480620155043</v>
      </c>
      <c r="F261" s="4">
        <v>0.88005239520958078</v>
      </c>
      <c r="G261" s="4" t="str">
        <f t="shared" si="46"/>
        <v/>
      </c>
      <c r="H261" s="4" t="str">
        <f t="shared" si="47"/>
        <v/>
      </c>
      <c r="I261" s="4" t="str">
        <f t="shared" si="48"/>
        <v/>
      </c>
      <c r="J261" s="4" t="str">
        <f t="shared" si="49"/>
        <v/>
      </c>
      <c r="K261" s="4">
        <f t="shared" si="50"/>
        <v>0.89922480620155043</v>
      </c>
      <c r="L261" s="4" t="str">
        <f t="shared" si="51"/>
        <v/>
      </c>
      <c r="M261" s="4"/>
      <c r="N261" s="4"/>
      <c r="O261" s="4"/>
      <c r="P261" s="4"/>
      <c r="Q261" s="4"/>
      <c r="R261" s="4"/>
      <c r="S261" s="4"/>
      <c r="T261" s="4"/>
      <c r="U261" s="4"/>
    </row>
    <row r="262" spans="1:21">
      <c r="A262" t="s">
        <v>222</v>
      </c>
      <c r="B262">
        <v>4</v>
      </c>
      <c r="C262" t="str">
        <f t="shared" si="45"/>
        <v>test.client_4_</v>
      </c>
      <c r="D262">
        <v>3</v>
      </c>
      <c r="E262" s="4">
        <v>0.92248062015503873</v>
      </c>
      <c r="F262" s="4">
        <v>0.89333832335329344</v>
      </c>
      <c r="G262" s="4" t="str">
        <f t="shared" si="46"/>
        <v/>
      </c>
      <c r="H262" s="4" t="str">
        <f t="shared" si="47"/>
        <v/>
      </c>
      <c r="I262" s="4" t="str">
        <f t="shared" si="48"/>
        <v/>
      </c>
      <c r="J262" s="4" t="str">
        <f t="shared" si="49"/>
        <v/>
      </c>
      <c r="K262" s="4">
        <f t="shared" si="50"/>
        <v>0.92248062015503873</v>
      </c>
      <c r="L262" s="4" t="str">
        <f t="shared" si="51"/>
        <v/>
      </c>
      <c r="M262" s="4"/>
      <c r="N262" s="4"/>
      <c r="O262" s="4"/>
      <c r="P262" s="4"/>
      <c r="Q262" s="4"/>
      <c r="R262" s="4"/>
      <c r="S262" s="4"/>
      <c r="T262" s="4"/>
      <c r="U262" s="4"/>
    </row>
    <row r="263" spans="1:21">
      <c r="A263" t="s">
        <v>222</v>
      </c>
      <c r="B263">
        <v>4</v>
      </c>
      <c r="C263" t="str">
        <f t="shared" si="45"/>
        <v>test.client_4_</v>
      </c>
      <c r="D263">
        <v>4</v>
      </c>
      <c r="E263" s="4">
        <v>0.99224806201550386</v>
      </c>
      <c r="F263" s="4">
        <v>0.9447979041916168</v>
      </c>
      <c r="G263" s="4" t="str">
        <f t="shared" si="46"/>
        <v/>
      </c>
      <c r="H263" s="4" t="str">
        <f t="shared" si="47"/>
        <v/>
      </c>
      <c r="I263" s="4" t="str">
        <f t="shared" si="48"/>
        <v/>
      </c>
      <c r="J263" s="4" t="str">
        <f t="shared" si="49"/>
        <v/>
      </c>
      <c r="K263" s="4">
        <f t="shared" si="50"/>
        <v>0.99224806201550386</v>
      </c>
      <c r="L263" s="4" t="str">
        <f t="shared" si="51"/>
        <v/>
      </c>
      <c r="M263" s="4"/>
      <c r="N263" s="4"/>
      <c r="O263" s="4"/>
      <c r="P263" s="4"/>
      <c r="Q263" s="4"/>
      <c r="R263" s="4"/>
      <c r="S263" s="4"/>
      <c r="T263" s="4"/>
      <c r="U263" s="4"/>
    </row>
    <row r="264" spans="1:21">
      <c r="A264" t="s">
        <v>222</v>
      </c>
      <c r="B264">
        <v>4</v>
      </c>
      <c r="C264" t="str">
        <f t="shared" si="45"/>
        <v>test.client_4_</v>
      </c>
      <c r="D264">
        <v>5</v>
      </c>
      <c r="E264" s="4">
        <v>0.99224806201550386</v>
      </c>
      <c r="F264" s="4">
        <v>0.95864520958083832</v>
      </c>
      <c r="G264" s="4" t="str">
        <f t="shared" si="46"/>
        <v/>
      </c>
      <c r="H264" s="4" t="str">
        <f t="shared" si="47"/>
        <v/>
      </c>
      <c r="I264" s="4" t="str">
        <f t="shared" si="48"/>
        <v/>
      </c>
      <c r="J264" s="4" t="str">
        <f t="shared" si="49"/>
        <v/>
      </c>
      <c r="K264" s="4">
        <f t="shared" si="50"/>
        <v>0.99224806201550386</v>
      </c>
      <c r="L264" s="4" t="str">
        <f t="shared" si="51"/>
        <v/>
      </c>
      <c r="M264" s="4"/>
      <c r="N264" s="4"/>
      <c r="O264" s="4"/>
      <c r="P264" s="4"/>
      <c r="Q264" s="4"/>
      <c r="R264" s="4"/>
      <c r="S264" s="4"/>
      <c r="T264" s="4"/>
      <c r="U264" s="4"/>
    </row>
    <row r="265" spans="1:21">
      <c r="A265" t="s">
        <v>222</v>
      </c>
      <c r="B265">
        <v>4</v>
      </c>
      <c r="C265" t="str">
        <f t="shared" si="45"/>
        <v>test.client_4_</v>
      </c>
      <c r="D265">
        <v>6</v>
      </c>
      <c r="E265" s="4">
        <v>0.99224806201550386</v>
      </c>
      <c r="F265" s="4">
        <v>0.96014221556886226</v>
      </c>
      <c r="G265" s="4" t="str">
        <f t="shared" si="46"/>
        <v/>
      </c>
      <c r="H265" s="4" t="str">
        <f t="shared" si="47"/>
        <v/>
      </c>
      <c r="I265" s="4" t="str">
        <f t="shared" si="48"/>
        <v/>
      </c>
      <c r="J265" s="4" t="str">
        <f t="shared" si="49"/>
        <v/>
      </c>
      <c r="K265" s="4">
        <f t="shared" si="50"/>
        <v>0.99224806201550386</v>
      </c>
      <c r="L265" s="4" t="str">
        <f t="shared" si="51"/>
        <v/>
      </c>
      <c r="M265" s="4"/>
      <c r="N265" s="4"/>
      <c r="O265" s="4"/>
      <c r="P265" s="4"/>
      <c r="Q265" s="4"/>
      <c r="R265" s="4"/>
      <c r="S265" s="4"/>
      <c r="T265" s="4"/>
      <c r="U265" s="4"/>
    </row>
    <row r="266" spans="1:21">
      <c r="A266" t="s">
        <v>222</v>
      </c>
      <c r="B266">
        <v>4</v>
      </c>
      <c r="C266" t="str">
        <f t="shared" si="45"/>
        <v>test.client_4_</v>
      </c>
      <c r="D266">
        <v>7</v>
      </c>
      <c r="E266" s="4">
        <v>1</v>
      </c>
      <c r="F266" s="4">
        <v>1.1427769461077844</v>
      </c>
      <c r="G266" s="4" t="str">
        <f t="shared" si="46"/>
        <v/>
      </c>
      <c r="H266" s="4" t="str">
        <f t="shared" si="47"/>
        <v/>
      </c>
      <c r="I266" s="4" t="str">
        <f t="shared" si="48"/>
        <v/>
      </c>
      <c r="J266" s="4" t="str">
        <f t="shared" si="49"/>
        <v/>
      </c>
      <c r="K266" s="4" t="str">
        <f t="shared" si="50"/>
        <v/>
      </c>
      <c r="L266" s="4">
        <f t="shared" si="51"/>
        <v>1</v>
      </c>
      <c r="M266" s="4"/>
      <c r="N266" s="4"/>
      <c r="O266" s="4"/>
      <c r="P266" s="4"/>
      <c r="Q266" s="4"/>
      <c r="R266" s="4"/>
      <c r="S266" s="4"/>
      <c r="T266" s="4"/>
      <c r="U266" s="4"/>
    </row>
    <row r="267" spans="1:21">
      <c r="A267" t="s">
        <v>222</v>
      </c>
      <c r="B267">
        <v>4</v>
      </c>
      <c r="C267" t="str">
        <f t="shared" si="45"/>
        <v>test.client_4_</v>
      </c>
      <c r="D267">
        <v>8</v>
      </c>
      <c r="E267" s="4">
        <v>1</v>
      </c>
      <c r="F267" s="4">
        <v>1.1483907185628743</v>
      </c>
      <c r="G267" s="4" t="str">
        <f t="shared" si="46"/>
        <v/>
      </c>
      <c r="H267" s="4" t="str">
        <f t="shared" si="47"/>
        <v/>
      </c>
      <c r="I267" s="4" t="str">
        <f t="shared" si="48"/>
        <v/>
      </c>
      <c r="J267" s="4" t="str">
        <f t="shared" si="49"/>
        <v/>
      </c>
      <c r="K267" s="4" t="str">
        <f t="shared" si="50"/>
        <v/>
      </c>
      <c r="L267" s="4">
        <f t="shared" si="51"/>
        <v>1</v>
      </c>
      <c r="M267" s="4"/>
      <c r="N267" s="4"/>
      <c r="O267" s="4"/>
      <c r="P267" s="4"/>
      <c r="Q267" s="4"/>
      <c r="R267" s="4"/>
      <c r="S267" s="4"/>
      <c r="T267" s="4"/>
      <c r="U267" s="4"/>
    </row>
    <row r="268" spans="1:21">
      <c r="A268" t="s">
        <v>222</v>
      </c>
      <c r="B268">
        <v>4</v>
      </c>
      <c r="C268" t="str">
        <f t="shared" si="45"/>
        <v>test.client_4_</v>
      </c>
      <c r="D268">
        <v>9</v>
      </c>
      <c r="E268" s="4">
        <v>1</v>
      </c>
      <c r="F268" s="4">
        <v>1.1648577844311376</v>
      </c>
      <c r="G268" s="4" t="str">
        <f t="shared" si="46"/>
        <v/>
      </c>
      <c r="H268" s="4" t="str">
        <f t="shared" si="47"/>
        <v/>
      </c>
      <c r="I268" s="4" t="str">
        <f t="shared" si="48"/>
        <v/>
      </c>
      <c r="J268" s="4" t="str">
        <f t="shared" si="49"/>
        <v/>
      </c>
      <c r="K268" s="4" t="str">
        <f t="shared" si="50"/>
        <v/>
      </c>
      <c r="L268" s="4">
        <f t="shared" si="51"/>
        <v>1</v>
      </c>
      <c r="M268" s="4"/>
      <c r="N268" s="4"/>
      <c r="O268" s="4"/>
      <c r="P268" s="4"/>
      <c r="Q268" s="4"/>
      <c r="R268" s="4"/>
      <c r="S268" s="4"/>
      <c r="T268" s="4"/>
      <c r="U268" s="4"/>
    </row>
    <row r="269" spans="1:21">
      <c r="A269" t="s">
        <v>222</v>
      </c>
      <c r="B269">
        <v>6</v>
      </c>
      <c r="C269" t="str">
        <f t="shared" si="45"/>
        <v>test.client_6_</v>
      </c>
      <c r="D269">
        <v>1</v>
      </c>
      <c r="E269" s="4">
        <v>0.64462809917355368</v>
      </c>
      <c r="F269" s="4">
        <v>0.61672707746006172</v>
      </c>
      <c r="G269" s="4" t="str">
        <f t="shared" si="46"/>
        <v/>
      </c>
      <c r="H269" s="4" t="str">
        <f t="shared" si="47"/>
        <v/>
      </c>
      <c r="I269" s="4" t="str">
        <f t="shared" si="48"/>
        <v/>
      </c>
      <c r="J269" s="4">
        <f t="shared" si="49"/>
        <v>0.64462809917355368</v>
      </c>
      <c r="K269" s="4" t="str">
        <f t="shared" si="50"/>
        <v/>
      </c>
      <c r="L269" s="4" t="str">
        <f t="shared" si="51"/>
        <v/>
      </c>
      <c r="M269" s="4"/>
      <c r="N269" s="4"/>
      <c r="O269" s="4"/>
      <c r="P269" s="4"/>
      <c r="Q269" s="4"/>
      <c r="R269" s="4"/>
      <c r="S269" s="4"/>
      <c r="T269" s="4"/>
      <c r="U269" s="4"/>
    </row>
    <row r="270" spans="1:21">
      <c r="A270" t="s">
        <v>222</v>
      </c>
      <c r="B270">
        <v>6</v>
      </c>
      <c r="C270" t="str">
        <f t="shared" si="45"/>
        <v>test.client_6_</v>
      </c>
      <c r="D270">
        <v>2</v>
      </c>
      <c r="E270" s="4">
        <v>1</v>
      </c>
      <c r="F270" s="4">
        <v>0.61874077057323129</v>
      </c>
      <c r="G270" s="4" t="str">
        <f t="shared" si="46"/>
        <v/>
      </c>
      <c r="H270" s="4" t="str">
        <f t="shared" si="47"/>
        <v/>
      </c>
      <c r="I270" s="4" t="str">
        <f t="shared" si="48"/>
        <v/>
      </c>
      <c r="J270" s="4">
        <f t="shared" si="49"/>
        <v>1</v>
      </c>
      <c r="K270" s="4" t="str">
        <f t="shared" si="50"/>
        <v/>
      </c>
      <c r="L270" s="4" t="str">
        <f t="shared" si="51"/>
        <v/>
      </c>
      <c r="M270" s="4"/>
      <c r="N270" s="4"/>
      <c r="O270" s="4"/>
      <c r="P270" s="4"/>
      <c r="Q270" s="4"/>
      <c r="R270" s="4"/>
      <c r="S270" s="4"/>
      <c r="T270" s="4"/>
      <c r="U270" s="4"/>
    </row>
    <row r="271" spans="1:21">
      <c r="A271" t="s">
        <v>222</v>
      </c>
      <c r="B271">
        <v>7</v>
      </c>
      <c r="C271" t="str">
        <f t="shared" si="45"/>
        <v>test.client_7_</v>
      </c>
      <c r="D271">
        <v>1</v>
      </c>
      <c r="E271" s="4">
        <v>2.4390243902439025E-2</v>
      </c>
      <c r="F271" s="4">
        <v>7.571428571428572E-2</v>
      </c>
      <c r="G271" s="4">
        <f t="shared" si="46"/>
        <v>2.4390243902439025E-2</v>
      </c>
      <c r="H271" s="4" t="str">
        <f t="shared" si="47"/>
        <v/>
      </c>
      <c r="I271" s="4" t="str">
        <f t="shared" si="48"/>
        <v/>
      </c>
      <c r="J271" s="4" t="str">
        <f t="shared" si="49"/>
        <v/>
      </c>
      <c r="K271" s="4" t="str">
        <f t="shared" si="50"/>
        <v/>
      </c>
      <c r="L271" s="4" t="str">
        <f t="shared" si="51"/>
        <v/>
      </c>
      <c r="M271" s="4"/>
      <c r="N271" s="4"/>
      <c r="O271" s="4"/>
      <c r="P271" s="4"/>
      <c r="Q271" s="4"/>
      <c r="R271" s="4"/>
      <c r="S271" s="4"/>
      <c r="T271" s="4"/>
      <c r="U271" s="4"/>
    </row>
    <row r="272" spans="1:21">
      <c r="A272" t="s">
        <v>222</v>
      </c>
      <c r="B272">
        <v>7</v>
      </c>
      <c r="C272" t="str">
        <f t="shared" si="45"/>
        <v>test.client_7_</v>
      </c>
      <c r="D272">
        <v>2</v>
      </c>
      <c r="E272" s="4">
        <v>7.3170731707317069E-2</v>
      </c>
      <c r="F272" s="4">
        <v>0.13928571428571429</v>
      </c>
      <c r="G272" s="4">
        <f t="shared" si="46"/>
        <v>7.3170731707317069E-2</v>
      </c>
      <c r="H272" s="4" t="str">
        <f t="shared" si="47"/>
        <v/>
      </c>
      <c r="I272" s="4" t="str">
        <f t="shared" si="48"/>
        <v/>
      </c>
      <c r="J272" s="4" t="str">
        <f t="shared" si="49"/>
        <v/>
      </c>
      <c r="K272" s="4" t="str">
        <f t="shared" si="50"/>
        <v/>
      </c>
      <c r="L272" s="4" t="str">
        <f t="shared" si="51"/>
        <v/>
      </c>
      <c r="M272" s="4"/>
      <c r="N272" s="4"/>
      <c r="O272" s="4"/>
      <c r="P272" s="4"/>
      <c r="Q272" s="4"/>
      <c r="R272" s="4"/>
      <c r="S272" s="4"/>
      <c r="T272" s="4"/>
      <c r="U272" s="4"/>
    </row>
    <row r="273" spans="1:21">
      <c r="A273" t="s">
        <v>222</v>
      </c>
      <c r="B273">
        <v>7</v>
      </c>
      <c r="C273" t="str">
        <f t="shared" si="45"/>
        <v>test.client_7_</v>
      </c>
      <c r="D273">
        <v>3</v>
      </c>
      <c r="E273" s="4">
        <v>0.14634146341463414</v>
      </c>
      <c r="F273" s="4">
        <v>0.20428571428571429</v>
      </c>
      <c r="G273" s="4" t="str">
        <f t="shared" si="46"/>
        <v/>
      </c>
      <c r="H273" s="4">
        <f t="shared" si="47"/>
        <v>0.14634146341463414</v>
      </c>
      <c r="I273" s="4" t="str">
        <f t="shared" si="48"/>
        <v/>
      </c>
      <c r="J273" s="4" t="str">
        <f t="shared" si="49"/>
        <v/>
      </c>
      <c r="K273" s="4" t="str">
        <f t="shared" si="50"/>
        <v/>
      </c>
      <c r="L273" s="4" t="str">
        <f t="shared" si="51"/>
        <v/>
      </c>
      <c r="M273" s="4"/>
      <c r="N273" s="4"/>
      <c r="O273" s="4"/>
      <c r="P273" s="4"/>
      <c r="Q273" s="4"/>
      <c r="R273" s="4"/>
      <c r="S273" s="4"/>
      <c r="T273" s="4"/>
      <c r="U273" s="4"/>
    </row>
    <row r="274" spans="1:21">
      <c r="A274" t="s">
        <v>222</v>
      </c>
      <c r="B274">
        <v>7</v>
      </c>
      <c r="C274" t="str">
        <f t="shared" si="45"/>
        <v>test.client_7_</v>
      </c>
      <c r="D274">
        <v>4</v>
      </c>
      <c r="E274" s="4">
        <v>0.17073170731707318</v>
      </c>
      <c r="F274" s="4">
        <v>0.64142857142857146</v>
      </c>
      <c r="G274" s="4" t="str">
        <f t="shared" si="46"/>
        <v/>
      </c>
      <c r="H274" s="4" t="str">
        <f t="shared" si="47"/>
        <v/>
      </c>
      <c r="I274" s="4" t="str">
        <f t="shared" si="48"/>
        <v/>
      </c>
      <c r="J274" s="4">
        <f t="shared" si="49"/>
        <v>0.17073170731707318</v>
      </c>
      <c r="K274" s="4" t="str">
        <f t="shared" si="50"/>
        <v/>
      </c>
      <c r="L274" s="4" t="str">
        <f t="shared" si="51"/>
        <v/>
      </c>
      <c r="M274" s="4"/>
      <c r="N274" s="4"/>
      <c r="O274" s="4"/>
      <c r="P274" s="4"/>
      <c r="Q274" s="4"/>
      <c r="R274" s="4"/>
      <c r="S274" s="4"/>
      <c r="T274" s="4"/>
      <c r="U274" s="4"/>
    </row>
    <row r="275" spans="1:21">
      <c r="A275" t="s">
        <v>222</v>
      </c>
      <c r="B275">
        <v>7</v>
      </c>
      <c r="C275" t="str">
        <f t="shared" si="45"/>
        <v>test.client_7_</v>
      </c>
      <c r="D275">
        <v>5</v>
      </c>
      <c r="E275" s="4">
        <v>0.26829268292682928</v>
      </c>
      <c r="F275" s="4">
        <v>0.86428571428571432</v>
      </c>
      <c r="G275" s="4" t="str">
        <f t="shared" si="46"/>
        <v/>
      </c>
      <c r="H275" s="4" t="str">
        <f t="shared" si="47"/>
        <v/>
      </c>
      <c r="I275" s="4" t="str">
        <f t="shared" si="48"/>
        <v/>
      </c>
      <c r="J275" s="4" t="str">
        <f t="shared" si="49"/>
        <v/>
      </c>
      <c r="K275" s="4">
        <f t="shared" si="50"/>
        <v>0.26829268292682928</v>
      </c>
      <c r="L275" s="4" t="str">
        <f t="shared" si="51"/>
        <v/>
      </c>
      <c r="M275" s="4"/>
      <c r="N275" s="4"/>
      <c r="O275" s="4"/>
      <c r="P275" s="4"/>
      <c r="Q275" s="4"/>
      <c r="R275" s="4"/>
      <c r="S275" s="4"/>
      <c r="T275" s="4"/>
      <c r="U275" s="4"/>
    </row>
    <row r="276" spans="1:21">
      <c r="A276" t="s">
        <v>222</v>
      </c>
      <c r="B276">
        <v>7</v>
      </c>
      <c r="C276" t="str">
        <f t="shared" si="45"/>
        <v>test.client_7_</v>
      </c>
      <c r="D276">
        <v>6</v>
      </c>
      <c r="E276" s="4">
        <v>0.26829268292682928</v>
      </c>
      <c r="F276" s="4">
        <v>0.98571428571428577</v>
      </c>
      <c r="G276" s="4" t="str">
        <f t="shared" si="46"/>
        <v/>
      </c>
      <c r="H276" s="4" t="str">
        <f t="shared" si="47"/>
        <v/>
      </c>
      <c r="I276" s="4" t="str">
        <f t="shared" si="48"/>
        <v/>
      </c>
      <c r="J276" s="4" t="str">
        <f t="shared" si="49"/>
        <v/>
      </c>
      <c r="K276" s="4">
        <f t="shared" si="50"/>
        <v>0.26829268292682928</v>
      </c>
      <c r="L276" s="4" t="str">
        <f t="shared" si="51"/>
        <v/>
      </c>
      <c r="M276" s="4"/>
      <c r="N276" s="4"/>
      <c r="O276" s="4"/>
      <c r="P276" s="4"/>
      <c r="Q276" s="4"/>
      <c r="R276" s="4"/>
      <c r="S276" s="4"/>
      <c r="T276" s="4"/>
      <c r="U276" s="4"/>
    </row>
    <row r="277" spans="1:21">
      <c r="A277" s="9" t="s">
        <v>222</v>
      </c>
      <c r="B277" s="9">
        <v>7</v>
      </c>
      <c r="C277" s="9" t="str">
        <f t="shared" si="45"/>
        <v>test.client_7_</v>
      </c>
      <c r="D277" s="9">
        <v>7</v>
      </c>
      <c r="E277" s="4">
        <v>1</v>
      </c>
      <c r="F277" s="4">
        <v>1.3178571428571428</v>
      </c>
      <c r="G277" s="4" t="str">
        <f t="shared" si="46"/>
        <v/>
      </c>
      <c r="H277" s="4" t="str">
        <f t="shared" si="47"/>
        <v/>
      </c>
      <c r="I277" s="4" t="str">
        <f t="shared" si="48"/>
        <v/>
      </c>
      <c r="J277" s="4" t="str">
        <f t="shared" si="49"/>
        <v/>
      </c>
      <c r="K277" s="4" t="str">
        <f t="shared" si="50"/>
        <v/>
      </c>
      <c r="L277" s="4">
        <f t="shared" si="51"/>
        <v>1</v>
      </c>
      <c r="M277" s="4"/>
      <c r="N277" s="4"/>
      <c r="O277" s="4"/>
      <c r="P277" s="4"/>
      <c r="Q277" s="4"/>
      <c r="R277" s="4"/>
      <c r="S277" s="4"/>
      <c r="T277" s="4"/>
      <c r="U277" s="4"/>
    </row>
    <row r="278" spans="1:21">
      <c r="A278" t="s">
        <v>223</v>
      </c>
      <c r="B278">
        <v>3</v>
      </c>
      <c r="C278" t="str">
        <f t="shared" si="45"/>
        <v>test.GeoEngine_3_</v>
      </c>
      <c r="D278">
        <v>1</v>
      </c>
      <c r="E278" s="4">
        <v>9.6774193548387094E-2</v>
      </c>
      <c r="F278" s="4">
        <v>6.75502351432236E-2</v>
      </c>
      <c r="G278" s="4">
        <f t="shared" si="46"/>
        <v>9.6774193548387094E-2</v>
      </c>
      <c r="H278" s="4" t="str">
        <f t="shared" si="47"/>
        <v/>
      </c>
      <c r="I278" s="4" t="str">
        <f t="shared" si="48"/>
        <v/>
      </c>
      <c r="J278" s="4" t="str">
        <f t="shared" si="49"/>
        <v/>
      </c>
      <c r="K278" s="4" t="str">
        <f t="shared" si="50"/>
        <v/>
      </c>
      <c r="L278" s="4" t="str">
        <f t="shared" si="51"/>
        <v/>
      </c>
      <c r="M278" s="4"/>
      <c r="N278" s="4"/>
      <c r="O278" s="4"/>
      <c r="P278" s="4"/>
      <c r="Q278" s="4"/>
      <c r="R278" s="4"/>
      <c r="S278" s="4"/>
      <c r="T278" s="4"/>
      <c r="U278" s="4"/>
    </row>
    <row r="279" spans="1:21">
      <c r="A279" t="s">
        <v>223</v>
      </c>
      <c r="B279">
        <v>3</v>
      </c>
      <c r="C279" t="str">
        <f t="shared" si="45"/>
        <v>test.GeoEngine_3_</v>
      </c>
      <c r="D279">
        <v>2</v>
      </c>
      <c r="E279" s="4">
        <v>0.74193548387096775</v>
      </c>
      <c r="F279" s="4">
        <v>0.5791648852786091</v>
      </c>
      <c r="G279" s="4" t="str">
        <f t="shared" si="46"/>
        <v/>
      </c>
      <c r="H279" s="4" t="str">
        <f t="shared" si="47"/>
        <v/>
      </c>
      <c r="I279" s="4">
        <f t="shared" si="48"/>
        <v>0.74193548387096775</v>
      </c>
      <c r="J279" s="4" t="str">
        <f t="shared" si="49"/>
        <v/>
      </c>
      <c r="K279" s="4" t="str">
        <f t="shared" si="50"/>
        <v/>
      </c>
      <c r="L279" s="4" t="str">
        <f t="shared" si="51"/>
        <v/>
      </c>
      <c r="M279" s="4"/>
      <c r="N279" s="4"/>
      <c r="O279" s="4"/>
      <c r="P279" s="4"/>
      <c r="Q279" s="4"/>
      <c r="R279" s="4"/>
      <c r="S279" s="4"/>
      <c r="T279" s="4"/>
      <c r="U279" s="4"/>
    </row>
    <row r="280" spans="1:21">
      <c r="A280" t="s">
        <v>223</v>
      </c>
      <c r="B280">
        <v>3</v>
      </c>
      <c r="C280" t="str">
        <f t="shared" si="45"/>
        <v>test.GeoEngine_3_</v>
      </c>
      <c r="D280">
        <v>3</v>
      </c>
      <c r="E280" s="4">
        <v>1</v>
      </c>
      <c r="F280" s="4">
        <v>0.58401026079521168</v>
      </c>
      <c r="G280" s="4" t="str">
        <f t="shared" si="46"/>
        <v/>
      </c>
      <c r="H280" s="4" t="str">
        <f t="shared" si="47"/>
        <v/>
      </c>
      <c r="I280" s="4">
        <f t="shared" si="48"/>
        <v>1</v>
      </c>
      <c r="J280" s="4" t="str">
        <f t="shared" si="49"/>
        <v/>
      </c>
      <c r="K280" s="4" t="str">
        <f t="shared" si="50"/>
        <v/>
      </c>
      <c r="L280" s="4" t="str">
        <f t="shared" si="51"/>
        <v/>
      </c>
      <c r="M280" s="4"/>
      <c r="N280" s="4"/>
      <c r="O280" s="4"/>
      <c r="P280" s="4"/>
      <c r="Q280" s="4"/>
      <c r="R280" s="4"/>
      <c r="S280" s="4"/>
      <c r="T280" s="4"/>
      <c r="U280" s="4"/>
    </row>
    <row r="281" spans="1:21">
      <c r="A281" t="s">
        <v>223</v>
      </c>
      <c r="B281">
        <v>7</v>
      </c>
      <c r="C281" t="str">
        <f t="shared" si="45"/>
        <v>test.GeoEngine_7_</v>
      </c>
      <c r="D281">
        <v>1</v>
      </c>
      <c r="E281" s="4">
        <v>5.3571428571428568E-2</v>
      </c>
      <c r="F281" s="4">
        <v>9.1227003192945119E-3</v>
      </c>
      <c r="G281" s="4">
        <f t="shared" si="46"/>
        <v>5.3571428571428568E-2</v>
      </c>
      <c r="H281" s="4" t="str">
        <f t="shared" si="47"/>
        <v/>
      </c>
      <c r="I281" s="4" t="str">
        <f t="shared" si="48"/>
        <v/>
      </c>
      <c r="J281" s="4" t="str">
        <f t="shared" si="49"/>
        <v/>
      </c>
      <c r="K281" s="4" t="str">
        <f t="shared" si="50"/>
        <v/>
      </c>
      <c r="L281" s="4" t="str">
        <f t="shared" si="51"/>
        <v/>
      </c>
      <c r="M281" s="4"/>
      <c r="N281" s="4"/>
      <c r="O281" s="4"/>
      <c r="P281" s="4"/>
      <c r="Q281" s="4"/>
      <c r="R281" s="4"/>
      <c r="S281" s="4"/>
      <c r="T281" s="4"/>
      <c r="U281" s="4"/>
    </row>
    <row r="282" spans="1:21">
      <c r="A282" t="s">
        <v>223</v>
      </c>
      <c r="B282">
        <v>7</v>
      </c>
      <c r="C282" t="str">
        <f t="shared" si="45"/>
        <v>test.GeoEngine_7_</v>
      </c>
      <c r="D282">
        <v>2</v>
      </c>
      <c r="E282" s="4">
        <v>7.1428571428571425E-2</v>
      </c>
      <c r="F282" s="4">
        <v>2.2198570776949977E-2</v>
      </c>
      <c r="G282" s="4">
        <f t="shared" si="46"/>
        <v>7.1428571428571425E-2</v>
      </c>
      <c r="H282" s="4" t="str">
        <f t="shared" si="47"/>
        <v/>
      </c>
      <c r="I282" s="4" t="str">
        <f t="shared" si="48"/>
        <v/>
      </c>
      <c r="J282" s="4" t="str">
        <f t="shared" si="49"/>
        <v/>
      </c>
      <c r="K282" s="4" t="str">
        <f t="shared" si="50"/>
        <v/>
      </c>
      <c r="L282" s="4" t="str">
        <f t="shared" si="51"/>
        <v/>
      </c>
      <c r="M282" s="4"/>
      <c r="N282" s="4"/>
      <c r="O282" s="4"/>
      <c r="P282" s="4"/>
      <c r="Q282" s="4"/>
      <c r="R282" s="4"/>
      <c r="S282" s="4"/>
      <c r="T282" s="4"/>
      <c r="U282" s="4"/>
    </row>
    <row r="283" spans="1:21">
      <c r="A283" t="s">
        <v>223</v>
      </c>
      <c r="B283">
        <v>7</v>
      </c>
      <c r="C283" t="str">
        <f t="shared" si="45"/>
        <v>test.GeoEngine_7_</v>
      </c>
      <c r="D283">
        <v>3</v>
      </c>
      <c r="E283" s="4">
        <v>0.2857142857142857</v>
      </c>
      <c r="F283" s="4">
        <v>6.1578227155237954E-2</v>
      </c>
      <c r="G283" s="4">
        <f t="shared" si="46"/>
        <v>0.2857142857142857</v>
      </c>
      <c r="H283" s="4" t="str">
        <f t="shared" si="47"/>
        <v/>
      </c>
      <c r="I283" s="4" t="str">
        <f t="shared" si="48"/>
        <v/>
      </c>
      <c r="J283" s="4" t="str">
        <f t="shared" si="49"/>
        <v/>
      </c>
      <c r="K283" s="4" t="str">
        <f t="shared" si="50"/>
        <v/>
      </c>
      <c r="L283" s="4" t="str">
        <f t="shared" si="51"/>
        <v/>
      </c>
      <c r="M283" s="4"/>
      <c r="N283" s="4"/>
      <c r="O283" s="4"/>
      <c r="P283" s="4"/>
      <c r="Q283" s="4"/>
      <c r="R283" s="4"/>
      <c r="S283" s="4"/>
      <c r="T283" s="4"/>
      <c r="U283" s="4"/>
    </row>
    <row r="284" spans="1:21">
      <c r="A284" t="s">
        <v>223</v>
      </c>
      <c r="B284">
        <v>7</v>
      </c>
      <c r="C284" t="str">
        <f t="shared" si="45"/>
        <v>test.GeoEngine_7_</v>
      </c>
      <c r="D284">
        <v>4</v>
      </c>
      <c r="E284" s="4">
        <v>0.48214285714285715</v>
      </c>
      <c r="F284" s="4">
        <v>9.1987228219552991E-2</v>
      </c>
      <c r="G284" s="4">
        <f t="shared" si="46"/>
        <v>0.48214285714285715</v>
      </c>
      <c r="H284" s="4" t="str">
        <f t="shared" si="47"/>
        <v/>
      </c>
      <c r="I284" s="4" t="str">
        <f t="shared" si="48"/>
        <v/>
      </c>
      <c r="J284" s="4" t="str">
        <f t="shared" si="49"/>
        <v/>
      </c>
      <c r="K284" s="4" t="str">
        <f t="shared" si="50"/>
        <v/>
      </c>
      <c r="L284" s="4" t="str">
        <f t="shared" si="51"/>
        <v/>
      </c>
      <c r="M284" s="4"/>
      <c r="N284" s="4"/>
      <c r="O284" s="4"/>
      <c r="P284" s="4"/>
      <c r="Q284" s="4"/>
      <c r="R284" s="4"/>
      <c r="S284" s="4"/>
      <c r="T284" s="4"/>
      <c r="U284" s="4"/>
    </row>
    <row r="285" spans="1:21">
      <c r="A285" t="s">
        <v>223</v>
      </c>
      <c r="B285">
        <v>7</v>
      </c>
      <c r="C285" t="str">
        <f t="shared" si="45"/>
        <v>test.GeoEngine_7_</v>
      </c>
      <c r="D285">
        <v>5</v>
      </c>
      <c r="E285" s="4">
        <v>0.5178571428571429</v>
      </c>
      <c r="F285" s="4">
        <v>9.3355633267447169E-2</v>
      </c>
      <c r="G285" s="4">
        <f t="shared" si="46"/>
        <v>0.5178571428571429</v>
      </c>
      <c r="H285" s="4" t="str">
        <f t="shared" si="47"/>
        <v/>
      </c>
      <c r="I285" s="4" t="str">
        <f t="shared" si="48"/>
        <v/>
      </c>
      <c r="J285" s="4" t="str">
        <f t="shared" si="49"/>
        <v/>
      </c>
      <c r="K285" s="4" t="str">
        <f t="shared" si="50"/>
        <v/>
      </c>
      <c r="L285" s="4" t="str">
        <f t="shared" si="51"/>
        <v/>
      </c>
      <c r="M285" s="4"/>
      <c r="N285" s="4"/>
      <c r="O285" s="4"/>
      <c r="P285" s="4"/>
      <c r="Q285" s="4"/>
      <c r="R285" s="4"/>
      <c r="S285" s="4"/>
      <c r="T285" s="4"/>
      <c r="U285" s="4"/>
    </row>
    <row r="286" spans="1:21">
      <c r="A286" t="s">
        <v>223</v>
      </c>
      <c r="B286">
        <v>7</v>
      </c>
      <c r="C286" t="str">
        <f t="shared" si="45"/>
        <v>test.GeoEngine_7_</v>
      </c>
      <c r="D286">
        <v>6</v>
      </c>
      <c r="E286" s="4">
        <v>1</v>
      </c>
      <c r="F286" s="4">
        <v>0.98266686939334047</v>
      </c>
      <c r="G286" s="4" t="str">
        <f t="shared" si="46"/>
        <v/>
      </c>
      <c r="H286" s="4" t="str">
        <f t="shared" si="47"/>
        <v/>
      </c>
      <c r="I286" s="4" t="str">
        <f t="shared" si="48"/>
        <v/>
      </c>
      <c r="J286" s="4" t="str">
        <f t="shared" si="49"/>
        <v/>
      </c>
      <c r="K286" s="4">
        <f t="shared" si="50"/>
        <v>1</v>
      </c>
      <c r="L286" s="4" t="str">
        <f t="shared" si="51"/>
        <v/>
      </c>
      <c r="M286" s="4"/>
      <c r="N286" s="4"/>
      <c r="O286" s="4"/>
      <c r="P286" s="4"/>
      <c r="Q286" s="4"/>
      <c r="R286" s="4"/>
      <c r="S286" s="4"/>
      <c r="T286" s="4"/>
      <c r="U286" s="4"/>
    </row>
    <row r="287" spans="1:21">
      <c r="A287" t="s">
        <v>223</v>
      </c>
      <c r="B287">
        <v>8</v>
      </c>
      <c r="C287" t="str">
        <f t="shared" si="45"/>
        <v>test.GeoEngine_8_</v>
      </c>
      <c r="D287">
        <v>1</v>
      </c>
      <c r="E287" s="4">
        <v>4.6511627906976744E-2</v>
      </c>
      <c r="F287" s="4">
        <v>4.6797447411959348E-2</v>
      </c>
      <c r="G287" s="4">
        <f t="shared" si="46"/>
        <v>4.6511627906976744E-2</v>
      </c>
      <c r="H287" s="4" t="str">
        <f t="shared" si="47"/>
        <v/>
      </c>
      <c r="I287" s="4" t="str">
        <f t="shared" si="48"/>
        <v/>
      </c>
      <c r="J287" s="4" t="str">
        <f t="shared" si="49"/>
        <v/>
      </c>
      <c r="K287" s="4" t="str">
        <f t="shared" si="50"/>
        <v/>
      </c>
      <c r="L287" s="4" t="str">
        <f t="shared" si="51"/>
        <v/>
      </c>
      <c r="M287" s="4"/>
      <c r="N287" s="4"/>
      <c r="O287" s="4"/>
      <c r="P287" s="4"/>
      <c r="Q287" s="4"/>
      <c r="R287" s="4"/>
      <c r="S287" s="4"/>
      <c r="T287" s="4"/>
      <c r="U287" s="4"/>
    </row>
    <row r="288" spans="1:21">
      <c r="A288" t="s">
        <v>223</v>
      </c>
      <c r="B288">
        <v>8</v>
      </c>
      <c r="C288" t="str">
        <f t="shared" si="45"/>
        <v>test.GeoEngine_8_</v>
      </c>
      <c r="D288">
        <v>2</v>
      </c>
      <c r="E288" s="4">
        <v>0.1744186046511628</v>
      </c>
      <c r="F288" s="4">
        <v>0.1207752304419759</v>
      </c>
      <c r="G288" s="4">
        <f t="shared" si="46"/>
        <v>0.1744186046511628</v>
      </c>
      <c r="H288" s="4" t="str">
        <f t="shared" si="47"/>
        <v/>
      </c>
      <c r="I288" s="4" t="str">
        <f t="shared" si="48"/>
        <v/>
      </c>
      <c r="J288" s="4" t="str">
        <f t="shared" si="49"/>
        <v/>
      </c>
      <c r="K288" s="4" t="str">
        <f t="shared" si="50"/>
        <v/>
      </c>
      <c r="L288" s="4" t="str">
        <f t="shared" si="51"/>
        <v/>
      </c>
      <c r="M288" s="4"/>
      <c r="N288" s="4"/>
      <c r="O288" s="4"/>
      <c r="P288" s="4"/>
      <c r="Q288" s="4"/>
      <c r="R288" s="4"/>
      <c r="S288" s="4"/>
      <c r="T288" s="4"/>
      <c r="U288" s="4"/>
    </row>
    <row r="289" spans="1:21">
      <c r="A289" t="s">
        <v>223</v>
      </c>
      <c r="B289">
        <v>8</v>
      </c>
      <c r="C289" t="str">
        <f t="shared" si="45"/>
        <v>test.GeoEngine_8_</v>
      </c>
      <c r="D289">
        <v>3</v>
      </c>
      <c r="E289" s="4">
        <v>0.22093023255813954</v>
      </c>
      <c r="F289" s="4">
        <v>0.14511935712597496</v>
      </c>
      <c r="G289" s="4">
        <f t="shared" si="46"/>
        <v>0.22093023255813954</v>
      </c>
      <c r="H289" s="4" t="str">
        <f t="shared" si="47"/>
        <v/>
      </c>
      <c r="I289" s="4" t="str">
        <f t="shared" si="48"/>
        <v/>
      </c>
      <c r="J289" s="4" t="str">
        <f t="shared" si="49"/>
        <v/>
      </c>
      <c r="K289" s="4" t="str">
        <f t="shared" si="50"/>
        <v/>
      </c>
      <c r="L289" s="4" t="str">
        <f t="shared" si="51"/>
        <v/>
      </c>
      <c r="M289" s="4"/>
      <c r="N289" s="4"/>
      <c r="O289" s="4"/>
      <c r="P289" s="4"/>
      <c r="Q289" s="4"/>
      <c r="R289" s="4"/>
      <c r="S289" s="4"/>
      <c r="T289" s="4"/>
      <c r="U289" s="4"/>
    </row>
    <row r="290" spans="1:21">
      <c r="A290" t="s">
        <v>223</v>
      </c>
      <c r="B290">
        <v>8</v>
      </c>
      <c r="C290" t="str">
        <f t="shared" si="45"/>
        <v>test.GeoEngine_8_</v>
      </c>
      <c r="D290">
        <v>4</v>
      </c>
      <c r="E290" s="4">
        <v>0.33720930232558138</v>
      </c>
      <c r="F290" s="4">
        <v>0.16733632710943039</v>
      </c>
      <c r="G290" s="4">
        <f t="shared" si="46"/>
        <v>0.33720930232558138</v>
      </c>
      <c r="H290" s="4" t="str">
        <f t="shared" si="47"/>
        <v/>
      </c>
      <c r="I290" s="4" t="str">
        <f t="shared" si="48"/>
        <v/>
      </c>
      <c r="J290" s="4" t="str">
        <f t="shared" si="49"/>
        <v/>
      </c>
      <c r="K290" s="4" t="str">
        <f t="shared" si="50"/>
        <v/>
      </c>
      <c r="L290" s="4" t="str">
        <f t="shared" si="51"/>
        <v/>
      </c>
      <c r="M290" s="4"/>
      <c r="N290" s="4"/>
      <c r="O290" s="4"/>
      <c r="P290" s="4"/>
      <c r="Q290" s="4"/>
      <c r="R290" s="4"/>
      <c r="S290" s="4"/>
      <c r="T290" s="4"/>
      <c r="U290" s="4"/>
    </row>
    <row r="291" spans="1:21">
      <c r="A291" t="s">
        <v>223</v>
      </c>
      <c r="B291">
        <v>8</v>
      </c>
      <c r="C291" t="str">
        <f t="shared" si="45"/>
        <v>test.GeoEngine_8_</v>
      </c>
      <c r="D291">
        <v>5</v>
      </c>
      <c r="E291" s="4">
        <v>0.36046511627906974</v>
      </c>
      <c r="F291" s="4">
        <v>0.17868116284566296</v>
      </c>
      <c r="G291" s="4">
        <f t="shared" si="46"/>
        <v>0.36046511627906974</v>
      </c>
      <c r="H291" s="4" t="str">
        <f t="shared" si="47"/>
        <v/>
      </c>
      <c r="I291" s="4" t="str">
        <f t="shared" si="48"/>
        <v/>
      </c>
      <c r="J291" s="4" t="str">
        <f t="shared" si="49"/>
        <v/>
      </c>
      <c r="K291" s="4" t="str">
        <f t="shared" si="50"/>
        <v/>
      </c>
      <c r="L291" s="4" t="str">
        <f t="shared" si="51"/>
        <v/>
      </c>
      <c r="M291" s="4"/>
      <c r="N291" s="4"/>
      <c r="O291" s="4"/>
      <c r="P291" s="4"/>
      <c r="Q291" s="4"/>
      <c r="R291" s="4"/>
      <c r="S291" s="4"/>
      <c r="T291" s="4"/>
      <c r="U291" s="4"/>
    </row>
    <row r="292" spans="1:21">
      <c r="A292" t="s">
        <v>223</v>
      </c>
      <c r="B292">
        <v>8</v>
      </c>
      <c r="C292" t="str">
        <f t="shared" si="45"/>
        <v>test.GeoEngine_8_</v>
      </c>
      <c r="D292">
        <v>6</v>
      </c>
      <c r="E292" s="4">
        <v>0.7558139534883721</v>
      </c>
      <c r="F292" s="4">
        <v>0.73575986764358303</v>
      </c>
      <c r="G292" s="4" t="str">
        <f t="shared" si="46"/>
        <v/>
      </c>
      <c r="H292" s="4" t="str">
        <f t="shared" si="47"/>
        <v/>
      </c>
      <c r="I292" s="4" t="str">
        <f t="shared" si="48"/>
        <v/>
      </c>
      <c r="J292" s="4">
        <f t="shared" si="49"/>
        <v>0.7558139534883721</v>
      </c>
      <c r="K292" s="4" t="str">
        <f t="shared" si="50"/>
        <v/>
      </c>
      <c r="L292" s="4" t="str">
        <f t="shared" si="51"/>
        <v/>
      </c>
      <c r="M292" s="4"/>
      <c r="N292" s="4"/>
      <c r="O292" s="4"/>
      <c r="P292" s="4"/>
      <c r="Q292" s="4"/>
      <c r="R292" s="4"/>
      <c r="S292" s="4"/>
      <c r="T292" s="4"/>
      <c r="U292" s="4"/>
    </row>
    <row r="293" spans="1:21">
      <c r="A293" t="s">
        <v>223</v>
      </c>
      <c r="B293">
        <v>8</v>
      </c>
      <c r="C293" t="str">
        <f t="shared" si="45"/>
        <v>test.GeoEngine_8_</v>
      </c>
      <c r="D293">
        <v>7</v>
      </c>
      <c r="E293" s="4">
        <v>0.80232558139534882</v>
      </c>
      <c r="F293" s="4">
        <v>0.77239423304183408</v>
      </c>
      <c r="G293" s="4" t="str">
        <f t="shared" si="46"/>
        <v/>
      </c>
      <c r="H293" s="4" t="str">
        <f t="shared" si="47"/>
        <v/>
      </c>
      <c r="I293" s="4" t="str">
        <f t="shared" si="48"/>
        <v/>
      </c>
      <c r="J293" s="4">
        <f t="shared" si="49"/>
        <v>0.80232558139534882</v>
      </c>
      <c r="K293" s="4" t="str">
        <f t="shared" si="50"/>
        <v/>
      </c>
      <c r="L293" s="4" t="str">
        <f t="shared" si="51"/>
        <v/>
      </c>
      <c r="M293" s="4"/>
      <c r="N293" s="4"/>
      <c r="O293" s="4"/>
      <c r="P293" s="4"/>
      <c r="Q293" s="4"/>
      <c r="R293" s="4"/>
      <c r="S293" s="4"/>
      <c r="T293" s="4"/>
      <c r="U293" s="4"/>
    </row>
    <row r="294" spans="1:21">
      <c r="A294" t="s">
        <v>223</v>
      </c>
      <c r="B294">
        <v>8</v>
      </c>
      <c r="C294" t="str">
        <f t="shared" si="45"/>
        <v>test.GeoEngine_8_</v>
      </c>
      <c r="D294">
        <v>8</v>
      </c>
      <c r="E294" s="4">
        <v>0.81395348837209303</v>
      </c>
      <c r="F294" s="4">
        <v>0.77546679272039709</v>
      </c>
      <c r="G294" s="4" t="str">
        <f t="shared" si="46"/>
        <v/>
      </c>
      <c r="H294" s="4" t="str">
        <f t="shared" si="47"/>
        <v/>
      </c>
      <c r="I294" s="4" t="str">
        <f t="shared" si="48"/>
        <v/>
      </c>
      <c r="J294" s="4">
        <f t="shared" si="49"/>
        <v>0.81395348837209303</v>
      </c>
      <c r="K294" s="4" t="str">
        <f t="shared" si="50"/>
        <v/>
      </c>
      <c r="L294" s="4" t="str">
        <f t="shared" si="51"/>
        <v/>
      </c>
      <c r="M294" s="4"/>
      <c r="N294" s="4"/>
      <c r="O294" s="4"/>
      <c r="P294" s="4"/>
      <c r="Q294" s="4"/>
      <c r="R294" s="4"/>
      <c r="S294" s="4"/>
      <c r="T294" s="4"/>
      <c r="U294" s="4"/>
    </row>
    <row r="295" spans="1:21">
      <c r="A295" t="s">
        <v>223</v>
      </c>
      <c r="B295">
        <v>8</v>
      </c>
      <c r="C295" t="str">
        <f t="shared" si="45"/>
        <v>test.GeoEngine_8_</v>
      </c>
      <c r="D295">
        <v>9</v>
      </c>
      <c r="E295" s="4">
        <v>0.87209302325581395</v>
      </c>
      <c r="F295" s="4">
        <v>0.8203734341763177</v>
      </c>
      <c r="G295" s="4" t="str">
        <f t="shared" si="46"/>
        <v/>
      </c>
      <c r="H295" s="4" t="str">
        <f t="shared" si="47"/>
        <v/>
      </c>
      <c r="I295" s="4" t="str">
        <f t="shared" si="48"/>
        <v/>
      </c>
      <c r="J295" s="4" t="str">
        <f t="shared" si="49"/>
        <v/>
      </c>
      <c r="K295" s="4">
        <f t="shared" si="50"/>
        <v>0.87209302325581395</v>
      </c>
      <c r="L295" s="4" t="str">
        <f t="shared" si="51"/>
        <v/>
      </c>
      <c r="M295" s="4"/>
      <c r="N295" s="4"/>
      <c r="O295" s="4"/>
      <c r="P295" s="4"/>
      <c r="Q295" s="4"/>
      <c r="R295" s="4"/>
      <c r="S295" s="4"/>
      <c r="T295" s="4"/>
      <c r="U295" s="4"/>
    </row>
    <row r="296" spans="1:21">
      <c r="A296" t="s">
        <v>223</v>
      </c>
      <c r="B296">
        <v>8</v>
      </c>
      <c r="C296" t="str">
        <f t="shared" si="45"/>
        <v>test.GeoEngine_8_</v>
      </c>
      <c r="D296">
        <v>10</v>
      </c>
      <c r="E296" s="4">
        <v>0.91860465116279066</v>
      </c>
      <c r="F296" s="4">
        <v>0.86244386669818007</v>
      </c>
      <c r="G296" s="4" t="str">
        <f t="shared" si="46"/>
        <v/>
      </c>
      <c r="H296" s="4" t="str">
        <f t="shared" si="47"/>
        <v/>
      </c>
      <c r="I296" s="4" t="str">
        <f t="shared" si="48"/>
        <v/>
      </c>
      <c r="J296" s="4" t="str">
        <f t="shared" si="49"/>
        <v/>
      </c>
      <c r="K296" s="4">
        <f t="shared" si="50"/>
        <v>0.91860465116279066</v>
      </c>
      <c r="L296" s="4" t="str">
        <f t="shared" si="51"/>
        <v/>
      </c>
      <c r="M296" s="4"/>
      <c r="N296" s="4"/>
      <c r="O296" s="4"/>
      <c r="P296" s="4"/>
      <c r="Q296" s="4"/>
      <c r="R296" s="4"/>
      <c r="S296" s="4"/>
      <c r="T296" s="4"/>
      <c r="U296" s="4"/>
    </row>
    <row r="297" spans="1:21">
      <c r="A297" t="s">
        <v>223</v>
      </c>
      <c r="B297">
        <v>8</v>
      </c>
      <c r="C297" t="str">
        <f t="shared" si="45"/>
        <v>test.GeoEngine_8_</v>
      </c>
      <c r="D297">
        <v>11</v>
      </c>
      <c r="E297" s="4">
        <v>1</v>
      </c>
      <c r="F297" s="4">
        <v>0.92365870952493501</v>
      </c>
      <c r="G297" s="4" t="str">
        <f t="shared" si="46"/>
        <v/>
      </c>
      <c r="H297" s="4" t="str">
        <f t="shared" si="47"/>
        <v/>
      </c>
      <c r="I297" s="4" t="str">
        <f t="shared" si="48"/>
        <v/>
      </c>
      <c r="J297" s="4" t="str">
        <f t="shared" si="49"/>
        <v/>
      </c>
      <c r="K297" s="4">
        <f t="shared" si="50"/>
        <v>1</v>
      </c>
      <c r="L297" s="4" t="str">
        <f t="shared" si="51"/>
        <v/>
      </c>
      <c r="M297" s="4"/>
      <c r="N297" s="4"/>
      <c r="O297" s="4"/>
      <c r="P297" s="4"/>
      <c r="Q297" s="4"/>
      <c r="R297" s="4"/>
      <c r="S297" s="4"/>
      <c r="T297" s="4"/>
      <c r="U297" s="4"/>
    </row>
    <row r="298" spans="1:21">
      <c r="A298" t="s">
        <v>223</v>
      </c>
      <c r="B298">
        <v>9</v>
      </c>
      <c r="C298" t="str">
        <f t="shared" si="45"/>
        <v>test.GeoEngine_9_</v>
      </c>
      <c r="D298">
        <v>1</v>
      </c>
      <c r="E298" s="4">
        <v>8.6956521739130432E-2</v>
      </c>
      <c r="F298" s="4">
        <v>6.5729349736379616E-2</v>
      </c>
      <c r="G298" s="4">
        <f t="shared" si="46"/>
        <v>8.6956521739130432E-2</v>
      </c>
      <c r="H298" s="4" t="str">
        <f t="shared" si="47"/>
        <v/>
      </c>
      <c r="I298" s="4" t="str">
        <f t="shared" si="48"/>
        <v/>
      </c>
      <c r="J298" s="4" t="str">
        <f t="shared" si="49"/>
        <v/>
      </c>
      <c r="K298" s="4" t="str">
        <f t="shared" si="50"/>
        <v/>
      </c>
      <c r="L298" s="4" t="str">
        <f t="shared" si="51"/>
        <v/>
      </c>
      <c r="M298" s="4"/>
      <c r="N298" s="4"/>
      <c r="O298" s="4"/>
      <c r="P298" s="4"/>
      <c r="Q298" s="4"/>
      <c r="R298" s="4"/>
      <c r="S298" s="4"/>
      <c r="T298" s="4"/>
      <c r="U298" s="4"/>
    </row>
    <row r="299" spans="1:21">
      <c r="A299" t="s">
        <v>223</v>
      </c>
      <c r="B299">
        <v>9</v>
      </c>
      <c r="C299" t="str">
        <f t="shared" si="45"/>
        <v>test.GeoEngine_9_</v>
      </c>
      <c r="D299">
        <v>2</v>
      </c>
      <c r="E299" s="4">
        <v>0.19565217391304349</v>
      </c>
      <c r="F299" s="4">
        <v>0.11212653778558876</v>
      </c>
      <c r="G299" s="4">
        <f t="shared" si="46"/>
        <v>0.19565217391304349</v>
      </c>
      <c r="H299" s="4" t="str">
        <f t="shared" si="47"/>
        <v/>
      </c>
      <c r="I299" s="4" t="str">
        <f t="shared" si="48"/>
        <v/>
      </c>
      <c r="J299" s="4" t="str">
        <f t="shared" si="49"/>
        <v/>
      </c>
      <c r="K299" s="4" t="str">
        <f t="shared" si="50"/>
        <v/>
      </c>
      <c r="L299" s="4" t="str">
        <f t="shared" si="51"/>
        <v/>
      </c>
      <c r="M299" s="4"/>
      <c r="N299" s="4"/>
      <c r="O299" s="4"/>
      <c r="P299" s="4"/>
      <c r="Q299" s="4"/>
      <c r="R299" s="4"/>
      <c r="S299" s="4"/>
      <c r="T299" s="4"/>
      <c r="U299" s="4"/>
    </row>
    <row r="300" spans="1:21">
      <c r="A300" t="s">
        <v>223</v>
      </c>
      <c r="B300">
        <v>9</v>
      </c>
      <c r="C300" t="str">
        <f t="shared" si="45"/>
        <v>test.GeoEngine_9_</v>
      </c>
      <c r="D300">
        <v>3</v>
      </c>
      <c r="E300" s="4">
        <v>0.41304347826086957</v>
      </c>
      <c r="F300" s="4">
        <v>0.24710017574692442</v>
      </c>
      <c r="G300" s="4" t="str">
        <f t="shared" si="46"/>
        <v/>
      </c>
      <c r="H300" s="4">
        <f t="shared" si="47"/>
        <v>0.41304347826086957</v>
      </c>
      <c r="I300" s="4" t="str">
        <f t="shared" si="48"/>
        <v/>
      </c>
      <c r="J300" s="4" t="str">
        <f t="shared" si="49"/>
        <v/>
      </c>
      <c r="K300" s="4" t="str">
        <f t="shared" si="50"/>
        <v/>
      </c>
      <c r="L300" s="4" t="str">
        <f t="shared" si="51"/>
        <v/>
      </c>
      <c r="M300" s="4"/>
      <c r="N300" s="4"/>
      <c r="O300" s="4"/>
      <c r="P300" s="4"/>
      <c r="Q300" s="4"/>
      <c r="R300" s="4"/>
      <c r="S300" s="4"/>
      <c r="T300" s="4"/>
      <c r="U300" s="4"/>
    </row>
    <row r="301" spans="1:21">
      <c r="A301" t="s">
        <v>223</v>
      </c>
      <c r="B301">
        <v>9</v>
      </c>
      <c r="C301" t="str">
        <f t="shared" si="45"/>
        <v>test.GeoEngine_9_</v>
      </c>
      <c r="D301">
        <v>4</v>
      </c>
      <c r="E301" s="4">
        <v>0.45652173913043476</v>
      </c>
      <c r="F301" s="4">
        <v>0.26572934973637963</v>
      </c>
      <c r="G301" s="4" t="str">
        <f t="shared" si="46"/>
        <v/>
      </c>
      <c r="H301" s="4">
        <f t="shared" si="47"/>
        <v>0.45652173913043476</v>
      </c>
      <c r="I301" s="4" t="str">
        <f t="shared" si="48"/>
        <v/>
      </c>
      <c r="J301" s="4" t="str">
        <f t="shared" si="49"/>
        <v/>
      </c>
      <c r="K301" s="4" t="str">
        <f t="shared" si="50"/>
        <v/>
      </c>
      <c r="L301" s="4" t="str">
        <f t="shared" si="51"/>
        <v/>
      </c>
      <c r="M301" s="4"/>
      <c r="N301" s="4"/>
      <c r="O301" s="4"/>
      <c r="P301" s="4"/>
      <c r="Q301" s="4"/>
      <c r="R301" s="4"/>
      <c r="S301" s="4"/>
      <c r="T301" s="4"/>
      <c r="U301" s="4"/>
    </row>
    <row r="302" spans="1:21">
      <c r="A302" t="s">
        <v>223</v>
      </c>
      <c r="B302">
        <v>9</v>
      </c>
      <c r="C302" t="str">
        <f t="shared" si="45"/>
        <v>test.GeoEngine_9_</v>
      </c>
      <c r="D302">
        <v>5</v>
      </c>
      <c r="E302" s="4">
        <v>1</v>
      </c>
      <c r="F302" s="4">
        <v>0.97047451669595786</v>
      </c>
      <c r="G302" s="4" t="str">
        <f t="shared" si="46"/>
        <v/>
      </c>
      <c r="H302" s="4" t="str">
        <f t="shared" si="47"/>
        <v/>
      </c>
      <c r="I302" s="4" t="str">
        <f t="shared" si="48"/>
        <v/>
      </c>
      <c r="J302" s="4" t="str">
        <f t="shared" si="49"/>
        <v/>
      </c>
      <c r="K302" s="4">
        <f t="shared" si="50"/>
        <v>1</v>
      </c>
      <c r="L302" s="4" t="str">
        <f t="shared" si="51"/>
        <v/>
      </c>
      <c r="M302" s="4"/>
      <c r="N302" s="4"/>
      <c r="O302" s="4"/>
      <c r="P302" s="4"/>
      <c r="Q302" s="4"/>
      <c r="R302" s="4"/>
      <c r="S302" s="4"/>
      <c r="T302" s="4"/>
      <c r="U302" s="4"/>
    </row>
    <row r="303" spans="1:21">
      <c r="A303" t="s">
        <v>223</v>
      </c>
      <c r="B303">
        <v>10</v>
      </c>
      <c r="C303" t="str">
        <f t="shared" si="45"/>
        <v>test.GeoEngine_10_</v>
      </c>
      <c r="D303">
        <v>1</v>
      </c>
      <c r="E303" s="4">
        <v>3.3333333333333333E-2</v>
      </c>
      <c r="F303" s="4">
        <v>8.1355932203389825E-2</v>
      </c>
      <c r="G303" s="4">
        <f t="shared" si="46"/>
        <v>3.3333333333333333E-2</v>
      </c>
      <c r="H303" s="4" t="str">
        <f t="shared" si="47"/>
        <v/>
      </c>
      <c r="I303" s="4" t="str">
        <f t="shared" si="48"/>
        <v/>
      </c>
      <c r="J303" s="4" t="str">
        <f t="shared" si="49"/>
        <v/>
      </c>
      <c r="K303" s="4" t="str">
        <f t="shared" si="50"/>
        <v/>
      </c>
      <c r="L303" s="4" t="str">
        <f t="shared" si="51"/>
        <v/>
      </c>
      <c r="M303" s="4"/>
      <c r="N303" s="4"/>
      <c r="O303" s="4"/>
      <c r="P303" s="4"/>
      <c r="Q303" s="4"/>
      <c r="R303" s="4"/>
      <c r="S303" s="4"/>
      <c r="T303" s="4"/>
      <c r="U303" s="4"/>
    </row>
    <row r="304" spans="1:21">
      <c r="A304" t="s">
        <v>223</v>
      </c>
      <c r="B304">
        <v>10</v>
      </c>
      <c r="C304" t="str">
        <f t="shared" si="45"/>
        <v>test.GeoEngine_10_</v>
      </c>
      <c r="D304">
        <v>2</v>
      </c>
      <c r="E304" s="4">
        <v>0.2</v>
      </c>
      <c r="F304" s="4">
        <v>0.33389830508474577</v>
      </c>
      <c r="G304" s="4" t="str">
        <f t="shared" si="46"/>
        <v/>
      </c>
      <c r="H304" s="4">
        <f t="shared" si="47"/>
        <v>0.2</v>
      </c>
      <c r="I304" s="4" t="str">
        <f t="shared" si="48"/>
        <v/>
      </c>
      <c r="J304" s="4" t="str">
        <f t="shared" si="49"/>
        <v/>
      </c>
      <c r="K304" s="4" t="str">
        <f t="shared" si="50"/>
        <v/>
      </c>
      <c r="L304" s="4" t="str">
        <f t="shared" si="51"/>
        <v/>
      </c>
      <c r="M304" s="4"/>
      <c r="N304" s="4"/>
      <c r="O304" s="4"/>
      <c r="P304" s="4"/>
      <c r="Q304" s="4"/>
      <c r="R304" s="4"/>
      <c r="S304" s="4"/>
      <c r="T304" s="4"/>
      <c r="U304" s="4"/>
    </row>
    <row r="305" spans="1:21">
      <c r="A305" t="s">
        <v>223</v>
      </c>
      <c r="B305">
        <v>10</v>
      </c>
      <c r="C305" t="str">
        <f t="shared" si="45"/>
        <v>test.GeoEngine_10_</v>
      </c>
      <c r="D305">
        <v>3</v>
      </c>
      <c r="E305" s="4">
        <v>0.4</v>
      </c>
      <c r="F305" s="4">
        <v>0.48220338983050848</v>
      </c>
      <c r="G305" s="4" t="str">
        <f t="shared" si="46"/>
        <v/>
      </c>
      <c r="H305" s="4" t="str">
        <f t="shared" si="47"/>
        <v/>
      </c>
      <c r="I305" s="4">
        <f t="shared" si="48"/>
        <v>0.4</v>
      </c>
      <c r="J305" s="4" t="str">
        <f t="shared" si="49"/>
        <v/>
      </c>
      <c r="K305" s="4" t="str">
        <f t="shared" si="50"/>
        <v/>
      </c>
      <c r="L305" s="4" t="str">
        <f t="shared" si="51"/>
        <v/>
      </c>
      <c r="M305" s="4"/>
      <c r="N305" s="4"/>
      <c r="O305" s="4"/>
      <c r="P305" s="4"/>
      <c r="Q305" s="4"/>
      <c r="R305" s="4"/>
      <c r="S305" s="4"/>
      <c r="T305" s="4"/>
      <c r="U305" s="4"/>
    </row>
    <row r="306" spans="1:21">
      <c r="A306" t="s">
        <v>223</v>
      </c>
      <c r="B306">
        <v>10</v>
      </c>
      <c r="C306" t="str">
        <f t="shared" si="45"/>
        <v>test.GeoEngine_10_</v>
      </c>
      <c r="D306">
        <v>4</v>
      </c>
      <c r="E306" s="4">
        <v>0.43333333333333335</v>
      </c>
      <c r="F306" s="4">
        <v>0.56610169491525419</v>
      </c>
      <c r="G306" s="4" t="str">
        <f t="shared" si="46"/>
        <v/>
      </c>
      <c r="H306" s="4" t="str">
        <f t="shared" si="47"/>
        <v/>
      </c>
      <c r="I306" s="4">
        <f t="shared" si="48"/>
        <v>0.43333333333333335</v>
      </c>
      <c r="J306" s="4" t="str">
        <f t="shared" si="49"/>
        <v/>
      </c>
      <c r="K306" s="4" t="str">
        <f t="shared" si="50"/>
        <v/>
      </c>
      <c r="L306" s="4" t="str">
        <f t="shared" si="51"/>
        <v/>
      </c>
      <c r="M306" s="4"/>
      <c r="N306" s="4"/>
      <c r="O306" s="4"/>
      <c r="P306" s="4"/>
      <c r="Q306" s="4"/>
      <c r="R306" s="4"/>
      <c r="S306" s="4"/>
      <c r="T306" s="4"/>
      <c r="U306" s="4"/>
    </row>
    <row r="307" spans="1:21">
      <c r="A307" t="s">
        <v>223</v>
      </c>
      <c r="B307">
        <v>10</v>
      </c>
      <c r="C307" t="str">
        <f t="shared" si="45"/>
        <v>test.GeoEngine_10_</v>
      </c>
      <c r="D307">
        <v>5</v>
      </c>
      <c r="E307" s="4">
        <v>0.6333333333333333</v>
      </c>
      <c r="F307" s="4">
        <v>0.65169491525423728</v>
      </c>
      <c r="G307" s="4" t="str">
        <f t="shared" si="46"/>
        <v/>
      </c>
      <c r="H307" s="4" t="str">
        <f t="shared" si="47"/>
        <v/>
      </c>
      <c r="I307" s="4" t="str">
        <f t="shared" si="48"/>
        <v/>
      </c>
      <c r="J307" s="4">
        <f t="shared" si="49"/>
        <v>0.6333333333333333</v>
      </c>
      <c r="K307" s="4" t="str">
        <f t="shared" si="50"/>
        <v/>
      </c>
      <c r="L307" s="4" t="str">
        <f t="shared" si="51"/>
        <v/>
      </c>
      <c r="M307" s="4"/>
      <c r="N307" s="4"/>
      <c r="O307" s="4"/>
      <c r="P307" s="4"/>
      <c r="Q307" s="4"/>
      <c r="R307" s="4"/>
      <c r="S307" s="4"/>
      <c r="T307" s="4"/>
      <c r="U307" s="4"/>
    </row>
    <row r="308" spans="1:21">
      <c r="A308" t="s">
        <v>223</v>
      </c>
      <c r="B308">
        <v>10</v>
      </c>
      <c r="C308" t="str">
        <f t="shared" si="45"/>
        <v>test.GeoEngine_10_</v>
      </c>
      <c r="D308">
        <v>6</v>
      </c>
      <c r="E308" s="4">
        <v>0.6333333333333333</v>
      </c>
      <c r="F308" s="4">
        <v>0.71779661016949148</v>
      </c>
      <c r="G308" s="4" t="str">
        <f t="shared" si="46"/>
        <v/>
      </c>
      <c r="H308" s="4" t="str">
        <f t="shared" si="47"/>
        <v/>
      </c>
      <c r="I308" s="4" t="str">
        <f t="shared" si="48"/>
        <v/>
      </c>
      <c r="J308" s="4">
        <f t="shared" si="49"/>
        <v>0.6333333333333333</v>
      </c>
      <c r="K308" s="4" t="str">
        <f t="shared" si="50"/>
        <v/>
      </c>
      <c r="L308" s="4" t="str">
        <f t="shared" si="51"/>
        <v/>
      </c>
      <c r="M308" s="4"/>
      <c r="N308" s="4"/>
      <c r="O308" s="4"/>
      <c r="P308" s="4"/>
      <c r="Q308" s="4"/>
      <c r="R308" s="4"/>
      <c r="S308" s="4"/>
      <c r="T308" s="4"/>
      <c r="U308" s="4"/>
    </row>
    <row r="309" spans="1:21">
      <c r="A309" t="s">
        <v>223</v>
      </c>
      <c r="B309">
        <v>10</v>
      </c>
      <c r="C309" t="str">
        <f t="shared" si="45"/>
        <v>test.GeoEngine_10_</v>
      </c>
      <c r="D309">
        <v>7</v>
      </c>
      <c r="E309" s="4">
        <v>0.66666666666666663</v>
      </c>
      <c r="F309" s="4">
        <v>0.71864406779661016</v>
      </c>
      <c r="G309" s="4" t="str">
        <f t="shared" si="46"/>
        <v/>
      </c>
      <c r="H309" s="4" t="str">
        <f t="shared" si="47"/>
        <v/>
      </c>
      <c r="I309" s="4" t="str">
        <f t="shared" si="48"/>
        <v/>
      </c>
      <c r="J309" s="4">
        <f t="shared" si="49"/>
        <v>0.66666666666666663</v>
      </c>
      <c r="K309" s="4" t="str">
        <f t="shared" si="50"/>
        <v/>
      </c>
      <c r="L309" s="4" t="str">
        <f t="shared" si="51"/>
        <v/>
      </c>
      <c r="M309" s="4"/>
      <c r="N309" s="4"/>
      <c r="O309" s="4"/>
      <c r="P309" s="4"/>
      <c r="Q309" s="4"/>
      <c r="R309" s="4"/>
      <c r="S309" s="4"/>
      <c r="T309" s="4"/>
      <c r="U309" s="4"/>
    </row>
    <row r="310" spans="1:21">
      <c r="A310" t="s">
        <v>223</v>
      </c>
      <c r="B310">
        <v>10</v>
      </c>
      <c r="C310" t="str">
        <f t="shared" si="45"/>
        <v>test.GeoEngine_10_</v>
      </c>
      <c r="D310">
        <v>8</v>
      </c>
      <c r="E310" s="4">
        <v>0.8</v>
      </c>
      <c r="F310" s="4">
        <v>0.73728813559322037</v>
      </c>
      <c r="G310" s="4" t="str">
        <f t="shared" si="46"/>
        <v/>
      </c>
      <c r="H310" s="4" t="str">
        <f t="shared" si="47"/>
        <v/>
      </c>
      <c r="I310" s="4" t="str">
        <f t="shared" si="48"/>
        <v/>
      </c>
      <c r="J310" s="4">
        <f t="shared" si="49"/>
        <v>0.8</v>
      </c>
      <c r="K310" s="4" t="str">
        <f t="shared" si="50"/>
        <v/>
      </c>
      <c r="L310" s="4" t="str">
        <f t="shared" si="51"/>
        <v/>
      </c>
      <c r="M310" s="4"/>
      <c r="N310" s="4"/>
      <c r="O310" s="4"/>
      <c r="P310" s="4"/>
      <c r="Q310" s="4"/>
      <c r="R310" s="4"/>
      <c r="S310" s="4"/>
      <c r="T310" s="4"/>
      <c r="U310" s="4"/>
    </row>
    <row r="311" spans="1:21">
      <c r="A311" t="s">
        <v>223</v>
      </c>
      <c r="B311">
        <v>10</v>
      </c>
      <c r="C311" t="str">
        <f t="shared" si="45"/>
        <v>test.GeoEngine_10_</v>
      </c>
      <c r="D311">
        <v>9</v>
      </c>
      <c r="E311" s="4">
        <v>0.8</v>
      </c>
      <c r="F311" s="4">
        <v>0.77542372881355937</v>
      </c>
      <c r="G311" s="4" t="str">
        <f t="shared" si="46"/>
        <v/>
      </c>
      <c r="H311" s="4" t="str">
        <f t="shared" si="47"/>
        <v/>
      </c>
      <c r="I311" s="4" t="str">
        <f t="shared" si="48"/>
        <v/>
      </c>
      <c r="J311" s="4">
        <f t="shared" si="49"/>
        <v>0.8</v>
      </c>
      <c r="K311" s="4" t="str">
        <f t="shared" si="50"/>
        <v/>
      </c>
      <c r="L311" s="4" t="str">
        <f t="shared" si="51"/>
        <v/>
      </c>
      <c r="M311" s="4"/>
      <c r="N311" s="4"/>
      <c r="O311" s="4"/>
      <c r="P311" s="4"/>
      <c r="Q311" s="4"/>
      <c r="R311" s="4"/>
      <c r="S311" s="4"/>
      <c r="T311" s="4"/>
      <c r="U311" s="4"/>
    </row>
    <row r="312" spans="1:21">
      <c r="A312" t="s">
        <v>223</v>
      </c>
      <c r="B312">
        <v>10</v>
      </c>
      <c r="C312" t="str">
        <f t="shared" si="45"/>
        <v>test.GeoEngine_10_</v>
      </c>
      <c r="D312">
        <v>10</v>
      </c>
      <c r="E312" s="4">
        <v>0.93333333333333335</v>
      </c>
      <c r="F312" s="4">
        <v>0.79491525423728815</v>
      </c>
      <c r="G312" s="4" t="str">
        <f t="shared" si="46"/>
        <v/>
      </c>
      <c r="H312" s="4" t="str">
        <f t="shared" si="47"/>
        <v/>
      </c>
      <c r="I312" s="4" t="str">
        <f t="shared" si="48"/>
        <v/>
      </c>
      <c r="J312" s="4">
        <f t="shared" si="49"/>
        <v>0.93333333333333335</v>
      </c>
      <c r="K312" s="4" t="str">
        <f t="shared" si="50"/>
        <v/>
      </c>
      <c r="L312" s="4" t="str">
        <f t="shared" si="51"/>
        <v/>
      </c>
      <c r="M312" s="4"/>
      <c r="N312" s="4"/>
      <c r="O312" s="4"/>
      <c r="P312" s="4"/>
      <c r="Q312" s="4"/>
      <c r="R312" s="4"/>
      <c r="S312" s="4"/>
      <c r="T312" s="4"/>
      <c r="U312" s="4"/>
    </row>
    <row r="313" spans="1:21">
      <c r="A313" t="s">
        <v>223</v>
      </c>
      <c r="B313">
        <v>10</v>
      </c>
      <c r="C313" t="str">
        <f t="shared" si="45"/>
        <v>test.GeoEngine_10_</v>
      </c>
      <c r="D313">
        <v>11</v>
      </c>
      <c r="E313" s="4">
        <v>0.93333333333333335</v>
      </c>
      <c r="F313" s="4">
        <v>0.7974576271186441</v>
      </c>
      <c r="G313" s="4" t="str">
        <f t="shared" si="46"/>
        <v/>
      </c>
      <c r="H313" s="4" t="str">
        <f t="shared" si="47"/>
        <v/>
      </c>
      <c r="I313" s="4" t="str">
        <f t="shared" si="48"/>
        <v/>
      </c>
      <c r="J313" s="4">
        <f t="shared" si="49"/>
        <v>0.93333333333333335</v>
      </c>
      <c r="K313" s="4" t="str">
        <f t="shared" si="50"/>
        <v/>
      </c>
      <c r="L313" s="4" t="str">
        <f t="shared" si="51"/>
        <v/>
      </c>
      <c r="M313" s="4"/>
      <c r="N313" s="4"/>
      <c r="O313" s="4"/>
      <c r="P313" s="4"/>
      <c r="Q313" s="4"/>
      <c r="R313" s="4"/>
      <c r="S313" s="4"/>
      <c r="T313" s="4"/>
      <c r="U313" s="4"/>
    </row>
    <row r="314" spans="1:21">
      <c r="A314" t="s">
        <v>223</v>
      </c>
      <c r="B314">
        <v>10</v>
      </c>
      <c r="C314" t="str">
        <f t="shared" si="45"/>
        <v>test.GeoEngine_10_</v>
      </c>
      <c r="D314">
        <v>12</v>
      </c>
      <c r="E314" s="4">
        <v>0.96666666666666667</v>
      </c>
      <c r="F314" s="4">
        <v>0.80423728813559325</v>
      </c>
      <c r="G314" s="4" t="str">
        <f t="shared" si="46"/>
        <v/>
      </c>
      <c r="H314" s="4" t="str">
        <f t="shared" si="47"/>
        <v/>
      </c>
      <c r="I314" s="4" t="str">
        <f t="shared" si="48"/>
        <v/>
      </c>
      <c r="J314" s="4" t="str">
        <f t="shared" si="49"/>
        <v/>
      </c>
      <c r="K314" s="4">
        <f t="shared" si="50"/>
        <v>0.96666666666666667</v>
      </c>
      <c r="L314" s="4" t="str">
        <f t="shared" si="51"/>
        <v/>
      </c>
      <c r="M314" s="4"/>
      <c r="N314" s="4"/>
      <c r="O314" s="4"/>
      <c r="P314" s="4"/>
      <c r="Q314" s="4"/>
      <c r="R314" s="4"/>
      <c r="S314" s="4"/>
      <c r="T314" s="4"/>
      <c r="U314" s="4"/>
    </row>
    <row r="315" spans="1:21">
      <c r="A315" t="s">
        <v>223</v>
      </c>
      <c r="B315">
        <v>10</v>
      </c>
      <c r="C315" t="str">
        <f t="shared" si="45"/>
        <v>test.GeoEngine_10_</v>
      </c>
      <c r="D315">
        <v>13</v>
      </c>
      <c r="E315" s="4">
        <v>1</v>
      </c>
      <c r="F315" s="4">
        <v>0.80593220338983051</v>
      </c>
      <c r="G315" s="4" t="str">
        <f t="shared" si="46"/>
        <v/>
      </c>
      <c r="H315" s="4" t="str">
        <f t="shared" si="47"/>
        <v/>
      </c>
      <c r="I315" s="4" t="str">
        <f t="shared" si="48"/>
        <v/>
      </c>
      <c r="J315" s="4" t="str">
        <f t="shared" si="49"/>
        <v/>
      </c>
      <c r="K315" s="4">
        <f t="shared" si="50"/>
        <v>1</v>
      </c>
      <c r="L315" s="4" t="str">
        <f t="shared" si="51"/>
        <v/>
      </c>
      <c r="M315" s="4"/>
      <c r="N315" s="4"/>
      <c r="O315" s="4"/>
      <c r="P315" s="4"/>
      <c r="Q315" s="4"/>
      <c r="R315" s="4"/>
      <c r="S315" s="4"/>
      <c r="T315" s="4"/>
      <c r="U315" s="4"/>
    </row>
    <row r="316" spans="1:21">
      <c r="A316" t="s">
        <v>223</v>
      </c>
      <c r="B316">
        <v>10</v>
      </c>
      <c r="C316" t="str">
        <f t="shared" si="45"/>
        <v>test.GeoEngine_10_</v>
      </c>
      <c r="D316">
        <v>14</v>
      </c>
      <c r="E316" s="4">
        <v>1</v>
      </c>
      <c r="F316" s="4">
        <v>0.8067796610169492</v>
      </c>
      <c r="G316" s="4" t="str">
        <f t="shared" si="46"/>
        <v/>
      </c>
      <c r="H316" s="4" t="str">
        <f t="shared" si="47"/>
        <v/>
      </c>
      <c r="I316" s="4" t="str">
        <f t="shared" si="48"/>
        <v/>
      </c>
      <c r="J316" s="4" t="str">
        <f t="shared" si="49"/>
        <v/>
      </c>
      <c r="K316" s="4">
        <f t="shared" si="50"/>
        <v>1</v>
      </c>
      <c r="L316" s="4" t="str">
        <f t="shared" si="51"/>
        <v/>
      </c>
      <c r="M316" s="4"/>
      <c r="N316" s="4"/>
      <c r="O316" s="4"/>
      <c r="P316" s="4"/>
      <c r="Q316" s="4"/>
      <c r="R316" s="4"/>
      <c r="S316" s="4"/>
      <c r="T316" s="4"/>
      <c r="U316" s="4"/>
    </row>
    <row r="317" spans="1:21">
      <c r="A317" t="s">
        <v>223</v>
      </c>
      <c r="B317">
        <v>10</v>
      </c>
      <c r="C317" t="str">
        <f t="shared" si="45"/>
        <v>test.GeoEngine_10_</v>
      </c>
      <c r="D317">
        <v>15</v>
      </c>
      <c r="E317" s="4">
        <v>1</v>
      </c>
      <c r="F317" s="4">
        <v>0.86525423728813555</v>
      </c>
      <c r="G317" s="4" t="str">
        <f t="shared" si="46"/>
        <v/>
      </c>
      <c r="H317" s="4" t="str">
        <f t="shared" si="47"/>
        <v/>
      </c>
      <c r="I317" s="4" t="str">
        <f t="shared" si="48"/>
        <v/>
      </c>
      <c r="J317" s="4" t="str">
        <f t="shared" si="49"/>
        <v/>
      </c>
      <c r="K317" s="4">
        <f t="shared" si="50"/>
        <v>1</v>
      </c>
      <c r="L317" s="4" t="str">
        <f t="shared" si="51"/>
        <v/>
      </c>
      <c r="M317" s="4"/>
      <c r="N317" s="4"/>
      <c r="O317" s="4"/>
      <c r="P317" s="4"/>
      <c r="Q317" s="4"/>
      <c r="R317" s="4"/>
      <c r="S317" s="4"/>
      <c r="T317" s="4"/>
      <c r="U317" s="4"/>
    </row>
    <row r="318" spans="1:21">
      <c r="A318" t="s">
        <v>223</v>
      </c>
      <c r="B318">
        <v>10</v>
      </c>
      <c r="C318" t="str">
        <f t="shared" si="45"/>
        <v>test.GeoEngine_10_</v>
      </c>
      <c r="D318">
        <v>16</v>
      </c>
      <c r="E318" s="4">
        <v>1</v>
      </c>
      <c r="F318" s="4">
        <v>0.86694915254237293</v>
      </c>
      <c r="G318" s="4" t="str">
        <f t="shared" si="46"/>
        <v/>
      </c>
      <c r="H318" s="4" t="str">
        <f t="shared" si="47"/>
        <v/>
      </c>
      <c r="I318" s="4" t="str">
        <f t="shared" si="48"/>
        <v/>
      </c>
      <c r="J318" s="4" t="str">
        <f t="shared" si="49"/>
        <v/>
      </c>
      <c r="K318" s="4">
        <f t="shared" si="50"/>
        <v>1</v>
      </c>
      <c r="L318" s="4" t="str">
        <f t="shared" si="51"/>
        <v/>
      </c>
      <c r="M318" s="4"/>
      <c r="N318" s="4"/>
      <c r="O318" s="4"/>
      <c r="P318" s="4"/>
      <c r="Q318" s="4"/>
      <c r="R318" s="4"/>
      <c r="S318" s="4"/>
      <c r="T318" s="4"/>
      <c r="U318" s="4"/>
    </row>
    <row r="319" spans="1:21">
      <c r="A319" t="s">
        <v>223</v>
      </c>
      <c r="B319">
        <v>10</v>
      </c>
      <c r="C319" t="str">
        <f t="shared" si="45"/>
        <v>test.GeoEngine_10_</v>
      </c>
      <c r="D319">
        <v>17</v>
      </c>
      <c r="E319" s="4">
        <v>1</v>
      </c>
      <c r="F319" s="4">
        <v>0.87542372881355934</v>
      </c>
      <c r="G319" s="4" t="str">
        <f t="shared" si="46"/>
        <v/>
      </c>
      <c r="H319" s="4" t="str">
        <f t="shared" si="47"/>
        <v/>
      </c>
      <c r="I319" s="4" t="str">
        <f t="shared" si="48"/>
        <v/>
      </c>
      <c r="J319" s="4" t="str">
        <f t="shared" si="49"/>
        <v/>
      </c>
      <c r="K319" s="4">
        <f t="shared" si="50"/>
        <v>1</v>
      </c>
      <c r="L319" s="4" t="str">
        <f t="shared" si="51"/>
        <v/>
      </c>
      <c r="M319" s="4"/>
      <c r="N319" s="4"/>
      <c r="O319" s="4"/>
      <c r="P319" s="4"/>
      <c r="Q319" s="4"/>
      <c r="R319" s="4"/>
      <c r="S319" s="4"/>
      <c r="T319" s="4"/>
      <c r="U319" s="4"/>
    </row>
    <row r="320" spans="1:21">
      <c r="A320" t="s">
        <v>223</v>
      </c>
      <c r="B320">
        <v>10</v>
      </c>
      <c r="C320" t="str">
        <f t="shared" si="45"/>
        <v>test.GeoEngine_10_</v>
      </c>
      <c r="D320">
        <v>18</v>
      </c>
      <c r="E320" s="4">
        <v>1</v>
      </c>
      <c r="F320" s="4">
        <v>0.87627118644067792</v>
      </c>
      <c r="G320" s="4" t="str">
        <f t="shared" si="46"/>
        <v/>
      </c>
      <c r="H320" s="4" t="str">
        <f t="shared" si="47"/>
        <v/>
      </c>
      <c r="I320" s="4" t="str">
        <f t="shared" si="48"/>
        <v/>
      </c>
      <c r="J320" s="4" t="str">
        <f t="shared" si="49"/>
        <v/>
      </c>
      <c r="K320" s="4">
        <f t="shared" si="50"/>
        <v>1</v>
      </c>
      <c r="L320" s="4" t="str">
        <f t="shared" si="51"/>
        <v/>
      </c>
      <c r="M320" s="4"/>
      <c r="N320" s="4"/>
      <c r="O320" s="4"/>
      <c r="P320" s="4"/>
      <c r="Q320" s="4"/>
      <c r="R320" s="4"/>
      <c r="S320" s="4"/>
      <c r="T320" s="4"/>
      <c r="U320" s="4"/>
    </row>
    <row r="321" spans="1:21">
      <c r="A321" t="s">
        <v>223</v>
      </c>
      <c r="B321">
        <v>10</v>
      </c>
      <c r="C321" t="str">
        <f t="shared" si="45"/>
        <v>test.GeoEngine_10_</v>
      </c>
      <c r="D321">
        <v>19</v>
      </c>
      <c r="E321" s="4">
        <v>1</v>
      </c>
      <c r="F321" s="4">
        <v>0.8771186440677966</v>
      </c>
      <c r="G321" s="4" t="str">
        <f t="shared" si="46"/>
        <v/>
      </c>
      <c r="H321" s="4" t="str">
        <f t="shared" si="47"/>
        <v/>
      </c>
      <c r="I321" s="4" t="str">
        <f t="shared" si="48"/>
        <v/>
      </c>
      <c r="J321" s="4" t="str">
        <f t="shared" si="49"/>
        <v/>
      </c>
      <c r="K321" s="4">
        <f t="shared" si="50"/>
        <v>1</v>
      </c>
      <c r="L321" s="4" t="str">
        <f t="shared" si="51"/>
        <v/>
      </c>
      <c r="M321" s="4"/>
      <c r="N321" s="4"/>
      <c r="O321" s="4"/>
      <c r="P321" s="4"/>
      <c r="Q321" s="4"/>
      <c r="R321" s="4"/>
      <c r="S321" s="4"/>
      <c r="T321" s="4"/>
      <c r="U321" s="4"/>
    </row>
    <row r="322" spans="1:21">
      <c r="A322" t="s">
        <v>223</v>
      </c>
      <c r="B322">
        <v>10</v>
      </c>
      <c r="C322" t="str">
        <f t="shared" si="45"/>
        <v>test.GeoEngine_10_</v>
      </c>
      <c r="D322">
        <v>20</v>
      </c>
      <c r="E322" s="4">
        <v>1</v>
      </c>
      <c r="F322" s="4">
        <v>0.87881355932203387</v>
      </c>
      <c r="G322" s="4" t="str">
        <f t="shared" si="46"/>
        <v/>
      </c>
      <c r="H322" s="4" t="str">
        <f t="shared" si="47"/>
        <v/>
      </c>
      <c r="I322" s="4" t="str">
        <f t="shared" si="48"/>
        <v/>
      </c>
      <c r="J322" s="4" t="str">
        <f t="shared" si="49"/>
        <v/>
      </c>
      <c r="K322" s="4">
        <f t="shared" si="50"/>
        <v>1</v>
      </c>
      <c r="L322" s="4" t="str">
        <f t="shared" si="51"/>
        <v/>
      </c>
      <c r="M322" s="4"/>
      <c r="N322" s="4"/>
      <c r="O322" s="4"/>
      <c r="P322" s="4"/>
      <c r="Q322" s="4"/>
      <c r="R322" s="4"/>
      <c r="S322" s="4"/>
      <c r="T322" s="4"/>
      <c r="U322" s="4"/>
    </row>
    <row r="323" spans="1:21">
      <c r="A323" t="s">
        <v>223</v>
      </c>
      <c r="B323">
        <v>10</v>
      </c>
      <c r="C323" t="str">
        <f t="shared" ref="C323:C386" si="52">CONCATENATE(A323, "_",B323,"_")</f>
        <v>test.GeoEngine_10_</v>
      </c>
      <c r="D323">
        <v>21</v>
      </c>
      <c r="E323" s="4">
        <v>1</v>
      </c>
      <c r="F323" s="4">
        <v>0.87966101694915255</v>
      </c>
      <c r="G323" s="4" t="str">
        <f t="shared" ref="G323:G386" si="53">IF(F323 &lt;= 0.2,E323,"")</f>
        <v/>
      </c>
      <c r="H323" s="4" t="str">
        <f t="shared" ref="H323:H386" si="54">IF(AND($F323 &gt; 0.2,$F323 &lt;= 0.4),$E323,"")</f>
        <v/>
      </c>
      <c r="I323" s="4" t="str">
        <f t="shared" ref="I323:I386" si="55">IF(AND($F323 &gt; 0.4,$F323 &lt;= 0.6),$E323,"")</f>
        <v/>
      </c>
      <c r="J323" s="4" t="str">
        <f t="shared" ref="J323:J386" si="56">IF(AND($F323 &gt; 0.6,$F323 &lt;= 0.8),$E323,"")</f>
        <v/>
      </c>
      <c r="K323" s="4">
        <f t="shared" ref="K323:K386" si="57">IF(AND($F323 &gt; 0.8, $F323 &lt;=1.1),$E323,"")</f>
        <v>1</v>
      </c>
      <c r="L323" s="4" t="str">
        <f t="shared" ref="L323:L386" si="58">IF(AND($F323 &gt; 1.1),$E323,"")</f>
        <v/>
      </c>
      <c r="M323" s="4"/>
      <c r="N323" s="4"/>
      <c r="O323" s="4"/>
      <c r="P323" s="4"/>
      <c r="Q323" s="4"/>
      <c r="R323" s="4"/>
      <c r="S323" s="4"/>
      <c r="T323" s="4"/>
      <c r="U323" s="4"/>
    </row>
    <row r="324" spans="1:21">
      <c r="A324" t="s">
        <v>223</v>
      </c>
      <c r="B324">
        <v>10</v>
      </c>
      <c r="C324" t="str">
        <f t="shared" si="52"/>
        <v>test.GeoEngine_10_</v>
      </c>
      <c r="D324">
        <v>22</v>
      </c>
      <c r="E324" s="4">
        <v>1</v>
      </c>
      <c r="F324" s="4">
        <v>0.88305084745762707</v>
      </c>
      <c r="G324" s="4" t="str">
        <f t="shared" si="53"/>
        <v/>
      </c>
      <c r="H324" s="4" t="str">
        <f t="shared" si="54"/>
        <v/>
      </c>
      <c r="I324" s="4" t="str">
        <f t="shared" si="55"/>
        <v/>
      </c>
      <c r="J324" s="4" t="str">
        <f t="shared" si="56"/>
        <v/>
      </c>
      <c r="K324" s="4">
        <f t="shared" si="57"/>
        <v>1</v>
      </c>
      <c r="L324" s="4" t="str">
        <f t="shared" si="58"/>
        <v/>
      </c>
      <c r="M324" s="4"/>
      <c r="N324" s="4"/>
      <c r="O324" s="4"/>
      <c r="P324" s="4"/>
      <c r="Q324" s="4"/>
      <c r="R324" s="4"/>
      <c r="S324" s="4"/>
      <c r="T324" s="4"/>
      <c r="U324" s="4"/>
    </row>
    <row r="325" spans="1:21">
      <c r="A325" t="s">
        <v>223</v>
      </c>
      <c r="B325">
        <v>10</v>
      </c>
      <c r="C325" t="str">
        <f t="shared" si="52"/>
        <v>test.GeoEngine_10_</v>
      </c>
      <c r="D325">
        <v>23</v>
      </c>
      <c r="E325" s="4">
        <v>1</v>
      </c>
      <c r="F325" s="4">
        <v>0.88559322033898302</v>
      </c>
      <c r="G325" s="4" t="str">
        <f t="shared" si="53"/>
        <v/>
      </c>
      <c r="H325" s="4" t="str">
        <f t="shared" si="54"/>
        <v/>
      </c>
      <c r="I325" s="4" t="str">
        <f t="shared" si="55"/>
        <v/>
      </c>
      <c r="J325" s="4" t="str">
        <f t="shared" si="56"/>
        <v/>
      </c>
      <c r="K325" s="4">
        <f t="shared" si="57"/>
        <v>1</v>
      </c>
      <c r="L325" s="4" t="str">
        <f t="shared" si="58"/>
        <v/>
      </c>
      <c r="M325" s="4"/>
      <c r="N325" s="4"/>
      <c r="O325" s="4"/>
      <c r="P325" s="4"/>
      <c r="Q325" s="4"/>
      <c r="R325" s="4"/>
      <c r="S325" s="4"/>
      <c r="T325" s="4"/>
      <c r="U325" s="4"/>
    </row>
    <row r="326" spans="1:21">
      <c r="A326" t="s">
        <v>223</v>
      </c>
      <c r="B326">
        <v>10</v>
      </c>
      <c r="C326" t="str">
        <f t="shared" si="52"/>
        <v>test.GeoEngine_10_</v>
      </c>
      <c r="D326">
        <v>24</v>
      </c>
      <c r="E326" s="4">
        <v>1</v>
      </c>
      <c r="F326" s="4">
        <v>0.93559322033898307</v>
      </c>
      <c r="G326" s="4" t="str">
        <f t="shared" si="53"/>
        <v/>
      </c>
      <c r="H326" s="4" t="str">
        <f t="shared" si="54"/>
        <v/>
      </c>
      <c r="I326" s="4" t="str">
        <f t="shared" si="55"/>
        <v/>
      </c>
      <c r="J326" s="4" t="str">
        <f t="shared" si="56"/>
        <v/>
      </c>
      <c r="K326" s="4">
        <f t="shared" si="57"/>
        <v>1</v>
      </c>
      <c r="L326" s="4" t="str">
        <f t="shared" si="58"/>
        <v/>
      </c>
      <c r="M326" s="4"/>
      <c r="N326" s="4"/>
      <c r="O326" s="4"/>
      <c r="P326" s="4"/>
      <c r="Q326" s="4"/>
      <c r="R326" s="4"/>
      <c r="S326" s="4"/>
      <c r="T326" s="4"/>
      <c r="U326" s="4"/>
    </row>
    <row r="327" spans="1:21">
      <c r="A327" t="s">
        <v>223</v>
      </c>
      <c r="B327">
        <v>10</v>
      </c>
      <c r="C327" t="str">
        <f t="shared" si="52"/>
        <v>test.GeoEngine_10_</v>
      </c>
      <c r="D327">
        <v>25</v>
      </c>
      <c r="E327" s="4">
        <v>1</v>
      </c>
      <c r="F327" s="4">
        <v>0.93898305084745759</v>
      </c>
      <c r="G327" s="4" t="str">
        <f t="shared" si="53"/>
        <v/>
      </c>
      <c r="H327" s="4" t="str">
        <f t="shared" si="54"/>
        <v/>
      </c>
      <c r="I327" s="4" t="str">
        <f t="shared" si="55"/>
        <v/>
      </c>
      <c r="J327" s="4" t="str">
        <f t="shared" si="56"/>
        <v/>
      </c>
      <c r="K327" s="4">
        <f t="shared" si="57"/>
        <v>1</v>
      </c>
      <c r="L327" s="4" t="str">
        <f t="shared" si="58"/>
        <v/>
      </c>
      <c r="M327" s="4"/>
      <c r="N327" s="4"/>
      <c r="O327" s="4"/>
      <c r="P327" s="4"/>
      <c r="Q327" s="4"/>
      <c r="R327" s="4"/>
      <c r="S327" s="4"/>
      <c r="T327" s="4"/>
      <c r="U327" s="4"/>
    </row>
    <row r="328" spans="1:21">
      <c r="A328" t="s">
        <v>223</v>
      </c>
      <c r="B328">
        <v>10</v>
      </c>
      <c r="C328" t="str">
        <f t="shared" si="52"/>
        <v>test.GeoEngine_10_</v>
      </c>
      <c r="D328">
        <v>26</v>
      </c>
      <c r="E328" s="4">
        <v>1</v>
      </c>
      <c r="F328" s="4">
        <v>0.94491525423728817</v>
      </c>
      <c r="G328" s="4" t="str">
        <f t="shared" si="53"/>
        <v/>
      </c>
      <c r="H328" s="4" t="str">
        <f t="shared" si="54"/>
        <v/>
      </c>
      <c r="I328" s="4" t="str">
        <f t="shared" si="55"/>
        <v/>
      </c>
      <c r="J328" s="4" t="str">
        <f t="shared" si="56"/>
        <v/>
      </c>
      <c r="K328" s="4">
        <f t="shared" si="57"/>
        <v>1</v>
      </c>
      <c r="L328" s="4" t="str">
        <f t="shared" si="58"/>
        <v/>
      </c>
      <c r="M328" s="4"/>
      <c r="N328" s="4"/>
      <c r="O328" s="4"/>
      <c r="P328" s="4"/>
      <c r="Q328" s="4"/>
      <c r="R328" s="4"/>
      <c r="S328" s="4"/>
      <c r="T328" s="4"/>
      <c r="U328" s="4"/>
    </row>
    <row r="329" spans="1:21">
      <c r="A329" t="s">
        <v>223</v>
      </c>
      <c r="B329">
        <v>10</v>
      </c>
      <c r="C329" t="str">
        <f t="shared" si="52"/>
        <v>test.GeoEngine_10_</v>
      </c>
      <c r="D329">
        <v>27</v>
      </c>
      <c r="E329" s="4">
        <v>1</v>
      </c>
      <c r="F329" s="4">
        <v>0.94661016949152543</v>
      </c>
      <c r="G329" s="4" t="str">
        <f t="shared" si="53"/>
        <v/>
      </c>
      <c r="H329" s="4" t="str">
        <f t="shared" si="54"/>
        <v/>
      </c>
      <c r="I329" s="4" t="str">
        <f t="shared" si="55"/>
        <v/>
      </c>
      <c r="J329" s="4" t="str">
        <f t="shared" si="56"/>
        <v/>
      </c>
      <c r="K329" s="4">
        <f t="shared" si="57"/>
        <v>1</v>
      </c>
      <c r="L329" s="4" t="str">
        <f t="shared" si="58"/>
        <v/>
      </c>
      <c r="M329" s="4"/>
      <c r="N329" s="4"/>
      <c r="O329" s="4"/>
      <c r="P329" s="4"/>
      <c r="Q329" s="4"/>
      <c r="R329" s="4"/>
      <c r="S329" s="4"/>
      <c r="T329" s="4"/>
      <c r="U329" s="4"/>
    </row>
    <row r="330" spans="1:21">
      <c r="A330" t="s">
        <v>223</v>
      </c>
      <c r="B330">
        <v>10</v>
      </c>
      <c r="C330" t="str">
        <f t="shared" si="52"/>
        <v>test.GeoEngine_10_</v>
      </c>
      <c r="D330">
        <v>28</v>
      </c>
      <c r="E330" s="4">
        <v>1</v>
      </c>
      <c r="F330" s="4">
        <v>0.95338983050847459</v>
      </c>
      <c r="G330" s="4" t="str">
        <f t="shared" si="53"/>
        <v/>
      </c>
      <c r="H330" s="4" t="str">
        <f t="shared" si="54"/>
        <v/>
      </c>
      <c r="I330" s="4" t="str">
        <f t="shared" si="55"/>
        <v/>
      </c>
      <c r="J330" s="4" t="str">
        <f t="shared" si="56"/>
        <v/>
      </c>
      <c r="K330" s="4">
        <f t="shared" si="57"/>
        <v>1</v>
      </c>
      <c r="L330" s="4" t="str">
        <f t="shared" si="58"/>
        <v/>
      </c>
      <c r="M330" s="4"/>
      <c r="N330" s="4"/>
      <c r="O330" s="4"/>
      <c r="P330" s="4"/>
      <c r="Q330" s="4"/>
      <c r="R330" s="4"/>
      <c r="S330" s="4"/>
      <c r="T330" s="4"/>
      <c r="U330" s="4"/>
    </row>
    <row r="331" spans="1:21">
      <c r="A331" t="s">
        <v>223</v>
      </c>
      <c r="B331">
        <v>10</v>
      </c>
      <c r="C331" t="str">
        <f t="shared" si="52"/>
        <v>test.GeoEngine_10_</v>
      </c>
      <c r="D331">
        <v>29</v>
      </c>
      <c r="E331" s="4">
        <v>1</v>
      </c>
      <c r="F331" s="4">
        <v>0.96271186440677969</v>
      </c>
      <c r="G331" s="4" t="str">
        <f t="shared" si="53"/>
        <v/>
      </c>
      <c r="H331" s="4" t="str">
        <f t="shared" si="54"/>
        <v/>
      </c>
      <c r="I331" s="4" t="str">
        <f t="shared" si="55"/>
        <v/>
      </c>
      <c r="J331" s="4" t="str">
        <f t="shared" si="56"/>
        <v/>
      </c>
      <c r="K331" s="4">
        <f t="shared" si="57"/>
        <v>1</v>
      </c>
      <c r="L331" s="4" t="str">
        <f t="shared" si="58"/>
        <v/>
      </c>
      <c r="M331" s="4"/>
      <c r="N331" s="4"/>
      <c r="O331" s="4"/>
      <c r="P331" s="4"/>
      <c r="Q331" s="4"/>
      <c r="R331" s="4"/>
      <c r="S331" s="4"/>
      <c r="T331" s="4"/>
      <c r="U331" s="4"/>
    </row>
    <row r="332" spans="1:21">
      <c r="A332" t="s">
        <v>223</v>
      </c>
      <c r="B332">
        <v>10</v>
      </c>
      <c r="C332" t="str">
        <f t="shared" si="52"/>
        <v>test.GeoEngine_10_</v>
      </c>
      <c r="D332">
        <v>30</v>
      </c>
      <c r="E332" s="4">
        <v>1</v>
      </c>
      <c r="F332" s="4">
        <v>0.9720338983050848</v>
      </c>
      <c r="G332" s="4" t="str">
        <f t="shared" si="53"/>
        <v/>
      </c>
      <c r="H332" s="4" t="str">
        <f t="shared" si="54"/>
        <v/>
      </c>
      <c r="I332" s="4" t="str">
        <f t="shared" si="55"/>
        <v/>
      </c>
      <c r="J332" s="4" t="str">
        <f t="shared" si="56"/>
        <v/>
      </c>
      <c r="K332" s="4">
        <f t="shared" si="57"/>
        <v>1</v>
      </c>
      <c r="L332" s="4" t="str">
        <f t="shared" si="58"/>
        <v/>
      </c>
      <c r="M332" s="4"/>
      <c r="N332" s="4"/>
      <c r="O332" s="4"/>
      <c r="P332" s="4"/>
      <c r="Q332" s="4"/>
      <c r="R332" s="4"/>
      <c r="S332" s="4"/>
      <c r="T332" s="4"/>
      <c r="U332" s="4"/>
    </row>
    <row r="333" spans="1:21">
      <c r="A333" t="s">
        <v>223</v>
      </c>
      <c r="B333">
        <v>10</v>
      </c>
      <c r="C333" t="str">
        <f t="shared" si="52"/>
        <v>test.GeoEngine_10_</v>
      </c>
      <c r="D333">
        <v>31</v>
      </c>
      <c r="E333" s="4">
        <v>1</v>
      </c>
      <c r="F333" s="4">
        <v>1.0076271186440677</v>
      </c>
      <c r="G333" s="4" t="str">
        <f t="shared" si="53"/>
        <v/>
      </c>
      <c r="H333" s="4" t="str">
        <f t="shared" si="54"/>
        <v/>
      </c>
      <c r="I333" s="4" t="str">
        <f t="shared" si="55"/>
        <v/>
      </c>
      <c r="J333" s="4" t="str">
        <f t="shared" si="56"/>
        <v/>
      </c>
      <c r="K333" s="4">
        <f t="shared" si="57"/>
        <v>1</v>
      </c>
      <c r="L333" s="4" t="str">
        <f t="shared" si="58"/>
        <v/>
      </c>
      <c r="M333" s="4"/>
      <c r="N333" s="4"/>
      <c r="O333" s="4"/>
      <c r="P333" s="4"/>
      <c r="Q333" s="4"/>
      <c r="R333" s="4"/>
      <c r="S333" s="4"/>
      <c r="T333" s="4"/>
      <c r="U333" s="4"/>
    </row>
    <row r="334" spans="1:21">
      <c r="A334" t="s">
        <v>223</v>
      </c>
      <c r="B334">
        <v>10</v>
      </c>
      <c r="C334" t="str">
        <f t="shared" si="52"/>
        <v>test.GeoEngine_10_</v>
      </c>
      <c r="D334">
        <v>32</v>
      </c>
      <c r="E334" s="4">
        <v>1</v>
      </c>
      <c r="F334" s="4">
        <v>1.0271186440677966</v>
      </c>
      <c r="G334" s="4" t="str">
        <f t="shared" si="53"/>
        <v/>
      </c>
      <c r="H334" s="4" t="str">
        <f t="shared" si="54"/>
        <v/>
      </c>
      <c r="I334" s="4" t="str">
        <f t="shared" si="55"/>
        <v/>
      </c>
      <c r="J334" s="4" t="str">
        <f t="shared" si="56"/>
        <v/>
      </c>
      <c r="K334" s="4">
        <f t="shared" si="57"/>
        <v>1</v>
      </c>
      <c r="L334" s="4" t="str">
        <f t="shared" si="58"/>
        <v/>
      </c>
      <c r="M334" s="4"/>
      <c r="N334" s="4"/>
      <c r="O334" s="4"/>
      <c r="P334" s="4"/>
      <c r="Q334" s="4"/>
      <c r="R334" s="4"/>
      <c r="S334" s="4"/>
      <c r="T334" s="4"/>
      <c r="U334" s="4"/>
    </row>
    <row r="335" spans="1:21">
      <c r="A335" t="s">
        <v>224</v>
      </c>
      <c r="B335">
        <v>3</v>
      </c>
      <c r="C335" t="str">
        <f t="shared" si="52"/>
        <v>test.FastBlurFilter_3_</v>
      </c>
      <c r="D335">
        <v>1</v>
      </c>
      <c r="E335" s="4">
        <v>0.93525179856115104</v>
      </c>
      <c r="F335" s="4">
        <v>0.96096913679104989</v>
      </c>
      <c r="G335" s="4" t="str">
        <f t="shared" si="53"/>
        <v/>
      </c>
      <c r="H335" s="4" t="str">
        <f t="shared" si="54"/>
        <v/>
      </c>
      <c r="I335" s="4" t="str">
        <f t="shared" si="55"/>
        <v/>
      </c>
      <c r="J335" s="4" t="str">
        <f t="shared" si="56"/>
        <v/>
      </c>
      <c r="K335" s="4">
        <f t="shared" si="57"/>
        <v>0.93525179856115104</v>
      </c>
      <c r="L335" s="4" t="str">
        <f t="shared" si="58"/>
        <v/>
      </c>
      <c r="M335" s="4"/>
      <c r="N335" s="4"/>
      <c r="O335" s="4"/>
      <c r="P335" s="4"/>
      <c r="Q335" s="4"/>
      <c r="R335" s="4"/>
      <c r="S335" s="4"/>
      <c r="T335" s="4"/>
      <c r="U335" s="4"/>
    </row>
    <row r="336" spans="1:21">
      <c r="A336" t="s">
        <v>224</v>
      </c>
      <c r="B336">
        <v>3</v>
      </c>
      <c r="C336" t="str">
        <f t="shared" si="52"/>
        <v>test.FastBlurFilter_3_</v>
      </c>
      <c r="D336">
        <v>2</v>
      </c>
      <c r="E336" s="4">
        <v>1</v>
      </c>
      <c r="F336" s="4">
        <v>0.96350865954380105</v>
      </c>
      <c r="G336" s="4" t="str">
        <f t="shared" si="53"/>
        <v/>
      </c>
      <c r="H336" s="4" t="str">
        <f t="shared" si="54"/>
        <v/>
      </c>
      <c r="I336" s="4" t="str">
        <f t="shared" si="55"/>
        <v/>
      </c>
      <c r="J336" s="4" t="str">
        <f t="shared" si="56"/>
        <v/>
      </c>
      <c r="K336" s="4">
        <f t="shared" si="57"/>
        <v>1</v>
      </c>
      <c r="L336" s="4" t="str">
        <f t="shared" si="58"/>
        <v/>
      </c>
      <c r="M336" s="4"/>
      <c r="N336" s="4"/>
      <c r="O336" s="4"/>
      <c r="P336" s="4"/>
      <c r="Q336" s="4"/>
      <c r="R336" s="4"/>
      <c r="S336" s="4"/>
      <c r="T336" s="4"/>
      <c r="U336" s="4"/>
    </row>
    <row r="337" spans="1:21">
      <c r="A337" t="s">
        <v>225</v>
      </c>
      <c r="B337">
        <v>2</v>
      </c>
      <c r="C337" t="str">
        <f t="shared" si="52"/>
        <v>test.ImageData_2_</v>
      </c>
      <c r="D337">
        <v>1</v>
      </c>
      <c r="E337" s="4">
        <v>0.125</v>
      </c>
      <c r="F337" s="4">
        <v>0.19204604918890633</v>
      </c>
      <c r="G337" s="4">
        <f t="shared" si="53"/>
        <v>0.125</v>
      </c>
      <c r="H337" s="4" t="str">
        <f t="shared" si="54"/>
        <v/>
      </c>
      <c r="I337" s="4" t="str">
        <f t="shared" si="55"/>
        <v/>
      </c>
      <c r="J337" s="4" t="str">
        <f t="shared" si="56"/>
        <v/>
      </c>
      <c r="K337" s="4" t="str">
        <f t="shared" si="57"/>
        <v/>
      </c>
      <c r="L337" s="4" t="str">
        <f t="shared" si="58"/>
        <v/>
      </c>
      <c r="M337" s="4"/>
      <c r="N337" s="4"/>
      <c r="O337" s="4"/>
      <c r="P337" s="4"/>
      <c r="Q337" s="4"/>
      <c r="R337" s="4"/>
      <c r="S337" s="4"/>
      <c r="T337" s="4"/>
      <c r="U337" s="4"/>
    </row>
    <row r="338" spans="1:21">
      <c r="A338" t="s">
        <v>225</v>
      </c>
      <c r="B338">
        <v>2</v>
      </c>
      <c r="C338" t="str">
        <f t="shared" si="52"/>
        <v>test.ImageData_2_</v>
      </c>
      <c r="D338">
        <v>2</v>
      </c>
      <c r="E338" s="4">
        <v>0.23214285714285715</v>
      </c>
      <c r="F338" s="4">
        <v>0.19858712715855573</v>
      </c>
      <c r="G338" s="4">
        <f t="shared" si="53"/>
        <v>0.23214285714285715</v>
      </c>
      <c r="H338" s="4" t="str">
        <f t="shared" si="54"/>
        <v/>
      </c>
      <c r="I338" s="4" t="str">
        <f t="shared" si="55"/>
        <v/>
      </c>
      <c r="J338" s="4" t="str">
        <f t="shared" si="56"/>
        <v/>
      </c>
      <c r="K338" s="4" t="str">
        <f t="shared" si="57"/>
        <v/>
      </c>
      <c r="L338" s="4" t="str">
        <f t="shared" si="58"/>
        <v/>
      </c>
      <c r="M338" s="4"/>
      <c r="N338" s="4"/>
      <c r="O338" s="4"/>
      <c r="P338" s="4"/>
      <c r="Q338" s="4"/>
      <c r="R338" s="4"/>
      <c r="S338" s="4"/>
      <c r="T338" s="4"/>
      <c r="U338" s="4"/>
    </row>
    <row r="339" spans="1:21">
      <c r="A339" t="s">
        <v>225</v>
      </c>
      <c r="B339">
        <v>2</v>
      </c>
      <c r="C339" t="str">
        <f t="shared" si="52"/>
        <v>test.ImageData_2_</v>
      </c>
      <c r="D339">
        <v>3</v>
      </c>
      <c r="E339" s="4">
        <v>0.3482142857142857</v>
      </c>
      <c r="F339" s="4">
        <v>0.20748299319727892</v>
      </c>
      <c r="G339" s="4" t="str">
        <f t="shared" si="53"/>
        <v/>
      </c>
      <c r="H339" s="4">
        <f t="shared" si="54"/>
        <v>0.3482142857142857</v>
      </c>
      <c r="I339" s="4" t="str">
        <f t="shared" si="55"/>
        <v/>
      </c>
      <c r="J339" s="4" t="str">
        <f t="shared" si="56"/>
        <v/>
      </c>
      <c r="K339" s="4" t="str">
        <f t="shared" si="57"/>
        <v/>
      </c>
      <c r="L339" s="4" t="str">
        <f t="shared" si="58"/>
        <v/>
      </c>
      <c r="M339" s="4"/>
      <c r="N339" s="4"/>
      <c r="O339" s="4"/>
      <c r="P339" s="4"/>
      <c r="Q339" s="4"/>
      <c r="R339" s="4"/>
      <c r="S339" s="4"/>
      <c r="T339" s="4"/>
      <c r="U339" s="4"/>
    </row>
    <row r="340" spans="1:21">
      <c r="A340" t="s">
        <v>225</v>
      </c>
      <c r="B340">
        <v>2</v>
      </c>
      <c r="C340" t="str">
        <f t="shared" si="52"/>
        <v>test.ImageData_2_</v>
      </c>
      <c r="D340">
        <v>4</v>
      </c>
      <c r="E340" s="4">
        <v>0.44642857142857145</v>
      </c>
      <c r="F340" s="4">
        <v>0.239141810570382</v>
      </c>
      <c r="G340" s="4" t="str">
        <f t="shared" si="53"/>
        <v/>
      </c>
      <c r="H340" s="4">
        <f t="shared" si="54"/>
        <v>0.44642857142857145</v>
      </c>
      <c r="I340" s="4" t="str">
        <f t="shared" si="55"/>
        <v/>
      </c>
      <c r="J340" s="4" t="str">
        <f t="shared" si="56"/>
        <v/>
      </c>
      <c r="K340" s="4" t="str">
        <f t="shared" si="57"/>
        <v/>
      </c>
      <c r="L340" s="4" t="str">
        <f t="shared" si="58"/>
        <v/>
      </c>
      <c r="M340" s="4"/>
      <c r="N340" s="4"/>
      <c r="O340" s="4"/>
      <c r="P340" s="4"/>
      <c r="Q340" s="4"/>
      <c r="R340" s="4"/>
      <c r="S340" s="4"/>
      <c r="T340" s="4"/>
      <c r="U340" s="4"/>
    </row>
    <row r="341" spans="1:21">
      <c r="A341" t="s">
        <v>225</v>
      </c>
      <c r="B341">
        <v>2</v>
      </c>
      <c r="C341" t="str">
        <f t="shared" si="52"/>
        <v>test.ImageData_2_</v>
      </c>
      <c r="D341">
        <v>5</v>
      </c>
      <c r="E341" s="4">
        <v>0.5535714285714286</v>
      </c>
      <c r="F341" s="4">
        <v>0.28492935635792777</v>
      </c>
      <c r="G341" s="4" t="str">
        <f t="shared" si="53"/>
        <v/>
      </c>
      <c r="H341" s="4">
        <f t="shared" si="54"/>
        <v>0.5535714285714286</v>
      </c>
      <c r="I341" s="4" t="str">
        <f t="shared" si="55"/>
        <v/>
      </c>
      <c r="J341" s="4" t="str">
        <f t="shared" si="56"/>
        <v/>
      </c>
      <c r="K341" s="4" t="str">
        <f t="shared" si="57"/>
        <v/>
      </c>
      <c r="L341" s="4" t="str">
        <f t="shared" si="58"/>
        <v/>
      </c>
      <c r="M341" s="4"/>
      <c r="N341" s="4"/>
      <c r="O341" s="4"/>
      <c r="P341" s="4"/>
      <c r="Q341" s="4"/>
      <c r="R341" s="4"/>
      <c r="S341" s="4"/>
      <c r="T341" s="4"/>
      <c r="U341" s="4"/>
    </row>
    <row r="342" spans="1:21">
      <c r="A342" t="s">
        <v>225</v>
      </c>
      <c r="B342">
        <v>2</v>
      </c>
      <c r="C342" t="str">
        <f t="shared" si="52"/>
        <v>test.ImageData_2_</v>
      </c>
      <c r="D342">
        <v>6</v>
      </c>
      <c r="E342" s="4">
        <v>0.6428571428571429</v>
      </c>
      <c r="F342" s="4">
        <v>0.29251700680272108</v>
      </c>
      <c r="G342" s="4" t="str">
        <f t="shared" si="53"/>
        <v/>
      </c>
      <c r="H342" s="4">
        <f t="shared" si="54"/>
        <v>0.6428571428571429</v>
      </c>
      <c r="I342" s="4" t="str">
        <f t="shared" si="55"/>
        <v/>
      </c>
      <c r="J342" s="4" t="str">
        <f t="shared" si="56"/>
        <v/>
      </c>
      <c r="K342" s="4" t="str">
        <f t="shared" si="57"/>
        <v/>
      </c>
      <c r="L342" s="4" t="str">
        <f t="shared" si="58"/>
        <v/>
      </c>
      <c r="M342" s="4"/>
      <c r="N342" s="4"/>
      <c r="O342" s="4"/>
      <c r="P342" s="4"/>
      <c r="Q342" s="4"/>
      <c r="R342" s="4"/>
      <c r="S342" s="4"/>
      <c r="T342" s="4"/>
      <c r="U342" s="4"/>
    </row>
    <row r="343" spans="1:21">
      <c r="A343" t="s">
        <v>225</v>
      </c>
      <c r="B343">
        <v>2</v>
      </c>
      <c r="C343" t="str">
        <f t="shared" si="52"/>
        <v>test.ImageData_2_</v>
      </c>
      <c r="D343">
        <v>7</v>
      </c>
      <c r="E343" s="4">
        <v>0.6428571428571429</v>
      </c>
      <c r="F343" s="4">
        <v>0.29277864992150704</v>
      </c>
      <c r="G343" s="4" t="str">
        <f t="shared" si="53"/>
        <v/>
      </c>
      <c r="H343" s="4">
        <f t="shared" si="54"/>
        <v>0.6428571428571429</v>
      </c>
      <c r="I343" s="4" t="str">
        <f t="shared" si="55"/>
        <v/>
      </c>
      <c r="J343" s="4" t="str">
        <f t="shared" si="56"/>
        <v/>
      </c>
      <c r="K343" s="4" t="str">
        <f t="shared" si="57"/>
        <v/>
      </c>
      <c r="L343" s="4" t="str">
        <f t="shared" si="58"/>
        <v/>
      </c>
      <c r="M343" s="4"/>
      <c r="N343" s="4"/>
      <c r="O343" s="4"/>
      <c r="P343" s="4"/>
      <c r="Q343" s="4"/>
      <c r="R343" s="4"/>
      <c r="S343" s="4"/>
      <c r="T343" s="4"/>
      <c r="U343" s="4"/>
    </row>
    <row r="344" spans="1:21">
      <c r="A344" t="s">
        <v>225</v>
      </c>
      <c r="B344">
        <v>2</v>
      </c>
      <c r="C344" t="str">
        <f t="shared" si="52"/>
        <v>test.ImageData_2_</v>
      </c>
      <c r="D344">
        <v>8</v>
      </c>
      <c r="E344" s="4">
        <v>0.6428571428571429</v>
      </c>
      <c r="F344" s="4">
        <v>0.30455259026687598</v>
      </c>
      <c r="G344" s="4" t="str">
        <f t="shared" si="53"/>
        <v/>
      </c>
      <c r="H344" s="4">
        <f t="shared" si="54"/>
        <v>0.6428571428571429</v>
      </c>
      <c r="I344" s="4" t="str">
        <f t="shared" si="55"/>
        <v/>
      </c>
      <c r="J344" s="4" t="str">
        <f t="shared" si="56"/>
        <v/>
      </c>
      <c r="K344" s="4" t="str">
        <f t="shared" si="57"/>
        <v/>
      </c>
      <c r="L344" s="4" t="str">
        <f t="shared" si="58"/>
        <v/>
      </c>
      <c r="M344" s="4"/>
      <c r="N344" s="4"/>
      <c r="O344" s="4"/>
      <c r="P344" s="4"/>
      <c r="Q344" s="4"/>
      <c r="R344" s="4"/>
      <c r="S344" s="4"/>
      <c r="T344" s="4"/>
      <c r="U344" s="4"/>
    </row>
    <row r="345" spans="1:21">
      <c r="A345" t="s">
        <v>225</v>
      </c>
      <c r="B345">
        <v>2</v>
      </c>
      <c r="C345" t="str">
        <f t="shared" si="52"/>
        <v>test.ImageData_2_</v>
      </c>
      <c r="D345">
        <v>9</v>
      </c>
      <c r="E345" s="4">
        <v>0.6428571428571429</v>
      </c>
      <c r="F345" s="4">
        <v>0.31187859759288333</v>
      </c>
      <c r="G345" s="4" t="str">
        <f t="shared" si="53"/>
        <v/>
      </c>
      <c r="H345" s="4">
        <f t="shared" si="54"/>
        <v>0.6428571428571429</v>
      </c>
      <c r="I345" s="4" t="str">
        <f t="shared" si="55"/>
        <v/>
      </c>
      <c r="J345" s="4" t="str">
        <f t="shared" si="56"/>
        <v/>
      </c>
      <c r="K345" s="4" t="str">
        <f t="shared" si="57"/>
        <v/>
      </c>
      <c r="L345" s="4" t="str">
        <f t="shared" si="58"/>
        <v/>
      </c>
      <c r="M345" s="4"/>
      <c r="N345" s="4"/>
      <c r="O345" s="4"/>
      <c r="P345" s="4"/>
      <c r="Q345" s="4"/>
      <c r="R345" s="4"/>
      <c r="S345" s="4"/>
      <c r="T345" s="4"/>
      <c r="U345" s="4"/>
    </row>
    <row r="346" spans="1:21">
      <c r="A346" t="s">
        <v>225</v>
      </c>
      <c r="B346">
        <v>2</v>
      </c>
      <c r="C346" t="str">
        <f t="shared" si="52"/>
        <v>test.ImageData_2_</v>
      </c>
      <c r="D346">
        <v>10</v>
      </c>
      <c r="E346" s="4">
        <v>0.7946428571428571</v>
      </c>
      <c r="F346" s="4">
        <v>0.3207744636316065</v>
      </c>
      <c r="G346" s="4" t="str">
        <f t="shared" si="53"/>
        <v/>
      </c>
      <c r="H346" s="4">
        <f t="shared" si="54"/>
        <v>0.7946428571428571</v>
      </c>
      <c r="I346" s="4" t="str">
        <f t="shared" si="55"/>
        <v/>
      </c>
      <c r="J346" s="4" t="str">
        <f t="shared" si="56"/>
        <v/>
      </c>
      <c r="K346" s="4" t="str">
        <f t="shared" si="57"/>
        <v/>
      </c>
      <c r="L346" s="4" t="str">
        <f t="shared" si="58"/>
        <v/>
      </c>
      <c r="M346" s="4"/>
      <c r="N346" s="4"/>
      <c r="O346" s="4"/>
      <c r="P346" s="4"/>
      <c r="Q346" s="4"/>
      <c r="R346" s="4"/>
      <c r="S346" s="4"/>
      <c r="T346" s="4"/>
      <c r="U346" s="4"/>
    </row>
    <row r="347" spans="1:21">
      <c r="A347" t="s">
        <v>225</v>
      </c>
      <c r="B347">
        <v>2</v>
      </c>
      <c r="C347" t="str">
        <f t="shared" si="52"/>
        <v>test.ImageData_2_</v>
      </c>
      <c r="D347">
        <v>11</v>
      </c>
      <c r="E347" s="4">
        <v>0.7946428571428571</v>
      </c>
      <c r="F347" s="4">
        <v>0.34589220303506019</v>
      </c>
      <c r="G347" s="4" t="str">
        <f t="shared" si="53"/>
        <v/>
      </c>
      <c r="H347" s="4">
        <f t="shared" si="54"/>
        <v>0.7946428571428571</v>
      </c>
      <c r="I347" s="4" t="str">
        <f t="shared" si="55"/>
        <v/>
      </c>
      <c r="J347" s="4" t="str">
        <f t="shared" si="56"/>
        <v/>
      </c>
      <c r="K347" s="4" t="str">
        <f t="shared" si="57"/>
        <v/>
      </c>
      <c r="L347" s="4" t="str">
        <f t="shared" si="58"/>
        <v/>
      </c>
      <c r="M347" s="4"/>
      <c r="N347" s="4"/>
      <c r="O347" s="4"/>
      <c r="P347" s="4"/>
      <c r="Q347" s="4"/>
      <c r="R347" s="4"/>
      <c r="S347" s="4"/>
      <c r="T347" s="4"/>
      <c r="U347" s="4"/>
    </row>
    <row r="348" spans="1:21">
      <c r="A348" t="s">
        <v>225</v>
      </c>
      <c r="B348">
        <v>2</v>
      </c>
      <c r="C348" t="str">
        <f t="shared" si="52"/>
        <v>test.ImageData_2_</v>
      </c>
      <c r="D348">
        <v>12</v>
      </c>
      <c r="E348" s="4">
        <v>1</v>
      </c>
      <c r="F348" s="4">
        <v>0.36682365253793825</v>
      </c>
      <c r="G348" s="4" t="str">
        <f t="shared" si="53"/>
        <v/>
      </c>
      <c r="H348" s="4">
        <f t="shared" si="54"/>
        <v>1</v>
      </c>
      <c r="I348" s="4" t="str">
        <f t="shared" si="55"/>
        <v/>
      </c>
      <c r="J348" s="4" t="str">
        <f t="shared" si="56"/>
        <v/>
      </c>
      <c r="K348" s="4" t="str">
        <f t="shared" si="57"/>
        <v/>
      </c>
      <c r="L348" s="4" t="str">
        <f t="shared" si="58"/>
        <v/>
      </c>
      <c r="M348" s="4"/>
      <c r="N348" s="4"/>
      <c r="O348" s="4"/>
      <c r="P348" s="4"/>
      <c r="Q348" s="4"/>
      <c r="R348" s="4"/>
      <c r="S348" s="4"/>
      <c r="T348" s="4"/>
      <c r="U348" s="4"/>
    </row>
    <row r="349" spans="1:21">
      <c r="A349" t="s">
        <v>225</v>
      </c>
      <c r="B349">
        <v>2</v>
      </c>
      <c r="C349" t="str">
        <f t="shared" si="52"/>
        <v>test.ImageData_2_</v>
      </c>
      <c r="D349">
        <v>13</v>
      </c>
      <c r="E349" s="4">
        <v>1</v>
      </c>
      <c r="F349" s="4">
        <v>0.42046049188906331</v>
      </c>
      <c r="G349" s="4" t="str">
        <f t="shared" si="53"/>
        <v/>
      </c>
      <c r="H349" s="4" t="str">
        <f t="shared" si="54"/>
        <v/>
      </c>
      <c r="I349" s="4">
        <f t="shared" si="55"/>
        <v>1</v>
      </c>
      <c r="J349" s="4" t="str">
        <f t="shared" si="56"/>
        <v/>
      </c>
      <c r="K349" s="4" t="str">
        <f t="shared" si="57"/>
        <v/>
      </c>
      <c r="L349" s="4" t="str">
        <f t="shared" si="58"/>
        <v/>
      </c>
      <c r="M349" s="4"/>
      <c r="N349" s="4"/>
      <c r="O349" s="4"/>
      <c r="P349" s="4"/>
      <c r="Q349" s="4"/>
      <c r="R349" s="4"/>
      <c r="S349" s="4"/>
      <c r="T349" s="4"/>
      <c r="U349" s="4"/>
    </row>
    <row r="350" spans="1:21">
      <c r="A350" t="s">
        <v>225</v>
      </c>
      <c r="B350">
        <v>2</v>
      </c>
      <c r="C350" t="str">
        <f t="shared" si="52"/>
        <v>test.ImageData_2_</v>
      </c>
      <c r="D350">
        <v>14</v>
      </c>
      <c r="E350" s="4">
        <v>1</v>
      </c>
      <c r="F350" s="4">
        <v>0.45290423861852436</v>
      </c>
      <c r="G350" s="4" t="str">
        <f t="shared" si="53"/>
        <v/>
      </c>
      <c r="H350" s="4" t="str">
        <f t="shared" si="54"/>
        <v/>
      </c>
      <c r="I350" s="4">
        <f t="shared" si="55"/>
        <v>1</v>
      </c>
      <c r="J350" s="4" t="str">
        <f t="shared" si="56"/>
        <v/>
      </c>
      <c r="K350" s="4" t="str">
        <f t="shared" si="57"/>
        <v/>
      </c>
      <c r="L350" s="4" t="str">
        <f t="shared" si="58"/>
        <v/>
      </c>
      <c r="M350" s="4"/>
      <c r="N350" s="4"/>
      <c r="O350" s="4"/>
      <c r="P350" s="4"/>
      <c r="Q350" s="4"/>
      <c r="R350" s="4"/>
      <c r="S350" s="4"/>
      <c r="T350" s="4"/>
      <c r="U350" s="4"/>
    </row>
    <row r="351" spans="1:21">
      <c r="A351" t="s">
        <v>225</v>
      </c>
      <c r="B351">
        <v>3</v>
      </c>
      <c r="C351" t="str">
        <f t="shared" si="52"/>
        <v>test.ImageData_3_</v>
      </c>
      <c r="D351">
        <v>1</v>
      </c>
      <c r="E351" s="4">
        <v>0.1357142857142857</v>
      </c>
      <c r="F351" s="4">
        <v>6.6706730769230768E-2</v>
      </c>
      <c r="G351" s="4">
        <f t="shared" si="53"/>
        <v>0.1357142857142857</v>
      </c>
      <c r="H351" s="4" t="str">
        <f t="shared" si="54"/>
        <v/>
      </c>
      <c r="I351" s="4" t="str">
        <f t="shared" si="55"/>
        <v/>
      </c>
      <c r="J351" s="4" t="str">
        <f t="shared" si="56"/>
        <v/>
      </c>
      <c r="K351" s="4" t="str">
        <f t="shared" si="57"/>
        <v/>
      </c>
      <c r="L351" s="4" t="str">
        <f t="shared" si="58"/>
        <v/>
      </c>
      <c r="M351" s="4"/>
      <c r="N351" s="4"/>
      <c r="O351" s="4"/>
      <c r="P351" s="4"/>
      <c r="Q351" s="4"/>
      <c r="R351" s="4"/>
      <c r="S351" s="4"/>
      <c r="T351" s="4"/>
      <c r="U351" s="4"/>
    </row>
    <row r="352" spans="1:21">
      <c r="A352" t="s">
        <v>225</v>
      </c>
      <c r="B352">
        <v>3</v>
      </c>
      <c r="C352" t="str">
        <f t="shared" si="52"/>
        <v>test.ImageData_3_</v>
      </c>
      <c r="D352">
        <v>2</v>
      </c>
      <c r="E352" s="4">
        <v>0.2</v>
      </c>
      <c r="F352" s="4">
        <v>0.16397664835164835</v>
      </c>
      <c r="G352" s="4">
        <f t="shared" si="53"/>
        <v>0.2</v>
      </c>
      <c r="H352" s="4" t="str">
        <f t="shared" si="54"/>
        <v/>
      </c>
      <c r="I352" s="4" t="str">
        <f t="shared" si="55"/>
        <v/>
      </c>
      <c r="J352" s="4" t="str">
        <f t="shared" si="56"/>
        <v/>
      </c>
      <c r="K352" s="4" t="str">
        <f t="shared" si="57"/>
        <v/>
      </c>
      <c r="L352" s="4" t="str">
        <f t="shared" si="58"/>
        <v/>
      </c>
      <c r="M352" s="4"/>
      <c r="N352" s="4"/>
      <c r="O352" s="4"/>
      <c r="P352" s="4"/>
      <c r="Q352" s="4"/>
      <c r="R352" s="4"/>
      <c r="S352" s="4"/>
      <c r="T352" s="4"/>
      <c r="U352" s="4"/>
    </row>
    <row r="353" spans="1:21">
      <c r="A353" t="s">
        <v>225</v>
      </c>
      <c r="B353">
        <v>3</v>
      </c>
      <c r="C353" t="str">
        <f t="shared" si="52"/>
        <v>test.ImageData_3_</v>
      </c>
      <c r="D353">
        <v>3</v>
      </c>
      <c r="E353" s="4">
        <v>0.45</v>
      </c>
      <c r="F353" s="4">
        <v>0.23248626373626374</v>
      </c>
      <c r="G353" s="4" t="str">
        <f t="shared" si="53"/>
        <v/>
      </c>
      <c r="H353" s="4">
        <f t="shared" si="54"/>
        <v>0.45</v>
      </c>
      <c r="I353" s="4" t="str">
        <f t="shared" si="55"/>
        <v/>
      </c>
      <c r="J353" s="4" t="str">
        <f t="shared" si="56"/>
        <v/>
      </c>
      <c r="K353" s="4" t="str">
        <f t="shared" si="57"/>
        <v/>
      </c>
      <c r="L353" s="4" t="str">
        <f t="shared" si="58"/>
        <v/>
      </c>
      <c r="M353" s="4"/>
      <c r="N353" s="4"/>
      <c r="O353" s="4"/>
      <c r="P353" s="4"/>
      <c r="Q353" s="4"/>
      <c r="R353" s="4"/>
      <c r="S353" s="4"/>
      <c r="T353" s="4"/>
      <c r="U353" s="4"/>
    </row>
    <row r="354" spans="1:21">
      <c r="A354" t="s">
        <v>225</v>
      </c>
      <c r="B354">
        <v>3</v>
      </c>
      <c r="C354" t="str">
        <f t="shared" si="52"/>
        <v>test.ImageData_3_</v>
      </c>
      <c r="D354">
        <v>4</v>
      </c>
      <c r="E354" s="4">
        <v>0.45</v>
      </c>
      <c r="F354" s="4">
        <v>0.27712912087912089</v>
      </c>
      <c r="G354" s="4" t="str">
        <f t="shared" si="53"/>
        <v/>
      </c>
      <c r="H354" s="4">
        <f t="shared" si="54"/>
        <v>0.45</v>
      </c>
      <c r="I354" s="4" t="str">
        <f t="shared" si="55"/>
        <v/>
      </c>
      <c r="J354" s="4" t="str">
        <f t="shared" si="56"/>
        <v/>
      </c>
      <c r="K354" s="4" t="str">
        <f t="shared" si="57"/>
        <v/>
      </c>
      <c r="L354" s="4" t="str">
        <f t="shared" si="58"/>
        <v/>
      </c>
      <c r="M354" s="4"/>
      <c r="N354" s="4"/>
      <c r="O354" s="4"/>
      <c r="P354" s="4"/>
      <c r="Q354" s="4"/>
      <c r="R354" s="4"/>
      <c r="S354" s="4"/>
      <c r="T354" s="4"/>
      <c r="U354" s="4"/>
    </row>
    <row r="355" spans="1:21">
      <c r="A355" t="s">
        <v>225</v>
      </c>
      <c r="B355">
        <v>3</v>
      </c>
      <c r="C355" t="str">
        <f t="shared" si="52"/>
        <v>test.ImageData_3_</v>
      </c>
      <c r="D355">
        <v>5</v>
      </c>
      <c r="E355" s="4">
        <v>0.8571428571428571</v>
      </c>
      <c r="F355" s="4">
        <v>0.33361950549450547</v>
      </c>
      <c r="G355" s="4" t="str">
        <f t="shared" si="53"/>
        <v/>
      </c>
      <c r="H355" s="4">
        <f t="shared" si="54"/>
        <v>0.8571428571428571</v>
      </c>
      <c r="I355" s="4" t="str">
        <f t="shared" si="55"/>
        <v/>
      </c>
      <c r="J355" s="4" t="str">
        <f t="shared" si="56"/>
        <v/>
      </c>
      <c r="K355" s="4" t="str">
        <f t="shared" si="57"/>
        <v/>
      </c>
      <c r="L355" s="4" t="str">
        <f t="shared" si="58"/>
        <v/>
      </c>
      <c r="M355" s="4"/>
      <c r="N355" s="4"/>
      <c r="O355" s="4"/>
      <c r="P355" s="4"/>
      <c r="Q355" s="4"/>
      <c r="R355" s="4"/>
      <c r="S355" s="4"/>
      <c r="T355" s="4"/>
      <c r="U355" s="4"/>
    </row>
    <row r="356" spans="1:21">
      <c r="A356" t="s">
        <v>225</v>
      </c>
      <c r="B356">
        <v>3</v>
      </c>
      <c r="C356" t="str">
        <f t="shared" si="52"/>
        <v>test.ImageData_3_</v>
      </c>
      <c r="D356">
        <v>6</v>
      </c>
      <c r="E356" s="4">
        <v>1</v>
      </c>
      <c r="F356" s="4">
        <v>0.58628090659340659</v>
      </c>
      <c r="G356" s="4" t="str">
        <f t="shared" si="53"/>
        <v/>
      </c>
      <c r="H356" s="4" t="str">
        <f t="shared" si="54"/>
        <v/>
      </c>
      <c r="I356" s="4">
        <f t="shared" si="55"/>
        <v>1</v>
      </c>
      <c r="J356" s="4" t="str">
        <f t="shared" si="56"/>
        <v/>
      </c>
      <c r="K356" s="4" t="str">
        <f t="shared" si="57"/>
        <v/>
      </c>
      <c r="L356" s="4" t="str">
        <f t="shared" si="58"/>
        <v/>
      </c>
      <c r="M356" s="4"/>
      <c r="N356" s="4"/>
      <c r="O356" s="4"/>
      <c r="P356" s="4"/>
      <c r="Q356" s="4"/>
      <c r="R356" s="4"/>
      <c r="S356" s="4"/>
      <c r="T356" s="4"/>
      <c r="U356" s="4"/>
    </row>
    <row r="357" spans="1:21">
      <c r="A357" t="s">
        <v>225</v>
      </c>
      <c r="B357">
        <v>4</v>
      </c>
      <c r="C357" t="str">
        <f t="shared" si="52"/>
        <v>test.ImageData_4_</v>
      </c>
      <c r="D357">
        <v>1</v>
      </c>
      <c r="E357" s="4">
        <v>6.985294117647059E-2</v>
      </c>
      <c r="F357" s="4">
        <v>2.5491054672838735E-2</v>
      </c>
      <c r="G357" s="4">
        <f t="shared" si="53"/>
        <v>6.985294117647059E-2</v>
      </c>
      <c r="H357" s="4" t="str">
        <f t="shared" si="54"/>
        <v/>
      </c>
      <c r="I357" s="4" t="str">
        <f t="shared" si="55"/>
        <v/>
      </c>
      <c r="J357" s="4" t="str">
        <f t="shared" si="56"/>
        <v/>
      </c>
      <c r="K357" s="4" t="str">
        <f t="shared" si="57"/>
        <v/>
      </c>
      <c r="L357" s="4" t="str">
        <f t="shared" si="58"/>
        <v/>
      </c>
      <c r="M357" s="4"/>
      <c r="N357" s="4"/>
      <c r="O357" s="4"/>
      <c r="P357" s="4"/>
      <c r="Q357" s="4"/>
      <c r="R357" s="4"/>
      <c r="S357" s="4"/>
      <c r="T357" s="4"/>
      <c r="U357" s="4"/>
    </row>
    <row r="358" spans="1:21">
      <c r="A358" t="s">
        <v>225</v>
      </c>
      <c r="B358">
        <v>4</v>
      </c>
      <c r="C358" t="str">
        <f t="shared" si="52"/>
        <v>test.ImageData_4_</v>
      </c>
      <c r="D358">
        <v>2</v>
      </c>
      <c r="E358" s="4">
        <v>0.11397058823529412</v>
      </c>
      <c r="F358" s="4">
        <v>4.6978606280495432E-2</v>
      </c>
      <c r="G358" s="4">
        <f t="shared" si="53"/>
        <v>0.11397058823529412</v>
      </c>
      <c r="H358" s="4" t="str">
        <f t="shared" si="54"/>
        <v/>
      </c>
      <c r="I358" s="4" t="str">
        <f t="shared" si="55"/>
        <v/>
      </c>
      <c r="J358" s="4" t="str">
        <f t="shared" si="56"/>
        <v/>
      </c>
      <c r="K358" s="4" t="str">
        <f t="shared" si="57"/>
        <v/>
      </c>
      <c r="L358" s="4" t="str">
        <f t="shared" si="58"/>
        <v/>
      </c>
      <c r="M358" s="4"/>
      <c r="N358" s="4"/>
      <c r="O358" s="4"/>
      <c r="P358" s="4"/>
      <c r="Q358" s="4"/>
      <c r="R358" s="4"/>
      <c r="S358" s="4"/>
      <c r="T358" s="4"/>
      <c r="U358" s="4"/>
    </row>
    <row r="359" spans="1:21">
      <c r="A359" t="s">
        <v>225</v>
      </c>
      <c r="B359">
        <v>4</v>
      </c>
      <c r="C359" t="str">
        <f t="shared" si="52"/>
        <v>test.ImageData_4_</v>
      </c>
      <c r="D359">
        <v>3</v>
      </c>
      <c r="E359" s="4">
        <v>0.24264705882352941</v>
      </c>
      <c r="F359" s="4">
        <v>7.9194295008132118E-2</v>
      </c>
      <c r="G359" s="4">
        <f t="shared" si="53"/>
        <v>0.24264705882352941</v>
      </c>
      <c r="H359" s="4" t="str">
        <f t="shared" si="54"/>
        <v/>
      </c>
      <c r="I359" s="4" t="str">
        <f t="shared" si="55"/>
        <v/>
      </c>
      <c r="J359" s="4" t="str">
        <f t="shared" si="56"/>
        <v/>
      </c>
      <c r="K359" s="4" t="str">
        <f t="shared" si="57"/>
        <v/>
      </c>
      <c r="L359" s="4" t="str">
        <f t="shared" si="58"/>
        <v/>
      </c>
      <c r="M359" s="4"/>
      <c r="N359" s="4"/>
      <c r="O359" s="4"/>
      <c r="P359" s="4"/>
      <c r="Q359" s="4"/>
      <c r="R359" s="4"/>
      <c r="S359" s="4"/>
      <c r="T359" s="4"/>
      <c r="U359" s="4"/>
    </row>
    <row r="360" spans="1:21">
      <c r="A360" t="s">
        <v>225</v>
      </c>
      <c r="B360">
        <v>4</v>
      </c>
      <c r="C360" t="str">
        <f t="shared" si="52"/>
        <v>test.ImageData_4_</v>
      </c>
      <c r="D360">
        <v>4</v>
      </c>
      <c r="E360" s="4">
        <v>0.37132352941176472</v>
      </c>
      <c r="F360" s="4">
        <v>8.6137870636807209E-2</v>
      </c>
      <c r="G360" s="4">
        <f t="shared" si="53"/>
        <v>0.37132352941176472</v>
      </c>
      <c r="H360" s="4" t="str">
        <f t="shared" si="54"/>
        <v/>
      </c>
      <c r="I360" s="4" t="str">
        <f t="shared" si="55"/>
        <v/>
      </c>
      <c r="J360" s="4" t="str">
        <f t="shared" si="56"/>
        <v/>
      </c>
      <c r="K360" s="4" t="str">
        <f t="shared" si="57"/>
        <v/>
      </c>
      <c r="L360" s="4" t="str">
        <f t="shared" si="58"/>
        <v/>
      </c>
      <c r="M360" s="4"/>
      <c r="N360" s="4"/>
      <c r="O360" s="4"/>
      <c r="P360" s="4"/>
      <c r="Q360" s="4"/>
      <c r="R360" s="4"/>
      <c r="S360" s="4"/>
      <c r="T360" s="4"/>
      <c r="U360" s="4"/>
    </row>
    <row r="361" spans="1:21">
      <c r="A361" t="s">
        <v>225</v>
      </c>
      <c r="B361">
        <v>4</v>
      </c>
      <c r="C361" t="str">
        <f t="shared" si="52"/>
        <v>test.ImageData_4_</v>
      </c>
      <c r="D361">
        <v>5</v>
      </c>
      <c r="E361" s="4">
        <v>0.56617647058823528</v>
      </c>
      <c r="F361" s="4">
        <v>0.12629801075941449</v>
      </c>
      <c r="G361" s="4">
        <f t="shared" si="53"/>
        <v>0.56617647058823528</v>
      </c>
      <c r="H361" s="4" t="str">
        <f t="shared" si="54"/>
        <v/>
      </c>
      <c r="I361" s="4" t="str">
        <f t="shared" si="55"/>
        <v/>
      </c>
      <c r="J361" s="4" t="str">
        <f t="shared" si="56"/>
        <v/>
      </c>
      <c r="K361" s="4" t="str">
        <f t="shared" si="57"/>
        <v/>
      </c>
      <c r="L361" s="4" t="str">
        <f t="shared" si="58"/>
        <v/>
      </c>
      <c r="M361" s="4"/>
      <c r="N361" s="4"/>
      <c r="O361" s="4"/>
      <c r="P361" s="4"/>
      <c r="Q361" s="4"/>
      <c r="R361" s="4"/>
      <c r="S361" s="4"/>
      <c r="T361" s="4"/>
      <c r="U361" s="4"/>
    </row>
    <row r="362" spans="1:21">
      <c r="A362" t="s">
        <v>225</v>
      </c>
      <c r="B362">
        <v>4</v>
      </c>
      <c r="C362" t="str">
        <f t="shared" si="52"/>
        <v>test.ImageData_4_</v>
      </c>
      <c r="D362">
        <v>6</v>
      </c>
      <c r="E362" s="4">
        <v>0.64338235294117652</v>
      </c>
      <c r="F362" s="4">
        <v>0.21643938446140373</v>
      </c>
      <c r="G362" s="4" t="str">
        <f t="shared" si="53"/>
        <v/>
      </c>
      <c r="H362" s="4">
        <f t="shared" si="54"/>
        <v>0.64338235294117652</v>
      </c>
      <c r="I362" s="4" t="str">
        <f t="shared" si="55"/>
        <v/>
      </c>
      <c r="J362" s="4" t="str">
        <f t="shared" si="56"/>
        <v/>
      </c>
      <c r="K362" s="4" t="str">
        <f t="shared" si="57"/>
        <v/>
      </c>
      <c r="L362" s="4" t="str">
        <f t="shared" si="58"/>
        <v/>
      </c>
      <c r="M362" s="4"/>
      <c r="N362" s="4"/>
      <c r="O362" s="4"/>
      <c r="P362" s="4"/>
      <c r="Q362" s="4"/>
      <c r="R362" s="4"/>
      <c r="S362" s="4"/>
      <c r="T362" s="4"/>
      <c r="U362" s="4"/>
    </row>
    <row r="363" spans="1:21">
      <c r="A363" t="s">
        <v>225</v>
      </c>
      <c r="B363">
        <v>4</v>
      </c>
      <c r="C363" t="str">
        <f t="shared" si="52"/>
        <v>test.ImageData_4_</v>
      </c>
      <c r="D363">
        <v>7</v>
      </c>
      <c r="E363" s="4">
        <v>0.74264705882352944</v>
      </c>
      <c r="F363" s="4">
        <v>0.2411485049418241</v>
      </c>
      <c r="G363" s="4" t="str">
        <f t="shared" si="53"/>
        <v/>
      </c>
      <c r="H363" s="4">
        <f t="shared" si="54"/>
        <v>0.74264705882352944</v>
      </c>
      <c r="I363" s="4" t="str">
        <f t="shared" si="55"/>
        <v/>
      </c>
      <c r="J363" s="4" t="str">
        <f t="shared" si="56"/>
        <v/>
      </c>
      <c r="K363" s="4" t="str">
        <f t="shared" si="57"/>
        <v/>
      </c>
      <c r="L363" s="4" t="str">
        <f t="shared" si="58"/>
        <v/>
      </c>
      <c r="M363" s="4"/>
      <c r="N363" s="4"/>
      <c r="O363" s="4"/>
      <c r="P363" s="4"/>
      <c r="Q363" s="4"/>
      <c r="R363" s="4"/>
      <c r="S363" s="4"/>
      <c r="T363" s="4"/>
      <c r="U363" s="4"/>
    </row>
    <row r="364" spans="1:21">
      <c r="A364" t="s">
        <v>225</v>
      </c>
      <c r="B364">
        <v>4</v>
      </c>
      <c r="C364" t="str">
        <f t="shared" si="52"/>
        <v>test.ImageData_4_</v>
      </c>
      <c r="D364">
        <v>8</v>
      </c>
      <c r="E364" s="4">
        <v>0.86029411764705888</v>
      </c>
      <c r="F364" s="4">
        <v>0.2505629926185412</v>
      </c>
      <c r="G364" s="4" t="str">
        <f t="shared" si="53"/>
        <v/>
      </c>
      <c r="H364" s="4">
        <f t="shared" si="54"/>
        <v>0.86029411764705888</v>
      </c>
      <c r="I364" s="4" t="str">
        <f t="shared" si="55"/>
        <v/>
      </c>
      <c r="J364" s="4" t="str">
        <f t="shared" si="56"/>
        <v/>
      </c>
      <c r="K364" s="4" t="str">
        <f t="shared" si="57"/>
        <v/>
      </c>
      <c r="L364" s="4" t="str">
        <f t="shared" si="58"/>
        <v/>
      </c>
      <c r="M364" s="4"/>
      <c r="N364" s="4"/>
      <c r="O364" s="4"/>
      <c r="P364" s="4"/>
      <c r="Q364" s="4"/>
      <c r="R364" s="4"/>
      <c r="S364" s="4"/>
      <c r="T364" s="4"/>
      <c r="U364" s="4"/>
    </row>
    <row r="365" spans="1:21">
      <c r="A365" t="s">
        <v>225</v>
      </c>
      <c r="B365">
        <v>4</v>
      </c>
      <c r="C365" t="str">
        <f t="shared" si="52"/>
        <v>test.ImageData_4_</v>
      </c>
      <c r="D365">
        <v>9</v>
      </c>
      <c r="E365" s="4">
        <v>1</v>
      </c>
      <c r="F365" s="4">
        <v>0.27186288002001752</v>
      </c>
      <c r="G365" s="4" t="str">
        <f t="shared" si="53"/>
        <v/>
      </c>
      <c r="H365" s="4">
        <f t="shared" si="54"/>
        <v>1</v>
      </c>
      <c r="I365" s="4" t="str">
        <f t="shared" si="55"/>
        <v/>
      </c>
      <c r="J365" s="4" t="str">
        <f t="shared" si="56"/>
        <v/>
      </c>
      <c r="K365" s="4" t="str">
        <f t="shared" si="57"/>
        <v/>
      </c>
      <c r="L365" s="4" t="str">
        <f t="shared" si="58"/>
        <v/>
      </c>
      <c r="M365" s="4"/>
      <c r="N365" s="4"/>
      <c r="O365" s="4"/>
      <c r="P365" s="4"/>
      <c r="Q365" s="4"/>
      <c r="R365" s="4"/>
      <c r="S365" s="4"/>
      <c r="T365" s="4"/>
      <c r="U365" s="4"/>
    </row>
    <row r="366" spans="1:21">
      <c r="A366" t="s">
        <v>225</v>
      </c>
      <c r="B366">
        <v>5</v>
      </c>
      <c r="C366" t="str">
        <f t="shared" si="52"/>
        <v>test.ImageData_5_</v>
      </c>
      <c r="D366">
        <v>1</v>
      </c>
      <c r="E366" s="4">
        <v>0.36363636363636365</v>
      </c>
      <c r="F366" s="4">
        <v>0.50817995910020453</v>
      </c>
      <c r="G366" s="4" t="str">
        <f t="shared" si="53"/>
        <v/>
      </c>
      <c r="H366" s="4" t="str">
        <f t="shared" si="54"/>
        <v/>
      </c>
      <c r="I366" s="4">
        <f t="shared" si="55"/>
        <v>0.36363636363636365</v>
      </c>
      <c r="J366" s="4" t="str">
        <f t="shared" si="56"/>
        <v/>
      </c>
      <c r="K366" s="4" t="str">
        <f t="shared" si="57"/>
        <v/>
      </c>
      <c r="L366" s="4" t="str">
        <f t="shared" si="58"/>
        <v/>
      </c>
      <c r="M366" s="4"/>
      <c r="N366" s="4"/>
      <c r="O366" s="4"/>
      <c r="P366" s="4"/>
      <c r="Q366" s="4"/>
      <c r="R366" s="4"/>
      <c r="S366" s="4"/>
      <c r="T366" s="4"/>
      <c r="U366" s="4"/>
    </row>
    <row r="367" spans="1:21">
      <c r="A367" t="s">
        <v>225</v>
      </c>
      <c r="B367">
        <v>5</v>
      </c>
      <c r="C367" t="str">
        <f t="shared" si="52"/>
        <v>test.ImageData_5_</v>
      </c>
      <c r="D367">
        <v>2</v>
      </c>
      <c r="E367" s="4">
        <v>0.54545454545454541</v>
      </c>
      <c r="F367" s="4">
        <v>0.71983640081799594</v>
      </c>
      <c r="G367" s="4" t="str">
        <f t="shared" si="53"/>
        <v/>
      </c>
      <c r="H367" s="4" t="str">
        <f t="shared" si="54"/>
        <v/>
      </c>
      <c r="I367" s="4" t="str">
        <f t="shared" si="55"/>
        <v/>
      </c>
      <c r="J367" s="4">
        <f t="shared" si="56"/>
        <v>0.54545454545454541</v>
      </c>
      <c r="K367" s="4" t="str">
        <f t="shared" si="57"/>
        <v/>
      </c>
      <c r="L367" s="4" t="str">
        <f t="shared" si="58"/>
        <v/>
      </c>
      <c r="M367" s="4"/>
      <c r="N367" s="4"/>
      <c r="O367" s="4"/>
      <c r="P367" s="4"/>
      <c r="Q367" s="4"/>
      <c r="R367" s="4"/>
      <c r="S367" s="4"/>
      <c r="T367" s="4"/>
      <c r="U367" s="4"/>
    </row>
    <row r="368" spans="1:21">
      <c r="A368" t="s">
        <v>225</v>
      </c>
      <c r="B368">
        <v>5</v>
      </c>
      <c r="C368" t="str">
        <f t="shared" si="52"/>
        <v>test.ImageData_5_</v>
      </c>
      <c r="D368">
        <v>3</v>
      </c>
      <c r="E368" s="4">
        <v>0.72727272727272729</v>
      </c>
      <c r="F368" s="4">
        <v>0.92331288343558282</v>
      </c>
      <c r="G368" s="4" t="str">
        <f t="shared" si="53"/>
        <v/>
      </c>
      <c r="H368" s="4" t="str">
        <f t="shared" si="54"/>
        <v/>
      </c>
      <c r="I368" s="4" t="str">
        <f t="shared" si="55"/>
        <v/>
      </c>
      <c r="J368" s="4" t="str">
        <f t="shared" si="56"/>
        <v/>
      </c>
      <c r="K368" s="4">
        <f t="shared" si="57"/>
        <v>0.72727272727272729</v>
      </c>
      <c r="L368" s="4" t="str">
        <f t="shared" si="58"/>
        <v/>
      </c>
      <c r="M368" s="4"/>
      <c r="N368" s="4"/>
      <c r="O368" s="4"/>
      <c r="P368" s="4"/>
      <c r="Q368" s="4"/>
      <c r="R368" s="4"/>
      <c r="S368" s="4"/>
      <c r="T368" s="4"/>
      <c r="U368" s="4"/>
    </row>
    <row r="369" spans="1:21">
      <c r="A369" t="s">
        <v>225</v>
      </c>
      <c r="B369">
        <v>5</v>
      </c>
      <c r="C369" t="str">
        <f t="shared" si="52"/>
        <v>test.ImageData_5_</v>
      </c>
      <c r="D369">
        <v>4</v>
      </c>
      <c r="E369" s="4">
        <v>0.77272727272727271</v>
      </c>
      <c r="F369" s="4">
        <v>0.99795501022494892</v>
      </c>
      <c r="G369" s="4" t="str">
        <f t="shared" si="53"/>
        <v/>
      </c>
      <c r="H369" s="4" t="str">
        <f t="shared" si="54"/>
        <v/>
      </c>
      <c r="I369" s="4" t="str">
        <f t="shared" si="55"/>
        <v/>
      </c>
      <c r="J369" s="4" t="str">
        <f t="shared" si="56"/>
        <v/>
      </c>
      <c r="K369" s="4">
        <f t="shared" si="57"/>
        <v>0.77272727272727271</v>
      </c>
      <c r="L369" s="4" t="str">
        <f t="shared" si="58"/>
        <v/>
      </c>
      <c r="M369" s="4"/>
      <c r="N369" s="4"/>
      <c r="O369" s="4"/>
      <c r="P369" s="4"/>
      <c r="Q369" s="4"/>
      <c r="R369" s="4"/>
      <c r="S369" s="4"/>
      <c r="T369" s="4"/>
      <c r="U369" s="4"/>
    </row>
    <row r="370" spans="1:21">
      <c r="A370" t="s">
        <v>225</v>
      </c>
      <c r="B370">
        <v>5</v>
      </c>
      <c r="C370" t="str">
        <f t="shared" si="52"/>
        <v>test.ImageData_5_</v>
      </c>
      <c r="D370">
        <v>5</v>
      </c>
      <c r="E370" s="4">
        <v>0.86363636363636365</v>
      </c>
      <c r="F370" s="4">
        <v>1.0623721881390593</v>
      </c>
      <c r="G370" s="4" t="str">
        <f t="shared" si="53"/>
        <v/>
      </c>
      <c r="H370" s="4" t="str">
        <f t="shared" si="54"/>
        <v/>
      </c>
      <c r="I370" s="4" t="str">
        <f t="shared" si="55"/>
        <v/>
      </c>
      <c r="J370" s="4" t="str">
        <f t="shared" si="56"/>
        <v/>
      </c>
      <c r="K370" s="4">
        <f t="shared" si="57"/>
        <v>0.86363636363636365</v>
      </c>
      <c r="L370" s="4" t="str">
        <f t="shared" si="58"/>
        <v/>
      </c>
      <c r="M370" s="4"/>
      <c r="N370" s="4"/>
      <c r="O370" s="4"/>
      <c r="P370" s="4"/>
      <c r="Q370" s="4"/>
      <c r="R370" s="4"/>
      <c r="S370" s="4"/>
      <c r="T370" s="4"/>
      <c r="U370" s="4"/>
    </row>
    <row r="371" spans="1:21">
      <c r="A371" t="s">
        <v>225</v>
      </c>
      <c r="B371">
        <v>5</v>
      </c>
      <c r="C371" t="str">
        <f t="shared" si="52"/>
        <v>test.ImageData_5_</v>
      </c>
      <c r="D371">
        <v>6</v>
      </c>
      <c r="E371" s="4">
        <v>1</v>
      </c>
      <c r="F371" s="4">
        <v>1.0838445807770962</v>
      </c>
      <c r="G371" s="4" t="str">
        <f t="shared" si="53"/>
        <v/>
      </c>
      <c r="H371" s="4" t="str">
        <f t="shared" si="54"/>
        <v/>
      </c>
      <c r="I371" s="4" t="str">
        <f t="shared" si="55"/>
        <v/>
      </c>
      <c r="J371" s="4" t="str">
        <f t="shared" si="56"/>
        <v/>
      </c>
      <c r="K371" s="4">
        <f t="shared" si="57"/>
        <v>1</v>
      </c>
      <c r="L371" s="4" t="str">
        <f t="shared" si="58"/>
        <v/>
      </c>
      <c r="M371" s="4"/>
      <c r="N371" s="4"/>
      <c r="O371" s="4"/>
      <c r="P371" s="4"/>
      <c r="Q371" s="4"/>
      <c r="R371" s="4"/>
      <c r="S371" s="4"/>
      <c r="T371" s="4"/>
      <c r="U371" s="4"/>
    </row>
    <row r="372" spans="1:21">
      <c r="A372" t="s">
        <v>225</v>
      </c>
      <c r="B372">
        <v>6</v>
      </c>
      <c r="C372" t="str">
        <f t="shared" si="52"/>
        <v>test.ImageData_6_</v>
      </c>
      <c r="D372">
        <v>1</v>
      </c>
      <c r="E372" s="4">
        <v>0.2857142857142857</v>
      </c>
      <c r="F372" s="4">
        <v>0.11976047904191617</v>
      </c>
      <c r="G372" s="4">
        <f t="shared" si="53"/>
        <v>0.2857142857142857</v>
      </c>
      <c r="H372" s="4" t="str">
        <f t="shared" si="54"/>
        <v/>
      </c>
      <c r="I372" s="4" t="str">
        <f t="shared" si="55"/>
        <v/>
      </c>
      <c r="J372" s="4" t="str">
        <f t="shared" si="56"/>
        <v/>
      </c>
      <c r="K372" s="4" t="str">
        <f t="shared" si="57"/>
        <v/>
      </c>
      <c r="L372" s="4" t="str">
        <f t="shared" si="58"/>
        <v/>
      </c>
      <c r="M372" s="4"/>
      <c r="N372" s="4"/>
      <c r="O372" s="4"/>
      <c r="P372" s="4"/>
      <c r="Q372" s="4"/>
      <c r="R372" s="4"/>
      <c r="S372" s="4"/>
      <c r="T372" s="4"/>
      <c r="U372" s="4"/>
    </row>
    <row r="373" spans="1:21">
      <c r="A373" t="s">
        <v>225</v>
      </c>
      <c r="B373">
        <v>6</v>
      </c>
      <c r="C373" t="str">
        <f t="shared" si="52"/>
        <v>test.ImageData_6_</v>
      </c>
      <c r="D373">
        <v>2</v>
      </c>
      <c r="E373" s="4">
        <v>0.47619047619047616</v>
      </c>
      <c r="F373" s="4">
        <v>0.3616101131071191</v>
      </c>
      <c r="G373" s="4" t="str">
        <f t="shared" si="53"/>
        <v/>
      </c>
      <c r="H373" s="4">
        <f t="shared" si="54"/>
        <v>0.47619047619047616</v>
      </c>
      <c r="I373" s="4" t="str">
        <f t="shared" si="55"/>
        <v/>
      </c>
      <c r="J373" s="4" t="str">
        <f t="shared" si="56"/>
        <v/>
      </c>
      <c r="K373" s="4" t="str">
        <f t="shared" si="57"/>
        <v/>
      </c>
      <c r="L373" s="4" t="str">
        <f t="shared" si="58"/>
        <v/>
      </c>
      <c r="M373" s="4"/>
      <c r="N373" s="4"/>
      <c r="O373" s="4"/>
      <c r="P373" s="4"/>
      <c r="Q373" s="4"/>
      <c r="R373" s="4"/>
      <c r="S373" s="4"/>
      <c r="T373" s="4"/>
      <c r="U373" s="4"/>
    </row>
    <row r="374" spans="1:21">
      <c r="A374" t="s">
        <v>225</v>
      </c>
      <c r="B374">
        <v>6</v>
      </c>
      <c r="C374" t="str">
        <f t="shared" si="52"/>
        <v>test.ImageData_6_</v>
      </c>
      <c r="D374">
        <v>3</v>
      </c>
      <c r="E374" s="4">
        <v>0.47619047619047616</v>
      </c>
      <c r="F374" s="4">
        <v>0.48636061210911508</v>
      </c>
      <c r="G374" s="4" t="str">
        <f t="shared" si="53"/>
        <v/>
      </c>
      <c r="H374" s="4" t="str">
        <f t="shared" si="54"/>
        <v/>
      </c>
      <c r="I374" s="4">
        <f t="shared" si="55"/>
        <v>0.47619047619047616</v>
      </c>
      <c r="J374" s="4" t="str">
        <f t="shared" si="56"/>
        <v/>
      </c>
      <c r="K374" s="4" t="str">
        <f t="shared" si="57"/>
        <v/>
      </c>
      <c r="L374" s="4" t="str">
        <f t="shared" si="58"/>
        <v/>
      </c>
      <c r="M374" s="4"/>
      <c r="N374" s="4"/>
      <c r="O374" s="4"/>
      <c r="P374" s="4"/>
      <c r="Q374" s="4"/>
      <c r="R374" s="4"/>
      <c r="S374" s="4"/>
      <c r="T374" s="4"/>
      <c r="U374" s="4"/>
    </row>
    <row r="375" spans="1:21">
      <c r="A375" t="s">
        <v>225</v>
      </c>
      <c r="B375">
        <v>6</v>
      </c>
      <c r="C375" t="str">
        <f t="shared" si="52"/>
        <v>test.ImageData_6_</v>
      </c>
      <c r="D375">
        <v>4</v>
      </c>
      <c r="E375" s="4">
        <v>0.76190476190476186</v>
      </c>
      <c r="F375" s="4">
        <v>0.62075848303393211</v>
      </c>
      <c r="G375" s="4" t="str">
        <f t="shared" si="53"/>
        <v/>
      </c>
      <c r="H375" s="4" t="str">
        <f t="shared" si="54"/>
        <v/>
      </c>
      <c r="I375" s="4" t="str">
        <f t="shared" si="55"/>
        <v/>
      </c>
      <c r="J375" s="4">
        <f t="shared" si="56"/>
        <v>0.76190476190476186</v>
      </c>
      <c r="K375" s="4" t="str">
        <f t="shared" si="57"/>
        <v/>
      </c>
      <c r="L375" s="4" t="str">
        <f t="shared" si="58"/>
        <v/>
      </c>
      <c r="M375" s="4"/>
      <c r="N375" s="4"/>
      <c r="O375" s="4"/>
      <c r="P375" s="4"/>
      <c r="Q375" s="4"/>
      <c r="R375" s="4"/>
      <c r="S375" s="4"/>
      <c r="T375" s="4"/>
      <c r="U375" s="4"/>
    </row>
    <row r="376" spans="1:21">
      <c r="A376" t="s">
        <v>225</v>
      </c>
      <c r="B376">
        <v>6</v>
      </c>
      <c r="C376" t="str">
        <f t="shared" si="52"/>
        <v>test.ImageData_6_</v>
      </c>
      <c r="D376">
        <v>5</v>
      </c>
      <c r="E376" s="4">
        <v>0.8571428571428571</v>
      </c>
      <c r="F376" s="4">
        <v>0.64970059880239517</v>
      </c>
      <c r="G376" s="4" t="str">
        <f t="shared" si="53"/>
        <v/>
      </c>
      <c r="H376" s="4" t="str">
        <f t="shared" si="54"/>
        <v/>
      </c>
      <c r="I376" s="4" t="str">
        <f t="shared" si="55"/>
        <v/>
      </c>
      <c r="J376" s="4">
        <f t="shared" si="56"/>
        <v>0.8571428571428571</v>
      </c>
      <c r="K376" s="4" t="str">
        <f t="shared" si="57"/>
        <v/>
      </c>
      <c r="L376" s="4" t="str">
        <f t="shared" si="58"/>
        <v/>
      </c>
      <c r="M376" s="4"/>
      <c r="N376" s="4"/>
      <c r="O376" s="4"/>
      <c r="P376" s="4"/>
      <c r="Q376" s="4"/>
      <c r="R376" s="4"/>
      <c r="S376" s="4"/>
      <c r="T376" s="4"/>
      <c r="U376" s="4"/>
    </row>
    <row r="377" spans="1:21">
      <c r="A377" t="s">
        <v>225</v>
      </c>
      <c r="B377">
        <v>6</v>
      </c>
      <c r="C377" t="str">
        <f t="shared" si="52"/>
        <v>test.ImageData_6_</v>
      </c>
      <c r="D377">
        <v>6</v>
      </c>
      <c r="E377" s="4">
        <v>0.8571428571428571</v>
      </c>
      <c r="F377" s="4">
        <v>0.67398536260811714</v>
      </c>
      <c r="G377" s="4" t="str">
        <f t="shared" si="53"/>
        <v/>
      </c>
      <c r="H377" s="4" t="str">
        <f t="shared" si="54"/>
        <v/>
      </c>
      <c r="I377" s="4" t="str">
        <f t="shared" si="55"/>
        <v/>
      </c>
      <c r="J377" s="4">
        <f t="shared" si="56"/>
        <v>0.8571428571428571</v>
      </c>
      <c r="K377" s="4" t="str">
        <f t="shared" si="57"/>
        <v/>
      </c>
      <c r="L377" s="4" t="str">
        <f t="shared" si="58"/>
        <v/>
      </c>
      <c r="M377" s="4"/>
      <c r="N377" s="4"/>
      <c r="O377" s="4"/>
      <c r="P377" s="4"/>
      <c r="Q377" s="4"/>
      <c r="R377" s="4"/>
      <c r="S377" s="4"/>
      <c r="T377" s="4"/>
      <c r="U377" s="4"/>
    </row>
    <row r="378" spans="1:21">
      <c r="A378" t="s">
        <v>225</v>
      </c>
      <c r="B378">
        <v>6</v>
      </c>
      <c r="C378" t="str">
        <f t="shared" si="52"/>
        <v>test.ImageData_6_</v>
      </c>
      <c r="D378">
        <v>7</v>
      </c>
      <c r="E378" s="4">
        <v>1</v>
      </c>
      <c r="F378" s="4">
        <v>0.71623419827012647</v>
      </c>
      <c r="G378" s="4" t="str">
        <f t="shared" si="53"/>
        <v/>
      </c>
      <c r="H378" s="4" t="str">
        <f t="shared" si="54"/>
        <v/>
      </c>
      <c r="I378" s="4" t="str">
        <f t="shared" si="55"/>
        <v/>
      </c>
      <c r="J378" s="4">
        <f t="shared" si="56"/>
        <v>1</v>
      </c>
      <c r="K378" s="4" t="str">
        <f t="shared" si="57"/>
        <v/>
      </c>
      <c r="L378" s="4" t="str">
        <f t="shared" si="58"/>
        <v/>
      </c>
      <c r="M378" s="4"/>
      <c r="N378" s="4"/>
      <c r="O378" s="4"/>
      <c r="P378" s="4"/>
      <c r="Q378" s="4"/>
      <c r="R378" s="4"/>
      <c r="S378" s="4"/>
      <c r="T378" s="4"/>
      <c r="U378" s="4"/>
    </row>
    <row r="379" spans="1:21">
      <c r="A379" t="s">
        <v>225</v>
      </c>
      <c r="B379">
        <v>6</v>
      </c>
      <c r="C379" t="str">
        <f t="shared" si="52"/>
        <v>test.ImageData_6_</v>
      </c>
      <c r="D379">
        <v>8</v>
      </c>
      <c r="E379" s="4">
        <v>1</v>
      </c>
      <c r="F379" s="4">
        <v>0.77312042581503659</v>
      </c>
      <c r="G379" s="4" t="str">
        <f t="shared" si="53"/>
        <v/>
      </c>
      <c r="H379" s="4" t="str">
        <f t="shared" si="54"/>
        <v/>
      </c>
      <c r="I379" s="4" t="str">
        <f t="shared" si="55"/>
        <v/>
      </c>
      <c r="J379" s="4">
        <f t="shared" si="56"/>
        <v>1</v>
      </c>
      <c r="K379" s="4" t="str">
        <f t="shared" si="57"/>
        <v/>
      </c>
      <c r="L379" s="4" t="str">
        <f t="shared" si="58"/>
        <v/>
      </c>
      <c r="M379" s="4"/>
      <c r="N379" s="4"/>
      <c r="O379" s="4"/>
      <c r="P379" s="4"/>
      <c r="Q379" s="4"/>
      <c r="R379" s="4"/>
      <c r="S379" s="4"/>
      <c r="T379" s="4"/>
      <c r="U379" s="4"/>
    </row>
    <row r="380" spans="1:21">
      <c r="A380" t="s">
        <v>225</v>
      </c>
      <c r="B380">
        <v>6</v>
      </c>
      <c r="C380" t="str">
        <f t="shared" si="52"/>
        <v>test.ImageData_6_</v>
      </c>
      <c r="D380">
        <v>9</v>
      </c>
      <c r="E380" s="4">
        <v>1</v>
      </c>
      <c r="F380" s="4">
        <v>0.86660013306719896</v>
      </c>
      <c r="G380" s="4" t="str">
        <f t="shared" si="53"/>
        <v/>
      </c>
      <c r="H380" s="4" t="str">
        <f t="shared" si="54"/>
        <v/>
      </c>
      <c r="I380" s="4" t="str">
        <f t="shared" si="55"/>
        <v/>
      </c>
      <c r="J380" s="4" t="str">
        <f t="shared" si="56"/>
        <v/>
      </c>
      <c r="K380" s="4">
        <f t="shared" si="57"/>
        <v>1</v>
      </c>
      <c r="L380" s="4" t="str">
        <f t="shared" si="58"/>
        <v/>
      </c>
      <c r="M380" s="4"/>
      <c r="N380" s="4"/>
      <c r="O380" s="4"/>
      <c r="P380" s="4"/>
      <c r="Q380" s="4"/>
      <c r="R380" s="4"/>
      <c r="S380" s="4"/>
      <c r="T380" s="4"/>
      <c r="U380" s="4"/>
    </row>
    <row r="381" spans="1:21">
      <c r="A381" t="s">
        <v>225</v>
      </c>
      <c r="B381">
        <v>6</v>
      </c>
      <c r="C381" t="str">
        <f t="shared" si="52"/>
        <v>test.ImageData_6_</v>
      </c>
      <c r="D381">
        <v>10</v>
      </c>
      <c r="E381" s="4">
        <v>1</v>
      </c>
      <c r="F381" s="4">
        <v>0.98536260811709908</v>
      </c>
      <c r="G381" s="4" t="str">
        <f t="shared" si="53"/>
        <v/>
      </c>
      <c r="H381" s="4" t="str">
        <f t="shared" si="54"/>
        <v/>
      </c>
      <c r="I381" s="4" t="str">
        <f t="shared" si="55"/>
        <v/>
      </c>
      <c r="J381" s="4" t="str">
        <f t="shared" si="56"/>
        <v/>
      </c>
      <c r="K381" s="4">
        <f t="shared" si="57"/>
        <v>1</v>
      </c>
      <c r="L381" s="4" t="str">
        <f t="shared" si="58"/>
        <v/>
      </c>
      <c r="M381" s="4"/>
      <c r="N381" s="4"/>
      <c r="O381" s="4"/>
      <c r="P381" s="4"/>
      <c r="Q381" s="4"/>
      <c r="R381" s="4"/>
      <c r="S381" s="4"/>
      <c r="T381" s="4"/>
      <c r="U381" s="4"/>
    </row>
    <row r="382" spans="1:21">
      <c r="A382" t="s">
        <v>225</v>
      </c>
      <c r="B382">
        <v>7</v>
      </c>
      <c r="C382" t="str">
        <f t="shared" si="52"/>
        <v>test.ImageData_7_</v>
      </c>
      <c r="D382">
        <v>1</v>
      </c>
      <c r="E382" s="4">
        <v>0.2</v>
      </c>
      <c r="F382" s="4">
        <v>0.27934698108318218</v>
      </c>
      <c r="G382" s="4" t="str">
        <f t="shared" si="53"/>
        <v/>
      </c>
      <c r="H382" s="4">
        <f t="shared" si="54"/>
        <v>0.2</v>
      </c>
      <c r="I382" s="4" t="str">
        <f t="shared" si="55"/>
        <v/>
      </c>
      <c r="J382" s="4" t="str">
        <f t="shared" si="56"/>
        <v/>
      </c>
      <c r="K382" s="4" t="str">
        <f t="shared" si="57"/>
        <v/>
      </c>
      <c r="L382" s="4" t="str">
        <f t="shared" si="58"/>
        <v/>
      </c>
      <c r="M382" s="4"/>
      <c r="N382" s="4"/>
      <c r="O382" s="4"/>
      <c r="P382" s="4"/>
      <c r="Q382" s="4"/>
      <c r="R382" s="4"/>
      <c r="S382" s="4"/>
      <c r="T382" s="4"/>
      <c r="U382" s="4"/>
    </row>
    <row r="383" spans="1:21">
      <c r="A383" t="s">
        <v>225</v>
      </c>
      <c r="B383">
        <v>7</v>
      </c>
      <c r="C383" t="str">
        <f t="shared" si="52"/>
        <v>test.ImageData_7_</v>
      </c>
      <c r="D383">
        <v>2</v>
      </c>
      <c r="E383" s="4">
        <v>0.29166666666666669</v>
      </c>
      <c r="F383" s="4">
        <v>0.29359937807722208</v>
      </c>
      <c r="G383" s="4" t="str">
        <f t="shared" si="53"/>
        <v/>
      </c>
      <c r="H383" s="4">
        <f t="shared" si="54"/>
        <v>0.29166666666666669</v>
      </c>
      <c r="I383" s="4" t="str">
        <f t="shared" si="55"/>
        <v/>
      </c>
      <c r="J383" s="4" t="str">
        <f t="shared" si="56"/>
        <v/>
      </c>
      <c r="K383" s="4" t="str">
        <f t="shared" si="57"/>
        <v/>
      </c>
      <c r="L383" s="4" t="str">
        <f t="shared" si="58"/>
        <v/>
      </c>
      <c r="M383" s="4"/>
      <c r="N383" s="4"/>
      <c r="O383" s="4"/>
      <c r="P383" s="4"/>
      <c r="Q383" s="4"/>
      <c r="R383" s="4"/>
      <c r="S383" s="4"/>
      <c r="T383" s="4"/>
      <c r="U383" s="4"/>
    </row>
    <row r="384" spans="1:21">
      <c r="A384" t="s">
        <v>225</v>
      </c>
      <c r="B384">
        <v>7</v>
      </c>
      <c r="C384" t="str">
        <f t="shared" si="52"/>
        <v>test.ImageData_7_</v>
      </c>
      <c r="D384">
        <v>3</v>
      </c>
      <c r="E384" s="4">
        <v>0.32500000000000001</v>
      </c>
      <c r="F384" s="4">
        <v>0.29437678154962427</v>
      </c>
      <c r="G384" s="4" t="str">
        <f t="shared" si="53"/>
        <v/>
      </c>
      <c r="H384" s="4">
        <f t="shared" si="54"/>
        <v>0.32500000000000001</v>
      </c>
      <c r="I384" s="4" t="str">
        <f t="shared" si="55"/>
        <v/>
      </c>
      <c r="J384" s="4" t="str">
        <f t="shared" si="56"/>
        <v/>
      </c>
      <c r="K384" s="4" t="str">
        <f t="shared" si="57"/>
        <v/>
      </c>
      <c r="L384" s="4" t="str">
        <f t="shared" si="58"/>
        <v/>
      </c>
      <c r="M384" s="4"/>
      <c r="N384" s="4"/>
      <c r="O384" s="4"/>
      <c r="P384" s="4"/>
      <c r="Q384" s="4"/>
      <c r="R384" s="4"/>
      <c r="S384" s="4"/>
      <c r="T384" s="4"/>
      <c r="U384" s="4"/>
    </row>
    <row r="385" spans="1:21">
      <c r="A385" t="s">
        <v>225</v>
      </c>
      <c r="B385">
        <v>7</v>
      </c>
      <c r="C385" t="str">
        <f t="shared" si="52"/>
        <v>test.ImageData_7_</v>
      </c>
      <c r="D385">
        <v>4</v>
      </c>
      <c r="E385" s="4">
        <v>0.43333333333333335</v>
      </c>
      <c r="F385" s="4">
        <v>0.29722726094843221</v>
      </c>
      <c r="G385" s="4" t="str">
        <f t="shared" si="53"/>
        <v/>
      </c>
      <c r="H385" s="4">
        <f t="shared" si="54"/>
        <v>0.43333333333333335</v>
      </c>
      <c r="I385" s="4" t="str">
        <f t="shared" si="55"/>
        <v/>
      </c>
      <c r="J385" s="4" t="str">
        <f t="shared" si="56"/>
        <v/>
      </c>
      <c r="K385" s="4" t="str">
        <f t="shared" si="57"/>
        <v/>
      </c>
      <c r="L385" s="4" t="str">
        <f t="shared" si="58"/>
        <v/>
      </c>
      <c r="M385" s="4"/>
      <c r="N385" s="4"/>
      <c r="O385" s="4"/>
      <c r="P385" s="4"/>
      <c r="Q385" s="4"/>
      <c r="R385" s="4"/>
      <c r="S385" s="4"/>
      <c r="T385" s="4"/>
      <c r="U385" s="4"/>
    </row>
    <row r="386" spans="1:21">
      <c r="A386" t="s">
        <v>225</v>
      </c>
      <c r="B386">
        <v>7</v>
      </c>
      <c r="C386" t="str">
        <f t="shared" si="52"/>
        <v>test.ImageData_7_</v>
      </c>
      <c r="D386">
        <v>5</v>
      </c>
      <c r="E386" s="4">
        <v>0.56666666666666665</v>
      </c>
      <c r="F386" s="4">
        <v>0.29774552993003367</v>
      </c>
      <c r="G386" s="4" t="str">
        <f t="shared" si="53"/>
        <v/>
      </c>
      <c r="H386" s="4">
        <f t="shared" si="54"/>
        <v>0.56666666666666665</v>
      </c>
      <c r="I386" s="4" t="str">
        <f t="shared" si="55"/>
        <v/>
      </c>
      <c r="J386" s="4" t="str">
        <f t="shared" si="56"/>
        <v/>
      </c>
      <c r="K386" s="4" t="str">
        <f t="shared" si="57"/>
        <v/>
      </c>
      <c r="L386" s="4" t="str">
        <f t="shared" si="58"/>
        <v/>
      </c>
      <c r="M386" s="4"/>
      <c r="N386" s="4"/>
      <c r="O386" s="4"/>
      <c r="P386" s="4"/>
      <c r="Q386" s="4"/>
      <c r="R386" s="4"/>
      <c r="S386" s="4"/>
      <c r="T386" s="4"/>
      <c r="U386" s="4"/>
    </row>
    <row r="387" spans="1:21">
      <c r="A387" t="s">
        <v>225</v>
      </c>
      <c r="B387">
        <v>7</v>
      </c>
      <c r="C387" t="str">
        <f t="shared" ref="C387:C446" si="59">CONCATENATE(A387, "_",B387,"_")</f>
        <v>test.ImageData_7_</v>
      </c>
      <c r="D387">
        <v>6</v>
      </c>
      <c r="E387" s="4">
        <v>0.59166666666666667</v>
      </c>
      <c r="F387" s="4">
        <v>0.30240995076444677</v>
      </c>
      <c r="G387" s="4" t="str">
        <f t="shared" ref="G387:G446" si="60">IF(F387 &lt;= 0.2,E387,"")</f>
        <v/>
      </c>
      <c r="H387" s="4">
        <f t="shared" ref="H387:H446" si="61">IF(AND($F387 &gt; 0.2,$F387 &lt;= 0.4),$E387,"")</f>
        <v>0.59166666666666667</v>
      </c>
      <c r="I387" s="4" t="str">
        <f t="shared" ref="I387:I446" si="62">IF(AND($F387 &gt; 0.4,$F387 &lt;= 0.6),$E387,"")</f>
        <v/>
      </c>
      <c r="J387" s="4" t="str">
        <f t="shared" ref="J387:J446" si="63">IF(AND($F387 &gt; 0.6,$F387 &lt;= 0.8),$E387,"")</f>
        <v/>
      </c>
      <c r="K387" s="4" t="str">
        <f t="shared" ref="K387:K446" si="64">IF(AND($F387 &gt; 0.8, $F387 &lt;=1.1),$E387,"")</f>
        <v/>
      </c>
      <c r="L387" s="4" t="str">
        <f t="shared" ref="L387:L446" si="65">IF(AND($F387 &gt; 1.1),$E387,"")</f>
        <v/>
      </c>
      <c r="M387" s="4"/>
      <c r="N387" s="4"/>
      <c r="O387" s="4"/>
      <c r="P387" s="4"/>
      <c r="Q387" s="4"/>
      <c r="R387" s="4"/>
      <c r="S387" s="4"/>
      <c r="T387" s="4"/>
      <c r="U387" s="4"/>
    </row>
    <row r="388" spans="1:21">
      <c r="A388" t="s">
        <v>225</v>
      </c>
      <c r="B388">
        <v>7</v>
      </c>
      <c r="C388" t="str">
        <f t="shared" si="59"/>
        <v>test.ImageData_7_</v>
      </c>
      <c r="D388">
        <v>7</v>
      </c>
      <c r="E388" s="4">
        <v>0.65</v>
      </c>
      <c r="F388" s="4">
        <v>0.31433013734128012</v>
      </c>
      <c r="G388" s="4" t="str">
        <f t="shared" si="60"/>
        <v/>
      </c>
      <c r="H388" s="4">
        <f t="shared" si="61"/>
        <v>0.65</v>
      </c>
      <c r="I388" s="4" t="str">
        <f t="shared" si="62"/>
        <v/>
      </c>
      <c r="J388" s="4" t="str">
        <f t="shared" si="63"/>
        <v/>
      </c>
      <c r="K388" s="4" t="str">
        <f t="shared" si="64"/>
        <v/>
      </c>
      <c r="L388" s="4" t="str">
        <f t="shared" si="65"/>
        <v/>
      </c>
      <c r="M388" s="4"/>
      <c r="N388" s="4"/>
      <c r="O388" s="4"/>
      <c r="P388" s="4"/>
      <c r="Q388" s="4"/>
      <c r="R388" s="4"/>
      <c r="S388" s="4"/>
      <c r="T388" s="4"/>
      <c r="U388" s="4"/>
    </row>
    <row r="389" spans="1:21">
      <c r="A389" t="s">
        <v>225</v>
      </c>
      <c r="B389">
        <v>7</v>
      </c>
      <c r="C389" t="str">
        <f t="shared" si="59"/>
        <v>test.ImageData_7_</v>
      </c>
      <c r="D389">
        <v>8</v>
      </c>
      <c r="E389" s="4">
        <v>0.73333333333333328</v>
      </c>
      <c r="F389" s="4">
        <v>0.33091474475252658</v>
      </c>
      <c r="G389" s="4" t="str">
        <f t="shared" si="60"/>
        <v/>
      </c>
      <c r="H389" s="4">
        <f t="shared" si="61"/>
        <v>0.73333333333333328</v>
      </c>
      <c r="I389" s="4" t="str">
        <f t="shared" si="62"/>
        <v/>
      </c>
      <c r="J389" s="4" t="str">
        <f t="shared" si="63"/>
        <v/>
      </c>
      <c r="K389" s="4" t="str">
        <f t="shared" si="64"/>
        <v/>
      </c>
      <c r="L389" s="4" t="str">
        <f t="shared" si="65"/>
        <v/>
      </c>
      <c r="M389" s="4"/>
      <c r="N389" s="4"/>
      <c r="O389" s="4"/>
      <c r="P389" s="4"/>
      <c r="Q389" s="4"/>
      <c r="R389" s="4"/>
      <c r="S389" s="4"/>
      <c r="T389" s="4"/>
      <c r="U389" s="4"/>
    </row>
    <row r="390" spans="1:21">
      <c r="A390" t="s">
        <v>225</v>
      </c>
      <c r="B390">
        <v>7</v>
      </c>
      <c r="C390" t="str">
        <f t="shared" si="59"/>
        <v>test.ImageData_7_</v>
      </c>
      <c r="D390">
        <v>9</v>
      </c>
      <c r="E390" s="4">
        <v>0.85</v>
      </c>
      <c r="F390" s="4">
        <v>0.41098730240995074</v>
      </c>
      <c r="G390" s="4" t="str">
        <f t="shared" si="60"/>
        <v/>
      </c>
      <c r="H390" s="4" t="str">
        <f t="shared" si="61"/>
        <v/>
      </c>
      <c r="I390" s="4">
        <f t="shared" si="62"/>
        <v>0.85</v>
      </c>
      <c r="J390" s="4" t="str">
        <f t="shared" si="63"/>
        <v/>
      </c>
      <c r="K390" s="4" t="str">
        <f t="shared" si="64"/>
        <v/>
      </c>
      <c r="L390" s="4" t="str">
        <f t="shared" si="65"/>
        <v/>
      </c>
      <c r="M390" s="4"/>
      <c r="N390" s="4"/>
      <c r="O390" s="4"/>
      <c r="P390" s="4"/>
      <c r="Q390" s="4"/>
      <c r="R390" s="4"/>
      <c r="S390" s="4"/>
      <c r="T390" s="4"/>
      <c r="U390" s="4"/>
    </row>
    <row r="391" spans="1:21">
      <c r="A391" t="s">
        <v>225</v>
      </c>
      <c r="B391">
        <v>7</v>
      </c>
      <c r="C391" t="str">
        <f t="shared" si="59"/>
        <v>test.ImageData_7_</v>
      </c>
      <c r="D391">
        <v>10</v>
      </c>
      <c r="E391" s="4">
        <v>1</v>
      </c>
      <c r="F391" s="4">
        <v>0.42031614407877688</v>
      </c>
      <c r="G391" s="4" t="str">
        <f t="shared" si="60"/>
        <v/>
      </c>
      <c r="H391" s="4" t="str">
        <f t="shared" si="61"/>
        <v/>
      </c>
      <c r="I391" s="4">
        <f t="shared" si="62"/>
        <v>1</v>
      </c>
      <c r="J391" s="4" t="str">
        <f t="shared" si="63"/>
        <v/>
      </c>
      <c r="K391" s="4" t="str">
        <f t="shared" si="64"/>
        <v/>
      </c>
      <c r="L391" s="4" t="str">
        <f t="shared" si="65"/>
        <v/>
      </c>
      <c r="M391" s="4"/>
      <c r="N391" s="4"/>
      <c r="O391" s="4"/>
      <c r="P391" s="4"/>
      <c r="Q391" s="4"/>
      <c r="R391" s="4"/>
      <c r="S391" s="4"/>
      <c r="T391" s="4"/>
      <c r="U391" s="4"/>
    </row>
    <row r="392" spans="1:21">
      <c r="A392" t="s">
        <v>225</v>
      </c>
      <c r="B392">
        <v>8</v>
      </c>
      <c r="C392" t="str">
        <f t="shared" si="59"/>
        <v>test.ImageData_8_</v>
      </c>
      <c r="D392">
        <v>1</v>
      </c>
      <c r="E392" s="4">
        <v>0.11728395061728394</v>
      </c>
      <c r="F392" s="4">
        <v>6.18201737225135E-2</v>
      </c>
      <c r="G392" s="4">
        <f t="shared" si="60"/>
        <v>0.11728395061728394</v>
      </c>
      <c r="H392" s="4" t="str">
        <f t="shared" si="61"/>
        <v/>
      </c>
      <c r="I392" s="4" t="str">
        <f t="shared" si="62"/>
        <v/>
      </c>
      <c r="J392" s="4" t="str">
        <f t="shared" si="63"/>
        <v/>
      </c>
      <c r="K392" s="4" t="str">
        <f t="shared" si="64"/>
        <v/>
      </c>
      <c r="L392" s="4" t="str">
        <f t="shared" si="65"/>
        <v/>
      </c>
      <c r="M392" s="4"/>
      <c r="N392" s="4"/>
      <c r="O392" s="4"/>
      <c r="P392" s="4"/>
      <c r="Q392" s="4"/>
      <c r="R392" s="4"/>
      <c r="S392" s="4"/>
      <c r="T392" s="4"/>
      <c r="U392" s="4"/>
    </row>
    <row r="393" spans="1:21">
      <c r="A393" t="s">
        <v>225</v>
      </c>
      <c r="B393">
        <v>8</v>
      </c>
      <c r="C393" t="str">
        <f t="shared" si="59"/>
        <v>test.ImageData_8_</v>
      </c>
      <c r="D393">
        <v>2</v>
      </c>
      <c r="E393" s="4">
        <v>0.1728395061728395</v>
      </c>
      <c r="F393" s="4">
        <v>9.9616558416151496E-2</v>
      </c>
      <c r="G393" s="4">
        <f t="shared" si="60"/>
        <v>0.1728395061728395</v>
      </c>
      <c r="H393" s="4" t="str">
        <f t="shared" si="61"/>
        <v/>
      </c>
      <c r="I393" s="4" t="str">
        <f t="shared" si="62"/>
        <v/>
      </c>
      <c r="J393" s="4" t="str">
        <f t="shared" si="63"/>
        <v/>
      </c>
      <c r="K393" s="4" t="str">
        <f t="shared" si="64"/>
        <v/>
      </c>
      <c r="L393" s="4" t="str">
        <f t="shared" si="65"/>
        <v/>
      </c>
      <c r="M393" s="4"/>
      <c r="N393" s="4"/>
      <c r="O393" s="4"/>
      <c r="P393" s="4"/>
      <c r="Q393" s="4"/>
      <c r="R393" s="4"/>
      <c r="S393" s="4"/>
      <c r="T393" s="4"/>
      <c r="U393" s="4"/>
    </row>
    <row r="394" spans="1:21">
      <c r="A394" t="s">
        <v>225</v>
      </c>
      <c r="B394">
        <v>8</v>
      </c>
      <c r="C394" t="str">
        <f t="shared" si="59"/>
        <v>test.ImageData_8_</v>
      </c>
      <c r="D394">
        <v>3</v>
      </c>
      <c r="E394" s="4">
        <v>0.3888888888888889</v>
      </c>
      <c r="F394" s="4">
        <v>0.19445966038031146</v>
      </c>
      <c r="G394" s="4">
        <f t="shared" si="60"/>
        <v>0.3888888888888889</v>
      </c>
      <c r="H394" s="4" t="str">
        <f t="shared" si="61"/>
        <v/>
      </c>
      <c r="I394" s="4" t="str">
        <f t="shared" si="62"/>
        <v/>
      </c>
      <c r="J394" s="4" t="str">
        <f t="shared" si="63"/>
        <v/>
      </c>
      <c r="K394" s="4" t="str">
        <f t="shared" si="64"/>
        <v/>
      </c>
      <c r="L394" s="4" t="str">
        <f t="shared" si="65"/>
        <v/>
      </c>
      <c r="M394" s="4"/>
      <c r="N394" s="4"/>
      <c r="O394" s="4"/>
      <c r="P394" s="4"/>
      <c r="Q394" s="4"/>
      <c r="R394" s="4"/>
      <c r="S394" s="4"/>
      <c r="T394" s="4"/>
      <c r="U394" s="4"/>
    </row>
    <row r="395" spans="1:21">
      <c r="A395" t="s">
        <v>225</v>
      </c>
      <c r="B395">
        <v>8</v>
      </c>
      <c r="C395" t="str">
        <f t="shared" si="59"/>
        <v>test.ImageData_8_</v>
      </c>
      <c r="D395">
        <v>4</v>
      </c>
      <c r="E395" s="4">
        <v>0.66049382716049387</v>
      </c>
      <c r="F395" s="4">
        <v>0.21511855387745521</v>
      </c>
      <c r="G395" s="4" t="str">
        <f t="shared" si="60"/>
        <v/>
      </c>
      <c r="H395" s="4">
        <f t="shared" si="61"/>
        <v>0.66049382716049387</v>
      </c>
      <c r="I395" s="4" t="str">
        <f t="shared" si="62"/>
        <v/>
      </c>
      <c r="J395" s="4" t="str">
        <f t="shared" si="63"/>
        <v/>
      </c>
      <c r="K395" s="4" t="str">
        <f t="shared" si="64"/>
        <v/>
      </c>
      <c r="L395" s="4" t="str">
        <f t="shared" si="65"/>
        <v/>
      </c>
      <c r="M395" s="4"/>
      <c r="N395" s="4"/>
      <c r="O395" s="4"/>
      <c r="P395" s="4"/>
      <c r="Q395" s="4"/>
      <c r="R395" s="4"/>
      <c r="S395" s="4"/>
      <c r="T395" s="4"/>
      <c r="U395" s="4"/>
    </row>
    <row r="396" spans="1:21">
      <c r="A396" t="s">
        <v>225</v>
      </c>
      <c r="B396">
        <v>8</v>
      </c>
      <c r="C396" t="str">
        <f t="shared" si="59"/>
        <v>test.ImageData_8_</v>
      </c>
      <c r="D396">
        <v>5</v>
      </c>
      <c r="E396" s="4">
        <v>0.86419753086419748</v>
      </c>
      <c r="F396" s="4">
        <v>0.41450817747867597</v>
      </c>
      <c r="G396" s="4" t="str">
        <f t="shared" si="60"/>
        <v/>
      </c>
      <c r="H396" s="4" t="str">
        <f t="shared" si="61"/>
        <v/>
      </c>
      <c r="I396" s="4">
        <f t="shared" si="62"/>
        <v>0.86419753086419748</v>
      </c>
      <c r="J396" s="4" t="str">
        <f t="shared" si="63"/>
        <v/>
      </c>
      <c r="K396" s="4" t="str">
        <f t="shared" si="64"/>
        <v/>
      </c>
      <c r="L396" s="4" t="str">
        <f t="shared" si="65"/>
        <v/>
      </c>
      <c r="M396" s="4"/>
      <c r="N396" s="4"/>
      <c r="O396" s="4"/>
      <c r="P396" s="4"/>
      <c r="Q396" s="4"/>
      <c r="R396" s="4"/>
      <c r="S396" s="4"/>
      <c r="T396" s="4"/>
      <c r="U396" s="4"/>
    </row>
    <row r="397" spans="1:21">
      <c r="A397" t="s">
        <v>225</v>
      </c>
      <c r="B397">
        <v>8</v>
      </c>
      <c r="C397" t="str">
        <f t="shared" si="59"/>
        <v>test.ImageData_8_</v>
      </c>
      <c r="D397">
        <v>6</v>
      </c>
      <c r="E397" s="4">
        <v>1</v>
      </c>
      <c r="F397" s="4">
        <v>0.49041396040378749</v>
      </c>
      <c r="G397" s="4" t="str">
        <f t="shared" si="60"/>
        <v/>
      </c>
      <c r="H397" s="4" t="str">
        <f t="shared" si="61"/>
        <v/>
      </c>
      <c r="I397" s="4">
        <f t="shared" si="62"/>
        <v>1</v>
      </c>
      <c r="J397" s="4" t="str">
        <f t="shared" si="63"/>
        <v/>
      </c>
      <c r="K397" s="4" t="str">
        <f t="shared" si="64"/>
        <v/>
      </c>
      <c r="L397" s="4" t="str">
        <f t="shared" si="65"/>
        <v/>
      </c>
      <c r="M397" s="4"/>
      <c r="N397" s="4"/>
      <c r="O397" s="4"/>
      <c r="P397" s="4"/>
      <c r="Q397" s="4"/>
      <c r="R397" s="4"/>
      <c r="S397" s="4"/>
      <c r="T397" s="4"/>
      <c r="U397" s="4"/>
    </row>
    <row r="398" spans="1:21">
      <c r="A398" t="s">
        <v>225</v>
      </c>
      <c r="B398">
        <v>9</v>
      </c>
      <c r="C398" t="str">
        <f t="shared" si="59"/>
        <v>test.ImageData_9_</v>
      </c>
      <c r="D398">
        <v>1</v>
      </c>
      <c r="E398" s="4">
        <v>7.3643410852713184E-2</v>
      </c>
      <c r="F398" s="4">
        <v>2.4346473649578274E-2</v>
      </c>
      <c r="G398" s="4">
        <f t="shared" si="60"/>
        <v>7.3643410852713184E-2</v>
      </c>
      <c r="H398" s="4" t="str">
        <f t="shared" si="61"/>
        <v/>
      </c>
      <c r="I398" s="4" t="str">
        <f t="shared" si="62"/>
        <v/>
      </c>
      <c r="J398" s="4" t="str">
        <f t="shared" si="63"/>
        <v/>
      </c>
      <c r="K398" s="4" t="str">
        <f t="shared" si="64"/>
        <v/>
      </c>
      <c r="L398" s="4" t="str">
        <f t="shared" si="65"/>
        <v/>
      </c>
      <c r="M398" s="4"/>
      <c r="N398" s="4"/>
      <c r="O398" s="4"/>
      <c r="P398" s="4"/>
      <c r="Q398" s="4"/>
      <c r="R398" s="4"/>
      <c r="S398" s="4"/>
      <c r="T398" s="4"/>
      <c r="U398" s="4"/>
    </row>
    <row r="399" spans="1:21">
      <c r="A399" t="s">
        <v>225</v>
      </c>
      <c r="B399">
        <v>9</v>
      </c>
      <c r="C399" t="str">
        <f t="shared" si="59"/>
        <v>test.ImageData_9_</v>
      </c>
      <c r="D399">
        <v>2</v>
      </c>
      <c r="E399" s="4">
        <v>0.12015503875968993</v>
      </c>
      <c r="F399" s="4">
        <v>4.7047915295806667E-2</v>
      </c>
      <c r="G399" s="4">
        <f t="shared" si="60"/>
        <v>0.12015503875968993</v>
      </c>
      <c r="H399" s="4" t="str">
        <f t="shared" si="61"/>
        <v/>
      </c>
      <c r="I399" s="4" t="str">
        <f t="shared" si="62"/>
        <v/>
      </c>
      <c r="J399" s="4" t="str">
        <f t="shared" si="63"/>
        <v/>
      </c>
      <c r="K399" s="4" t="str">
        <f t="shared" si="64"/>
        <v/>
      </c>
      <c r="L399" s="4" t="str">
        <f t="shared" si="65"/>
        <v/>
      </c>
      <c r="M399" s="4"/>
      <c r="N399" s="4"/>
      <c r="O399" s="4"/>
      <c r="P399" s="4"/>
      <c r="Q399" s="4"/>
      <c r="R399" s="4"/>
      <c r="S399" s="4"/>
      <c r="T399" s="4"/>
      <c r="U399" s="4"/>
    </row>
    <row r="400" spans="1:21">
      <c r="A400" t="s">
        <v>225</v>
      </c>
      <c r="B400">
        <v>9</v>
      </c>
      <c r="C400" t="str">
        <f t="shared" si="59"/>
        <v>test.ImageData_9_</v>
      </c>
      <c r="D400">
        <v>3</v>
      </c>
      <c r="E400" s="4">
        <v>0.2558139534883721</v>
      </c>
      <c r="F400" s="4">
        <v>7.4594723933720158E-2</v>
      </c>
      <c r="G400" s="4">
        <f t="shared" si="60"/>
        <v>0.2558139534883721</v>
      </c>
      <c r="H400" s="4" t="str">
        <f t="shared" si="61"/>
        <v/>
      </c>
      <c r="I400" s="4" t="str">
        <f t="shared" si="62"/>
        <v/>
      </c>
      <c r="J400" s="4" t="str">
        <f t="shared" si="63"/>
        <v/>
      </c>
      <c r="K400" s="4" t="str">
        <f t="shared" si="64"/>
        <v/>
      </c>
      <c r="L400" s="4" t="str">
        <f t="shared" si="65"/>
        <v/>
      </c>
      <c r="M400" s="4"/>
      <c r="N400" s="4"/>
      <c r="O400" s="4"/>
      <c r="P400" s="4"/>
      <c r="Q400" s="4"/>
      <c r="R400" s="4"/>
      <c r="S400" s="4"/>
      <c r="T400" s="4"/>
      <c r="U400" s="4"/>
    </row>
    <row r="401" spans="1:21">
      <c r="A401" t="s">
        <v>225</v>
      </c>
      <c r="B401">
        <v>9</v>
      </c>
      <c r="C401" t="str">
        <f t="shared" si="59"/>
        <v>test.ImageData_9_</v>
      </c>
      <c r="D401">
        <v>4</v>
      </c>
      <c r="E401" s="4">
        <v>0.4263565891472868</v>
      </c>
      <c r="F401" s="4">
        <v>0.10262008733624454</v>
      </c>
      <c r="G401" s="4">
        <f t="shared" si="60"/>
        <v>0.4263565891472868</v>
      </c>
      <c r="H401" s="4" t="str">
        <f t="shared" si="61"/>
        <v/>
      </c>
      <c r="I401" s="4" t="str">
        <f t="shared" si="62"/>
        <v/>
      </c>
      <c r="J401" s="4" t="str">
        <f t="shared" si="63"/>
        <v/>
      </c>
      <c r="K401" s="4" t="str">
        <f t="shared" si="64"/>
        <v/>
      </c>
      <c r="L401" s="4" t="str">
        <f t="shared" si="65"/>
        <v/>
      </c>
      <c r="M401" s="4"/>
      <c r="N401" s="4"/>
      <c r="O401" s="4"/>
      <c r="P401" s="4"/>
      <c r="Q401" s="4"/>
      <c r="R401" s="4"/>
      <c r="S401" s="4"/>
      <c r="T401" s="4"/>
      <c r="U401" s="4"/>
    </row>
    <row r="402" spans="1:21">
      <c r="A402" t="s">
        <v>225</v>
      </c>
      <c r="B402">
        <v>9</v>
      </c>
      <c r="C402" t="str">
        <f t="shared" si="59"/>
        <v>test.ImageData_9_</v>
      </c>
      <c r="D402">
        <v>5</v>
      </c>
      <c r="E402" s="4">
        <v>0.55426356589147285</v>
      </c>
      <c r="F402" s="4">
        <v>0.13985762995752826</v>
      </c>
      <c r="G402" s="4">
        <f t="shared" si="60"/>
        <v>0.55426356589147285</v>
      </c>
      <c r="H402" s="4" t="str">
        <f t="shared" si="61"/>
        <v/>
      </c>
      <c r="I402" s="4" t="str">
        <f t="shared" si="62"/>
        <v/>
      </c>
      <c r="J402" s="4" t="str">
        <f t="shared" si="63"/>
        <v/>
      </c>
      <c r="K402" s="4" t="str">
        <f t="shared" si="64"/>
        <v/>
      </c>
      <c r="L402" s="4" t="str">
        <f t="shared" si="65"/>
        <v/>
      </c>
      <c r="M402" s="4"/>
      <c r="N402" s="4"/>
      <c r="O402" s="4"/>
      <c r="P402" s="4"/>
      <c r="Q402" s="4"/>
      <c r="R402" s="4"/>
      <c r="S402" s="4"/>
      <c r="T402" s="4"/>
      <c r="U402" s="4"/>
    </row>
    <row r="403" spans="1:21">
      <c r="A403" t="s">
        <v>225</v>
      </c>
      <c r="B403">
        <v>9</v>
      </c>
      <c r="C403" t="str">
        <f t="shared" si="59"/>
        <v>test.ImageData_9_</v>
      </c>
      <c r="D403">
        <v>6</v>
      </c>
      <c r="E403" s="4">
        <v>0.63953488372093026</v>
      </c>
      <c r="F403" s="4">
        <v>0.187085003290064</v>
      </c>
      <c r="G403" s="4">
        <f t="shared" si="60"/>
        <v>0.63953488372093026</v>
      </c>
      <c r="H403" s="4" t="str">
        <f t="shared" si="61"/>
        <v/>
      </c>
      <c r="I403" s="4" t="str">
        <f t="shared" si="62"/>
        <v/>
      </c>
      <c r="J403" s="4" t="str">
        <f t="shared" si="63"/>
        <v/>
      </c>
      <c r="K403" s="4" t="str">
        <f t="shared" si="64"/>
        <v/>
      </c>
      <c r="L403" s="4" t="str">
        <f t="shared" si="65"/>
        <v/>
      </c>
      <c r="M403" s="4"/>
      <c r="N403" s="4"/>
      <c r="O403" s="4"/>
      <c r="P403" s="4"/>
      <c r="Q403" s="4"/>
      <c r="R403" s="4"/>
      <c r="S403" s="4"/>
      <c r="T403" s="4"/>
      <c r="U403" s="4"/>
    </row>
    <row r="404" spans="1:21">
      <c r="A404" t="s">
        <v>225</v>
      </c>
      <c r="B404">
        <v>9</v>
      </c>
      <c r="C404" t="str">
        <f t="shared" si="59"/>
        <v>test.ImageData_9_</v>
      </c>
      <c r="D404">
        <v>7</v>
      </c>
      <c r="E404" s="4">
        <v>0.7441860465116279</v>
      </c>
      <c r="F404" s="4">
        <v>0.22088293354070707</v>
      </c>
      <c r="G404" s="4" t="str">
        <f t="shared" si="60"/>
        <v/>
      </c>
      <c r="H404" s="4">
        <f t="shared" si="61"/>
        <v>0.7441860465116279</v>
      </c>
      <c r="I404" s="4" t="str">
        <f t="shared" si="62"/>
        <v/>
      </c>
      <c r="J404" s="4" t="str">
        <f t="shared" si="63"/>
        <v/>
      </c>
      <c r="K404" s="4" t="str">
        <f t="shared" si="64"/>
        <v/>
      </c>
      <c r="L404" s="4" t="str">
        <f t="shared" si="65"/>
        <v/>
      </c>
      <c r="M404" s="4"/>
      <c r="N404" s="4"/>
      <c r="O404" s="4"/>
      <c r="P404" s="4"/>
      <c r="Q404" s="4"/>
      <c r="R404" s="4"/>
      <c r="S404" s="4"/>
      <c r="T404" s="4"/>
      <c r="U404" s="4"/>
    </row>
    <row r="405" spans="1:21">
      <c r="A405" t="s">
        <v>225</v>
      </c>
      <c r="B405">
        <v>9</v>
      </c>
      <c r="C405" t="str">
        <f t="shared" si="59"/>
        <v>test.ImageData_9_</v>
      </c>
      <c r="D405">
        <v>8</v>
      </c>
      <c r="E405" s="4">
        <v>0.86434108527131781</v>
      </c>
      <c r="F405" s="4">
        <v>0.24430220733385177</v>
      </c>
      <c r="G405" s="4" t="str">
        <f t="shared" si="60"/>
        <v/>
      </c>
      <c r="H405" s="4">
        <f t="shared" si="61"/>
        <v>0.86434108527131781</v>
      </c>
      <c r="I405" s="4" t="str">
        <f t="shared" si="62"/>
        <v/>
      </c>
      <c r="J405" s="4" t="str">
        <f t="shared" si="63"/>
        <v/>
      </c>
      <c r="K405" s="4" t="str">
        <f t="shared" si="64"/>
        <v/>
      </c>
      <c r="L405" s="4" t="str">
        <f t="shared" si="65"/>
        <v/>
      </c>
      <c r="M405" s="4"/>
      <c r="N405" s="4"/>
      <c r="O405" s="4"/>
      <c r="P405" s="4"/>
      <c r="Q405" s="4"/>
      <c r="R405" s="4"/>
      <c r="S405" s="4"/>
      <c r="T405" s="4"/>
      <c r="U405" s="4"/>
    </row>
    <row r="406" spans="1:21">
      <c r="A406" t="s">
        <v>225</v>
      </c>
      <c r="B406">
        <v>9</v>
      </c>
      <c r="C406" t="str">
        <f t="shared" si="59"/>
        <v>test.ImageData_9_</v>
      </c>
      <c r="D406">
        <v>9</v>
      </c>
      <c r="E406" s="4">
        <v>1</v>
      </c>
      <c r="F406" s="4">
        <v>0.26625590716037567</v>
      </c>
      <c r="G406" s="4" t="str">
        <f t="shared" si="60"/>
        <v/>
      </c>
      <c r="H406" s="4">
        <f t="shared" si="61"/>
        <v>1</v>
      </c>
      <c r="I406" s="4" t="str">
        <f t="shared" si="62"/>
        <v/>
      </c>
      <c r="J406" s="4" t="str">
        <f t="shared" si="63"/>
        <v/>
      </c>
      <c r="K406" s="4" t="str">
        <f t="shared" si="64"/>
        <v/>
      </c>
      <c r="L406" s="4" t="str">
        <f t="shared" si="65"/>
        <v/>
      </c>
      <c r="M406" s="4"/>
      <c r="N406" s="4"/>
      <c r="O406" s="4"/>
      <c r="P406" s="4"/>
      <c r="Q406" s="4"/>
      <c r="R406" s="4"/>
      <c r="S406" s="4"/>
      <c r="T406" s="4"/>
      <c r="U406" s="4"/>
    </row>
    <row r="407" spans="1:21">
      <c r="A407" t="s">
        <v>225</v>
      </c>
      <c r="B407">
        <v>11</v>
      </c>
      <c r="C407" t="str">
        <f t="shared" si="59"/>
        <v>test.ImageData_11_</v>
      </c>
      <c r="D407">
        <v>1</v>
      </c>
      <c r="E407" s="4">
        <v>0.33962264150943394</v>
      </c>
      <c r="F407" s="4">
        <v>4.495732660175502E-2</v>
      </c>
      <c r="G407" s="4">
        <f t="shared" si="60"/>
        <v>0.33962264150943394</v>
      </c>
      <c r="H407" s="4" t="str">
        <f t="shared" si="61"/>
        <v/>
      </c>
      <c r="I407" s="4" t="str">
        <f t="shared" si="62"/>
        <v/>
      </c>
      <c r="J407" s="4" t="str">
        <f t="shared" si="63"/>
        <v/>
      </c>
      <c r="K407" s="4" t="str">
        <f t="shared" si="64"/>
        <v/>
      </c>
      <c r="L407" s="4" t="str">
        <f t="shared" si="65"/>
        <v/>
      </c>
      <c r="M407" s="4"/>
      <c r="N407" s="4"/>
      <c r="O407" s="4"/>
      <c r="P407" s="4"/>
      <c r="Q407" s="4"/>
      <c r="R407" s="4"/>
      <c r="S407" s="4"/>
      <c r="T407" s="4"/>
      <c r="U407" s="4"/>
    </row>
    <row r="408" spans="1:21">
      <c r="A408" t="s">
        <v>225</v>
      </c>
      <c r="B408">
        <v>11</v>
      </c>
      <c r="C408" t="str">
        <f t="shared" si="59"/>
        <v>test.ImageData_11_</v>
      </c>
      <c r="D408">
        <v>2</v>
      </c>
      <c r="E408" s="4">
        <v>1</v>
      </c>
      <c r="F408" s="4">
        <v>0.96874624353888683</v>
      </c>
      <c r="G408" s="4" t="str">
        <f t="shared" si="60"/>
        <v/>
      </c>
      <c r="H408" s="4" t="str">
        <f t="shared" si="61"/>
        <v/>
      </c>
      <c r="I408" s="4" t="str">
        <f t="shared" si="62"/>
        <v/>
      </c>
      <c r="J408" s="4" t="str">
        <f t="shared" si="63"/>
        <v/>
      </c>
      <c r="K408" s="4">
        <f t="shared" si="64"/>
        <v>1</v>
      </c>
      <c r="L408" s="4" t="str">
        <f t="shared" si="65"/>
        <v/>
      </c>
      <c r="M408" s="4"/>
      <c r="N408" s="4"/>
      <c r="O408" s="4"/>
      <c r="P408" s="4"/>
      <c r="Q408" s="4"/>
      <c r="R408" s="4"/>
      <c r="S408" s="4"/>
      <c r="T408" s="4"/>
      <c r="U408" s="4"/>
    </row>
    <row r="409" spans="1:21">
      <c r="A409" t="s">
        <v>225</v>
      </c>
      <c r="B409">
        <v>13</v>
      </c>
      <c r="C409" t="str">
        <f t="shared" si="59"/>
        <v>test.ImageData_13_</v>
      </c>
      <c r="D409">
        <v>1</v>
      </c>
      <c r="E409" s="4">
        <v>1.3568521031207597E-3</v>
      </c>
      <c r="F409" s="4">
        <v>5.3726429212810539E-2</v>
      </c>
      <c r="G409" s="4">
        <f t="shared" si="60"/>
        <v>1.3568521031207597E-3</v>
      </c>
      <c r="H409" s="4" t="str">
        <f t="shared" si="61"/>
        <v/>
      </c>
      <c r="I409" s="4" t="str">
        <f t="shared" si="62"/>
        <v/>
      </c>
      <c r="J409" s="4" t="str">
        <f t="shared" si="63"/>
        <v/>
      </c>
      <c r="K409" s="4" t="str">
        <f t="shared" si="64"/>
        <v/>
      </c>
      <c r="L409" s="4" t="str">
        <f t="shared" si="65"/>
        <v/>
      </c>
      <c r="M409" s="4"/>
      <c r="N409" s="4"/>
      <c r="O409" s="4"/>
      <c r="P409" s="4"/>
      <c r="Q409" s="4"/>
      <c r="R409" s="4"/>
      <c r="S409" s="4"/>
      <c r="T409" s="4"/>
      <c r="U409" s="4"/>
    </row>
    <row r="410" spans="1:21">
      <c r="A410" t="s">
        <v>225</v>
      </c>
      <c r="B410">
        <v>13</v>
      </c>
      <c r="C410" t="str">
        <f t="shared" si="59"/>
        <v>test.ImageData_13_</v>
      </c>
      <c r="D410">
        <v>2</v>
      </c>
      <c r="E410" s="4">
        <v>4.0705563093622792E-3</v>
      </c>
      <c r="F410" s="4">
        <v>5.4137982639928167E-2</v>
      </c>
      <c r="G410" s="4">
        <f t="shared" si="60"/>
        <v>4.0705563093622792E-3</v>
      </c>
      <c r="H410" s="4" t="str">
        <f t="shared" si="61"/>
        <v/>
      </c>
      <c r="I410" s="4" t="str">
        <f t="shared" si="62"/>
        <v/>
      </c>
      <c r="J410" s="4" t="str">
        <f t="shared" si="63"/>
        <v/>
      </c>
      <c r="K410" s="4" t="str">
        <f t="shared" si="64"/>
        <v/>
      </c>
      <c r="L410" s="4" t="str">
        <f t="shared" si="65"/>
        <v/>
      </c>
      <c r="M410" s="4"/>
      <c r="N410" s="4"/>
      <c r="O410" s="4"/>
      <c r="P410" s="4"/>
      <c r="Q410" s="4"/>
      <c r="R410" s="4"/>
      <c r="S410" s="4"/>
      <c r="T410" s="4"/>
      <c r="U410" s="4"/>
    </row>
    <row r="411" spans="1:21">
      <c r="A411" t="s">
        <v>225</v>
      </c>
      <c r="B411">
        <v>13</v>
      </c>
      <c r="C411" t="str">
        <f t="shared" si="59"/>
        <v>test.ImageData_13_</v>
      </c>
      <c r="D411">
        <v>3</v>
      </c>
      <c r="E411" s="4">
        <v>6.7842605156037995E-3</v>
      </c>
      <c r="F411" s="4">
        <v>5.9787488775815627E-2</v>
      </c>
      <c r="G411" s="4">
        <f t="shared" si="60"/>
        <v>6.7842605156037995E-3</v>
      </c>
      <c r="H411" s="4" t="str">
        <f t="shared" si="61"/>
        <v/>
      </c>
      <c r="I411" s="4" t="str">
        <f t="shared" si="62"/>
        <v/>
      </c>
      <c r="J411" s="4" t="str">
        <f t="shared" si="63"/>
        <v/>
      </c>
      <c r="K411" s="4" t="str">
        <f t="shared" si="64"/>
        <v/>
      </c>
      <c r="L411" s="4" t="str">
        <f t="shared" si="65"/>
        <v/>
      </c>
      <c r="M411" s="4"/>
      <c r="N411" s="4"/>
      <c r="O411" s="4"/>
      <c r="P411" s="4"/>
      <c r="Q411" s="4"/>
      <c r="R411" s="4"/>
      <c r="S411" s="4"/>
      <c r="T411" s="4"/>
      <c r="U411" s="4"/>
    </row>
    <row r="412" spans="1:21">
      <c r="A412" t="s">
        <v>225</v>
      </c>
      <c r="B412">
        <v>13</v>
      </c>
      <c r="C412" t="str">
        <f t="shared" si="59"/>
        <v>test.ImageData_13_</v>
      </c>
      <c r="D412">
        <v>4</v>
      </c>
      <c r="E412" s="4">
        <v>1</v>
      </c>
      <c r="F412" s="4">
        <v>1.013020053876085</v>
      </c>
      <c r="G412" s="4" t="str">
        <f t="shared" si="60"/>
        <v/>
      </c>
      <c r="H412" s="4" t="str">
        <f t="shared" si="61"/>
        <v/>
      </c>
      <c r="I412" s="4" t="str">
        <f t="shared" si="62"/>
        <v/>
      </c>
      <c r="J412" s="4" t="str">
        <f t="shared" si="63"/>
        <v/>
      </c>
      <c r="K412" s="4">
        <f t="shared" si="64"/>
        <v>1</v>
      </c>
      <c r="L412" s="4" t="str">
        <f t="shared" si="65"/>
        <v/>
      </c>
      <c r="M412" s="4"/>
      <c r="N412" s="4"/>
      <c r="O412" s="4"/>
      <c r="P412" s="4"/>
      <c r="Q412" s="4"/>
      <c r="R412" s="4"/>
      <c r="S412" s="4"/>
      <c r="T412" s="4"/>
      <c r="U412" s="4"/>
    </row>
    <row r="413" spans="1:21">
      <c r="A413" t="s">
        <v>225</v>
      </c>
      <c r="B413">
        <v>15</v>
      </c>
      <c r="C413" t="str">
        <f t="shared" si="59"/>
        <v>test.ImageData_15_</v>
      </c>
      <c r="D413">
        <v>1</v>
      </c>
      <c r="E413" s="4">
        <v>2.1052631578947368E-3</v>
      </c>
      <c r="F413" s="4">
        <v>4.2488924687877565E-2</v>
      </c>
      <c r="G413" s="4">
        <f t="shared" si="60"/>
        <v>2.1052631578947368E-3</v>
      </c>
      <c r="H413" s="4" t="str">
        <f t="shared" si="61"/>
        <v/>
      </c>
      <c r="I413" s="4" t="str">
        <f t="shared" si="62"/>
        <v/>
      </c>
      <c r="J413" s="4" t="str">
        <f t="shared" si="63"/>
        <v/>
      </c>
      <c r="K413" s="4" t="str">
        <f t="shared" si="64"/>
        <v/>
      </c>
      <c r="L413" s="4" t="str">
        <f t="shared" si="65"/>
        <v/>
      </c>
      <c r="M413" s="4"/>
      <c r="N413" s="4"/>
      <c r="O413" s="4"/>
      <c r="P413" s="4"/>
      <c r="Q413" s="4"/>
      <c r="R413" s="4"/>
      <c r="S413" s="4"/>
      <c r="T413" s="4"/>
      <c r="U413" s="4"/>
    </row>
    <row r="414" spans="1:21">
      <c r="A414" t="s">
        <v>225</v>
      </c>
      <c r="B414">
        <v>15</v>
      </c>
      <c r="C414" t="str">
        <f t="shared" si="59"/>
        <v>test.ImageData_15_</v>
      </c>
      <c r="D414">
        <v>2</v>
      </c>
      <c r="E414" s="4">
        <v>2.1052631578947368E-3</v>
      </c>
      <c r="F414" s="4">
        <v>4.5962545308095043E-2</v>
      </c>
      <c r="G414" s="4">
        <f t="shared" si="60"/>
        <v>2.1052631578947368E-3</v>
      </c>
      <c r="H414" s="4" t="str">
        <f t="shared" si="61"/>
        <v/>
      </c>
      <c r="I414" s="4" t="str">
        <f t="shared" si="62"/>
        <v/>
      </c>
      <c r="J414" s="4" t="str">
        <f t="shared" si="63"/>
        <v/>
      </c>
      <c r="K414" s="4" t="str">
        <f t="shared" si="64"/>
        <v/>
      </c>
      <c r="L414" s="4" t="str">
        <f t="shared" si="65"/>
        <v/>
      </c>
      <c r="M414" s="4"/>
      <c r="N414" s="4"/>
      <c r="O414" s="4"/>
      <c r="P414" s="4"/>
      <c r="Q414" s="4"/>
      <c r="R414" s="4"/>
      <c r="S414" s="4"/>
      <c r="T414" s="4"/>
      <c r="U414" s="4"/>
    </row>
    <row r="415" spans="1:21">
      <c r="A415" t="s">
        <v>225</v>
      </c>
      <c r="B415">
        <v>15</v>
      </c>
      <c r="C415" t="str">
        <f t="shared" si="59"/>
        <v>test.ImageData_15_</v>
      </c>
      <c r="D415">
        <v>3</v>
      </c>
      <c r="E415" s="4">
        <v>8.4210526315789472E-3</v>
      </c>
      <c r="F415" s="4">
        <v>5.0040273862263389E-2</v>
      </c>
      <c r="G415" s="4">
        <f t="shared" si="60"/>
        <v>8.4210526315789472E-3</v>
      </c>
      <c r="H415" s="4" t="str">
        <f t="shared" si="61"/>
        <v/>
      </c>
      <c r="I415" s="4" t="str">
        <f t="shared" si="62"/>
        <v/>
      </c>
      <c r="J415" s="4" t="str">
        <f t="shared" si="63"/>
        <v/>
      </c>
      <c r="K415" s="4" t="str">
        <f t="shared" si="64"/>
        <v/>
      </c>
      <c r="L415" s="4" t="str">
        <f t="shared" si="65"/>
        <v/>
      </c>
      <c r="M415" s="4"/>
      <c r="N415" s="4"/>
      <c r="O415" s="4"/>
      <c r="P415" s="4"/>
      <c r="Q415" s="4"/>
      <c r="R415" s="4"/>
      <c r="S415" s="4"/>
      <c r="T415" s="4"/>
      <c r="U415" s="4"/>
    </row>
    <row r="416" spans="1:21">
      <c r="A416" t="s">
        <v>225</v>
      </c>
      <c r="B416">
        <v>15</v>
      </c>
      <c r="C416" t="str">
        <f t="shared" si="59"/>
        <v>test.ImageData_15_</v>
      </c>
      <c r="D416">
        <v>4</v>
      </c>
      <c r="E416" s="4">
        <v>1</v>
      </c>
      <c r="F416" s="4">
        <v>0.98086991542488922</v>
      </c>
      <c r="G416" s="4" t="str">
        <f t="shared" si="60"/>
        <v/>
      </c>
      <c r="H416" s="4" t="str">
        <f t="shared" si="61"/>
        <v/>
      </c>
      <c r="I416" s="4" t="str">
        <f t="shared" si="62"/>
        <v/>
      </c>
      <c r="J416" s="4" t="str">
        <f t="shared" si="63"/>
        <v/>
      </c>
      <c r="K416" s="4">
        <f t="shared" si="64"/>
        <v>1</v>
      </c>
      <c r="L416" s="4" t="str">
        <f t="shared" si="65"/>
        <v/>
      </c>
      <c r="M416" s="4"/>
      <c r="N416" s="4"/>
      <c r="O416" s="4"/>
      <c r="P416" s="4"/>
      <c r="Q416" s="4"/>
      <c r="R416" s="4"/>
      <c r="S416" s="4"/>
      <c r="T416" s="4"/>
      <c r="U416" s="4"/>
    </row>
    <row r="417" spans="1:21">
      <c r="A417" t="s">
        <v>225</v>
      </c>
      <c r="B417">
        <v>16</v>
      </c>
      <c r="C417" t="str">
        <f t="shared" si="59"/>
        <v>test.ImageData_16_</v>
      </c>
      <c r="D417">
        <v>1</v>
      </c>
      <c r="E417" s="4">
        <v>1.6474464579901153E-3</v>
      </c>
      <c r="F417" s="4">
        <v>2.712067883550244E-2</v>
      </c>
      <c r="G417" s="4">
        <f t="shared" si="60"/>
        <v>1.6474464579901153E-3</v>
      </c>
      <c r="H417" s="4" t="str">
        <f t="shared" si="61"/>
        <v/>
      </c>
      <c r="I417" s="4" t="str">
        <f t="shared" si="62"/>
        <v/>
      </c>
      <c r="J417" s="4" t="str">
        <f t="shared" si="63"/>
        <v/>
      </c>
      <c r="K417" s="4" t="str">
        <f t="shared" si="64"/>
        <v/>
      </c>
      <c r="L417" s="4" t="str">
        <f t="shared" si="65"/>
        <v/>
      </c>
      <c r="M417" s="4"/>
      <c r="N417" s="4"/>
      <c r="O417" s="4"/>
      <c r="P417" s="4"/>
      <c r="Q417" s="4"/>
      <c r="R417" s="4"/>
      <c r="S417" s="4"/>
      <c r="T417" s="4"/>
      <c r="U417" s="4"/>
    </row>
    <row r="418" spans="1:21">
      <c r="A418" t="s">
        <v>225</v>
      </c>
      <c r="B418">
        <v>16</v>
      </c>
      <c r="C418" t="str">
        <f t="shared" si="59"/>
        <v>test.ImageData_16_</v>
      </c>
      <c r="D418">
        <v>2</v>
      </c>
      <c r="E418" s="4">
        <v>4.9423393739703456E-3</v>
      </c>
      <c r="F418" s="4">
        <v>3.0613080134239176E-2</v>
      </c>
      <c r="G418" s="4">
        <f t="shared" si="60"/>
        <v>4.9423393739703456E-3</v>
      </c>
      <c r="H418" s="4" t="str">
        <f t="shared" si="61"/>
        <v/>
      </c>
      <c r="I418" s="4" t="str">
        <f t="shared" si="62"/>
        <v/>
      </c>
      <c r="J418" s="4" t="str">
        <f t="shared" si="63"/>
        <v/>
      </c>
      <c r="K418" s="4" t="str">
        <f t="shared" si="64"/>
        <v/>
      </c>
      <c r="L418" s="4" t="str">
        <f t="shared" si="65"/>
        <v/>
      </c>
      <c r="M418" s="4"/>
      <c r="N418" s="4"/>
      <c r="O418" s="4"/>
      <c r="P418" s="4"/>
      <c r="Q418" s="4"/>
      <c r="R418" s="4"/>
      <c r="S418" s="4"/>
      <c r="T418" s="4"/>
      <c r="U418" s="4"/>
    </row>
    <row r="419" spans="1:21">
      <c r="A419" t="s">
        <v>225</v>
      </c>
      <c r="B419">
        <v>16</v>
      </c>
      <c r="C419" t="str">
        <f t="shared" si="59"/>
        <v>test.ImageData_16_</v>
      </c>
      <c r="D419">
        <v>3</v>
      </c>
      <c r="E419" s="4">
        <v>8.2372322899505763E-3</v>
      </c>
      <c r="F419" s="4">
        <v>3.1431611688630595E-2</v>
      </c>
      <c r="G419" s="4">
        <f t="shared" si="60"/>
        <v>8.2372322899505763E-3</v>
      </c>
      <c r="H419" s="4" t="str">
        <f t="shared" si="61"/>
        <v/>
      </c>
      <c r="I419" s="4" t="str">
        <f t="shared" si="62"/>
        <v/>
      </c>
      <c r="J419" s="4" t="str">
        <f t="shared" si="63"/>
        <v/>
      </c>
      <c r="K419" s="4" t="str">
        <f t="shared" si="64"/>
        <v/>
      </c>
      <c r="L419" s="4" t="str">
        <f t="shared" si="65"/>
        <v/>
      </c>
      <c r="M419" s="4"/>
      <c r="N419" s="4"/>
      <c r="O419" s="4"/>
      <c r="P419" s="4"/>
      <c r="Q419" s="4"/>
      <c r="R419" s="4"/>
      <c r="S419" s="4"/>
      <c r="T419" s="4"/>
      <c r="U419" s="4"/>
    </row>
    <row r="420" spans="1:21">
      <c r="A420" t="s">
        <v>225</v>
      </c>
      <c r="B420">
        <v>16</v>
      </c>
      <c r="C420" t="str">
        <f t="shared" si="59"/>
        <v>test.ImageData_16_</v>
      </c>
      <c r="D420">
        <v>4</v>
      </c>
      <c r="E420" s="4">
        <v>1</v>
      </c>
      <c r="F420" s="4">
        <v>0.98008239884314208</v>
      </c>
      <c r="G420" s="4" t="str">
        <f t="shared" si="60"/>
        <v/>
      </c>
      <c r="H420" s="4" t="str">
        <f t="shared" si="61"/>
        <v/>
      </c>
      <c r="I420" s="4" t="str">
        <f t="shared" si="62"/>
        <v/>
      </c>
      <c r="J420" s="4" t="str">
        <f t="shared" si="63"/>
        <v/>
      </c>
      <c r="K420" s="4">
        <f t="shared" si="64"/>
        <v>1</v>
      </c>
      <c r="L420" s="4" t="str">
        <f t="shared" si="65"/>
        <v/>
      </c>
      <c r="M420" s="4"/>
      <c r="N420" s="4"/>
      <c r="O420" s="4"/>
      <c r="P420" s="4"/>
      <c r="Q420" s="4"/>
      <c r="R420" s="4"/>
      <c r="S420" s="4"/>
      <c r="T420" s="4"/>
      <c r="U420" s="4"/>
    </row>
    <row r="421" spans="1:21">
      <c r="A421" t="s">
        <v>225</v>
      </c>
      <c r="B421">
        <v>20</v>
      </c>
      <c r="C421" t="str">
        <f t="shared" si="59"/>
        <v>test.ImageData_20_</v>
      </c>
      <c r="D421">
        <v>1</v>
      </c>
      <c r="E421" s="4">
        <v>0.59259259259259256</v>
      </c>
      <c r="F421" s="4">
        <v>0.53751600512163888</v>
      </c>
      <c r="G421" s="4" t="str">
        <f t="shared" si="60"/>
        <v/>
      </c>
      <c r="H421" s="4" t="str">
        <f t="shared" si="61"/>
        <v/>
      </c>
      <c r="I421" s="4">
        <f t="shared" si="62"/>
        <v>0.59259259259259256</v>
      </c>
      <c r="J421" s="4" t="str">
        <f t="shared" si="63"/>
        <v/>
      </c>
      <c r="K421" s="4" t="str">
        <f t="shared" si="64"/>
        <v/>
      </c>
      <c r="L421" s="4" t="str">
        <f t="shared" si="65"/>
        <v/>
      </c>
      <c r="M421" s="4"/>
      <c r="N421" s="4"/>
      <c r="O421" s="4"/>
      <c r="P421" s="4"/>
      <c r="Q421" s="4"/>
      <c r="R421" s="4"/>
      <c r="S421" s="4"/>
      <c r="T421" s="4"/>
      <c r="U421" s="4"/>
    </row>
    <row r="422" spans="1:21">
      <c r="A422" t="s">
        <v>225</v>
      </c>
      <c r="B422">
        <v>20</v>
      </c>
      <c r="C422" t="str">
        <f t="shared" si="59"/>
        <v>test.ImageData_20_</v>
      </c>
      <c r="D422">
        <v>2</v>
      </c>
      <c r="E422" s="4">
        <v>1</v>
      </c>
      <c r="F422" s="4">
        <v>0.5551856594110115</v>
      </c>
      <c r="G422" s="4" t="str">
        <f t="shared" si="60"/>
        <v/>
      </c>
      <c r="H422" s="4" t="str">
        <f t="shared" si="61"/>
        <v/>
      </c>
      <c r="I422" s="4">
        <f t="shared" si="62"/>
        <v>1</v>
      </c>
      <c r="J422" s="4" t="str">
        <f t="shared" si="63"/>
        <v/>
      </c>
      <c r="K422" s="4" t="str">
        <f t="shared" si="64"/>
        <v/>
      </c>
      <c r="L422" s="4" t="str">
        <f t="shared" si="65"/>
        <v/>
      </c>
      <c r="M422" s="4"/>
      <c r="N422" s="4"/>
      <c r="O422" s="4"/>
      <c r="P422" s="4"/>
      <c r="Q422" s="4"/>
      <c r="R422" s="4"/>
      <c r="S422" s="4"/>
      <c r="T422" s="4"/>
      <c r="U422" s="4"/>
    </row>
    <row r="423" spans="1:21">
      <c r="A423" t="s">
        <v>225</v>
      </c>
      <c r="B423">
        <v>21</v>
      </c>
      <c r="C423" t="str">
        <f t="shared" si="59"/>
        <v>test.ImageData_21_</v>
      </c>
      <c r="D423">
        <v>1</v>
      </c>
      <c r="E423" s="4">
        <v>0.54385964912280704</v>
      </c>
      <c r="F423" s="4">
        <v>0.51263838228706726</v>
      </c>
      <c r="G423" s="4" t="str">
        <f t="shared" si="60"/>
        <v/>
      </c>
      <c r="H423" s="4" t="str">
        <f t="shared" si="61"/>
        <v/>
      </c>
      <c r="I423" s="4">
        <f t="shared" si="62"/>
        <v>0.54385964912280704</v>
      </c>
      <c r="J423" s="4" t="str">
        <f t="shared" si="63"/>
        <v/>
      </c>
      <c r="K423" s="4" t="str">
        <f t="shared" si="64"/>
        <v/>
      </c>
      <c r="L423" s="4" t="str">
        <f t="shared" si="65"/>
        <v/>
      </c>
      <c r="M423" s="4"/>
      <c r="N423" s="4"/>
      <c r="O423" s="4"/>
      <c r="P423" s="4"/>
      <c r="Q423" s="4"/>
      <c r="R423" s="4"/>
      <c r="S423" s="4"/>
      <c r="T423" s="4"/>
      <c r="U423" s="4"/>
    </row>
    <row r="424" spans="1:21">
      <c r="A424" t="s">
        <v>225</v>
      </c>
      <c r="B424">
        <v>21</v>
      </c>
      <c r="C424" t="str">
        <f t="shared" si="59"/>
        <v>test.ImageData_21_</v>
      </c>
      <c r="D424">
        <v>2</v>
      </c>
      <c r="E424" s="4">
        <v>1</v>
      </c>
      <c r="F424" s="4">
        <v>0.5155180136942471</v>
      </c>
      <c r="G424" s="4" t="str">
        <f t="shared" si="60"/>
        <v/>
      </c>
      <c r="H424" s="4" t="str">
        <f t="shared" si="61"/>
        <v/>
      </c>
      <c r="I424" s="4">
        <f t="shared" si="62"/>
        <v>1</v>
      </c>
      <c r="J424" s="4" t="str">
        <f t="shared" si="63"/>
        <v/>
      </c>
      <c r="K424" s="4" t="str">
        <f t="shared" si="64"/>
        <v/>
      </c>
      <c r="L424" s="4" t="str">
        <f t="shared" si="65"/>
        <v/>
      </c>
      <c r="M424" s="4"/>
      <c r="N424" s="4"/>
      <c r="O424" s="4"/>
      <c r="P424" s="4"/>
      <c r="Q424" s="4"/>
      <c r="R424" s="4"/>
      <c r="S424" s="4"/>
      <c r="T424" s="4"/>
      <c r="U424" s="4"/>
    </row>
    <row r="425" spans="1:21">
      <c r="A425" t="s">
        <v>226</v>
      </c>
      <c r="B425">
        <v>2</v>
      </c>
      <c r="C425" t="str">
        <f t="shared" si="59"/>
        <v>test.MapViewer_2_</v>
      </c>
      <c r="D425">
        <v>1</v>
      </c>
      <c r="E425" s="4">
        <v>0.74603174603174605</v>
      </c>
      <c r="F425" s="4">
        <v>0.58735824074607101</v>
      </c>
      <c r="G425" s="4" t="str">
        <f t="shared" si="60"/>
        <v/>
      </c>
      <c r="H425" s="4" t="str">
        <f t="shared" si="61"/>
        <v/>
      </c>
      <c r="I425" s="4">
        <f t="shared" si="62"/>
        <v>0.74603174603174605</v>
      </c>
      <c r="J425" s="4" t="str">
        <f t="shared" si="63"/>
        <v/>
      </c>
      <c r="K425" s="4" t="str">
        <f t="shared" si="64"/>
        <v/>
      </c>
      <c r="L425" s="4" t="str">
        <f t="shared" si="65"/>
        <v/>
      </c>
      <c r="M425" s="4"/>
      <c r="N425" s="4"/>
      <c r="O425" s="4"/>
      <c r="P425" s="4"/>
      <c r="Q425" s="4"/>
      <c r="R425" s="4"/>
      <c r="S425" s="4"/>
      <c r="T425" s="4"/>
      <c r="U425" s="4"/>
    </row>
    <row r="426" spans="1:21">
      <c r="A426" t="s">
        <v>226</v>
      </c>
      <c r="B426">
        <v>3</v>
      </c>
      <c r="C426" t="str">
        <f t="shared" si="59"/>
        <v>test.MapViewer_3_</v>
      </c>
      <c r="D426">
        <v>2</v>
      </c>
      <c r="E426" s="4">
        <v>0.20408163265306123</v>
      </c>
      <c r="F426" s="4">
        <v>0.14488621900931631</v>
      </c>
      <c r="G426" s="4">
        <f t="shared" si="60"/>
        <v>0.20408163265306123</v>
      </c>
      <c r="H426" s="4" t="str">
        <f t="shared" si="61"/>
        <v/>
      </c>
      <c r="I426" s="4" t="str">
        <f t="shared" si="62"/>
        <v/>
      </c>
      <c r="J426" s="4" t="str">
        <f t="shared" si="63"/>
        <v/>
      </c>
      <c r="K426" s="4" t="str">
        <f t="shared" si="64"/>
        <v/>
      </c>
      <c r="L426" s="4" t="str">
        <f t="shared" si="65"/>
        <v/>
      </c>
      <c r="M426" s="4"/>
      <c r="N426" s="4"/>
      <c r="O426" s="4"/>
      <c r="P426" s="4"/>
      <c r="Q426" s="4"/>
      <c r="R426" s="4"/>
      <c r="S426" s="4"/>
      <c r="T426" s="4"/>
      <c r="U426" s="4"/>
    </row>
    <row r="427" spans="1:21">
      <c r="A427" t="s">
        <v>226</v>
      </c>
      <c r="B427">
        <v>3</v>
      </c>
      <c r="C427" t="str">
        <f t="shared" si="59"/>
        <v>test.MapViewer_3_</v>
      </c>
      <c r="D427">
        <v>3</v>
      </c>
      <c r="E427" s="4">
        <v>0.30612244897959184</v>
      </c>
      <c r="F427" s="4">
        <v>0.20549305095962939</v>
      </c>
      <c r="G427" s="4" t="str">
        <f t="shared" si="60"/>
        <v/>
      </c>
      <c r="H427" s="4">
        <f t="shared" si="61"/>
        <v>0.30612244897959184</v>
      </c>
      <c r="I427" s="4" t="str">
        <f t="shared" si="62"/>
        <v/>
      </c>
      <c r="J427" s="4" t="str">
        <f t="shared" si="63"/>
        <v/>
      </c>
      <c r="K427" s="4" t="str">
        <f t="shared" si="64"/>
        <v/>
      </c>
      <c r="L427" s="4" t="str">
        <f t="shared" si="65"/>
        <v/>
      </c>
      <c r="M427" s="4"/>
      <c r="N427" s="4"/>
      <c r="O427" s="4"/>
      <c r="P427" s="4"/>
      <c r="Q427" s="4"/>
      <c r="R427" s="4"/>
      <c r="S427" s="4"/>
      <c r="T427" s="4"/>
      <c r="U427" s="4"/>
    </row>
    <row r="428" spans="1:21">
      <c r="A428" t="s">
        <v>226</v>
      </c>
      <c r="B428">
        <v>3</v>
      </c>
      <c r="C428" t="str">
        <f t="shared" si="59"/>
        <v>test.MapViewer_3_</v>
      </c>
      <c r="D428">
        <v>4</v>
      </c>
      <c r="E428" s="4">
        <v>0.34693877551020408</v>
      </c>
      <c r="F428" s="4">
        <v>0.261849004734511</v>
      </c>
      <c r="G428" s="4" t="str">
        <f t="shared" si="60"/>
        <v/>
      </c>
      <c r="H428" s="4">
        <f t="shared" si="61"/>
        <v>0.34693877551020408</v>
      </c>
      <c r="I428" s="4" t="str">
        <f t="shared" si="62"/>
        <v/>
      </c>
      <c r="J428" s="4" t="str">
        <f t="shared" si="63"/>
        <v/>
      </c>
      <c r="K428" s="4" t="str">
        <f t="shared" si="64"/>
        <v/>
      </c>
      <c r="L428" s="4" t="str">
        <f t="shared" si="65"/>
        <v/>
      </c>
      <c r="M428" s="4"/>
      <c r="N428" s="4"/>
      <c r="O428" s="4"/>
      <c r="P428" s="4"/>
      <c r="Q428" s="4"/>
      <c r="R428" s="4"/>
      <c r="S428" s="4"/>
      <c r="T428" s="4"/>
      <c r="U428" s="4"/>
    </row>
    <row r="429" spans="1:21">
      <c r="A429" t="s">
        <v>226</v>
      </c>
      <c r="B429">
        <v>3</v>
      </c>
      <c r="C429" t="str">
        <f t="shared" si="59"/>
        <v>test.MapViewer_3_</v>
      </c>
      <c r="D429">
        <v>5</v>
      </c>
      <c r="E429" s="4">
        <v>1</v>
      </c>
      <c r="F429" s="4">
        <v>0.92442600417451515</v>
      </c>
      <c r="G429" s="4" t="str">
        <f t="shared" si="60"/>
        <v/>
      </c>
      <c r="H429" s="4" t="str">
        <f t="shared" si="61"/>
        <v/>
      </c>
      <c r="I429" s="4" t="str">
        <f t="shared" si="62"/>
        <v/>
      </c>
      <c r="J429" s="4" t="str">
        <f t="shared" si="63"/>
        <v/>
      </c>
      <c r="K429" s="4">
        <f t="shared" si="64"/>
        <v>1</v>
      </c>
      <c r="L429" s="4" t="str">
        <f t="shared" si="65"/>
        <v/>
      </c>
      <c r="M429" s="4"/>
      <c r="N429" s="4"/>
      <c r="O429" s="4"/>
      <c r="P429" s="4"/>
      <c r="Q429" s="4"/>
      <c r="R429" s="4"/>
      <c r="S429" s="4"/>
      <c r="T429" s="4"/>
      <c r="U429" s="4"/>
    </row>
    <row r="430" spans="1:21">
      <c r="A430" t="s">
        <v>226</v>
      </c>
      <c r="B430">
        <v>3</v>
      </c>
      <c r="C430" t="str">
        <f t="shared" si="59"/>
        <v>test.MapViewer_3_</v>
      </c>
      <c r="D430">
        <v>6</v>
      </c>
      <c r="E430" s="4">
        <v>1</v>
      </c>
      <c r="F430" s="4">
        <v>1.0061854095606577</v>
      </c>
      <c r="G430" s="4" t="str">
        <f t="shared" si="60"/>
        <v/>
      </c>
      <c r="H430" s="4" t="str">
        <f t="shared" si="61"/>
        <v/>
      </c>
      <c r="I430" s="4" t="str">
        <f t="shared" si="62"/>
        <v/>
      </c>
      <c r="J430" s="4" t="str">
        <f t="shared" si="63"/>
        <v/>
      </c>
      <c r="K430" s="4">
        <f t="shared" si="64"/>
        <v>1</v>
      </c>
      <c r="L430" s="4" t="str">
        <f t="shared" si="65"/>
        <v/>
      </c>
      <c r="M430" s="4"/>
      <c r="N430" s="4"/>
      <c r="O430" s="4"/>
      <c r="P430" s="4"/>
      <c r="Q430" s="4"/>
      <c r="R430" s="4"/>
      <c r="S430" s="4"/>
      <c r="T430" s="4"/>
      <c r="U430" s="4"/>
    </row>
    <row r="431" spans="1:21">
      <c r="A431" t="s">
        <v>227</v>
      </c>
      <c r="B431">
        <v>0</v>
      </c>
      <c r="C431" t="str">
        <f t="shared" si="59"/>
        <v>test.QRCodeDataBlockReader_0_</v>
      </c>
      <c r="D431">
        <v>1</v>
      </c>
      <c r="E431" s="4">
        <v>0.1</v>
      </c>
      <c r="F431" s="4">
        <v>0.52747252747252749</v>
      </c>
      <c r="G431" s="4" t="str">
        <f t="shared" si="60"/>
        <v/>
      </c>
      <c r="H431" s="4" t="str">
        <f t="shared" si="61"/>
        <v/>
      </c>
      <c r="I431" s="4">
        <f t="shared" si="62"/>
        <v>0.1</v>
      </c>
      <c r="J431" s="4" t="str">
        <f t="shared" si="63"/>
        <v/>
      </c>
      <c r="K431" s="4" t="str">
        <f t="shared" si="64"/>
        <v/>
      </c>
      <c r="L431" s="4" t="str">
        <f t="shared" si="65"/>
        <v/>
      </c>
      <c r="M431" s="4"/>
      <c r="N431" s="4"/>
      <c r="O431" s="4"/>
      <c r="P431" s="4"/>
      <c r="Q431" s="4"/>
      <c r="R431" s="4"/>
      <c r="S431" s="4"/>
      <c r="T431" s="4"/>
      <c r="U431" s="4"/>
    </row>
    <row r="432" spans="1:21">
      <c r="A432" t="s">
        <v>227</v>
      </c>
      <c r="B432">
        <v>0</v>
      </c>
      <c r="C432" t="str">
        <f t="shared" si="59"/>
        <v>test.QRCodeDataBlockReader_0_</v>
      </c>
      <c r="D432">
        <v>2</v>
      </c>
      <c r="E432" s="4">
        <v>0.4</v>
      </c>
      <c r="F432" s="4">
        <v>0.73076923076923073</v>
      </c>
      <c r="G432" s="4" t="str">
        <f t="shared" si="60"/>
        <v/>
      </c>
      <c r="H432" s="4" t="str">
        <f t="shared" si="61"/>
        <v/>
      </c>
      <c r="I432" s="4" t="str">
        <f t="shared" si="62"/>
        <v/>
      </c>
      <c r="J432" s="4">
        <f t="shared" si="63"/>
        <v>0.4</v>
      </c>
      <c r="K432" s="4" t="str">
        <f t="shared" si="64"/>
        <v/>
      </c>
      <c r="L432" s="4" t="str">
        <f t="shared" si="65"/>
        <v/>
      </c>
      <c r="M432" s="4"/>
      <c r="N432" s="4"/>
      <c r="O432" s="4"/>
      <c r="P432" s="4"/>
      <c r="Q432" s="4"/>
      <c r="R432" s="4"/>
      <c r="S432" s="4"/>
      <c r="T432" s="4"/>
      <c r="U432" s="4"/>
    </row>
    <row r="433" spans="1:21">
      <c r="A433" t="s">
        <v>227</v>
      </c>
      <c r="B433">
        <v>0</v>
      </c>
      <c r="C433" t="str">
        <f t="shared" si="59"/>
        <v>test.QRCodeDataBlockReader_0_</v>
      </c>
      <c r="D433">
        <v>3</v>
      </c>
      <c r="E433" s="4">
        <v>0.6</v>
      </c>
      <c r="F433" s="4">
        <v>0.78021978021978022</v>
      </c>
      <c r="G433" s="4" t="str">
        <f t="shared" si="60"/>
        <v/>
      </c>
      <c r="H433" s="4" t="str">
        <f t="shared" si="61"/>
        <v/>
      </c>
      <c r="I433" s="4" t="str">
        <f t="shared" si="62"/>
        <v/>
      </c>
      <c r="J433" s="4">
        <f t="shared" si="63"/>
        <v>0.6</v>
      </c>
      <c r="K433" s="4" t="str">
        <f t="shared" si="64"/>
        <v/>
      </c>
      <c r="L433" s="4" t="str">
        <f t="shared" si="65"/>
        <v/>
      </c>
      <c r="M433" s="4"/>
      <c r="N433" s="4"/>
      <c r="O433" s="4"/>
      <c r="P433" s="4"/>
      <c r="Q433" s="4"/>
      <c r="R433" s="4"/>
      <c r="S433" s="4"/>
      <c r="T433" s="4"/>
      <c r="U433" s="4"/>
    </row>
    <row r="434" spans="1:21">
      <c r="A434" t="s">
        <v>227</v>
      </c>
      <c r="B434">
        <v>0</v>
      </c>
      <c r="C434" t="str">
        <f t="shared" si="59"/>
        <v>test.QRCodeDataBlockReader_0_</v>
      </c>
      <c r="D434">
        <v>4</v>
      </c>
      <c r="E434" s="4">
        <v>1</v>
      </c>
      <c r="F434" s="4">
        <v>0.99450549450549453</v>
      </c>
      <c r="G434" s="4" t="str">
        <f t="shared" si="60"/>
        <v/>
      </c>
      <c r="H434" s="4" t="str">
        <f t="shared" si="61"/>
        <v/>
      </c>
      <c r="I434" s="4" t="str">
        <f t="shared" si="62"/>
        <v/>
      </c>
      <c r="J434" s="4" t="str">
        <f t="shared" si="63"/>
        <v/>
      </c>
      <c r="K434" s="4">
        <f t="shared" si="64"/>
        <v>1</v>
      </c>
      <c r="L434" s="4" t="str">
        <f t="shared" si="65"/>
        <v/>
      </c>
      <c r="M434" s="4"/>
      <c r="N434" s="4"/>
      <c r="O434" s="4"/>
      <c r="P434" s="4"/>
      <c r="Q434" s="4"/>
      <c r="R434" s="4"/>
      <c r="S434" s="4"/>
      <c r="T434" s="4"/>
      <c r="U434" s="4"/>
    </row>
    <row r="435" spans="1:21">
      <c r="A435" t="s">
        <v>227</v>
      </c>
      <c r="B435">
        <v>1</v>
      </c>
      <c r="C435" t="str">
        <f t="shared" si="59"/>
        <v>test.QRCodeDataBlockReader_1_</v>
      </c>
      <c r="D435">
        <v>1</v>
      </c>
      <c r="E435" s="4">
        <v>9.7345132743362831E-2</v>
      </c>
      <c r="F435" s="4">
        <v>8.318789994182664E-2</v>
      </c>
      <c r="G435" s="4">
        <f t="shared" si="60"/>
        <v>9.7345132743362831E-2</v>
      </c>
      <c r="H435" s="4" t="str">
        <f t="shared" si="61"/>
        <v/>
      </c>
      <c r="I435" s="4" t="str">
        <f t="shared" si="62"/>
        <v/>
      </c>
      <c r="J435" s="4" t="str">
        <f t="shared" si="63"/>
        <v/>
      </c>
      <c r="K435" s="4" t="str">
        <f t="shared" si="64"/>
        <v/>
      </c>
      <c r="L435" s="4" t="str">
        <f t="shared" si="65"/>
        <v/>
      </c>
      <c r="M435" s="4"/>
      <c r="N435" s="4"/>
      <c r="O435" s="4"/>
      <c r="P435" s="4"/>
      <c r="Q435" s="4"/>
      <c r="R435" s="4"/>
      <c r="S435" s="4"/>
      <c r="T435" s="4"/>
      <c r="U435" s="4"/>
    </row>
    <row r="436" spans="1:21">
      <c r="A436" t="s">
        <v>227</v>
      </c>
      <c r="B436">
        <v>1</v>
      </c>
      <c r="C436" t="str">
        <f t="shared" si="59"/>
        <v>test.QRCodeDataBlockReader_1_</v>
      </c>
      <c r="D436">
        <v>2</v>
      </c>
      <c r="E436" s="4">
        <v>0.26548672566371684</v>
      </c>
      <c r="F436" s="4">
        <v>0.19740159007174715</v>
      </c>
      <c r="G436" s="4">
        <f t="shared" si="60"/>
        <v>0.26548672566371684</v>
      </c>
      <c r="H436" s="4" t="str">
        <f t="shared" si="61"/>
        <v/>
      </c>
      <c r="I436" s="4" t="str">
        <f t="shared" si="62"/>
        <v/>
      </c>
      <c r="J436" s="4" t="str">
        <f t="shared" si="63"/>
        <v/>
      </c>
      <c r="K436" s="4" t="str">
        <f t="shared" si="64"/>
        <v/>
      </c>
      <c r="L436" s="4" t="str">
        <f t="shared" si="65"/>
        <v/>
      </c>
      <c r="M436" s="4"/>
      <c r="N436" s="4"/>
      <c r="O436" s="4"/>
      <c r="P436" s="4"/>
      <c r="Q436" s="4"/>
      <c r="R436" s="4"/>
      <c r="S436" s="4"/>
      <c r="T436" s="4"/>
      <c r="U436" s="4"/>
    </row>
    <row r="437" spans="1:21">
      <c r="A437" t="s">
        <v>227</v>
      </c>
      <c r="B437">
        <v>1</v>
      </c>
      <c r="C437" t="str">
        <f t="shared" si="59"/>
        <v>test.QRCodeDataBlockReader_1_</v>
      </c>
      <c r="D437">
        <v>3</v>
      </c>
      <c r="E437" s="4">
        <v>0.51327433628318586</v>
      </c>
      <c r="F437" s="4">
        <v>0.28233469071165407</v>
      </c>
      <c r="G437" s="4" t="str">
        <f t="shared" si="60"/>
        <v/>
      </c>
      <c r="H437" s="4">
        <f t="shared" si="61"/>
        <v>0.51327433628318586</v>
      </c>
      <c r="I437" s="4" t="str">
        <f t="shared" si="62"/>
        <v/>
      </c>
      <c r="J437" s="4" t="str">
        <f t="shared" si="63"/>
        <v/>
      </c>
      <c r="K437" s="4" t="str">
        <f t="shared" si="64"/>
        <v/>
      </c>
      <c r="L437" s="4" t="str">
        <f t="shared" si="65"/>
        <v/>
      </c>
      <c r="M437" s="4"/>
      <c r="N437" s="4"/>
      <c r="O437" s="4"/>
      <c r="P437" s="4"/>
      <c r="Q437" s="4"/>
      <c r="R437" s="4"/>
      <c r="S437" s="4"/>
      <c r="T437" s="4"/>
      <c r="U437" s="4"/>
    </row>
    <row r="438" spans="1:21">
      <c r="A438" t="s">
        <v>227</v>
      </c>
      <c r="B438">
        <v>1</v>
      </c>
      <c r="C438" t="str">
        <f t="shared" si="59"/>
        <v>test.QRCodeDataBlockReader_1_</v>
      </c>
      <c r="D438">
        <v>4</v>
      </c>
      <c r="E438" s="4">
        <v>1</v>
      </c>
      <c r="F438" s="4">
        <v>0.59773123909249559</v>
      </c>
      <c r="G438" s="4" t="str">
        <f t="shared" si="60"/>
        <v/>
      </c>
      <c r="H438" s="4" t="str">
        <f t="shared" si="61"/>
        <v/>
      </c>
      <c r="I438" s="4">
        <f t="shared" si="62"/>
        <v>1</v>
      </c>
      <c r="J438" s="4" t="str">
        <f t="shared" si="63"/>
        <v/>
      </c>
      <c r="K438" s="4" t="str">
        <f t="shared" si="64"/>
        <v/>
      </c>
      <c r="L438" s="4" t="str">
        <f t="shared" si="65"/>
        <v/>
      </c>
      <c r="M438" s="4"/>
      <c r="N438" s="4"/>
      <c r="O438" s="4"/>
      <c r="P438" s="4"/>
      <c r="Q438" s="4"/>
      <c r="R438" s="4"/>
      <c r="S438" s="4"/>
      <c r="T438" s="4"/>
      <c r="U438" s="4"/>
    </row>
    <row r="439" spans="1:21">
      <c r="A439" t="s">
        <v>228</v>
      </c>
      <c r="B439">
        <v>1</v>
      </c>
      <c r="C439" t="str">
        <f t="shared" si="59"/>
        <v>test.StructurePanel_1_</v>
      </c>
      <c r="D439">
        <v>1</v>
      </c>
      <c r="E439" s="4">
        <v>0.10638297872340426</v>
      </c>
      <c r="F439" s="4">
        <v>0.10911548860563924</v>
      </c>
      <c r="G439" s="4">
        <f t="shared" si="60"/>
        <v>0.10638297872340426</v>
      </c>
      <c r="H439" s="4" t="str">
        <f t="shared" si="61"/>
        <v/>
      </c>
      <c r="I439" s="4" t="str">
        <f t="shared" si="62"/>
        <v/>
      </c>
      <c r="J439" s="4" t="str">
        <f t="shared" si="63"/>
        <v/>
      </c>
      <c r="K439" s="4" t="str">
        <f t="shared" si="64"/>
        <v/>
      </c>
      <c r="L439" s="4" t="str">
        <f t="shared" si="65"/>
        <v/>
      </c>
      <c r="M439" s="4"/>
      <c r="N439" s="4"/>
      <c r="O439" s="4"/>
      <c r="P439" s="4"/>
      <c r="Q439" s="4"/>
      <c r="R439" s="4"/>
      <c r="S439" s="4"/>
      <c r="T439" s="4"/>
      <c r="U439" s="4"/>
    </row>
    <row r="440" spans="1:21">
      <c r="A440" t="s">
        <v>228</v>
      </c>
      <c r="B440">
        <v>1</v>
      </c>
      <c r="C440" t="str">
        <f t="shared" si="59"/>
        <v>test.StructurePanel_1_</v>
      </c>
      <c r="D440">
        <v>2</v>
      </c>
      <c r="E440" s="4">
        <v>0.18085106382978725</v>
      </c>
      <c r="F440" s="4">
        <v>0.1096948628814214</v>
      </c>
      <c r="G440" s="4">
        <f t="shared" si="60"/>
        <v>0.18085106382978725</v>
      </c>
      <c r="H440" s="4" t="str">
        <f t="shared" si="61"/>
        <v/>
      </c>
      <c r="I440" s="4" t="str">
        <f t="shared" si="62"/>
        <v/>
      </c>
      <c r="J440" s="4" t="str">
        <f t="shared" si="63"/>
        <v/>
      </c>
      <c r="K440" s="4" t="str">
        <f t="shared" si="64"/>
        <v/>
      </c>
      <c r="L440" s="4" t="str">
        <f t="shared" si="65"/>
        <v/>
      </c>
      <c r="M440" s="4"/>
      <c r="N440" s="4"/>
      <c r="O440" s="4"/>
      <c r="P440" s="4"/>
      <c r="Q440" s="4"/>
      <c r="R440" s="4"/>
      <c r="S440" s="4"/>
      <c r="T440" s="4"/>
      <c r="U440" s="4"/>
    </row>
    <row r="441" spans="1:21">
      <c r="A441" t="s">
        <v>228</v>
      </c>
      <c r="B441">
        <v>1</v>
      </c>
      <c r="C441" t="str">
        <f t="shared" si="59"/>
        <v>test.StructurePanel_1_</v>
      </c>
      <c r="D441">
        <v>3</v>
      </c>
      <c r="E441" s="4">
        <v>0.2978723404255319</v>
      </c>
      <c r="F441" s="4">
        <v>0.22286597141753572</v>
      </c>
      <c r="G441" s="4" t="str">
        <f t="shared" si="60"/>
        <v/>
      </c>
      <c r="H441" s="4">
        <f t="shared" si="61"/>
        <v>0.2978723404255319</v>
      </c>
      <c r="I441" s="4" t="str">
        <f t="shared" si="62"/>
        <v/>
      </c>
      <c r="J441" s="4" t="str">
        <f t="shared" si="63"/>
        <v/>
      </c>
      <c r="K441" s="4" t="str">
        <f t="shared" si="64"/>
        <v/>
      </c>
      <c r="L441" s="4" t="str">
        <f t="shared" si="65"/>
        <v/>
      </c>
      <c r="M441" s="4"/>
      <c r="N441" s="4"/>
      <c r="O441" s="4"/>
      <c r="P441" s="4"/>
      <c r="Q441" s="4"/>
      <c r="R441" s="4"/>
      <c r="S441" s="4"/>
      <c r="T441" s="4"/>
      <c r="U441" s="4"/>
    </row>
    <row r="442" spans="1:21">
      <c r="A442" t="s">
        <v>228</v>
      </c>
      <c r="B442">
        <v>1</v>
      </c>
      <c r="C442" t="str">
        <f t="shared" si="59"/>
        <v>test.StructurePanel_1_</v>
      </c>
      <c r="D442">
        <v>4</v>
      </c>
      <c r="E442" s="4">
        <v>0.43617021276595747</v>
      </c>
      <c r="F442" s="4">
        <v>0.22537659327925841</v>
      </c>
      <c r="G442" s="4" t="str">
        <f t="shared" si="60"/>
        <v/>
      </c>
      <c r="H442" s="4">
        <f t="shared" si="61"/>
        <v>0.43617021276595747</v>
      </c>
      <c r="I442" s="4" t="str">
        <f t="shared" si="62"/>
        <v/>
      </c>
      <c r="J442" s="4" t="str">
        <f t="shared" si="63"/>
        <v/>
      </c>
      <c r="K442" s="4" t="str">
        <f t="shared" si="64"/>
        <v/>
      </c>
      <c r="L442" s="4" t="str">
        <f t="shared" si="65"/>
        <v/>
      </c>
      <c r="M442" s="4"/>
      <c r="N442" s="4"/>
      <c r="O442" s="4"/>
      <c r="P442" s="4"/>
      <c r="Q442" s="4"/>
      <c r="R442" s="4"/>
      <c r="S442" s="4"/>
      <c r="T442" s="4"/>
      <c r="U442" s="4"/>
    </row>
    <row r="443" spans="1:21">
      <c r="A443" t="s">
        <v>228</v>
      </c>
      <c r="B443">
        <v>1</v>
      </c>
      <c r="C443" t="str">
        <f t="shared" si="59"/>
        <v>test.StructurePanel_1_</v>
      </c>
      <c r="D443">
        <v>5</v>
      </c>
      <c r="E443" s="4">
        <v>0.56382978723404253</v>
      </c>
      <c r="F443" s="4">
        <v>0.23677095403630746</v>
      </c>
      <c r="G443" s="4" t="str">
        <f t="shared" si="60"/>
        <v/>
      </c>
      <c r="H443" s="4">
        <f t="shared" si="61"/>
        <v>0.56382978723404253</v>
      </c>
      <c r="I443" s="4" t="str">
        <f t="shared" si="62"/>
        <v/>
      </c>
      <c r="J443" s="4" t="str">
        <f t="shared" si="63"/>
        <v/>
      </c>
      <c r="K443" s="4" t="str">
        <f t="shared" si="64"/>
        <v/>
      </c>
      <c r="L443" s="4" t="str">
        <f t="shared" si="65"/>
        <v/>
      </c>
      <c r="M443" s="4"/>
      <c r="N443" s="4"/>
      <c r="O443" s="4"/>
      <c r="P443" s="4"/>
      <c r="Q443" s="4"/>
      <c r="R443" s="4"/>
      <c r="S443" s="4"/>
      <c r="T443" s="4"/>
      <c r="U443" s="4"/>
    </row>
    <row r="444" spans="1:21">
      <c r="A444" t="s">
        <v>228</v>
      </c>
      <c r="B444">
        <v>1</v>
      </c>
      <c r="C444" t="str">
        <f t="shared" si="59"/>
        <v>test.StructurePanel_1_</v>
      </c>
      <c r="D444">
        <v>6</v>
      </c>
      <c r="E444" s="4">
        <v>0.69148936170212771</v>
      </c>
      <c r="F444" s="4">
        <v>0.23908845113943608</v>
      </c>
      <c r="G444" s="4" t="str">
        <f t="shared" si="60"/>
        <v/>
      </c>
      <c r="H444" s="4">
        <f t="shared" si="61"/>
        <v>0.69148936170212771</v>
      </c>
      <c r="I444" s="4" t="str">
        <f t="shared" si="62"/>
        <v/>
      </c>
      <c r="J444" s="4" t="str">
        <f t="shared" si="63"/>
        <v/>
      </c>
      <c r="K444" s="4" t="str">
        <f t="shared" si="64"/>
        <v/>
      </c>
      <c r="L444" s="4" t="str">
        <f t="shared" si="65"/>
        <v/>
      </c>
      <c r="M444" s="4"/>
      <c r="N444" s="4"/>
      <c r="O444" s="4"/>
      <c r="P444" s="4"/>
      <c r="Q444" s="4"/>
      <c r="R444" s="4"/>
      <c r="S444" s="4"/>
      <c r="T444" s="4"/>
      <c r="U444" s="4"/>
    </row>
    <row r="445" spans="1:21">
      <c r="A445" t="s">
        <v>228</v>
      </c>
      <c r="B445">
        <v>1</v>
      </c>
      <c r="C445" t="str">
        <f t="shared" si="59"/>
        <v>test.StructurePanel_1_</v>
      </c>
      <c r="D445">
        <v>7</v>
      </c>
      <c r="E445" s="4">
        <v>0.85106382978723405</v>
      </c>
      <c r="F445" s="4">
        <v>0.24488219389725763</v>
      </c>
      <c r="G445" s="4" t="str">
        <f t="shared" si="60"/>
        <v/>
      </c>
      <c r="H445" s="4">
        <f t="shared" si="61"/>
        <v>0.85106382978723405</v>
      </c>
      <c r="I445" s="4" t="str">
        <f t="shared" si="62"/>
        <v/>
      </c>
      <c r="J445" s="4" t="str">
        <f t="shared" si="63"/>
        <v/>
      </c>
      <c r="K445" s="4" t="str">
        <f t="shared" si="64"/>
        <v/>
      </c>
      <c r="L445" s="4" t="str">
        <f t="shared" si="65"/>
        <v/>
      </c>
      <c r="M445" s="4"/>
      <c r="N445" s="4"/>
      <c r="O445" s="4"/>
      <c r="P445" s="4"/>
      <c r="Q445" s="4"/>
      <c r="R445" s="4"/>
      <c r="S445" s="4"/>
      <c r="T445" s="4"/>
      <c r="U445" s="4"/>
    </row>
    <row r="446" spans="1:21">
      <c r="A446" t="s">
        <v>228</v>
      </c>
      <c r="B446">
        <v>1</v>
      </c>
      <c r="C446" t="str">
        <f t="shared" si="59"/>
        <v>test.StructurePanel_1_</v>
      </c>
      <c r="D446">
        <v>8</v>
      </c>
      <c r="E446" s="4">
        <v>1</v>
      </c>
      <c r="F446" s="4">
        <v>0.30030899961375046</v>
      </c>
      <c r="G446" s="4" t="str">
        <f t="shared" si="60"/>
        <v/>
      </c>
      <c r="H446" s="4">
        <f t="shared" si="61"/>
        <v>1</v>
      </c>
      <c r="I446" s="4" t="str">
        <f t="shared" si="62"/>
        <v/>
      </c>
      <c r="J446" s="4" t="str">
        <f t="shared" si="63"/>
        <v/>
      </c>
      <c r="K446" s="4" t="str">
        <f t="shared" si="64"/>
        <v/>
      </c>
      <c r="L446" s="4" t="str">
        <f t="shared" si="65"/>
        <v/>
      </c>
      <c r="M446" s="4"/>
      <c r="N446" s="4"/>
      <c r="O446" s="4"/>
      <c r="P446" s="4"/>
      <c r="Q446" s="4"/>
      <c r="R446" s="4"/>
      <c r="S446" s="4"/>
      <c r="T446" s="4"/>
      <c r="U446" s="4"/>
    </row>
    <row r="447" spans="1:21">
      <c r="A447" t="s">
        <v>229</v>
      </c>
      <c r="B447">
        <v>3</v>
      </c>
      <c r="C447" t="str">
        <f t="shared" ref="C447:C510" si="66">CONCATENATE(A447, "_",B447,"_")</f>
        <v>test.TileRenderor_3_</v>
      </c>
      <c r="D447">
        <v>1</v>
      </c>
      <c r="E447" s="4">
        <v>0.95718654434250761</v>
      </c>
      <c r="F447" s="4">
        <v>0.87494612499002311</v>
      </c>
      <c r="G447" s="4" t="str">
        <f t="shared" ref="G447:G510" si="67">IF(F447 &lt;= 0.2,E447,"")</f>
        <v/>
      </c>
      <c r="H447" s="4" t="str">
        <f t="shared" ref="H447:H510" si="68">IF(AND($F447 &gt; 0.2,$F447 &lt;= 0.4),$E447,"")</f>
        <v/>
      </c>
      <c r="I447" s="4" t="str">
        <f t="shared" ref="I447:I510" si="69">IF(AND($F447 &gt; 0.4,$F447 &lt;= 0.6),$E447,"")</f>
        <v/>
      </c>
      <c r="J447" s="4" t="str">
        <f t="shared" ref="J447:J510" si="70">IF(AND($F447 &gt; 0.6,$F447 &lt;= 0.8),$E447,"")</f>
        <v/>
      </c>
      <c r="K447" s="4">
        <f t="shared" ref="K447:K510" si="71">IF(AND($F447 &gt; 0.8, $F447 &lt;=1.1),$E447,"")</f>
        <v>0.95718654434250761</v>
      </c>
      <c r="L447" s="4" t="str">
        <f t="shared" ref="L447:L510" si="72">IF(AND($F447 &gt; 1.1),$E447,"")</f>
        <v/>
      </c>
      <c r="M447" s="4"/>
      <c r="N447" s="4"/>
      <c r="O447" s="4"/>
      <c r="P447" s="4"/>
      <c r="Q447" s="4"/>
      <c r="R447" s="4"/>
      <c r="S447" s="4"/>
      <c r="T447" s="4"/>
      <c r="U447" s="4"/>
    </row>
    <row r="448" spans="1:21">
      <c r="A448" t="s">
        <v>229</v>
      </c>
      <c r="B448">
        <v>3</v>
      </c>
      <c r="C448" t="str">
        <f t="shared" si="66"/>
        <v>test.TileRenderor_3_</v>
      </c>
      <c r="D448">
        <v>2</v>
      </c>
      <c r="E448" s="4">
        <v>1</v>
      </c>
      <c r="F448" s="4">
        <v>0.88768457179343918</v>
      </c>
      <c r="G448" s="4" t="str">
        <f t="shared" si="67"/>
        <v/>
      </c>
      <c r="H448" s="4" t="str">
        <f t="shared" si="68"/>
        <v/>
      </c>
      <c r="I448" s="4" t="str">
        <f t="shared" si="69"/>
        <v/>
      </c>
      <c r="J448" s="4" t="str">
        <f t="shared" si="70"/>
        <v/>
      </c>
      <c r="K448" s="4">
        <f t="shared" si="71"/>
        <v>1</v>
      </c>
      <c r="L448" s="4" t="str">
        <f t="shared" si="72"/>
        <v/>
      </c>
      <c r="M448" s="4"/>
      <c r="N448" s="4"/>
      <c r="O448" s="4"/>
      <c r="P448" s="4"/>
      <c r="Q448" s="4"/>
      <c r="R448" s="4"/>
      <c r="S448" s="4"/>
      <c r="T448" s="4"/>
      <c r="U448" s="4"/>
    </row>
    <row r="449" spans="1:21">
      <c r="A449" t="s">
        <v>230</v>
      </c>
      <c r="B449">
        <v>1</v>
      </c>
      <c r="C449" t="str">
        <f t="shared" si="66"/>
        <v>test.WorldController_1_</v>
      </c>
      <c r="D449">
        <v>1</v>
      </c>
      <c r="E449" s="4">
        <v>0.21301775147928995</v>
      </c>
      <c r="F449" s="4">
        <v>0.21003238186615494</v>
      </c>
      <c r="G449" s="4" t="str">
        <f t="shared" si="67"/>
        <v/>
      </c>
      <c r="H449" s="4">
        <f t="shared" si="68"/>
        <v>0.21301775147928995</v>
      </c>
      <c r="I449" s="4" t="str">
        <f t="shared" si="69"/>
        <v/>
      </c>
      <c r="J449" s="4" t="str">
        <f t="shared" si="70"/>
        <v/>
      </c>
      <c r="K449" s="4" t="str">
        <f t="shared" si="71"/>
        <v/>
      </c>
      <c r="L449" s="4" t="str">
        <f t="shared" si="72"/>
        <v/>
      </c>
      <c r="M449" s="4"/>
      <c r="N449" s="4"/>
      <c r="O449" s="4"/>
      <c r="P449" s="4"/>
      <c r="Q449" s="4"/>
      <c r="R449" s="4"/>
      <c r="S449" s="4"/>
      <c r="T449" s="4"/>
      <c r="U449" s="4"/>
    </row>
    <row r="450" spans="1:21">
      <c r="A450" t="s">
        <v>230</v>
      </c>
      <c r="B450">
        <v>1</v>
      </c>
      <c r="C450" t="str">
        <f t="shared" si="66"/>
        <v>test.WorldController_1_</v>
      </c>
      <c r="D450">
        <v>2</v>
      </c>
      <c r="E450" s="4">
        <v>0.40828402366863903</v>
      </c>
      <c r="F450" s="4">
        <v>0.23998560805948668</v>
      </c>
      <c r="G450" s="4" t="str">
        <f t="shared" si="67"/>
        <v/>
      </c>
      <c r="H450" s="4">
        <f t="shared" si="68"/>
        <v>0.40828402366863903</v>
      </c>
      <c r="I450" s="4" t="str">
        <f t="shared" si="69"/>
        <v/>
      </c>
      <c r="J450" s="4" t="str">
        <f t="shared" si="70"/>
        <v/>
      </c>
      <c r="K450" s="4" t="str">
        <f t="shared" si="71"/>
        <v/>
      </c>
      <c r="L450" s="4" t="str">
        <f t="shared" si="72"/>
        <v/>
      </c>
      <c r="M450" s="4"/>
      <c r="N450" s="4"/>
      <c r="O450" s="4"/>
      <c r="P450" s="4"/>
      <c r="Q450" s="4"/>
      <c r="R450" s="4"/>
      <c r="S450" s="4"/>
      <c r="T450" s="4"/>
      <c r="U450" s="4"/>
    </row>
    <row r="451" spans="1:21">
      <c r="A451" t="s">
        <v>230</v>
      </c>
      <c r="B451">
        <v>1</v>
      </c>
      <c r="C451" t="str">
        <f t="shared" si="66"/>
        <v>test.WorldController_1_</v>
      </c>
      <c r="D451">
        <v>3</v>
      </c>
      <c r="E451" s="4">
        <v>0.60355029585798814</v>
      </c>
      <c r="F451" s="4">
        <v>0.25494722955145116</v>
      </c>
      <c r="G451" s="4" t="str">
        <f t="shared" si="67"/>
        <v/>
      </c>
      <c r="H451" s="4">
        <f t="shared" si="68"/>
        <v>0.60355029585798814</v>
      </c>
      <c r="I451" s="4" t="str">
        <f t="shared" si="69"/>
        <v/>
      </c>
      <c r="J451" s="4" t="str">
        <f t="shared" si="70"/>
        <v/>
      </c>
      <c r="K451" s="4" t="str">
        <f t="shared" si="71"/>
        <v/>
      </c>
      <c r="L451" s="4" t="str">
        <f t="shared" si="72"/>
        <v/>
      </c>
      <c r="M451" s="4"/>
      <c r="N451" s="4"/>
      <c r="O451" s="4"/>
      <c r="P451" s="4"/>
      <c r="Q451" s="4"/>
      <c r="R451" s="4"/>
      <c r="S451" s="4"/>
      <c r="T451" s="4"/>
      <c r="U451" s="4"/>
    </row>
    <row r="452" spans="1:21">
      <c r="A452" t="s">
        <v>230</v>
      </c>
      <c r="B452">
        <v>1</v>
      </c>
      <c r="C452" t="str">
        <f t="shared" si="66"/>
        <v>test.WorldController_1_</v>
      </c>
      <c r="D452">
        <v>4</v>
      </c>
      <c r="E452" s="4">
        <v>0.79881656804733725</v>
      </c>
      <c r="F452" s="4">
        <v>0.28565003597985128</v>
      </c>
      <c r="G452" s="4" t="str">
        <f t="shared" si="67"/>
        <v/>
      </c>
      <c r="H452" s="4">
        <f t="shared" si="68"/>
        <v>0.79881656804733725</v>
      </c>
      <c r="I452" s="4" t="str">
        <f t="shared" si="69"/>
        <v/>
      </c>
      <c r="J452" s="4" t="str">
        <f t="shared" si="70"/>
        <v/>
      </c>
      <c r="K452" s="4" t="str">
        <f t="shared" si="71"/>
        <v/>
      </c>
      <c r="L452" s="4" t="str">
        <f t="shared" si="72"/>
        <v/>
      </c>
      <c r="M452" s="4"/>
      <c r="N452" s="4"/>
      <c r="O452" s="4"/>
      <c r="P452" s="4"/>
      <c r="Q452" s="4"/>
      <c r="R452" s="4"/>
      <c r="S452" s="4"/>
      <c r="T452" s="4"/>
      <c r="U452" s="4"/>
    </row>
    <row r="453" spans="1:21">
      <c r="A453" t="s">
        <v>230</v>
      </c>
      <c r="B453">
        <v>1</v>
      </c>
      <c r="C453" t="str">
        <f t="shared" si="66"/>
        <v>test.WorldController_1_</v>
      </c>
      <c r="D453">
        <v>5</v>
      </c>
      <c r="E453" s="4">
        <v>1</v>
      </c>
      <c r="F453" s="4">
        <v>0.30067162389062124</v>
      </c>
      <c r="G453" s="4" t="str">
        <f t="shared" si="67"/>
        <v/>
      </c>
      <c r="H453" s="4">
        <f t="shared" si="68"/>
        <v>1</v>
      </c>
      <c r="I453" s="4" t="str">
        <f t="shared" si="69"/>
        <v/>
      </c>
      <c r="J453" s="4" t="str">
        <f t="shared" si="70"/>
        <v/>
      </c>
      <c r="K453" s="4" t="str">
        <f t="shared" si="71"/>
        <v/>
      </c>
      <c r="L453" s="4" t="str">
        <f t="shared" si="72"/>
        <v/>
      </c>
      <c r="M453" s="4"/>
      <c r="N453" s="4"/>
      <c r="O453" s="4"/>
      <c r="P453" s="4"/>
      <c r="Q453" s="4"/>
      <c r="R453" s="4"/>
      <c r="S453" s="4"/>
      <c r="T453" s="4"/>
      <c r="U453" s="4"/>
    </row>
    <row r="454" spans="1:21">
      <c r="A454" t="s">
        <v>231</v>
      </c>
      <c r="B454">
        <v>4</v>
      </c>
      <c r="C454" t="str">
        <f t="shared" si="66"/>
        <v>test.TIFFFaxDecoder_4_</v>
      </c>
      <c r="D454">
        <v>1</v>
      </c>
      <c r="E454" s="4">
        <v>0.1095890410958904</v>
      </c>
      <c r="F454" s="4">
        <v>1.1935824127019375E-2</v>
      </c>
      <c r="G454" s="4">
        <f t="shared" si="67"/>
        <v>0.1095890410958904</v>
      </c>
      <c r="H454" s="4" t="str">
        <f t="shared" si="68"/>
        <v/>
      </c>
      <c r="I454" s="4" t="str">
        <f t="shared" si="69"/>
        <v/>
      </c>
      <c r="J454" s="4" t="str">
        <f t="shared" si="70"/>
        <v/>
      </c>
      <c r="K454" s="4" t="str">
        <f t="shared" si="71"/>
        <v/>
      </c>
      <c r="L454" s="4" t="str">
        <f t="shared" si="72"/>
        <v/>
      </c>
      <c r="M454" s="4"/>
      <c r="N454" s="4"/>
      <c r="O454" s="4"/>
      <c r="P454" s="4"/>
      <c r="Q454" s="4"/>
      <c r="R454" s="4"/>
      <c r="S454" s="4"/>
      <c r="T454" s="4"/>
      <c r="U454" s="4"/>
    </row>
    <row r="455" spans="1:21">
      <c r="A455" t="s">
        <v>231</v>
      </c>
      <c r="B455">
        <v>4</v>
      </c>
      <c r="C455" t="str">
        <f t="shared" si="66"/>
        <v>test.TIFFFaxDecoder_4_</v>
      </c>
      <c r="D455">
        <v>2</v>
      </c>
      <c r="E455" s="4">
        <v>0.27397260273972601</v>
      </c>
      <c r="F455" s="4">
        <v>0.11497251984677732</v>
      </c>
      <c r="G455" s="4">
        <f t="shared" si="67"/>
        <v>0.27397260273972601</v>
      </c>
      <c r="H455" s="4" t="str">
        <f t="shared" si="68"/>
        <v/>
      </c>
      <c r="I455" s="4" t="str">
        <f t="shared" si="69"/>
        <v/>
      </c>
      <c r="J455" s="4" t="str">
        <f t="shared" si="70"/>
        <v/>
      </c>
      <c r="K455" s="4" t="str">
        <f t="shared" si="71"/>
        <v/>
      </c>
      <c r="L455" s="4" t="str">
        <f t="shared" si="72"/>
        <v/>
      </c>
      <c r="M455" s="4"/>
      <c r="N455" s="4"/>
      <c r="O455" s="4"/>
      <c r="P455" s="4"/>
      <c r="Q455" s="4"/>
      <c r="R455" s="4"/>
      <c r="S455" s="4"/>
      <c r="T455" s="4"/>
      <c r="U455" s="4"/>
    </row>
    <row r="456" spans="1:21">
      <c r="A456" t="s">
        <v>231</v>
      </c>
      <c r="B456">
        <v>4</v>
      </c>
      <c r="C456" t="str">
        <f t="shared" si="66"/>
        <v>test.TIFFFaxDecoder_4_</v>
      </c>
      <c r="D456">
        <v>3</v>
      </c>
      <c r="E456" s="4">
        <v>0.56164383561643838</v>
      </c>
      <c r="F456" s="4">
        <v>0.31238549936157217</v>
      </c>
      <c r="G456" s="4" t="str">
        <f t="shared" si="67"/>
        <v/>
      </c>
      <c r="H456" s="4">
        <f t="shared" si="68"/>
        <v>0.56164383561643838</v>
      </c>
      <c r="I456" s="4" t="str">
        <f t="shared" si="69"/>
        <v/>
      </c>
      <c r="J456" s="4" t="str">
        <f t="shared" si="70"/>
        <v/>
      </c>
      <c r="K456" s="4" t="str">
        <f t="shared" si="71"/>
        <v/>
      </c>
      <c r="L456" s="4" t="str">
        <f t="shared" si="72"/>
        <v/>
      </c>
      <c r="M456" s="4"/>
      <c r="N456" s="4"/>
      <c r="O456" s="4"/>
      <c r="P456" s="4"/>
      <c r="Q456" s="4"/>
      <c r="R456" s="4"/>
      <c r="S456" s="4"/>
      <c r="T456" s="4"/>
      <c r="U456" s="4"/>
    </row>
    <row r="457" spans="1:21">
      <c r="A457" t="s">
        <v>231</v>
      </c>
      <c r="B457">
        <v>4</v>
      </c>
      <c r="C457" t="str">
        <f t="shared" si="66"/>
        <v>test.TIFFFaxDecoder_4_</v>
      </c>
      <c r="D457">
        <v>4</v>
      </c>
      <c r="E457" s="4">
        <v>0.58904109589041098</v>
      </c>
      <c r="F457" s="4">
        <v>0.31321823127741077</v>
      </c>
      <c r="G457" s="4" t="str">
        <f t="shared" si="67"/>
        <v/>
      </c>
      <c r="H457" s="4">
        <f t="shared" si="68"/>
        <v>0.58904109589041098</v>
      </c>
      <c r="I457" s="4" t="str">
        <f t="shared" si="69"/>
        <v/>
      </c>
      <c r="J457" s="4" t="str">
        <f t="shared" si="70"/>
        <v/>
      </c>
      <c r="K457" s="4" t="str">
        <f t="shared" si="71"/>
        <v/>
      </c>
      <c r="L457" s="4" t="str">
        <f t="shared" si="72"/>
        <v/>
      </c>
      <c r="M457" s="4"/>
      <c r="N457" s="4"/>
      <c r="O457" s="4"/>
      <c r="P457" s="4"/>
      <c r="Q457" s="4"/>
      <c r="R457" s="4"/>
      <c r="S457" s="4"/>
      <c r="T457" s="4"/>
      <c r="U457" s="4"/>
    </row>
    <row r="458" spans="1:21">
      <c r="A458" t="s">
        <v>231</v>
      </c>
      <c r="B458">
        <v>4</v>
      </c>
      <c r="C458" t="str">
        <f t="shared" si="66"/>
        <v>test.TIFFFaxDecoder_4_</v>
      </c>
      <c r="D458">
        <v>5</v>
      </c>
      <c r="E458" s="4">
        <v>0.65753424657534243</v>
      </c>
      <c r="F458" s="4">
        <v>0.32842946760672848</v>
      </c>
      <c r="G458" s="4" t="str">
        <f t="shared" si="67"/>
        <v/>
      </c>
      <c r="H458" s="4">
        <f t="shared" si="68"/>
        <v>0.65753424657534243</v>
      </c>
      <c r="I458" s="4" t="str">
        <f t="shared" si="69"/>
        <v/>
      </c>
      <c r="J458" s="4" t="str">
        <f t="shared" si="70"/>
        <v/>
      </c>
      <c r="K458" s="4" t="str">
        <f t="shared" si="71"/>
        <v/>
      </c>
      <c r="L458" s="4" t="str">
        <f t="shared" si="72"/>
        <v/>
      </c>
      <c r="M458" s="4"/>
      <c r="N458" s="4"/>
      <c r="O458" s="4"/>
      <c r="P458" s="4"/>
      <c r="Q458" s="4"/>
      <c r="R458" s="4"/>
      <c r="S458" s="4"/>
      <c r="T458" s="4"/>
      <c r="U458" s="4"/>
    </row>
    <row r="459" spans="1:21">
      <c r="A459" t="s">
        <v>231</v>
      </c>
      <c r="B459">
        <v>4</v>
      </c>
      <c r="C459" t="str">
        <f t="shared" si="66"/>
        <v>test.TIFFFaxDecoder_4_</v>
      </c>
      <c r="D459">
        <v>6</v>
      </c>
      <c r="E459" s="4">
        <v>0.78082191780821919</v>
      </c>
      <c r="F459" s="4">
        <v>0.48625992338866375</v>
      </c>
      <c r="G459" s="4" t="str">
        <f t="shared" si="67"/>
        <v/>
      </c>
      <c r="H459" s="4" t="str">
        <f t="shared" si="68"/>
        <v/>
      </c>
      <c r="I459" s="4">
        <f t="shared" si="69"/>
        <v>0.78082191780821919</v>
      </c>
      <c r="J459" s="4" t="str">
        <f t="shared" si="70"/>
        <v/>
      </c>
      <c r="K459" s="4" t="str">
        <f t="shared" si="71"/>
        <v/>
      </c>
      <c r="L459" s="4" t="str">
        <f t="shared" si="72"/>
        <v/>
      </c>
      <c r="M459" s="4"/>
      <c r="N459" s="4"/>
      <c r="O459" s="4"/>
      <c r="P459" s="4"/>
      <c r="Q459" s="4"/>
      <c r="R459" s="4"/>
      <c r="S459" s="4"/>
      <c r="T459" s="4"/>
      <c r="U459" s="4"/>
    </row>
    <row r="460" spans="1:21">
      <c r="A460" t="s">
        <v>231</v>
      </c>
      <c r="B460">
        <v>4</v>
      </c>
      <c r="C460" t="str">
        <f t="shared" si="66"/>
        <v>test.TIFFFaxDecoder_4_</v>
      </c>
      <c r="D460">
        <v>7</v>
      </c>
      <c r="E460" s="4">
        <v>1</v>
      </c>
      <c r="F460" s="4">
        <v>0.78071392882917889</v>
      </c>
      <c r="G460" s="4" t="str">
        <f t="shared" si="67"/>
        <v/>
      </c>
      <c r="H460" s="4" t="str">
        <f t="shared" si="68"/>
        <v/>
      </c>
      <c r="I460" s="4" t="str">
        <f t="shared" si="69"/>
        <v/>
      </c>
      <c r="J460" s="4">
        <f t="shared" si="70"/>
        <v>1</v>
      </c>
      <c r="K460" s="4" t="str">
        <f t="shared" si="71"/>
        <v/>
      </c>
      <c r="L460" s="4" t="str">
        <f t="shared" si="72"/>
        <v/>
      </c>
      <c r="M460" s="4"/>
      <c r="N460" s="4"/>
      <c r="O460" s="4"/>
      <c r="P460" s="4"/>
      <c r="Q460" s="4"/>
      <c r="R460" s="4"/>
      <c r="S460" s="4"/>
      <c r="T460" s="4"/>
      <c r="U460" s="4"/>
    </row>
    <row r="461" spans="1:21">
      <c r="A461" t="s">
        <v>231</v>
      </c>
      <c r="B461">
        <v>5</v>
      </c>
      <c r="C461" t="str">
        <f t="shared" si="66"/>
        <v>test.TIFFFaxDecoder_5_</v>
      </c>
      <c r="D461">
        <v>1</v>
      </c>
      <c r="E461" s="4">
        <v>0.31707317073170732</v>
      </c>
      <c r="F461" s="4">
        <v>0.19977346278317151</v>
      </c>
      <c r="G461" s="4">
        <f t="shared" si="67"/>
        <v>0.31707317073170732</v>
      </c>
      <c r="H461" s="4" t="str">
        <f t="shared" si="68"/>
        <v/>
      </c>
      <c r="I461" s="4" t="str">
        <f t="shared" si="69"/>
        <v/>
      </c>
      <c r="J461" s="4" t="str">
        <f t="shared" si="70"/>
        <v/>
      </c>
      <c r="K461" s="4" t="str">
        <f t="shared" si="71"/>
        <v/>
      </c>
      <c r="L461" s="4" t="str">
        <f t="shared" si="72"/>
        <v/>
      </c>
      <c r="M461" s="4"/>
      <c r="N461" s="4"/>
      <c r="O461" s="4"/>
      <c r="P461" s="4"/>
      <c r="Q461" s="4"/>
      <c r="R461" s="4"/>
      <c r="S461" s="4"/>
      <c r="T461" s="4"/>
      <c r="U461" s="4"/>
    </row>
    <row r="462" spans="1:21">
      <c r="A462" t="s">
        <v>231</v>
      </c>
      <c r="B462">
        <v>5</v>
      </c>
      <c r="C462" t="str">
        <f t="shared" si="66"/>
        <v>test.TIFFFaxDecoder_5_</v>
      </c>
      <c r="D462">
        <v>2</v>
      </c>
      <c r="E462" s="4">
        <v>0.35772357723577236</v>
      </c>
      <c r="F462" s="4">
        <v>0.20398058252427184</v>
      </c>
      <c r="G462" s="4" t="str">
        <f t="shared" si="67"/>
        <v/>
      </c>
      <c r="H462" s="4">
        <f t="shared" si="68"/>
        <v>0.35772357723577236</v>
      </c>
      <c r="I462" s="4" t="str">
        <f t="shared" si="69"/>
        <v/>
      </c>
      <c r="J462" s="4" t="str">
        <f t="shared" si="70"/>
        <v/>
      </c>
      <c r="K462" s="4" t="str">
        <f t="shared" si="71"/>
        <v/>
      </c>
      <c r="L462" s="4" t="str">
        <f t="shared" si="72"/>
        <v/>
      </c>
      <c r="M462" s="4"/>
      <c r="N462" s="4"/>
      <c r="O462" s="4"/>
      <c r="P462" s="4"/>
      <c r="Q462" s="4"/>
      <c r="R462" s="4"/>
      <c r="S462" s="4"/>
      <c r="T462" s="4"/>
      <c r="U462" s="4"/>
    </row>
    <row r="463" spans="1:21">
      <c r="A463" t="s">
        <v>231</v>
      </c>
      <c r="B463">
        <v>5</v>
      </c>
      <c r="C463" t="str">
        <f t="shared" si="66"/>
        <v>test.TIFFFaxDecoder_5_</v>
      </c>
      <c r="D463">
        <v>3</v>
      </c>
      <c r="E463" s="4">
        <v>0.44715447154471544</v>
      </c>
      <c r="F463" s="4">
        <v>0.30171521035598703</v>
      </c>
      <c r="G463" s="4" t="str">
        <f t="shared" si="67"/>
        <v/>
      </c>
      <c r="H463" s="4">
        <f t="shared" si="68"/>
        <v>0.44715447154471544</v>
      </c>
      <c r="I463" s="4" t="str">
        <f t="shared" si="69"/>
        <v/>
      </c>
      <c r="J463" s="4" t="str">
        <f t="shared" si="70"/>
        <v/>
      </c>
      <c r="K463" s="4" t="str">
        <f t="shared" si="71"/>
        <v/>
      </c>
      <c r="L463" s="4" t="str">
        <f t="shared" si="72"/>
        <v/>
      </c>
      <c r="M463" s="4"/>
      <c r="N463" s="4"/>
      <c r="O463" s="4"/>
      <c r="P463" s="4"/>
      <c r="Q463" s="4"/>
      <c r="R463" s="4"/>
      <c r="S463" s="4"/>
      <c r="T463" s="4"/>
      <c r="U463" s="4"/>
    </row>
    <row r="464" spans="1:21">
      <c r="A464" t="s">
        <v>231</v>
      </c>
      <c r="B464">
        <v>5</v>
      </c>
      <c r="C464" t="str">
        <f t="shared" si="66"/>
        <v>test.TIFFFaxDecoder_5_</v>
      </c>
      <c r="D464">
        <v>4</v>
      </c>
      <c r="E464" s="4">
        <v>0.57723577235772361</v>
      </c>
      <c r="F464" s="4">
        <v>0.48702265372168285</v>
      </c>
      <c r="G464" s="4" t="str">
        <f t="shared" si="67"/>
        <v/>
      </c>
      <c r="H464" s="4" t="str">
        <f t="shared" si="68"/>
        <v/>
      </c>
      <c r="I464" s="4">
        <f t="shared" si="69"/>
        <v>0.57723577235772361</v>
      </c>
      <c r="J464" s="4" t="str">
        <f t="shared" si="70"/>
        <v/>
      </c>
      <c r="K464" s="4" t="str">
        <f t="shared" si="71"/>
        <v/>
      </c>
      <c r="L464" s="4" t="str">
        <f t="shared" si="72"/>
        <v/>
      </c>
      <c r="M464" s="4"/>
      <c r="N464" s="4"/>
      <c r="O464" s="4"/>
      <c r="P464" s="4"/>
      <c r="Q464" s="4"/>
      <c r="R464" s="4"/>
      <c r="S464" s="4"/>
      <c r="T464" s="4"/>
      <c r="U464" s="4"/>
    </row>
    <row r="465" spans="1:21">
      <c r="A465" t="s">
        <v>231</v>
      </c>
      <c r="B465">
        <v>5</v>
      </c>
      <c r="C465" t="str">
        <f t="shared" si="66"/>
        <v>test.TIFFFaxDecoder_5_</v>
      </c>
      <c r="D465">
        <v>5</v>
      </c>
      <c r="E465" s="4">
        <v>1</v>
      </c>
      <c r="F465" s="4">
        <v>0.66660194174757281</v>
      </c>
      <c r="G465" s="4" t="str">
        <f t="shared" si="67"/>
        <v/>
      </c>
      <c r="H465" s="4" t="str">
        <f t="shared" si="68"/>
        <v/>
      </c>
      <c r="I465" s="4" t="str">
        <f t="shared" si="69"/>
        <v/>
      </c>
      <c r="J465" s="4">
        <f t="shared" si="70"/>
        <v>1</v>
      </c>
      <c r="K465" s="4" t="str">
        <f t="shared" si="71"/>
        <v/>
      </c>
      <c r="L465" s="4" t="str">
        <f t="shared" si="72"/>
        <v/>
      </c>
      <c r="M465" s="4"/>
      <c r="N465" s="4"/>
      <c r="O465" s="4"/>
      <c r="P465" s="4"/>
      <c r="Q465" s="4"/>
      <c r="R465" s="4"/>
      <c r="S465" s="4"/>
      <c r="T465" s="4"/>
      <c r="U465" s="4"/>
    </row>
    <row r="466" spans="1:21">
      <c r="A466" t="s">
        <v>231</v>
      </c>
      <c r="B466">
        <v>7</v>
      </c>
      <c r="C466" t="str">
        <f t="shared" si="66"/>
        <v>test.TIFFFaxDecoder_7_</v>
      </c>
      <c r="D466">
        <v>1</v>
      </c>
      <c r="E466" s="4">
        <v>0.30303030303030304</v>
      </c>
      <c r="F466" s="4">
        <v>0.28118811881188122</v>
      </c>
      <c r="G466" s="4" t="str">
        <f t="shared" si="67"/>
        <v/>
      </c>
      <c r="H466" s="4">
        <f t="shared" si="68"/>
        <v>0.30303030303030304</v>
      </c>
      <c r="I466" s="4" t="str">
        <f t="shared" si="69"/>
        <v/>
      </c>
      <c r="J466" s="4" t="str">
        <f t="shared" si="70"/>
        <v/>
      </c>
      <c r="K466" s="4" t="str">
        <f t="shared" si="71"/>
        <v/>
      </c>
      <c r="L466" s="4" t="str">
        <f t="shared" si="72"/>
        <v/>
      </c>
      <c r="M466" s="4"/>
      <c r="N466" s="4"/>
      <c r="O466" s="4"/>
      <c r="P466" s="4"/>
      <c r="Q466" s="4"/>
      <c r="R466" s="4"/>
      <c r="S466" s="4"/>
      <c r="T466" s="4"/>
      <c r="U466" s="4"/>
    </row>
    <row r="467" spans="1:21">
      <c r="A467" t="s">
        <v>231</v>
      </c>
      <c r="B467">
        <v>7</v>
      </c>
      <c r="C467" t="str">
        <f t="shared" si="66"/>
        <v>test.TIFFFaxDecoder_7_</v>
      </c>
      <c r="D467">
        <v>2</v>
      </c>
      <c r="E467" s="4">
        <v>0.66666666666666663</v>
      </c>
      <c r="F467" s="4">
        <v>0.51485148514851486</v>
      </c>
      <c r="G467" s="4" t="str">
        <f t="shared" si="67"/>
        <v/>
      </c>
      <c r="H467" s="4" t="str">
        <f t="shared" si="68"/>
        <v/>
      </c>
      <c r="I467" s="4">
        <f t="shared" si="69"/>
        <v>0.66666666666666663</v>
      </c>
      <c r="J467" s="4" t="str">
        <f t="shared" si="70"/>
        <v/>
      </c>
      <c r="K467" s="4" t="str">
        <f t="shared" si="71"/>
        <v/>
      </c>
      <c r="L467" s="4" t="str">
        <f t="shared" si="72"/>
        <v/>
      </c>
      <c r="M467" s="4"/>
      <c r="N467" s="4"/>
      <c r="O467" s="4"/>
      <c r="P467" s="4"/>
      <c r="Q467" s="4"/>
      <c r="R467" s="4"/>
      <c r="S467" s="4"/>
      <c r="T467" s="4"/>
      <c r="U467" s="4"/>
    </row>
    <row r="468" spans="1:21">
      <c r="A468" t="s">
        <v>231</v>
      </c>
      <c r="B468">
        <v>7</v>
      </c>
      <c r="C468" t="str">
        <f t="shared" si="66"/>
        <v>test.TIFFFaxDecoder_7_</v>
      </c>
      <c r="D468">
        <v>3</v>
      </c>
      <c r="E468" s="4">
        <v>1</v>
      </c>
      <c r="F468" s="4">
        <v>0.87425742574257426</v>
      </c>
      <c r="G468" s="4" t="str">
        <f t="shared" si="67"/>
        <v/>
      </c>
      <c r="H468" s="4" t="str">
        <f t="shared" si="68"/>
        <v/>
      </c>
      <c r="I468" s="4" t="str">
        <f t="shared" si="69"/>
        <v/>
      </c>
      <c r="J468" s="4" t="str">
        <f t="shared" si="70"/>
        <v/>
      </c>
      <c r="K468" s="4">
        <f t="shared" si="71"/>
        <v>1</v>
      </c>
      <c r="L468" s="4" t="str">
        <f t="shared" si="72"/>
        <v/>
      </c>
      <c r="M468" s="4"/>
      <c r="N468" s="4"/>
      <c r="O468" s="4"/>
      <c r="P468" s="4"/>
      <c r="Q468" s="4"/>
      <c r="R468" s="4"/>
      <c r="S468" s="4"/>
      <c r="T468" s="4"/>
      <c r="U468" s="4"/>
    </row>
    <row r="469" spans="1:21">
      <c r="A469" t="s">
        <v>231</v>
      </c>
      <c r="B469">
        <v>8</v>
      </c>
      <c r="C469" t="str">
        <f t="shared" si="66"/>
        <v>test.TIFFFaxDecoder_8_</v>
      </c>
      <c r="D469">
        <v>1</v>
      </c>
      <c r="E469" s="4">
        <v>0.38</v>
      </c>
      <c r="F469" s="4">
        <v>0.29706115965051627</v>
      </c>
      <c r="G469" s="4" t="str">
        <f t="shared" si="67"/>
        <v/>
      </c>
      <c r="H469" s="4">
        <f t="shared" si="68"/>
        <v>0.38</v>
      </c>
      <c r="I469" s="4" t="str">
        <f t="shared" si="69"/>
        <v/>
      </c>
      <c r="J469" s="4" t="str">
        <f t="shared" si="70"/>
        <v/>
      </c>
      <c r="K469" s="4" t="str">
        <f t="shared" si="71"/>
        <v/>
      </c>
      <c r="L469" s="4" t="str">
        <f t="shared" si="72"/>
        <v/>
      </c>
      <c r="M469" s="4"/>
      <c r="N469" s="4"/>
      <c r="O469" s="4"/>
      <c r="P469" s="4"/>
      <c r="Q469" s="4"/>
      <c r="R469" s="4"/>
      <c r="S469" s="4"/>
      <c r="T469" s="4"/>
      <c r="U469" s="4"/>
    </row>
    <row r="470" spans="1:21">
      <c r="A470" t="s">
        <v>231</v>
      </c>
      <c r="B470">
        <v>8</v>
      </c>
      <c r="C470" t="str">
        <f t="shared" si="66"/>
        <v>test.TIFFFaxDecoder_8_</v>
      </c>
      <c r="D470">
        <v>2</v>
      </c>
      <c r="E470" s="4">
        <v>0.56000000000000005</v>
      </c>
      <c r="F470" s="4">
        <v>0.49960285941223193</v>
      </c>
      <c r="G470" s="4" t="str">
        <f t="shared" si="67"/>
        <v/>
      </c>
      <c r="H470" s="4" t="str">
        <f t="shared" si="68"/>
        <v/>
      </c>
      <c r="I470" s="4">
        <f t="shared" si="69"/>
        <v>0.56000000000000005</v>
      </c>
      <c r="J470" s="4" t="str">
        <f t="shared" si="70"/>
        <v/>
      </c>
      <c r="K470" s="4" t="str">
        <f t="shared" si="71"/>
        <v/>
      </c>
      <c r="L470" s="4" t="str">
        <f t="shared" si="72"/>
        <v/>
      </c>
      <c r="M470" s="4"/>
      <c r="N470" s="4"/>
      <c r="O470" s="4"/>
      <c r="P470" s="4"/>
      <c r="Q470" s="4"/>
      <c r="R470" s="4"/>
      <c r="S470" s="4"/>
      <c r="T470" s="4"/>
      <c r="U470" s="4"/>
    </row>
    <row r="471" spans="1:21">
      <c r="A471" t="s">
        <v>231</v>
      </c>
      <c r="B471">
        <v>8</v>
      </c>
      <c r="C471" t="str">
        <f t="shared" si="66"/>
        <v>test.TIFFFaxDecoder_8_</v>
      </c>
      <c r="D471">
        <v>3</v>
      </c>
      <c r="E471" s="4">
        <v>0.68</v>
      </c>
      <c r="F471" s="4">
        <v>0.5289912629070691</v>
      </c>
      <c r="G471" s="4" t="str">
        <f t="shared" si="67"/>
        <v/>
      </c>
      <c r="H471" s="4" t="str">
        <f t="shared" si="68"/>
        <v/>
      </c>
      <c r="I471" s="4">
        <f t="shared" si="69"/>
        <v>0.68</v>
      </c>
      <c r="J471" s="4" t="str">
        <f t="shared" si="70"/>
        <v/>
      </c>
      <c r="K471" s="4" t="str">
        <f t="shared" si="71"/>
        <v/>
      </c>
      <c r="L471" s="4" t="str">
        <f t="shared" si="72"/>
        <v/>
      </c>
      <c r="M471" s="4"/>
      <c r="N471" s="4"/>
      <c r="O471" s="4"/>
      <c r="P471" s="4"/>
      <c r="Q471" s="4"/>
      <c r="R471" s="4"/>
      <c r="S471" s="4"/>
      <c r="T471" s="4"/>
      <c r="U471" s="4"/>
    </row>
    <row r="472" spans="1:21">
      <c r="A472" t="s">
        <v>231</v>
      </c>
      <c r="B472">
        <v>8</v>
      </c>
      <c r="C472" t="str">
        <f t="shared" si="66"/>
        <v>test.TIFFFaxDecoder_8_</v>
      </c>
      <c r="D472">
        <v>4</v>
      </c>
      <c r="E472" s="4">
        <v>0.88</v>
      </c>
      <c r="F472" s="4">
        <v>0.52978554408260525</v>
      </c>
      <c r="G472" s="4" t="str">
        <f t="shared" si="67"/>
        <v/>
      </c>
      <c r="H472" s="4" t="str">
        <f t="shared" si="68"/>
        <v/>
      </c>
      <c r="I472" s="4">
        <f t="shared" si="69"/>
        <v>0.88</v>
      </c>
      <c r="J472" s="4" t="str">
        <f t="shared" si="70"/>
        <v/>
      </c>
      <c r="K472" s="4" t="str">
        <f t="shared" si="71"/>
        <v/>
      </c>
      <c r="L472" s="4" t="str">
        <f t="shared" si="72"/>
        <v/>
      </c>
      <c r="M472" s="4"/>
      <c r="N472" s="4"/>
      <c r="O472" s="4"/>
      <c r="P472" s="4"/>
      <c r="Q472" s="4"/>
      <c r="R472" s="4"/>
      <c r="S472" s="4"/>
      <c r="T472" s="4"/>
      <c r="U472" s="4"/>
    </row>
    <row r="473" spans="1:21">
      <c r="A473" t="s">
        <v>231</v>
      </c>
      <c r="B473">
        <v>8</v>
      </c>
      <c r="C473" t="str">
        <f t="shared" si="66"/>
        <v>test.TIFFFaxDecoder_8_</v>
      </c>
      <c r="D473">
        <v>5</v>
      </c>
      <c r="E473" s="4">
        <v>1</v>
      </c>
      <c r="F473" s="4">
        <v>0.73073868149324861</v>
      </c>
      <c r="G473" s="4" t="str">
        <f t="shared" si="67"/>
        <v/>
      </c>
      <c r="H473" s="4" t="str">
        <f t="shared" si="68"/>
        <v/>
      </c>
      <c r="I473" s="4" t="str">
        <f t="shared" si="69"/>
        <v/>
      </c>
      <c r="J473" s="4">
        <f t="shared" si="70"/>
        <v>1</v>
      </c>
      <c r="K473" s="4" t="str">
        <f t="shared" si="71"/>
        <v/>
      </c>
      <c r="L473" s="4" t="str">
        <f t="shared" si="72"/>
        <v/>
      </c>
      <c r="M473" s="4"/>
      <c r="N473" s="4"/>
      <c r="O473" s="4"/>
      <c r="P473" s="4"/>
      <c r="Q473" s="4"/>
      <c r="R473" s="4"/>
      <c r="S473" s="4"/>
      <c r="T473" s="4"/>
      <c r="U473" s="4"/>
    </row>
    <row r="474" spans="1:21">
      <c r="A474" t="s">
        <v>231</v>
      </c>
      <c r="B474">
        <v>9</v>
      </c>
      <c r="C474" t="str">
        <f t="shared" si="66"/>
        <v>test.TIFFFaxDecoder_9_</v>
      </c>
      <c r="D474">
        <v>1</v>
      </c>
      <c r="E474" s="4">
        <v>0.19444444444444445</v>
      </c>
      <c r="F474" s="4">
        <v>0.23406193078324225</v>
      </c>
      <c r="G474" s="4" t="str">
        <f t="shared" si="67"/>
        <v/>
      </c>
      <c r="H474" s="4">
        <f t="shared" si="68"/>
        <v>0.19444444444444445</v>
      </c>
      <c r="I474" s="4" t="str">
        <f t="shared" si="69"/>
        <v/>
      </c>
      <c r="J474" s="4" t="str">
        <f t="shared" si="70"/>
        <v/>
      </c>
      <c r="K474" s="4" t="str">
        <f t="shared" si="71"/>
        <v/>
      </c>
      <c r="L474" s="4" t="str">
        <f t="shared" si="72"/>
        <v/>
      </c>
      <c r="M474" s="4"/>
      <c r="N474" s="4"/>
      <c r="O474" s="4"/>
      <c r="P474" s="4"/>
      <c r="Q474" s="4"/>
      <c r="R474" s="4"/>
      <c r="S474" s="4"/>
      <c r="T474" s="4"/>
      <c r="U474" s="4"/>
    </row>
    <row r="475" spans="1:21">
      <c r="A475" t="s">
        <v>231</v>
      </c>
      <c r="B475">
        <v>9</v>
      </c>
      <c r="C475" t="str">
        <f t="shared" si="66"/>
        <v>test.TIFFFaxDecoder_9_</v>
      </c>
      <c r="D475">
        <v>2</v>
      </c>
      <c r="E475" s="4">
        <v>0.22222222222222221</v>
      </c>
      <c r="F475" s="4">
        <v>0.24225865209471767</v>
      </c>
      <c r="G475" s="4" t="str">
        <f t="shared" si="67"/>
        <v/>
      </c>
      <c r="H475" s="4">
        <f t="shared" si="68"/>
        <v>0.22222222222222221</v>
      </c>
      <c r="I475" s="4" t="str">
        <f t="shared" si="69"/>
        <v/>
      </c>
      <c r="J475" s="4" t="str">
        <f t="shared" si="70"/>
        <v/>
      </c>
      <c r="K475" s="4" t="str">
        <f t="shared" si="71"/>
        <v/>
      </c>
      <c r="L475" s="4" t="str">
        <f t="shared" si="72"/>
        <v/>
      </c>
      <c r="M475" s="4"/>
      <c r="N475" s="4"/>
      <c r="O475" s="4"/>
      <c r="P475" s="4"/>
      <c r="Q475" s="4"/>
      <c r="R475" s="4"/>
      <c r="S475" s="4"/>
      <c r="T475" s="4"/>
      <c r="U475" s="4"/>
    </row>
    <row r="476" spans="1:21">
      <c r="A476" t="s">
        <v>231</v>
      </c>
      <c r="B476">
        <v>9</v>
      </c>
      <c r="C476" t="str">
        <f t="shared" si="66"/>
        <v>test.TIFFFaxDecoder_9_</v>
      </c>
      <c r="D476">
        <v>3</v>
      </c>
      <c r="E476" s="4">
        <v>0.33333333333333331</v>
      </c>
      <c r="F476" s="4">
        <v>0.24954462659380691</v>
      </c>
      <c r="G476" s="4" t="str">
        <f t="shared" si="67"/>
        <v/>
      </c>
      <c r="H476" s="4">
        <f t="shared" si="68"/>
        <v>0.33333333333333331</v>
      </c>
      <c r="I476" s="4" t="str">
        <f t="shared" si="69"/>
        <v/>
      </c>
      <c r="J476" s="4" t="str">
        <f t="shared" si="70"/>
        <v/>
      </c>
      <c r="K476" s="4" t="str">
        <f t="shared" si="71"/>
        <v/>
      </c>
      <c r="L476" s="4" t="str">
        <f t="shared" si="72"/>
        <v/>
      </c>
      <c r="M476" s="4"/>
      <c r="N476" s="4"/>
      <c r="O476" s="4"/>
      <c r="P476" s="4"/>
      <c r="Q476" s="4"/>
      <c r="R476" s="4"/>
      <c r="S476" s="4"/>
      <c r="T476" s="4"/>
      <c r="U476" s="4"/>
    </row>
    <row r="477" spans="1:21">
      <c r="A477" t="s">
        <v>231</v>
      </c>
      <c r="B477">
        <v>9</v>
      </c>
      <c r="C477" t="str">
        <f t="shared" si="66"/>
        <v>test.TIFFFaxDecoder_9_</v>
      </c>
      <c r="D477">
        <v>4</v>
      </c>
      <c r="E477" s="4">
        <v>0.47222222222222221</v>
      </c>
      <c r="F477" s="4">
        <v>0.27322404371584702</v>
      </c>
      <c r="G477" s="4" t="str">
        <f t="shared" si="67"/>
        <v/>
      </c>
      <c r="H477" s="4">
        <f t="shared" si="68"/>
        <v>0.47222222222222221</v>
      </c>
      <c r="I477" s="4" t="str">
        <f t="shared" si="69"/>
        <v/>
      </c>
      <c r="J477" s="4" t="str">
        <f t="shared" si="70"/>
        <v/>
      </c>
      <c r="K477" s="4" t="str">
        <f t="shared" si="71"/>
        <v/>
      </c>
      <c r="L477" s="4" t="str">
        <f t="shared" si="72"/>
        <v/>
      </c>
      <c r="M477" s="4"/>
      <c r="N477" s="4"/>
      <c r="O477" s="4"/>
      <c r="P477" s="4"/>
      <c r="Q477" s="4"/>
      <c r="R477" s="4"/>
      <c r="S477" s="4"/>
      <c r="T477" s="4"/>
      <c r="U477" s="4"/>
    </row>
    <row r="478" spans="1:21">
      <c r="A478" t="s">
        <v>231</v>
      </c>
      <c r="B478">
        <v>9</v>
      </c>
      <c r="C478" t="str">
        <f t="shared" si="66"/>
        <v>test.TIFFFaxDecoder_9_</v>
      </c>
      <c r="D478">
        <v>5</v>
      </c>
      <c r="E478" s="4">
        <v>0.52777777777777779</v>
      </c>
      <c r="F478" s="4">
        <v>0.30236794171220399</v>
      </c>
      <c r="G478" s="4" t="str">
        <f t="shared" si="67"/>
        <v/>
      </c>
      <c r="H478" s="4">
        <f t="shared" si="68"/>
        <v>0.52777777777777779</v>
      </c>
      <c r="I478" s="4" t="str">
        <f t="shared" si="69"/>
        <v/>
      </c>
      <c r="J478" s="4" t="str">
        <f t="shared" si="70"/>
        <v/>
      </c>
      <c r="K478" s="4" t="str">
        <f t="shared" si="71"/>
        <v/>
      </c>
      <c r="L478" s="4" t="str">
        <f t="shared" si="72"/>
        <v/>
      </c>
      <c r="M478" s="4"/>
      <c r="N478" s="4"/>
      <c r="O478" s="4"/>
      <c r="P478" s="4"/>
      <c r="Q478" s="4"/>
      <c r="R478" s="4"/>
      <c r="S478" s="4"/>
      <c r="T478" s="4"/>
      <c r="U478" s="4"/>
    </row>
    <row r="479" spans="1:21">
      <c r="A479" t="s">
        <v>231</v>
      </c>
      <c r="B479">
        <v>9</v>
      </c>
      <c r="C479" t="str">
        <f t="shared" si="66"/>
        <v>test.TIFFFaxDecoder_9_</v>
      </c>
      <c r="D479">
        <v>6</v>
      </c>
      <c r="E479" s="4">
        <v>0.55555555555555558</v>
      </c>
      <c r="F479" s="4">
        <v>0.30965391621129323</v>
      </c>
      <c r="G479" s="4" t="str">
        <f t="shared" si="67"/>
        <v/>
      </c>
      <c r="H479" s="4">
        <f t="shared" si="68"/>
        <v>0.55555555555555558</v>
      </c>
      <c r="I479" s="4" t="str">
        <f t="shared" si="69"/>
        <v/>
      </c>
      <c r="J479" s="4" t="str">
        <f t="shared" si="70"/>
        <v/>
      </c>
      <c r="K479" s="4" t="str">
        <f t="shared" si="71"/>
        <v/>
      </c>
      <c r="L479" s="4" t="str">
        <f t="shared" si="72"/>
        <v/>
      </c>
      <c r="M479" s="4"/>
      <c r="N479" s="4"/>
      <c r="O479" s="4"/>
      <c r="P479" s="4"/>
      <c r="Q479" s="4"/>
      <c r="R479" s="4"/>
      <c r="S479" s="4"/>
      <c r="T479" s="4"/>
      <c r="U479" s="4"/>
    </row>
    <row r="480" spans="1:21">
      <c r="A480" t="s">
        <v>231</v>
      </c>
      <c r="B480">
        <v>9</v>
      </c>
      <c r="C480" t="str">
        <f t="shared" si="66"/>
        <v>test.TIFFFaxDecoder_9_</v>
      </c>
      <c r="D480">
        <v>7</v>
      </c>
      <c r="E480" s="4">
        <v>0.63888888888888884</v>
      </c>
      <c r="F480" s="4">
        <v>0.31056466302367941</v>
      </c>
      <c r="G480" s="4" t="str">
        <f t="shared" si="67"/>
        <v/>
      </c>
      <c r="H480" s="4">
        <f t="shared" si="68"/>
        <v>0.63888888888888884</v>
      </c>
      <c r="I480" s="4" t="str">
        <f t="shared" si="69"/>
        <v/>
      </c>
      <c r="J480" s="4" t="str">
        <f t="shared" si="70"/>
        <v/>
      </c>
      <c r="K480" s="4" t="str">
        <f t="shared" si="71"/>
        <v/>
      </c>
      <c r="L480" s="4" t="str">
        <f t="shared" si="72"/>
        <v/>
      </c>
      <c r="M480" s="4"/>
      <c r="N480" s="4"/>
      <c r="O480" s="4"/>
      <c r="P480" s="4"/>
      <c r="Q480" s="4"/>
      <c r="R480" s="4"/>
      <c r="S480" s="4"/>
      <c r="T480" s="4"/>
      <c r="U480" s="4"/>
    </row>
    <row r="481" spans="1:21">
      <c r="A481" t="s">
        <v>231</v>
      </c>
      <c r="B481">
        <v>9</v>
      </c>
      <c r="C481" t="str">
        <f t="shared" si="66"/>
        <v>test.TIFFFaxDecoder_9_</v>
      </c>
      <c r="D481">
        <v>8</v>
      </c>
      <c r="E481" s="4">
        <v>0.66666666666666663</v>
      </c>
      <c r="F481" s="4">
        <v>0.31329690346083788</v>
      </c>
      <c r="G481" s="4" t="str">
        <f t="shared" si="67"/>
        <v/>
      </c>
      <c r="H481" s="4">
        <f t="shared" si="68"/>
        <v>0.66666666666666663</v>
      </c>
      <c r="I481" s="4" t="str">
        <f t="shared" si="69"/>
        <v/>
      </c>
      <c r="J481" s="4" t="str">
        <f t="shared" si="70"/>
        <v/>
      </c>
      <c r="K481" s="4" t="str">
        <f t="shared" si="71"/>
        <v/>
      </c>
      <c r="L481" s="4" t="str">
        <f t="shared" si="72"/>
        <v/>
      </c>
      <c r="M481" s="4"/>
      <c r="N481" s="4"/>
      <c r="O481" s="4"/>
      <c r="P481" s="4"/>
      <c r="Q481" s="4"/>
      <c r="R481" s="4"/>
      <c r="S481" s="4"/>
      <c r="T481" s="4"/>
      <c r="U481" s="4"/>
    </row>
    <row r="482" spans="1:21">
      <c r="A482" t="s">
        <v>231</v>
      </c>
      <c r="B482">
        <v>9</v>
      </c>
      <c r="C482" t="str">
        <f t="shared" si="66"/>
        <v>test.TIFFFaxDecoder_9_</v>
      </c>
      <c r="D482">
        <v>9</v>
      </c>
      <c r="E482" s="4">
        <v>0.66666666666666663</v>
      </c>
      <c r="F482" s="4">
        <v>0.31602914389799636</v>
      </c>
      <c r="G482" s="4" t="str">
        <f t="shared" si="67"/>
        <v/>
      </c>
      <c r="H482" s="4">
        <f t="shared" si="68"/>
        <v>0.66666666666666663</v>
      </c>
      <c r="I482" s="4" t="str">
        <f t="shared" si="69"/>
        <v/>
      </c>
      <c r="J482" s="4" t="str">
        <f t="shared" si="70"/>
        <v/>
      </c>
      <c r="K482" s="4" t="str">
        <f t="shared" si="71"/>
        <v/>
      </c>
      <c r="L482" s="4" t="str">
        <f t="shared" si="72"/>
        <v/>
      </c>
      <c r="M482" s="4"/>
      <c r="N482" s="4"/>
      <c r="O482" s="4"/>
      <c r="P482" s="4"/>
      <c r="Q482" s="4"/>
      <c r="R482" s="4"/>
      <c r="S482" s="4"/>
      <c r="T482" s="4"/>
      <c r="U482" s="4"/>
    </row>
    <row r="483" spans="1:21">
      <c r="A483" t="s">
        <v>231</v>
      </c>
      <c r="B483">
        <v>9</v>
      </c>
      <c r="C483" t="str">
        <f t="shared" si="66"/>
        <v>test.TIFFFaxDecoder_9_</v>
      </c>
      <c r="D483">
        <v>10</v>
      </c>
      <c r="E483" s="4">
        <v>0.66666666666666663</v>
      </c>
      <c r="F483" s="4">
        <v>0.31785063752276865</v>
      </c>
      <c r="G483" s="4" t="str">
        <f t="shared" si="67"/>
        <v/>
      </c>
      <c r="H483" s="4">
        <f t="shared" si="68"/>
        <v>0.66666666666666663</v>
      </c>
      <c r="I483" s="4" t="str">
        <f t="shared" si="69"/>
        <v/>
      </c>
      <c r="J483" s="4" t="str">
        <f t="shared" si="70"/>
        <v/>
      </c>
      <c r="K483" s="4" t="str">
        <f t="shared" si="71"/>
        <v/>
      </c>
      <c r="L483" s="4" t="str">
        <f t="shared" si="72"/>
        <v/>
      </c>
      <c r="M483" s="4"/>
      <c r="N483" s="4"/>
      <c r="O483" s="4"/>
      <c r="P483" s="4"/>
      <c r="Q483" s="4"/>
      <c r="R483" s="4"/>
      <c r="S483" s="4"/>
      <c r="T483" s="4"/>
      <c r="U483" s="4"/>
    </row>
    <row r="484" spans="1:21">
      <c r="A484" t="s">
        <v>231</v>
      </c>
      <c r="B484">
        <v>9</v>
      </c>
      <c r="C484" t="str">
        <f t="shared" si="66"/>
        <v>test.TIFFFaxDecoder_9_</v>
      </c>
      <c r="D484">
        <v>11</v>
      </c>
      <c r="E484" s="4">
        <v>0.66666666666666663</v>
      </c>
      <c r="F484" s="4">
        <v>0.3214936247723133</v>
      </c>
      <c r="G484" s="4" t="str">
        <f t="shared" si="67"/>
        <v/>
      </c>
      <c r="H484" s="4">
        <f t="shared" si="68"/>
        <v>0.66666666666666663</v>
      </c>
      <c r="I484" s="4" t="str">
        <f t="shared" si="69"/>
        <v/>
      </c>
      <c r="J484" s="4" t="str">
        <f t="shared" si="70"/>
        <v/>
      </c>
      <c r="K484" s="4" t="str">
        <f t="shared" si="71"/>
        <v/>
      </c>
      <c r="L484" s="4" t="str">
        <f t="shared" si="72"/>
        <v/>
      </c>
      <c r="M484" s="4"/>
      <c r="N484" s="4"/>
      <c r="O484" s="4"/>
      <c r="P484" s="4"/>
      <c r="Q484" s="4"/>
      <c r="R484" s="4"/>
      <c r="S484" s="4"/>
      <c r="T484" s="4"/>
      <c r="U484" s="4"/>
    </row>
    <row r="485" spans="1:21">
      <c r="A485" t="s">
        <v>231</v>
      </c>
      <c r="B485">
        <v>9</v>
      </c>
      <c r="C485" t="str">
        <f t="shared" si="66"/>
        <v>test.TIFFFaxDecoder_9_</v>
      </c>
      <c r="D485">
        <v>12</v>
      </c>
      <c r="E485" s="4">
        <v>0.66666666666666663</v>
      </c>
      <c r="F485" s="4">
        <v>0.38069216757741348</v>
      </c>
      <c r="G485" s="4" t="str">
        <f t="shared" si="67"/>
        <v/>
      </c>
      <c r="H485" s="4">
        <f t="shared" si="68"/>
        <v>0.66666666666666663</v>
      </c>
      <c r="I485" s="4" t="str">
        <f t="shared" si="69"/>
        <v/>
      </c>
      <c r="J485" s="4" t="str">
        <f t="shared" si="70"/>
        <v/>
      </c>
      <c r="K485" s="4" t="str">
        <f t="shared" si="71"/>
        <v/>
      </c>
      <c r="L485" s="4" t="str">
        <f t="shared" si="72"/>
        <v/>
      </c>
      <c r="M485" s="4"/>
      <c r="N485" s="4"/>
      <c r="O485" s="4"/>
      <c r="P485" s="4"/>
      <c r="Q485" s="4"/>
      <c r="R485" s="4"/>
      <c r="S485" s="4"/>
      <c r="T485" s="4"/>
      <c r="U485" s="4"/>
    </row>
    <row r="486" spans="1:21">
      <c r="A486" t="s">
        <v>231</v>
      </c>
      <c r="B486">
        <v>9</v>
      </c>
      <c r="C486" t="str">
        <f t="shared" si="66"/>
        <v>test.TIFFFaxDecoder_9_</v>
      </c>
      <c r="D486">
        <v>13</v>
      </c>
      <c r="E486" s="4">
        <v>0.66666666666666663</v>
      </c>
      <c r="F486" s="4">
        <v>0.40346083788706738</v>
      </c>
      <c r="G486" s="4" t="str">
        <f t="shared" si="67"/>
        <v/>
      </c>
      <c r="H486" s="4" t="str">
        <f t="shared" si="68"/>
        <v/>
      </c>
      <c r="I486" s="4">
        <f t="shared" si="69"/>
        <v>0.66666666666666663</v>
      </c>
      <c r="J486" s="4" t="str">
        <f t="shared" si="70"/>
        <v/>
      </c>
      <c r="K486" s="4" t="str">
        <f t="shared" si="71"/>
        <v/>
      </c>
      <c r="L486" s="4" t="str">
        <f t="shared" si="72"/>
        <v/>
      </c>
      <c r="M486" s="4"/>
      <c r="N486" s="4"/>
      <c r="O486" s="4"/>
      <c r="P486" s="4"/>
      <c r="Q486" s="4"/>
      <c r="R486" s="4"/>
      <c r="S486" s="4"/>
      <c r="T486" s="4"/>
      <c r="U486" s="4"/>
    </row>
    <row r="487" spans="1:21">
      <c r="A487" t="s">
        <v>231</v>
      </c>
      <c r="B487">
        <v>9</v>
      </c>
      <c r="C487" t="str">
        <f t="shared" si="66"/>
        <v>test.TIFFFaxDecoder_9_</v>
      </c>
      <c r="D487">
        <v>14</v>
      </c>
      <c r="E487" s="4">
        <v>0.77777777777777779</v>
      </c>
      <c r="F487" s="4">
        <v>0.44171220400728595</v>
      </c>
      <c r="G487" s="4" t="str">
        <f t="shared" si="67"/>
        <v/>
      </c>
      <c r="H487" s="4" t="str">
        <f t="shared" si="68"/>
        <v/>
      </c>
      <c r="I487" s="4">
        <f t="shared" si="69"/>
        <v>0.77777777777777779</v>
      </c>
      <c r="J487" s="4" t="str">
        <f t="shared" si="70"/>
        <v/>
      </c>
      <c r="K487" s="4" t="str">
        <f t="shared" si="71"/>
        <v/>
      </c>
      <c r="L487" s="4" t="str">
        <f t="shared" si="72"/>
        <v/>
      </c>
      <c r="M487" s="4"/>
      <c r="N487" s="4"/>
      <c r="O487" s="4"/>
      <c r="P487" s="4"/>
      <c r="Q487" s="4"/>
      <c r="R487" s="4"/>
      <c r="S487" s="4"/>
      <c r="T487" s="4"/>
      <c r="U487" s="4"/>
    </row>
    <row r="488" spans="1:21">
      <c r="A488" t="s">
        <v>231</v>
      </c>
      <c r="B488">
        <v>9</v>
      </c>
      <c r="C488" t="str">
        <f t="shared" si="66"/>
        <v>test.TIFFFaxDecoder_9_</v>
      </c>
      <c r="D488">
        <v>15</v>
      </c>
      <c r="E488" s="4">
        <v>0.97222222222222221</v>
      </c>
      <c r="F488" s="4">
        <v>0.60382513661202186</v>
      </c>
      <c r="G488" s="4" t="str">
        <f t="shared" si="67"/>
        <v/>
      </c>
      <c r="H488" s="4" t="str">
        <f t="shared" si="68"/>
        <v/>
      </c>
      <c r="I488" s="4" t="str">
        <f t="shared" si="69"/>
        <v/>
      </c>
      <c r="J488" s="4">
        <f t="shared" si="70"/>
        <v>0.97222222222222221</v>
      </c>
      <c r="K488" s="4" t="str">
        <f t="shared" si="71"/>
        <v/>
      </c>
      <c r="L488" s="4" t="str">
        <f t="shared" si="72"/>
        <v/>
      </c>
      <c r="M488" s="4"/>
      <c r="N488" s="4"/>
      <c r="O488" s="4"/>
      <c r="P488" s="4"/>
      <c r="Q488" s="4"/>
      <c r="R488" s="4"/>
      <c r="S488" s="4"/>
      <c r="T488" s="4"/>
      <c r="U488" s="4"/>
    </row>
    <row r="489" spans="1:21">
      <c r="A489" t="s">
        <v>231</v>
      </c>
      <c r="B489">
        <v>9</v>
      </c>
      <c r="C489" t="str">
        <f t="shared" si="66"/>
        <v>test.TIFFFaxDecoder_9_</v>
      </c>
      <c r="D489">
        <v>16</v>
      </c>
      <c r="E489" s="4">
        <v>0.97222222222222221</v>
      </c>
      <c r="F489" s="4">
        <v>0.63479052823315119</v>
      </c>
      <c r="G489" s="4" t="str">
        <f t="shared" si="67"/>
        <v/>
      </c>
      <c r="H489" s="4" t="str">
        <f t="shared" si="68"/>
        <v/>
      </c>
      <c r="I489" s="4" t="str">
        <f t="shared" si="69"/>
        <v/>
      </c>
      <c r="J489" s="4">
        <f t="shared" si="70"/>
        <v>0.97222222222222221</v>
      </c>
      <c r="K489" s="4" t="str">
        <f t="shared" si="71"/>
        <v/>
      </c>
      <c r="L489" s="4" t="str">
        <f t="shared" si="72"/>
        <v/>
      </c>
      <c r="M489" s="4"/>
      <c r="N489" s="4"/>
      <c r="O489" s="4"/>
      <c r="P489" s="4"/>
      <c r="Q489" s="4"/>
      <c r="R489" s="4"/>
      <c r="S489" s="4"/>
      <c r="T489" s="4"/>
      <c r="U489" s="4"/>
    </row>
    <row r="490" spans="1:21">
      <c r="A490" t="s">
        <v>231</v>
      </c>
      <c r="B490">
        <v>9</v>
      </c>
      <c r="C490" t="str">
        <f t="shared" si="66"/>
        <v>test.TIFFFaxDecoder_9_</v>
      </c>
      <c r="D490">
        <v>17</v>
      </c>
      <c r="E490" s="4">
        <v>1</v>
      </c>
      <c r="F490" s="4">
        <v>0.67486338797814205</v>
      </c>
      <c r="G490" s="4" t="str">
        <f t="shared" si="67"/>
        <v/>
      </c>
      <c r="H490" s="4" t="str">
        <f t="shared" si="68"/>
        <v/>
      </c>
      <c r="I490" s="4" t="str">
        <f t="shared" si="69"/>
        <v/>
      </c>
      <c r="J490" s="4">
        <f t="shared" si="70"/>
        <v>1</v>
      </c>
      <c r="K490" s="4" t="str">
        <f t="shared" si="71"/>
        <v/>
      </c>
      <c r="L490" s="4" t="str">
        <f t="shared" si="72"/>
        <v/>
      </c>
      <c r="M490" s="4"/>
      <c r="N490" s="4"/>
      <c r="O490" s="4"/>
      <c r="P490" s="4"/>
      <c r="Q490" s="4"/>
      <c r="R490" s="4"/>
      <c r="S490" s="4"/>
      <c r="T490" s="4"/>
      <c r="U490" s="4"/>
    </row>
    <row r="491" spans="1:21">
      <c r="A491" t="s">
        <v>231</v>
      </c>
      <c r="B491">
        <v>9</v>
      </c>
      <c r="C491" t="str">
        <f t="shared" si="66"/>
        <v>test.TIFFFaxDecoder_9_</v>
      </c>
      <c r="D491">
        <v>18</v>
      </c>
      <c r="E491" s="4">
        <v>1</v>
      </c>
      <c r="F491" s="4">
        <v>0.68670309653916206</v>
      </c>
      <c r="G491" s="4" t="str">
        <f t="shared" si="67"/>
        <v/>
      </c>
      <c r="H491" s="4" t="str">
        <f t="shared" si="68"/>
        <v/>
      </c>
      <c r="I491" s="4" t="str">
        <f t="shared" si="69"/>
        <v/>
      </c>
      <c r="J491" s="4">
        <f t="shared" si="70"/>
        <v>1</v>
      </c>
      <c r="K491" s="4" t="str">
        <f t="shared" si="71"/>
        <v/>
      </c>
      <c r="L491" s="4" t="str">
        <f t="shared" si="72"/>
        <v/>
      </c>
      <c r="M491" s="4"/>
      <c r="N491" s="4"/>
      <c r="O491" s="4"/>
      <c r="P491" s="4"/>
      <c r="Q491" s="4"/>
      <c r="R491" s="4"/>
      <c r="S491" s="4"/>
      <c r="T491" s="4"/>
      <c r="U491" s="4"/>
    </row>
    <row r="492" spans="1:21">
      <c r="A492" t="s">
        <v>231</v>
      </c>
      <c r="B492">
        <v>10</v>
      </c>
      <c r="C492" t="str">
        <f t="shared" si="66"/>
        <v>test.TIFFFaxDecoder_10_</v>
      </c>
      <c r="D492">
        <v>1</v>
      </c>
      <c r="E492" s="4">
        <v>0.9</v>
      </c>
      <c r="F492" s="4">
        <v>0.93979671618451921</v>
      </c>
      <c r="G492" s="4" t="str">
        <f t="shared" si="67"/>
        <v/>
      </c>
      <c r="H492" s="4" t="str">
        <f t="shared" si="68"/>
        <v/>
      </c>
      <c r="I492" s="4" t="str">
        <f t="shared" si="69"/>
        <v/>
      </c>
      <c r="J492" s="4" t="str">
        <f t="shared" si="70"/>
        <v/>
      </c>
      <c r="K492" s="4">
        <f t="shared" si="71"/>
        <v>0.9</v>
      </c>
      <c r="L492" s="4" t="str">
        <f t="shared" si="72"/>
        <v/>
      </c>
      <c r="M492" s="4"/>
      <c r="N492" s="4"/>
      <c r="O492" s="4"/>
      <c r="P492" s="4"/>
      <c r="Q492" s="4"/>
      <c r="R492" s="4"/>
      <c r="S492" s="4"/>
      <c r="T492" s="4"/>
      <c r="U492" s="4"/>
    </row>
    <row r="493" spans="1:21">
      <c r="A493" t="s">
        <v>231</v>
      </c>
      <c r="B493">
        <v>10</v>
      </c>
      <c r="C493" t="str">
        <f t="shared" si="66"/>
        <v>test.TIFFFaxDecoder_10_</v>
      </c>
      <c r="D493">
        <v>2</v>
      </c>
      <c r="E493" s="4">
        <v>1</v>
      </c>
      <c r="F493" s="4">
        <v>0.94370602032838158</v>
      </c>
      <c r="G493" s="4" t="str">
        <f t="shared" si="67"/>
        <v/>
      </c>
      <c r="H493" s="4" t="str">
        <f t="shared" si="68"/>
        <v/>
      </c>
      <c r="I493" s="4" t="str">
        <f t="shared" si="69"/>
        <v/>
      </c>
      <c r="J493" s="4" t="str">
        <f t="shared" si="70"/>
        <v/>
      </c>
      <c r="K493" s="4">
        <f t="shared" si="71"/>
        <v>1</v>
      </c>
      <c r="L493" s="4" t="str">
        <f t="shared" si="72"/>
        <v/>
      </c>
      <c r="M493" s="4"/>
      <c r="N493" s="4"/>
      <c r="O493" s="4"/>
      <c r="P493" s="4"/>
      <c r="Q493" s="4"/>
      <c r="R493" s="4"/>
      <c r="S493" s="4"/>
      <c r="T493" s="4"/>
      <c r="U493" s="4"/>
    </row>
    <row r="494" spans="1:21">
      <c r="A494" t="s">
        <v>231</v>
      </c>
      <c r="B494">
        <v>10</v>
      </c>
      <c r="C494" t="str">
        <f t="shared" si="66"/>
        <v>test.TIFFFaxDecoder_10_</v>
      </c>
      <c r="D494">
        <v>3</v>
      </c>
      <c r="E494" s="4">
        <v>1</v>
      </c>
      <c r="F494" s="4">
        <v>0.94605160281469902</v>
      </c>
      <c r="G494" s="4" t="str">
        <f t="shared" si="67"/>
        <v/>
      </c>
      <c r="H494" s="4" t="str">
        <f t="shared" si="68"/>
        <v/>
      </c>
      <c r="I494" s="4" t="str">
        <f t="shared" si="69"/>
        <v/>
      </c>
      <c r="J494" s="4" t="str">
        <f t="shared" si="70"/>
        <v/>
      </c>
      <c r="K494" s="4">
        <f t="shared" si="71"/>
        <v>1</v>
      </c>
      <c r="L494" s="4" t="str">
        <f t="shared" si="72"/>
        <v/>
      </c>
      <c r="M494" s="4"/>
      <c r="N494" s="4"/>
      <c r="O494" s="4"/>
      <c r="P494" s="4"/>
      <c r="Q494" s="4"/>
      <c r="R494" s="4"/>
      <c r="S494" s="4"/>
      <c r="T494" s="4"/>
      <c r="U494" s="4"/>
    </row>
    <row r="495" spans="1:21">
      <c r="A495" t="s">
        <v>231</v>
      </c>
      <c r="B495">
        <v>10</v>
      </c>
      <c r="C495" t="str">
        <f t="shared" si="66"/>
        <v>test.TIFFFaxDecoder_10_</v>
      </c>
      <c r="D495">
        <v>4</v>
      </c>
      <c r="E495" s="4">
        <v>1</v>
      </c>
      <c r="F495" s="4">
        <v>0.96403440187646594</v>
      </c>
      <c r="G495" s="4" t="str">
        <f t="shared" si="67"/>
        <v/>
      </c>
      <c r="H495" s="4" t="str">
        <f t="shared" si="68"/>
        <v/>
      </c>
      <c r="I495" s="4" t="str">
        <f t="shared" si="69"/>
        <v/>
      </c>
      <c r="J495" s="4" t="str">
        <f t="shared" si="70"/>
        <v/>
      </c>
      <c r="K495" s="4">
        <f t="shared" si="71"/>
        <v>1</v>
      </c>
      <c r="L495" s="4" t="str">
        <f t="shared" si="72"/>
        <v/>
      </c>
      <c r="M495" s="4"/>
      <c r="N495" s="4"/>
      <c r="O495" s="4"/>
      <c r="P495" s="4"/>
      <c r="Q495" s="4"/>
      <c r="R495" s="4"/>
      <c r="S495" s="4"/>
      <c r="T495" s="4"/>
      <c r="U495" s="4"/>
    </row>
    <row r="496" spans="1:21">
      <c r="A496" t="s">
        <v>231</v>
      </c>
      <c r="B496">
        <v>11</v>
      </c>
      <c r="C496" t="str">
        <f t="shared" si="66"/>
        <v>test.TIFFFaxDecoder_11_</v>
      </c>
      <c r="D496">
        <v>1</v>
      </c>
      <c r="E496" s="4">
        <v>7.9545454545454544E-2</v>
      </c>
      <c r="F496" s="4">
        <v>0.11727559765448804</v>
      </c>
      <c r="G496" s="4">
        <f t="shared" si="67"/>
        <v>7.9545454545454544E-2</v>
      </c>
      <c r="H496" s="4" t="str">
        <f t="shared" si="68"/>
        <v/>
      </c>
      <c r="I496" s="4" t="str">
        <f t="shared" si="69"/>
        <v/>
      </c>
      <c r="J496" s="4" t="str">
        <f t="shared" si="70"/>
        <v/>
      </c>
      <c r="K496" s="4" t="str">
        <f t="shared" si="71"/>
        <v/>
      </c>
      <c r="L496" s="4" t="str">
        <f t="shared" si="72"/>
        <v/>
      </c>
      <c r="M496" s="4"/>
      <c r="N496" s="4"/>
      <c r="O496" s="4"/>
      <c r="P496" s="4"/>
      <c r="Q496" s="4"/>
      <c r="R496" s="4"/>
      <c r="S496" s="4"/>
      <c r="T496" s="4"/>
      <c r="U496" s="4"/>
    </row>
    <row r="497" spans="1:21">
      <c r="A497" t="s">
        <v>231</v>
      </c>
      <c r="B497">
        <v>11</v>
      </c>
      <c r="C497" t="str">
        <f t="shared" si="66"/>
        <v>test.TIFFFaxDecoder_11_</v>
      </c>
      <c r="D497">
        <v>2</v>
      </c>
      <c r="E497" s="4">
        <v>0.38636363636363635</v>
      </c>
      <c r="F497" s="4">
        <v>0.4316644113667118</v>
      </c>
      <c r="G497" s="4" t="str">
        <f t="shared" si="67"/>
        <v/>
      </c>
      <c r="H497" s="4" t="str">
        <f t="shared" si="68"/>
        <v/>
      </c>
      <c r="I497" s="4">
        <f t="shared" si="69"/>
        <v>0.38636363636363635</v>
      </c>
      <c r="J497" s="4" t="str">
        <f t="shared" si="70"/>
        <v/>
      </c>
      <c r="K497" s="4" t="str">
        <f t="shared" si="71"/>
        <v/>
      </c>
      <c r="L497" s="4" t="str">
        <f t="shared" si="72"/>
        <v/>
      </c>
      <c r="M497" s="4"/>
      <c r="N497" s="4"/>
      <c r="O497" s="4"/>
      <c r="P497" s="4"/>
      <c r="Q497" s="4"/>
      <c r="R497" s="4"/>
      <c r="S497" s="4"/>
      <c r="T497" s="4"/>
      <c r="U497" s="4"/>
    </row>
    <row r="498" spans="1:21">
      <c r="A498" t="s">
        <v>231</v>
      </c>
      <c r="B498">
        <v>11</v>
      </c>
      <c r="C498" t="str">
        <f t="shared" si="66"/>
        <v>test.TIFFFaxDecoder_11_</v>
      </c>
      <c r="D498">
        <v>3</v>
      </c>
      <c r="E498" s="4">
        <v>0.48863636363636365</v>
      </c>
      <c r="F498" s="4">
        <v>0.4654939106901218</v>
      </c>
      <c r="G498" s="4" t="str">
        <f t="shared" si="67"/>
        <v/>
      </c>
      <c r="H498" s="4" t="str">
        <f t="shared" si="68"/>
        <v/>
      </c>
      <c r="I498" s="4">
        <f t="shared" si="69"/>
        <v>0.48863636363636365</v>
      </c>
      <c r="J498" s="4" t="str">
        <f t="shared" si="70"/>
        <v/>
      </c>
      <c r="K498" s="4" t="str">
        <f t="shared" si="71"/>
        <v/>
      </c>
      <c r="L498" s="4" t="str">
        <f t="shared" si="72"/>
        <v/>
      </c>
      <c r="M498" s="4"/>
      <c r="N498" s="4"/>
      <c r="O498" s="4"/>
      <c r="P498" s="4"/>
      <c r="Q498" s="4"/>
      <c r="R498" s="4"/>
      <c r="S498" s="4"/>
      <c r="T498" s="4"/>
      <c r="U498" s="4"/>
    </row>
    <row r="499" spans="1:21">
      <c r="A499" t="s">
        <v>231</v>
      </c>
      <c r="B499">
        <v>11</v>
      </c>
      <c r="C499" t="str">
        <f t="shared" si="66"/>
        <v>test.TIFFFaxDecoder_11_</v>
      </c>
      <c r="D499">
        <v>4</v>
      </c>
      <c r="E499" s="4">
        <v>0.52272727272727271</v>
      </c>
      <c r="F499" s="4">
        <v>0.46639603067207941</v>
      </c>
      <c r="G499" s="4" t="str">
        <f t="shared" si="67"/>
        <v/>
      </c>
      <c r="H499" s="4" t="str">
        <f t="shared" si="68"/>
        <v/>
      </c>
      <c r="I499" s="4">
        <f t="shared" si="69"/>
        <v>0.52272727272727271</v>
      </c>
      <c r="J499" s="4" t="str">
        <f t="shared" si="70"/>
        <v/>
      </c>
      <c r="K499" s="4" t="str">
        <f t="shared" si="71"/>
        <v/>
      </c>
      <c r="L499" s="4" t="str">
        <f t="shared" si="72"/>
        <v/>
      </c>
      <c r="M499" s="4"/>
      <c r="N499" s="4"/>
      <c r="O499" s="4"/>
      <c r="P499" s="4"/>
      <c r="Q499" s="4"/>
      <c r="R499" s="4"/>
      <c r="S499" s="4"/>
      <c r="T499" s="4"/>
      <c r="U499" s="4"/>
    </row>
    <row r="500" spans="1:21">
      <c r="A500" t="s">
        <v>231</v>
      </c>
      <c r="B500">
        <v>11</v>
      </c>
      <c r="C500" t="str">
        <f t="shared" si="66"/>
        <v>test.TIFFFaxDecoder_11_</v>
      </c>
      <c r="D500">
        <v>5</v>
      </c>
      <c r="E500" s="4">
        <v>0.61363636363636365</v>
      </c>
      <c r="F500" s="4">
        <v>0.47135769057284621</v>
      </c>
      <c r="G500" s="4" t="str">
        <f t="shared" si="67"/>
        <v/>
      </c>
      <c r="H500" s="4" t="str">
        <f t="shared" si="68"/>
        <v/>
      </c>
      <c r="I500" s="4">
        <f t="shared" si="69"/>
        <v>0.61363636363636365</v>
      </c>
      <c r="J500" s="4" t="str">
        <f t="shared" si="70"/>
        <v/>
      </c>
      <c r="K500" s="4" t="str">
        <f t="shared" si="71"/>
        <v/>
      </c>
      <c r="L500" s="4" t="str">
        <f t="shared" si="72"/>
        <v/>
      </c>
      <c r="M500" s="4"/>
      <c r="N500" s="4"/>
      <c r="O500" s="4"/>
      <c r="P500" s="4"/>
      <c r="Q500" s="4"/>
      <c r="R500" s="4"/>
      <c r="S500" s="4"/>
      <c r="T500" s="4"/>
      <c r="U500" s="4"/>
    </row>
    <row r="501" spans="1:21">
      <c r="A501" t="s">
        <v>231</v>
      </c>
      <c r="B501">
        <v>11</v>
      </c>
      <c r="C501" t="str">
        <f t="shared" si="66"/>
        <v>test.TIFFFaxDecoder_11_</v>
      </c>
      <c r="D501">
        <v>6</v>
      </c>
      <c r="E501" s="4">
        <v>0.61363636363636365</v>
      </c>
      <c r="F501" s="4">
        <v>0.48624267027514662</v>
      </c>
      <c r="G501" s="4" t="str">
        <f t="shared" si="67"/>
        <v/>
      </c>
      <c r="H501" s="4" t="str">
        <f t="shared" si="68"/>
        <v/>
      </c>
      <c r="I501" s="4">
        <f t="shared" si="69"/>
        <v>0.61363636363636365</v>
      </c>
      <c r="J501" s="4" t="str">
        <f t="shared" si="70"/>
        <v/>
      </c>
      <c r="K501" s="4" t="str">
        <f t="shared" si="71"/>
        <v/>
      </c>
      <c r="L501" s="4" t="str">
        <f t="shared" si="72"/>
        <v/>
      </c>
      <c r="M501" s="4"/>
      <c r="N501" s="4"/>
      <c r="O501" s="4"/>
      <c r="P501" s="4"/>
      <c r="Q501" s="4"/>
      <c r="R501" s="4"/>
      <c r="S501" s="4"/>
      <c r="T501" s="4"/>
      <c r="U501" s="4"/>
    </row>
    <row r="502" spans="1:21">
      <c r="A502" t="s">
        <v>231</v>
      </c>
      <c r="B502">
        <v>11</v>
      </c>
      <c r="C502" t="str">
        <f t="shared" si="66"/>
        <v>test.TIFFFaxDecoder_11_</v>
      </c>
      <c r="D502">
        <v>7</v>
      </c>
      <c r="E502" s="4">
        <v>0.61363636363636365</v>
      </c>
      <c r="F502" s="4">
        <v>0.48894903022101938</v>
      </c>
      <c r="G502" s="4" t="str">
        <f t="shared" si="67"/>
        <v/>
      </c>
      <c r="H502" s="4" t="str">
        <f t="shared" si="68"/>
        <v/>
      </c>
      <c r="I502" s="4">
        <f t="shared" si="69"/>
        <v>0.61363636363636365</v>
      </c>
      <c r="J502" s="4" t="str">
        <f t="shared" si="70"/>
        <v/>
      </c>
      <c r="K502" s="4" t="str">
        <f t="shared" si="71"/>
        <v/>
      </c>
      <c r="L502" s="4" t="str">
        <f t="shared" si="72"/>
        <v/>
      </c>
      <c r="M502" s="4"/>
      <c r="N502" s="4"/>
      <c r="O502" s="4"/>
      <c r="P502" s="4"/>
      <c r="Q502" s="4"/>
      <c r="R502" s="4"/>
      <c r="S502" s="4"/>
      <c r="T502" s="4"/>
      <c r="U502" s="4"/>
    </row>
    <row r="503" spans="1:21">
      <c r="A503" t="s">
        <v>231</v>
      </c>
      <c r="B503">
        <v>11</v>
      </c>
      <c r="C503" t="str">
        <f t="shared" si="66"/>
        <v>test.TIFFFaxDecoder_11_</v>
      </c>
      <c r="D503">
        <v>8</v>
      </c>
      <c r="E503" s="4">
        <v>0.70454545454545459</v>
      </c>
      <c r="F503" s="4">
        <v>0.54262516914749659</v>
      </c>
      <c r="G503" s="4" t="str">
        <f t="shared" si="67"/>
        <v/>
      </c>
      <c r="H503" s="4" t="str">
        <f t="shared" si="68"/>
        <v/>
      </c>
      <c r="I503" s="4">
        <f t="shared" si="69"/>
        <v>0.70454545454545459</v>
      </c>
      <c r="J503" s="4" t="str">
        <f t="shared" si="70"/>
        <v/>
      </c>
      <c r="K503" s="4" t="str">
        <f t="shared" si="71"/>
        <v/>
      </c>
      <c r="L503" s="4" t="str">
        <f t="shared" si="72"/>
        <v/>
      </c>
      <c r="M503" s="4"/>
      <c r="N503" s="4"/>
      <c r="O503" s="4"/>
      <c r="P503" s="4"/>
      <c r="Q503" s="4"/>
      <c r="R503" s="4"/>
      <c r="S503" s="4"/>
      <c r="T503" s="4"/>
      <c r="U503" s="4"/>
    </row>
    <row r="504" spans="1:21">
      <c r="A504" t="s">
        <v>231</v>
      </c>
      <c r="B504">
        <v>11</v>
      </c>
      <c r="C504" t="str">
        <f t="shared" si="66"/>
        <v>test.TIFFFaxDecoder_11_</v>
      </c>
      <c r="D504">
        <v>9</v>
      </c>
      <c r="E504" s="4">
        <v>0.77272727272727271</v>
      </c>
      <c r="F504" s="4">
        <v>0.54352728912945425</v>
      </c>
      <c r="G504" s="4" t="str">
        <f t="shared" si="67"/>
        <v/>
      </c>
      <c r="H504" s="4" t="str">
        <f t="shared" si="68"/>
        <v/>
      </c>
      <c r="I504" s="4">
        <f t="shared" si="69"/>
        <v>0.77272727272727271</v>
      </c>
      <c r="J504" s="4" t="str">
        <f t="shared" si="70"/>
        <v/>
      </c>
      <c r="K504" s="4" t="str">
        <f t="shared" si="71"/>
        <v/>
      </c>
      <c r="L504" s="4" t="str">
        <f t="shared" si="72"/>
        <v/>
      </c>
      <c r="M504" s="4"/>
      <c r="N504" s="4"/>
      <c r="O504" s="4"/>
      <c r="P504" s="4"/>
      <c r="Q504" s="4"/>
      <c r="R504" s="4"/>
      <c r="S504" s="4"/>
      <c r="T504" s="4"/>
      <c r="U504" s="4"/>
    </row>
    <row r="505" spans="1:21">
      <c r="A505" t="s">
        <v>231</v>
      </c>
      <c r="B505">
        <v>11</v>
      </c>
      <c r="C505" t="str">
        <f t="shared" si="66"/>
        <v>test.TIFFFaxDecoder_11_</v>
      </c>
      <c r="D505">
        <v>10</v>
      </c>
      <c r="E505" s="4">
        <v>0.77272727272727271</v>
      </c>
      <c r="F505" s="4">
        <v>0.54848894903022105</v>
      </c>
      <c r="G505" s="4" t="str">
        <f t="shared" si="67"/>
        <v/>
      </c>
      <c r="H505" s="4" t="str">
        <f t="shared" si="68"/>
        <v/>
      </c>
      <c r="I505" s="4">
        <f t="shared" si="69"/>
        <v>0.77272727272727271</v>
      </c>
      <c r="J505" s="4" t="str">
        <f t="shared" si="70"/>
        <v/>
      </c>
      <c r="K505" s="4" t="str">
        <f t="shared" si="71"/>
        <v/>
      </c>
      <c r="L505" s="4" t="str">
        <f t="shared" si="72"/>
        <v/>
      </c>
      <c r="M505" s="4"/>
      <c r="N505" s="4"/>
      <c r="O505" s="4"/>
      <c r="P505" s="4"/>
      <c r="Q505" s="4"/>
      <c r="R505" s="4"/>
      <c r="S505" s="4"/>
      <c r="T505" s="4"/>
      <c r="U505" s="4"/>
    </row>
    <row r="506" spans="1:21">
      <c r="A506" t="s">
        <v>231</v>
      </c>
      <c r="B506">
        <v>11</v>
      </c>
      <c r="C506" t="str">
        <f t="shared" si="66"/>
        <v>test.TIFFFaxDecoder_11_</v>
      </c>
      <c r="D506">
        <v>11</v>
      </c>
      <c r="E506" s="4">
        <v>0.77272727272727271</v>
      </c>
      <c r="F506" s="4">
        <v>0.55615696887686061</v>
      </c>
      <c r="G506" s="4" t="str">
        <f t="shared" si="67"/>
        <v/>
      </c>
      <c r="H506" s="4" t="str">
        <f t="shared" si="68"/>
        <v/>
      </c>
      <c r="I506" s="4">
        <f t="shared" si="69"/>
        <v>0.77272727272727271</v>
      </c>
      <c r="J506" s="4" t="str">
        <f t="shared" si="70"/>
        <v/>
      </c>
      <c r="K506" s="4" t="str">
        <f t="shared" si="71"/>
        <v/>
      </c>
      <c r="L506" s="4" t="str">
        <f t="shared" si="72"/>
        <v/>
      </c>
      <c r="M506" s="4"/>
      <c r="N506" s="4"/>
      <c r="O506" s="4"/>
      <c r="P506" s="4"/>
      <c r="Q506" s="4"/>
      <c r="R506" s="4"/>
      <c r="S506" s="4"/>
      <c r="T506" s="4"/>
      <c r="U506" s="4"/>
    </row>
    <row r="507" spans="1:21">
      <c r="A507" t="s">
        <v>231</v>
      </c>
      <c r="B507">
        <v>11</v>
      </c>
      <c r="C507" t="str">
        <f t="shared" si="66"/>
        <v>test.TIFFFaxDecoder_11_</v>
      </c>
      <c r="D507">
        <v>12</v>
      </c>
      <c r="E507" s="4">
        <v>0.77272727272727271</v>
      </c>
      <c r="F507" s="4">
        <v>0.56608028867839422</v>
      </c>
      <c r="G507" s="4" t="str">
        <f t="shared" si="67"/>
        <v/>
      </c>
      <c r="H507" s="4" t="str">
        <f t="shared" si="68"/>
        <v/>
      </c>
      <c r="I507" s="4">
        <f t="shared" si="69"/>
        <v>0.77272727272727271</v>
      </c>
      <c r="J507" s="4" t="str">
        <f t="shared" si="70"/>
        <v/>
      </c>
      <c r="K507" s="4" t="str">
        <f t="shared" si="71"/>
        <v/>
      </c>
      <c r="L507" s="4" t="str">
        <f t="shared" si="72"/>
        <v/>
      </c>
      <c r="M507" s="4"/>
      <c r="N507" s="4"/>
      <c r="O507" s="4"/>
      <c r="P507" s="4"/>
      <c r="Q507" s="4"/>
      <c r="R507" s="4"/>
      <c r="S507" s="4"/>
      <c r="T507" s="4"/>
      <c r="U507" s="4"/>
    </row>
    <row r="508" spans="1:21">
      <c r="A508" t="s">
        <v>231</v>
      </c>
      <c r="B508">
        <v>11</v>
      </c>
      <c r="C508" t="str">
        <f t="shared" si="66"/>
        <v>test.TIFFFaxDecoder_11_</v>
      </c>
      <c r="D508">
        <v>13</v>
      </c>
      <c r="E508" s="4">
        <v>0.88636363636363635</v>
      </c>
      <c r="F508" s="4">
        <v>0.57194406856111868</v>
      </c>
      <c r="G508" s="4" t="str">
        <f t="shared" si="67"/>
        <v/>
      </c>
      <c r="H508" s="4" t="str">
        <f t="shared" si="68"/>
        <v/>
      </c>
      <c r="I508" s="4">
        <f t="shared" si="69"/>
        <v>0.88636363636363635</v>
      </c>
      <c r="J508" s="4" t="str">
        <f t="shared" si="70"/>
        <v/>
      </c>
      <c r="K508" s="4" t="str">
        <f t="shared" si="71"/>
        <v/>
      </c>
      <c r="L508" s="4" t="str">
        <f t="shared" si="72"/>
        <v/>
      </c>
      <c r="M508" s="4"/>
      <c r="N508" s="4"/>
      <c r="O508" s="4"/>
      <c r="P508" s="4"/>
      <c r="Q508" s="4"/>
      <c r="R508" s="4"/>
      <c r="S508" s="4"/>
      <c r="T508" s="4"/>
      <c r="U508" s="4"/>
    </row>
    <row r="509" spans="1:21">
      <c r="A509" t="s">
        <v>231</v>
      </c>
      <c r="B509">
        <v>11</v>
      </c>
      <c r="C509" t="str">
        <f t="shared" si="66"/>
        <v>test.TIFFFaxDecoder_11_</v>
      </c>
      <c r="D509">
        <v>14</v>
      </c>
      <c r="E509" s="4">
        <v>0.88636363636363635</v>
      </c>
      <c r="F509" s="4">
        <v>0.58051420838971579</v>
      </c>
      <c r="G509" s="4" t="str">
        <f t="shared" si="67"/>
        <v/>
      </c>
      <c r="H509" s="4" t="str">
        <f t="shared" si="68"/>
        <v/>
      </c>
      <c r="I509" s="4">
        <f t="shared" si="69"/>
        <v>0.88636363636363635</v>
      </c>
      <c r="J509" s="4" t="str">
        <f t="shared" si="70"/>
        <v/>
      </c>
      <c r="K509" s="4" t="str">
        <f t="shared" si="71"/>
        <v/>
      </c>
      <c r="L509" s="4" t="str">
        <f t="shared" si="72"/>
        <v/>
      </c>
      <c r="M509" s="4"/>
      <c r="N509" s="4"/>
      <c r="O509" s="4"/>
      <c r="P509" s="4"/>
      <c r="Q509" s="4"/>
      <c r="R509" s="4"/>
      <c r="S509" s="4"/>
      <c r="T509" s="4"/>
      <c r="U509" s="4"/>
    </row>
    <row r="510" spans="1:21">
      <c r="A510" t="s">
        <v>231</v>
      </c>
      <c r="B510">
        <v>11</v>
      </c>
      <c r="C510" t="str">
        <f t="shared" si="66"/>
        <v>test.TIFFFaxDecoder_11_</v>
      </c>
      <c r="D510">
        <v>15</v>
      </c>
      <c r="E510" s="4">
        <v>1</v>
      </c>
      <c r="F510" s="4">
        <v>0.58096526838069462</v>
      </c>
      <c r="G510" s="4" t="str">
        <f t="shared" si="67"/>
        <v/>
      </c>
      <c r="H510" s="4" t="str">
        <f t="shared" si="68"/>
        <v/>
      </c>
      <c r="I510" s="4">
        <f t="shared" si="69"/>
        <v>1</v>
      </c>
      <c r="J510" s="4" t="str">
        <f t="shared" si="70"/>
        <v/>
      </c>
      <c r="K510" s="4" t="str">
        <f t="shared" si="71"/>
        <v/>
      </c>
      <c r="L510" s="4" t="str">
        <f t="shared" si="72"/>
        <v/>
      </c>
      <c r="M510" s="4"/>
      <c r="N510" s="4"/>
      <c r="O510" s="4"/>
      <c r="P510" s="4"/>
      <c r="Q510" s="4"/>
      <c r="R510" s="4"/>
      <c r="S510" s="4"/>
      <c r="T510" s="4"/>
      <c r="U510" s="4"/>
    </row>
    <row r="511" spans="1:21">
      <c r="A511" t="s">
        <v>231</v>
      </c>
      <c r="B511">
        <v>11</v>
      </c>
      <c r="C511" t="str">
        <f t="shared" ref="C511:C540" si="73">CONCATENATE(A511, "_",B511,"_")</f>
        <v>test.TIFFFaxDecoder_11_</v>
      </c>
      <c r="D511">
        <v>16</v>
      </c>
      <c r="E511" s="4">
        <v>1</v>
      </c>
      <c r="F511" s="4">
        <v>0.58953540820929184</v>
      </c>
      <c r="G511" s="4" t="str">
        <f t="shared" ref="G511:G540" si="74">IF(F511 &lt;= 0.2,E511,"")</f>
        <v/>
      </c>
      <c r="H511" s="4" t="str">
        <f t="shared" ref="H511:H540" si="75">IF(AND($F511 &gt; 0.2,$F511 &lt;= 0.4),$E511,"")</f>
        <v/>
      </c>
      <c r="I511" s="4">
        <f t="shared" ref="I511:I540" si="76">IF(AND($F511 &gt; 0.4,$F511 &lt;= 0.6),$E511,"")</f>
        <v>1</v>
      </c>
      <c r="J511" s="4" t="str">
        <f t="shared" ref="J511:J540" si="77">IF(AND($F511 &gt; 0.6,$F511 &lt;= 0.8),$E511,"")</f>
        <v/>
      </c>
      <c r="K511" s="4" t="str">
        <f t="shared" ref="K511:K540" si="78">IF(AND($F511 &gt; 0.8, $F511 &lt;=1.1),$E511,"")</f>
        <v/>
      </c>
      <c r="L511" s="4" t="str">
        <f t="shared" ref="L511:L540" si="79">IF(AND($F511 &gt; 1.1),$E511,"")</f>
        <v/>
      </c>
      <c r="M511" s="4"/>
      <c r="N511" s="4"/>
      <c r="O511" s="4"/>
      <c r="P511" s="4"/>
      <c r="Q511" s="4"/>
      <c r="R511" s="4"/>
      <c r="S511" s="4"/>
      <c r="T511" s="4"/>
      <c r="U511" s="4"/>
    </row>
    <row r="512" spans="1:21">
      <c r="A512" t="s">
        <v>231</v>
      </c>
      <c r="B512">
        <v>11</v>
      </c>
      <c r="C512" t="str">
        <f t="shared" si="73"/>
        <v>test.TIFFFaxDecoder_11_</v>
      </c>
      <c r="D512">
        <v>17</v>
      </c>
      <c r="E512" s="4">
        <v>1</v>
      </c>
      <c r="F512" s="4">
        <v>0.600360847992783</v>
      </c>
      <c r="G512" s="4" t="str">
        <f t="shared" si="74"/>
        <v/>
      </c>
      <c r="H512" s="4" t="str">
        <f t="shared" si="75"/>
        <v/>
      </c>
      <c r="I512" s="4" t="str">
        <f t="shared" si="76"/>
        <v/>
      </c>
      <c r="J512" s="4">
        <f t="shared" si="77"/>
        <v>1</v>
      </c>
      <c r="K512" s="4" t="str">
        <f t="shared" si="78"/>
        <v/>
      </c>
      <c r="L512" s="4" t="str">
        <f t="shared" si="79"/>
        <v/>
      </c>
      <c r="M512" s="4"/>
      <c r="N512" s="4"/>
      <c r="O512" s="4"/>
      <c r="P512" s="4"/>
      <c r="Q512" s="4"/>
      <c r="R512" s="4"/>
      <c r="S512" s="4"/>
      <c r="T512" s="4"/>
      <c r="U512" s="4"/>
    </row>
    <row r="513" spans="1:21">
      <c r="A513" t="s">
        <v>231</v>
      </c>
      <c r="B513">
        <v>11</v>
      </c>
      <c r="C513" t="str">
        <f t="shared" si="73"/>
        <v>test.TIFFFaxDecoder_11_</v>
      </c>
      <c r="D513">
        <v>18</v>
      </c>
      <c r="E513" s="4">
        <v>1</v>
      </c>
      <c r="F513" s="4">
        <v>0.61705006765899861</v>
      </c>
      <c r="G513" s="4" t="str">
        <f t="shared" si="74"/>
        <v/>
      </c>
      <c r="H513" s="4" t="str">
        <f t="shared" si="75"/>
        <v/>
      </c>
      <c r="I513" s="4" t="str">
        <f t="shared" si="76"/>
        <v/>
      </c>
      <c r="J513" s="4">
        <f t="shared" si="77"/>
        <v>1</v>
      </c>
      <c r="K513" s="4" t="str">
        <f t="shared" si="78"/>
        <v/>
      </c>
      <c r="L513" s="4" t="str">
        <f t="shared" si="79"/>
        <v/>
      </c>
      <c r="M513" s="4"/>
      <c r="N513" s="4"/>
      <c r="O513" s="4"/>
      <c r="P513" s="4"/>
      <c r="Q513" s="4"/>
      <c r="R513" s="4"/>
      <c r="S513" s="4"/>
      <c r="T513" s="4"/>
      <c r="U513" s="4"/>
    </row>
    <row r="514" spans="1:21">
      <c r="A514" t="s">
        <v>231</v>
      </c>
      <c r="B514">
        <v>11</v>
      </c>
      <c r="C514" t="str">
        <f t="shared" si="73"/>
        <v>test.TIFFFaxDecoder_11_</v>
      </c>
      <c r="D514">
        <v>19</v>
      </c>
      <c r="E514" s="4">
        <v>1</v>
      </c>
      <c r="F514" s="4">
        <v>0.61930536761389265</v>
      </c>
      <c r="G514" s="4" t="str">
        <f t="shared" si="74"/>
        <v/>
      </c>
      <c r="H514" s="4" t="str">
        <f t="shared" si="75"/>
        <v/>
      </c>
      <c r="I514" s="4" t="str">
        <f t="shared" si="76"/>
        <v/>
      </c>
      <c r="J514" s="4">
        <f t="shared" si="77"/>
        <v>1</v>
      </c>
      <c r="K514" s="4" t="str">
        <f t="shared" si="78"/>
        <v/>
      </c>
      <c r="L514" s="4" t="str">
        <f t="shared" si="79"/>
        <v/>
      </c>
      <c r="M514" s="4"/>
      <c r="N514" s="4"/>
      <c r="O514" s="4"/>
      <c r="P514" s="4"/>
      <c r="Q514" s="4"/>
      <c r="R514" s="4"/>
      <c r="S514" s="4"/>
      <c r="T514" s="4"/>
      <c r="U514" s="4"/>
    </row>
    <row r="515" spans="1:21">
      <c r="A515" t="s">
        <v>231</v>
      </c>
      <c r="B515">
        <v>12</v>
      </c>
      <c r="C515" t="str">
        <f t="shared" si="73"/>
        <v>test.TIFFFaxDecoder_12_</v>
      </c>
      <c r="D515">
        <v>1</v>
      </c>
      <c r="E515" s="4">
        <v>0.125</v>
      </c>
      <c r="F515" s="4">
        <v>0.17660550458715596</v>
      </c>
      <c r="G515" s="4">
        <f t="shared" si="74"/>
        <v>0.125</v>
      </c>
      <c r="H515" s="4" t="str">
        <f t="shared" si="75"/>
        <v/>
      </c>
      <c r="I515" s="4" t="str">
        <f t="shared" si="76"/>
        <v/>
      </c>
      <c r="J515" s="4" t="str">
        <f t="shared" si="77"/>
        <v/>
      </c>
      <c r="K515" s="4" t="str">
        <f t="shared" si="78"/>
        <v/>
      </c>
      <c r="L515" s="4" t="str">
        <f t="shared" si="79"/>
        <v/>
      </c>
      <c r="M515" s="4"/>
      <c r="N515" s="4"/>
      <c r="O515" s="4"/>
      <c r="P515" s="4"/>
      <c r="Q515" s="4"/>
      <c r="R515" s="4"/>
      <c r="S515" s="4"/>
      <c r="T515" s="4"/>
      <c r="U515" s="4"/>
    </row>
    <row r="516" spans="1:21">
      <c r="A516" t="s">
        <v>231</v>
      </c>
      <c r="B516">
        <v>12</v>
      </c>
      <c r="C516" t="str">
        <f t="shared" si="73"/>
        <v>test.TIFFFaxDecoder_12_</v>
      </c>
      <c r="D516">
        <v>2</v>
      </c>
      <c r="E516" s="4">
        <v>0.5178571428571429</v>
      </c>
      <c r="F516" s="4">
        <v>0.57951070336391441</v>
      </c>
      <c r="G516" s="4" t="str">
        <f t="shared" si="74"/>
        <v/>
      </c>
      <c r="H516" s="4" t="str">
        <f t="shared" si="75"/>
        <v/>
      </c>
      <c r="I516" s="4">
        <f t="shared" si="76"/>
        <v>0.5178571428571429</v>
      </c>
      <c r="J516" s="4" t="str">
        <f t="shared" si="77"/>
        <v/>
      </c>
      <c r="K516" s="4" t="str">
        <f t="shared" si="78"/>
        <v/>
      </c>
      <c r="L516" s="4" t="str">
        <f t="shared" si="79"/>
        <v/>
      </c>
      <c r="M516" s="4"/>
      <c r="N516" s="4"/>
      <c r="O516" s="4"/>
      <c r="P516" s="4"/>
      <c r="Q516" s="4"/>
      <c r="R516" s="4"/>
      <c r="S516" s="4"/>
      <c r="T516" s="4"/>
      <c r="U516" s="4"/>
    </row>
    <row r="517" spans="1:21">
      <c r="A517" t="s">
        <v>231</v>
      </c>
      <c r="B517">
        <v>12</v>
      </c>
      <c r="C517" t="str">
        <f t="shared" si="73"/>
        <v>test.TIFFFaxDecoder_12_</v>
      </c>
      <c r="D517">
        <v>3</v>
      </c>
      <c r="E517" s="4">
        <v>0.5714285714285714</v>
      </c>
      <c r="F517" s="4">
        <v>0.58103975535168195</v>
      </c>
      <c r="G517" s="4" t="str">
        <f t="shared" si="74"/>
        <v/>
      </c>
      <c r="H517" s="4" t="str">
        <f t="shared" si="75"/>
        <v/>
      </c>
      <c r="I517" s="4">
        <f t="shared" si="76"/>
        <v>0.5714285714285714</v>
      </c>
      <c r="J517" s="4" t="str">
        <f t="shared" si="77"/>
        <v/>
      </c>
      <c r="K517" s="4" t="str">
        <f t="shared" si="78"/>
        <v/>
      </c>
      <c r="L517" s="4" t="str">
        <f t="shared" si="79"/>
        <v/>
      </c>
      <c r="M517" s="4"/>
      <c r="N517" s="4"/>
      <c r="O517" s="4"/>
      <c r="P517" s="4"/>
      <c r="Q517" s="4"/>
      <c r="R517" s="4"/>
      <c r="S517" s="4"/>
      <c r="T517" s="4"/>
      <c r="U517" s="4"/>
    </row>
    <row r="518" spans="1:21">
      <c r="A518" t="s">
        <v>231</v>
      </c>
      <c r="B518">
        <v>12</v>
      </c>
      <c r="C518" t="str">
        <f t="shared" si="73"/>
        <v>test.TIFFFaxDecoder_12_</v>
      </c>
      <c r="D518">
        <v>4</v>
      </c>
      <c r="E518" s="4">
        <v>0.7678571428571429</v>
      </c>
      <c r="F518" s="4">
        <v>0.59785932721712542</v>
      </c>
      <c r="G518" s="4" t="str">
        <f t="shared" si="74"/>
        <v/>
      </c>
      <c r="H518" s="4" t="str">
        <f t="shared" si="75"/>
        <v/>
      </c>
      <c r="I518" s="4">
        <f t="shared" si="76"/>
        <v>0.7678571428571429</v>
      </c>
      <c r="J518" s="4" t="str">
        <f t="shared" si="77"/>
        <v/>
      </c>
      <c r="K518" s="4" t="str">
        <f t="shared" si="78"/>
        <v/>
      </c>
      <c r="L518" s="4" t="str">
        <f t="shared" si="79"/>
        <v/>
      </c>
      <c r="M518" s="4"/>
      <c r="N518" s="4"/>
      <c r="O518" s="4"/>
      <c r="P518" s="4"/>
      <c r="Q518" s="4"/>
      <c r="R518" s="4"/>
      <c r="S518" s="4"/>
      <c r="T518" s="4"/>
      <c r="U518" s="4"/>
    </row>
    <row r="519" spans="1:21">
      <c r="A519" t="s">
        <v>231</v>
      </c>
      <c r="B519">
        <v>12</v>
      </c>
      <c r="C519" t="str">
        <f t="shared" si="73"/>
        <v>test.TIFFFaxDecoder_12_</v>
      </c>
      <c r="D519">
        <v>5</v>
      </c>
      <c r="E519" s="4">
        <v>0.7678571428571429</v>
      </c>
      <c r="F519" s="4">
        <v>0.61238532110091748</v>
      </c>
      <c r="G519" s="4" t="str">
        <f t="shared" si="74"/>
        <v/>
      </c>
      <c r="H519" s="4" t="str">
        <f t="shared" si="75"/>
        <v/>
      </c>
      <c r="I519" s="4" t="str">
        <f t="shared" si="76"/>
        <v/>
      </c>
      <c r="J519" s="4">
        <f t="shared" si="77"/>
        <v>0.7678571428571429</v>
      </c>
      <c r="K519" s="4" t="str">
        <f t="shared" si="78"/>
        <v/>
      </c>
      <c r="L519" s="4" t="str">
        <f t="shared" si="79"/>
        <v/>
      </c>
      <c r="M519" s="4"/>
      <c r="N519" s="4"/>
      <c r="O519" s="4"/>
      <c r="P519" s="4"/>
      <c r="Q519" s="4"/>
      <c r="R519" s="4"/>
      <c r="S519" s="4"/>
      <c r="T519" s="4"/>
      <c r="U519" s="4"/>
    </row>
    <row r="520" spans="1:21">
      <c r="A520" t="s">
        <v>231</v>
      </c>
      <c r="B520">
        <v>12</v>
      </c>
      <c r="C520" t="str">
        <f t="shared" si="73"/>
        <v>test.TIFFFaxDecoder_12_</v>
      </c>
      <c r="D520">
        <v>6</v>
      </c>
      <c r="E520" s="4">
        <v>0.9464285714285714</v>
      </c>
      <c r="F520" s="4">
        <v>0.62920489296636084</v>
      </c>
      <c r="G520" s="4" t="str">
        <f t="shared" si="74"/>
        <v/>
      </c>
      <c r="H520" s="4" t="str">
        <f t="shared" si="75"/>
        <v/>
      </c>
      <c r="I520" s="4" t="str">
        <f t="shared" si="76"/>
        <v/>
      </c>
      <c r="J520" s="4">
        <f t="shared" si="77"/>
        <v>0.9464285714285714</v>
      </c>
      <c r="K520" s="4" t="str">
        <f t="shared" si="78"/>
        <v/>
      </c>
      <c r="L520" s="4" t="str">
        <f t="shared" si="79"/>
        <v/>
      </c>
      <c r="M520" s="4"/>
      <c r="N520" s="4"/>
      <c r="O520" s="4"/>
      <c r="P520" s="4"/>
      <c r="Q520" s="4"/>
      <c r="R520" s="4"/>
      <c r="S520" s="4"/>
      <c r="T520" s="4"/>
      <c r="U520" s="4"/>
    </row>
    <row r="521" spans="1:21">
      <c r="A521" t="s">
        <v>231</v>
      </c>
      <c r="B521">
        <v>12</v>
      </c>
      <c r="C521" t="str">
        <f t="shared" si="73"/>
        <v>test.TIFFFaxDecoder_12_</v>
      </c>
      <c r="D521">
        <v>7</v>
      </c>
      <c r="E521" s="4">
        <v>1</v>
      </c>
      <c r="F521" s="4">
        <v>0.64678899082568808</v>
      </c>
      <c r="G521" s="4" t="str">
        <f t="shared" si="74"/>
        <v/>
      </c>
      <c r="H521" s="4" t="str">
        <f t="shared" si="75"/>
        <v/>
      </c>
      <c r="I521" s="4" t="str">
        <f t="shared" si="76"/>
        <v/>
      </c>
      <c r="J521" s="4">
        <f t="shared" si="77"/>
        <v>1</v>
      </c>
      <c r="K521" s="4" t="str">
        <f t="shared" si="78"/>
        <v/>
      </c>
      <c r="L521" s="4" t="str">
        <f t="shared" si="79"/>
        <v/>
      </c>
      <c r="M521" s="4"/>
      <c r="N521" s="4"/>
      <c r="O521" s="4"/>
      <c r="P521" s="4"/>
      <c r="Q521" s="4"/>
      <c r="R521" s="4"/>
      <c r="S521" s="4"/>
      <c r="T521" s="4"/>
      <c r="U521" s="4"/>
    </row>
    <row r="522" spans="1:21">
      <c r="A522" t="s">
        <v>231</v>
      </c>
      <c r="B522">
        <v>12</v>
      </c>
      <c r="C522" t="str">
        <f t="shared" si="73"/>
        <v>test.TIFFFaxDecoder_12_</v>
      </c>
      <c r="D522">
        <v>8</v>
      </c>
      <c r="E522" s="4">
        <v>1</v>
      </c>
      <c r="F522" s="4">
        <v>0.65596330275229353</v>
      </c>
      <c r="G522" s="4" t="str">
        <f t="shared" si="74"/>
        <v/>
      </c>
      <c r="H522" s="4" t="str">
        <f t="shared" si="75"/>
        <v/>
      </c>
      <c r="I522" s="4" t="str">
        <f t="shared" si="76"/>
        <v/>
      </c>
      <c r="J522" s="4">
        <f t="shared" si="77"/>
        <v>1</v>
      </c>
      <c r="K522" s="4" t="str">
        <f t="shared" si="78"/>
        <v/>
      </c>
      <c r="L522" s="4" t="str">
        <f t="shared" si="79"/>
        <v/>
      </c>
      <c r="M522" s="4"/>
      <c r="N522" s="4"/>
      <c r="O522" s="4"/>
      <c r="P522" s="4"/>
      <c r="Q522" s="4"/>
      <c r="R522" s="4"/>
      <c r="S522" s="4"/>
      <c r="T522" s="4"/>
      <c r="U522" s="4"/>
    </row>
    <row r="523" spans="1:21">
      <c r="A523" t="s">
        <v>231</v>
      </c>
      <c r="B523">
        <v>12</v>
      </c>
      <c r="C523" t="str">
        <f t="shared" si="73"/>
        <v>test.TIFFFaxDecoder_12_</v>
      </c>
      <c r="D523">
        <v>9</v>
      </c>
      <c r="E523" s="4">
        <v>1</v>
      </c>
      <c r="F523" s="4">
        <v>0.67966360856269115</v>
      </c>
      <c r="G523" s="4" t="str">
        <f t="shared" si="74"/>
        <v/>
      </c>
      <c r="H523" s="4" t="str">
        <f t="shared" si="75"/>
        <v/>
      </c>
      <c r="I523" s="4" t="str">
        <f t="shared" si="76"/>
        <v/>
      </c>
      <c r="J523" s="4">
        <f t="shared" si="77"/>
        <v>1</v>
      </c>
      <c r="K523" s="4" t="str">
        <f t="shared" si="78"/>
        <v/>
      </c>
      <c r="L523" s="4" t="str">
        <f t="shared" si="79"/>
        <v/>
      </c>
      <c r="M523" s="4"/>
      <c r="N523" s="4"/>
      <c r="O523" s="4"/>
      <c r="P523" s="4"/>
      <c r="Q523" s="4"/>
      <c r="R523" s="4"/>
      <c r="S523" s="4"/>
      <c r="T523" s="4"/>
      <c r="U523" s="4"/>
    </row>
    <row r="524" spans="1:21">
      <c r="A524" t="s">
        <v>231</v>
      </c>
      <c r="B524">
        <v>13</v>
      </c>
      <c r="C524" t="str">
        <f t="shared" si="73"/>
        <v>test.TIFFFaxDecoder_13_</v>
      </c>
      <c r="D524">
        <v>1</v>
      </c>
      <c r="E524" s="4">
        <v>0.42857142857142855</v>
      </c>
      <c r="F524" s="4">
        <v>0.65020576131687247</v>
      </c>
      <c r="G524" s="4" t="str">
        <f t="shared" si="74"/>
        <v/>
      </c>
      <c r="H524" s="4" t="str">
        <f t="shared" si="75"/>
        <v/>
      </c>
      <c r="I524" s="4" t="str">
        <f t="shared" si="76"/>
        <v/>
      </c>
      <c r="J524" s="4">
        <f t="shared" si="77"/>
        <v>0.42857142857142855</v>
      </c>
      <c r="K524" s="4" t="str">
        <f t="shared" si="78"/>
        <v/>
      </c>
      <c r="L524" s="4" t="str">
        <f t="shared" si="79"/>
        <v/>
      </c>
      <c r="M524" s="4"/>
      <c r="N524" s="4"/>
      <c r="O524" s="4"/>
      <c r="P524" s="4"/>
      <c r="Q524" s="4"/>
      <c r="R524" s="4"/>
      <c r="S524" s="4"/>
      <c r="T524" s="4"/>
      <c r="U524" s="4"/>
    </row>
    <row r="525" spans="1:21">
      <c r="A525" t="s">
        <v>231</v>
      </c>
      <c r="B525">
        <v>13</v>
      </c>
      <c r="C525" t="str">
        <f t="shared" si="73"/>
        <v>test.TIFFFaxDecoder_13_</v>
      </c>
      <c r="D525">
        <v>2</v>
      </c>
      <c r="E525" s="4">
        <v>1</v>
      </c>
      <c r="F525" s="4">
        <v>0.94650205761316875</v>
      </c>
      <c r="G525" s="4" t="str">
        <f t="shared" si="74"/>
        <v/>
      </c>
      <c r="H525" s="4" t="str">
        <f t="shared" si="75"/>
        <v/>
      </c>
      <c r="I525" s="4" t="str">
        <f t="shared" si="76"/>
        <v/>
      </c>
      <c r="J525" s="4" t="str">
        <f t="shared" si="77"/>
        <v/>
      </c>
      <c r="K525" s="4">
        <f t="shared" si="78"/>
        <v>1</v>
      </c>
      <c r="L525" s="4" t="str">
        <f t="shared" si="79"/>
        <v/>
      </c>
      <c r="M525" s="4"/>
      <c r="N525" s="4"/>
      <c r="O525" s="4"/>
      <c r="P525" s="4"/>
      <c r="Q525" s="4"/>
      <c r="R525" s="4"/>
      <c r="S525" s="4"/>
      <c r="T525" s="4"/>
      <c r="U525" s="4"/>
    </row>
    <row r="526" spans="1:21">
      <c r="A526" t="s">
        <v>598</v>
      </c>
      <c r="B526">
        <v>2</v>
      </c>
      <c r="C526" t="str">
        <f t="shared" si="73"/>
        <v>test.TIFFFaxEncoder_2_</v>
      </c>
      <c r="D526">
        <v>1</v>
      </c>
      <c r="E526" s="4">
        <v>0.352112676056338</v>
      </c>
      <c r="F526" s="4">
        <v>0.31107011070110702</v>
      </c>
      <c r="G526" s="4" t="str">
        <f t="shared" si="74"/>
        <v/>
      </c>
      <c r="H526" s="4">
        <f t="shared" si="75"/>
        <v>0.352112676056338</v>
      </c>
      <c r="I526" s="4" t="str">
        <f t="shared" si="76"/>
        <v/>
      </c>
      <c r="J526" s="4" t="str">
        <f t="shared" si="77"/>
        <v/>
      </c>
      <c r="K526" s="4" t="str">
        <f t="shared" si="78"/>
        <v/>
      </c>
      <c r="L526" s="4" t="str">
        <f t="shared" si="79"/>
        <v/>
      </c>
      <c r="M526" s="4"/>
      <c r="N526" s="4"/>
      <c r="O526" s="4"/>
      <c r="P526" s="4"/>
      <c r="Q526" s="4"/>
      <c r="R526" s="4"/>
      <c r="S526" s="4"/>
      <c r="T526" s="4"/>
      <c r="U526" s="4"/>
    </row>
    <row r="527" spans="1:21">
      <c r="A527" t="s">
        <v>598</v>
      </c>
      <c r="B527">
        <v>2</v>
      </c>
      <c r="C527" t="str">
        <f t="shared" si="73"/>
        <v>test.TIFFFaxEncoder_2_</v>
      </c>
      <c r="D527">
        <v>2</v>
      </c>
      <c r="E527" s="4">
        <v>0.70422535211267601</v>
      </c>
      <c r="F527" s="4">
        <v>0.45719557195571958</v>
      </c>
      <c r="G527" s="4" t="str">
        <f t="shared" si="74"/>
        <v/>
      </c>
      <c r="H527" s="4" t="str">
        <f t="shared" si="75"/>
        <v/>
      </c>
      <c r="I527" s="4">
        <f t="shared" si="76"/>
        <v>0.70422535211267601</v>
      </c>
      <c r="J527" s="4" t="str">
        <f t="shared" si="77"/>
        <v/>
      </c>
      <c r="K527" s="4" t="str">
        <f t="shared" si="78"/>
        <v/>
      </c>
      <c r="L527" s="4" t="str">
        <f t="shared" si="79"/>
        <v/>
      </c>
      <c r="M527" s="4"/>
      <c r="N527" s="4"/>
      <c r="O527" s="4"/>
      <c r="P527" s="4"/>
      <c r="Q527" s="4"/>
      <c r="R527" s="4"/>
      <c r="S527" s="4"/>
      <c r="T527" s="4"/>
      <c r="U527" s="4"/>
    </row>
    <row r="528" spans="1:21">
      <c r="A528" t="s">
        <v>598</v>
      </c>
      <c r="B528">
        <v>2</v>
      </c>
      <c r="C528" t="str">
        <f t="shared" si="73"/>
        <v>test.TIFFFaxEncoder_2_</v>
      </c>
      <c r="D528">
        <v>3</v>
      </c>
      <c r="E528" s="4">
        <v>1</v>
      </c>
      <c r="F528" s="4">
        <v>0.65867158671586712</v>
      </c>
      <c r="G528" s="4" t="str">
        <f t="shared" si="74"/>
        <v/>
      </c>
      <c r="H528" s="4" t="str">
        <f t="shared" si="75"/>
        <v/>
      </c>
      <c r="I528" s="4" t="str">
        <f t="shared" si="76"/>
        <v/>
      </c>
      <c r="J528" s="4">
        <f t="shared" si="77"/>
        <v>1</v>
      </c>
      <c r="K528" s="4" t="str">
        <f t="shared" si="78"/>
        <v/>
      </c>
      <c r="L528" s="4" t="str">
        <f t="shared" si="79"/>
        <v/>
      </c>
      <c r="M528" s="4"/>
      <c r="N528" s="4"/>
      <c r="O528" s="4"/>
      <c r="P528" s="4"/>
      <c r="Q528" s="4"/>
      <c r="R528" s="4"/>
      <c r="S528" s="4"/>
      <c r="T528" s="4"/>
      <c r="U528" s="4"/>
    </row>
    <row r="529" spans="1:21">
      <c r="A529" t="s">
        <v>598</v>
      </c>
      <c r="B529">
        <v>6</v>
      </c>
      <c r="C529" t="str">
        <f t="shared" si="73"/>
        <v>test.TIFFFaxEncoder_6_</v>
      </c>
      <c r="D529">
        <v>1</v>
      </c>
      <c r="E529" s="4">
        <v>0.67741935483870963</v>
      </c>
      <c r="F529" s="4">
        <v>0.76618705035971224</v>
      </c>
      <c r="G529" s="4" t="str">
        <f t="shared" si="74"/>
        <v/>
      </c>
      <c r="H529" s="4" t="str">
        <f t="shared" si="75"/>
        <v/>
      </c>
      <c r="I529" s="4" t="str">
        <f t="shared" si="76"/>
        <v/>
      </c>
      <c r="J529" s="4">
        <f t="shared" si="77"/>
        <v>0.67741935483870963</v>
      </c>
      <c r="K529" s="4" t="str">
        <f t="shared" si="78"/>
        <v/>
      </c>
      <c r="L529" s="4" t="str">
        <f t="shared" si="79"/>
        <v/>
      </c>
      <c r="M529" s="4"/>
      <c r="N529" s="4"/>
      <c r="O529" s="4"/>
      <c r="P529" s="4"/>
      <c r="Q529" s="4"/>
      <c r="R529" s="4"/>
      <c r="S529" s="4"/>
      <c r="T529" s="4"/>
      <c r="U529" s="4"/>
    </row>
    <row r="530" spans="1:21">
      <c r="A530" t="s">
        <v>598</v>
      </c>
      <c r="B530">
        <v>6</v>
      </c>
      <c r="C530" t="str">
        <f t="shared" si="73"/>
        <v>test.TIFFFaxEncoder_6_</v>
      </c>
      <c r="D530">
        <v>2</v>
      </c>
      <c r="E530" s="4">
        <v>0.74193548387096775</v>
      </c>
      <c r="F530" s="4">
        <v>0.77248201438848918</v>
      </c>
      <c r="G530" s="4" t="str">
        <f t="shared" si="74"/>
        <v/>
      </c>
      <c r="H530" s="4" t="str">
        <f t="shared" si="75"/>
        <v/>
      </c>
      <c r="I530" s="4" t="str">
        <f t="shared" si="76"/>
        <v/>
      </c>
      <c r="J530" s="4">
        <f t="shared" si="77"/>
        <v>0.74193548387096775</v>
      </c>
      <c r="K530" s="4" t="str">
        <f t="shared" si="78"/>
        <v/>
      </c>
      <c r="L530" s="4" t="str">
        <f t="shared" si="79"/>
        <v/>
      </c>
      <c r="M530" s="4"/>
      <c r="N530" s="4"/>
      <c r="O530" s="4"/>
      <c r="P530" s="4"/>
      <c r="Q530" s="4"/>
      <c r="R530" s="4"/>
      <c r="S530" s="4"/>
      <c r="T530" s="4"/>
      <c r="U530" s="4"/>
    </row>
    <row r="531" spans="1:21">
      <c r="A531" t="s">
        <v>598</v>
      </c>
      <c r="B531">
        <v>6</v>
      </c>
      <c r="C531" t="str">
        <f t="shared" si="73"/>
        <v>test.TIFFFaxEncoder_6_</v>
      </c>
      <c r="D531">
        <v>3</v>
      </c>
      <c r="E531" s="4">
        <v>0.967741935483871</v>
      </c>
      <c r="F531" s="4">
        <v>0.87320143884892087</v>
      </c>
      <c r="G531" s="4" t="str">
        <f t="shared" si="74"/>
        <v/>
      </c>
      <c r="H531" s="4" t="str">
        <f t="shared" si="75"/>
        <v/>
      </c>
      <c r="I531" s="4" t="str">
        <f t="shared" si="76"/>
        <v/>
      </c>
      <c r="J531" s="4" t="str">
        <f t="shared" si="77"/>
        <v/>
      </c>
      <c r="K531" s="4">
        <f t="shared" si="78"/>
        <v>0.967741935483871</v>
      </c>
      <c r="L531" s="4" t="str">
        <f t="shared" si="79"/>
        <v/>
      </c>
      <c r="M531" s="4"/>
      <c r="N531" s="4"/>
      <c r="O531" s="4"/>
      <c r="P531" s="4"/>
      <c r="Q531" s="4"/>
      <c r="R531" s="4"/>
      <c r="S531" s="4"/>
      <c r="T531" s="4"/>
      <c r="U531" s="4"/>
    </row>
    <row r="532" spans="1:21">
      <c r="A532" t="s">
        <v>598</v>
      </c>
      <c r="B532">
        <v>6</v>
      </c>
      <c r="C532" t="str">
        <f t="shared" si="73"/>
        <v>test.TIFFFaxEncoder_6_</v>
      </c>
      <c r="D532">
        <v>4</v>
      </c>
      <c r="E532" s="4">
        <v>1</v>
      </c>
      <c r="F532" s="4">
        <v>0.87769784172661869</v>
      </c>
      <c r="G532" s="4" t="str">
        <f t="shared" si="74"/>
        <v/>
      </c>
      <c r="H532" s="4" t="str">
        <f t="shared" si="75"/>
        <v/>
      </c>
      <c r="I532" s="4" t="str">
        <f t="shared" si="76"/>
        <v/>
      </c>
      <c r="J532" s="4" t="str">
        <f t="shared" si="77"/>
        <v/>
      </c>
      <c r="K532" s="4">
        <f t="shared" si="78"/>
        <v>1</v>
      </c>
      <c r="L532" s="4" t="str">
        <f t="shared" si="79"/>
        <v/>
      </c>
      <c r="M532" s="4"/>
      <c r="O532" s="4"/>
      <c r="P532" s="4"/>
      <c r="Q532" s="4"/>
      <c r="R532" s="4"/>
      <c r="S532" s="4"/>
      <c r="T532" s="4"/>
      <c r="U532" s="4"/>
    </row>
    <row r="533" spans="1:21">
      <c r="A533" t="s">
        <v>598</v>
      </c>
      <c r="B533">
        <v>6</v>
      </c>
      <c r="C533" t="str">
        <f t="shared" si="73"/>
        <v>test.TIFFFaxEncoder_6_</v>
      </c>
      <c r="D533">
        <v>5</v>
      </c>
      <c r="E533" s="4">
        <v>1</v>
      </c>
      <c r="F533" s="4">
        <v>0.88399280575539574</v>
      </c>
      <c r="G533" s="4" t="str">
        <f t="shared" si="74"/>
        <v/>
      </c>
      <c r="H533" s="4" t="str">
        <f t="shared" si="75"/>
        <v/>
      </c>
      <c r="I533" s="4" t="str">
        <f t="shared" si="76"/>
        <v/>
      </c>
      <c r="J533" s="4" t="str">
        <f t="shared" si="77"/>
        <v/>
      </c>
      <c r="K533" s="4">
        <f t="shared" si="78"/>
        <v>1</v>
      </c>
      <c r="L533" s="4" t="str">
        <f t="shared" si="79"/>
        <v/>
      </c>
      <c r="M533" s="4"/>
      <c r="O533" s="4"/>
      <c r="P533" s="4"/>
      <c r="Q533" s="4"/>
      <c r="R533" s="4"/>
      <c r="S533" s="4"/>
      <c r="T533" s="4"/>
      <c r="U533" s="4"/>
    </row>
    <row r="534" spans="1:21">
      <c r="A534" t="s">
        <v>598</v>
      </c>
      <c r="B534">
        <v>6</v>
      </c>
      <c r="C534" t="str">
        <f t="shared" si="73"/>
        <v>test.TIFFFaxEncoder_6_</v>
      </c>
      <c r="D534">
        <v>6</v>
      </c>
      <c r="E534" s="4">
        <v>1</v>
      </c>
      <c r="F534" s="4">
        <v>0.88579136690647486</v>
      </c>
      <c r="G534" s="4" t="str">
        <f t="shared" si="74"/>
        <v/>
      </c>
      <c r="H534" s="4" t="str">
        <f t="shared" si="75"/>
        <v/>
      </c>
      <c r="I534" s="4" t="str">
        <f t="shared" si="76"/>
        <v/>
      </c>
      <c r="J534" s="4" t="str">
        <f t="shared" si="77"/>
        <v/>
      </c>
      <c r="K534" s="4">
        <f t="shared" si="78"/>
        <v>1</v>
      </c>
      <c r="L534" s="4" t="str">
        <f t="shared" si="79"/>
        <v/>
      </c>
      <c r="M534" s="4"/>
      <c r="O534" s="4"/>
      <c r="P534" s="4"/>
      <c r="Q534" s="4"/>
      <c r="R534" s="4"/>
      <c r="S534" s="4"/>
      <c r="T534" s="4"/>
      <c r="U534" s="4"/>
    </row>
    <row r="535" spans="1:21">
      <c r="A535" t="s">
        <v>598</v>
      </c>
      <c r="B535">
        <v>8</v>
      </c>
      <c r="C535" t="str">
        <f t="shared" si="73"/>
        <v>test.TIFFFaxEncoder_8_</v>
      </c>
      <c r="D535">
        <v>1</v>
      </c>
      <c r="E535" s="4">
        <v>0.89655172413793105</v>
      </c>
      <c r="F535" s="4">
        <v>0.92384615384615387</v>
      </c>
      <c r="G535" s="4" t="str">
        <f t="shared" si="74"/>
        <v/>
      </c>
      <c r="H535" s="4" t="str">
        <f t="shared" si="75"/>
        <v/>
      </c>
      <c r="I535" s="4" t="str">
        <f t="shared" si="76"/>
        <v/>
      </c>
      <c r="J535" s="4" t="str">
        <f t="shared" si="77"/>
        <v/>
      </c>
      <c r="K535" s="4">
        <f t="shared" si="78"/>
        <v>0.89655172413793105</v>
      </c>
      <c r="L535" s="4" t="str">
        <f t="shared" si="79"/>
        <v/>
      </c>
      <c r="M535" s="4"/>
      <c r="O535" s="4"/>
      <c r="P535" s="4"/>
      <c r="Q535" s="4"/>
      <c r="R535" s="4"/>
      <c r="S535" s="4"/>
      <c r="T535" s="4"/>
      <c r="U535" s="4"/>
    </row>
    <row r="536" spans="1:21">
      <c r="A536" t="s">
        <v>598</v>
      </c>
      <c r="B536">
        <v>8</v>
      </c>
      <c r="C536" t="str">
        <f t="shared" si="73"/>
        <v>test.TIFFFaxEncoder_8_</v>
      </c>
      <c r="D536">
        <v>2</v>
      </c>
      <c r="E536" s="4">
        <v>1</v>
      </c>
      <c r="F536" s="4">
        <v>0.94384615384615389</v>
      </c>
      <c r="G536" s="4" t="str">
        <f t="shared" si="74"/>
        <v/>
      </c>
      <c r="H536" s="4" t="str">
        <f t="shared" si="75"/>
        <v/>
      </c>
      <c r="I536" s="4" t="str">
        <f t="shared" si="76"/>
        <v/>
      </c>
      <c r="J536" s="4" t="str">
        <f t="shared" si="77"/>
        <v/>
      </c>
      <c r="K536" s="4">
        <f t="shared" si="78"/>
        <v>1</v>
      </c>
      <c r="L536" s="4" t="str">
        <f t="shared" si="79"/>
        <v/>
      </c>
      <c r="M536" s="4"/>
      <c r="O536" s="4"/>
      <c r="P536" s="4"/>
      <c r="Q536" s="4"/>
      <c r="R536" s="4"/>
      <c r="S536" s="4"/>
      <c r="T536" s="4"/>
      <c r="U536" s="4"/>
    </row>
    <row r="537" spans="1:21">
      <c r="A537" t="s">
        <v>598</v>
      </c>
      <c r="B537">
        <v>11</v>
      </c>
      <c r="C537" t="str">
        <f t="shared" si="73"/>
        <v>test.TIFFFaxEncoder_11_</v>
      </c>
      <c r="D537">
        <v>1</v>
      </c>
      <c r="E537" s="4">
        <v>0.81739130434782614</v>
      </c>
      <c r="F537" s="4">
        <v>0.80502085338466478</v>
      </c>
      <c r="G537" s="4" t="str">
        <f t="shared" si="74"/>
        <v/>
      </c>
      <c r="H537" s="4" t="str">
        <f t="shared" si="75"/>
        <v/>
      </c>
      <c r="I537" s="4" t="str">
        <f t="shared" si="76"/>
        <v/>
      </c>
      <c r="J537" s="4" t="str">
        <f t="shared" si="77"/>
        <v/>
      </c>
      <c r="K537" s="4">
        <f t="shared" si="78"/>
        <v>0.81739130434782614</v>
      </c>
      <c r="L537" s="4" t="str">
        <f t="shared" si="79"/>
        <v/>
      </c>
      <c r="M537" s="4"/>
      <c r="O537" s="4"/>
      <c r="P537" s="4"/>
      <c r="Q537" s="4"/>
      <c r="R537" s="4"/>
      <c r="S537" s="4"/>
      <c r="T537" s="4"/>
      <c r="U537" s="4"/>
    </row>
    <row r="538" spans="1:21">
      <c r="A538" t="s">
        <v>598</v>
      </c>
      <c r="B538">
        <v>11</v>
      </c>
      <c r="C538" t="str">
        <f t="shared" si="73"/>
        <v>test.TIFFFaxEncoder_11_</v>
      </c>
      <c r="D538">
        <v>2</v>
      </c>
      <c r="E538" s="4">
        <v>0.89565217391304353</v>
      </c>
      <c r="F538" s="4">
        <v>0.87712544112929103</v>
      </c>
      <c r="G538" s="4" t="str">
        <f t="shared" si="74"/>
        <v/>
      </c>
      <c r="H538" s="4" t="str">
        <f t="shared" si="75"/>
        <v/>
      </c>
      <c r="I538" s="4" t="str">
        <f t="shared" si="76"/>
        <v/>
      </c>
      <c r="J538" s="4" t="str">
        <f t="shared" si="77"/>
        <v/>
      </c>
      <c r="K538" s="4">
        <f t="shared" si="78"/>
        <v>0.89565217391304353</v>
      </c>
      <c r="L538" s="4" t="str">
        <f t="shared" si="79"/>
        <v/>
      </c>
      <c r="M538" s="4"/>
      <c r="O538" s="4"/>
      <c r="P538" s="4"/>
      <c r="Q538" s="4"/>
      <c r="R538" s="4"/>
      <c r="S538" s="4"/>
      <c r="T538" s="4"/>
      <c r="U538" s="4"/>
    </row>
    <row r="539" spans="1:21">
      <c r="A539" t="s">
        <v>598</v>
      </c>
      <c r="B539">
        <v>11</v>
      </c>
      <c r="C539" t="str">
        <f t="shared" si="73"/>
        <v>test.TIFFFaxEncoder_11_</v>
      </c>
      <c r="D539">
        <v>3</v>
      </c>
      <c r="E539" s="4">
        <v>0.99130434782608701</v>
      </c>
      <c r="F539" s="4">
        <v>0.92420596727622717</v>
      </c>
      <c r="G539" s="4" t="str">
        <f t="shared" si="74"/>
        <v/>
      </c>
      <c r="H539" s="4" t="str">
        <f t="shared" si="75"/>
        <v/>
      </c>
      <c r="I539" s="4" t="str">
        <f t="shared" si="76"/>
        <v/>
      </c>
      <c r="J539" s="4" t="str">
        <f t="shared" si="77"/>
        <v/>
      </c>
      <c r="K539" s="4">
        <f t="shared" si="78"/>
        <v>0.99130434782608701</v>
      </c>
      <c r="L539" s="4" t="str">
        <f t="shared" si="79"/>
        <v/>
      </c>
      <c r="M539" s="4"/>
      <c r="O539" s="4"/>
      <c r="P539" s="4"/>
      <c r="Q539" s="4"/>
      <c r="R539" s="4"/>
      <c r="S539" s="4"/>
      <c r="T539" s="4"/>
      <c r="U539" s="4"/>
    </row>
    <row r="540" spans="1:21">
      <c r="A540" t="s">
        <v>598</v>
      </c>
      <c r="B540">
        <v>11</v>
      </c>
      <c r="C540" t="str">
        <f t="shared" si="73"/>
        <v>test.TIFFFaxEncoder_11_</v>
      </c>
      <c r="D540">
        <v>4</v>
      </c>
      <c r="E540" s="4">
        <v>1</v>
      </c>
      <c r="F540" s="4">
        <v>0.94000641642605065</v>
      </c>
      <c r="G540" s="4" t="str">
        <f t="shared" si="74"/>
        <v/>
      </c>
      <c r="H540" s="4" t="str">
        <f t="shared" si="75"/>
        <v/>
      </c>
      <c r="I540" s="4" t="str">
        <f t="shared" si="76"/>
        <v/>
      </c>
      <c r="J540" s="4" t="str">
        <f t="shared" si="77"/>
        <v/>
      </c>
      <c r="K540" s="4">
        <f t="shared" si="78"/>
        <v>1</v>
      </c>
      <c r="L540" s="4" t="str">
        <f t="shared" si="79"/>
        <v/>
      </c>
      <c r="M540" s="4"/>
      <c r="O540" s="4"/>
      <c r="P540" s="4"/>
      <c r="Q540" s="4"/>
      <c r="R540" s="4"/>
      <c r="S540" s="4"/>
      <c r="T540" s="4"/>
      <c r="U540" s="4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Compare dom5 Loop</vt:lpstr>
      <vt:lpstr>Data dom5 Loop</vt:lpstr>
      <vt:lpstr>SatUnsatData Full dom5</vt:lpstr>
      <vt:lpstr>Compare dom4 Loop </vt:lpstr>
      <vt:lpstr>Data dom4 Loop</vt:lpstr>
      <vt:lpstr>Compare dom9 Loop</vt:lpstr>
      <vt:lpstr>summary</vt:lpstr>
      <vt:lpstr>Compare dom9</vt:lpstr>
      <vt:lpstr>cleanedData</vt:lpstr>
      <vt:lpstr>Prelim data</vt:lpstr>
      <vt:lpstr>SatUnsatData dom9 Loop</vt:lpstr>
      <vt:lpstr>SatUnsatData Full dom9</vt:lpstr>
      <vt:lpstr>Compare dom5</vt:lpstr>
      <vt:lpstr>Time Data Full dom5</vt:lpstr>
      <vt:lpstr>Compare dom4</vt:lpstr>
      <vt:lpstr>SatUnsatData Full dom4</vt:lpstr>
      <vt:lpstr>Time Data Full dom4</vt:lpstr>
      <vt:lpstr>Time Data Full dom9</vt:lpstr>
      <vt:lpstr>Compare old</vt:lpstr>
    </vt:vector>
  </TitlesOfParts>
  <Company>Boise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Sherman</dc:creator>
  <cp:lastModifiedBy>Elena Sherman</cp:lastModifiedBy>
  <dcterms:created xsi:type="dcterms:W3CDTF">2017-02-14T23:23:57Z</dcterms:created>
  <dcterms:modified xsi:type="dcterms:W3CDTF">2018-01-29T20:47:52Z</dcterms:modified>
</cp:coreProperties>
</file>